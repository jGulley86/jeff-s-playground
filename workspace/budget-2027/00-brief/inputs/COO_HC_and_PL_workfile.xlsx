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LIP Folders\Budget\2027\Dept Files\"/>
    </mc:Choice>
  </mc:AlternateContent>
  <xr:revisionPtr revIDLastSave="0" documentId="13_ncr:1_{4D25CEE0-F30B-4A2C-A2C0-DB72AFC27622}" xr6:coauthVersionLast="47" xr6:coauthVersionMax="47" xr10:uidLastSave="{00000000-0000-0000-0000-000000000000}"/>
  <bookViews>
    <workbookView xWindow="-108" yWindow="-108" windowWidth="23256" windowHeight="13896" tabRatio="773" firstSheet="1" activeTab="6" xr2:uid="{ED4D97F3-6686-47D9-84E5-EB4CCA0CEFD5}"/>
  </bookViews>
  <sheets>
    <sheet name="Claude Log" sheetId="23" state="hidden" r:id="rId1"/>
    <sheet name="Headcount --&gt;" sheetId="12" r:id="rId2"/>
    <sheet name="COO HC" sheetId="1" r:id="rId3"/>
    <sheet name="FO HC" sheetId="3" r:id="rId4"/>
    <sheet name="PO HC" sheetId="2" r:id="rId5"/>
    <sheet name="CO HC" sheetId="6" r:id="rId6"/>
    <sheet name="FE HC" sheetId="4" r:id="rId7"/>
    <sheet name="PE HC" sheetId="5" r:id="rId8"/>
    <sheet name="P&amp;L --&gt;" sheetId="13" r:id="rId9"/>
    <sheet name="COO P&amp;L" sheetId="20" r:id="rId10"/>
    <sheet name="FO" sheetId="17" r:id="rId11"/>
    <sheet name="PO" sheetId="19" r:id="rId12"/>
    <sheet name="CO" sheetId="15" r:id="rId13"/>
    <sheet name="FE" sheetId="16" r:id="rId14"/>
    <sheet name="PE" sheetId="18" r:id="rId15"/>
  </sheets>
  <externalReferences>
    <externalReference r:id="rId16"/>
    <externalReference r:id="rId17"/>
  </externalReferences>
  <definedNames>
    <definedName name="_" hidden="1">#REF!</definedName>
    <definedName name="______key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I2" hidden="1">{"PVGraph2",#N/A,FALSE,"PV Data"}</definedName>
    <definedName name="_____I3" hidden="1">{"PVGraph2",#N/A,FALSE,"PV Data"}</definedName>
    <definedName name="_____key4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w1" hidden="1">{"PVGraph2",#N/A,FALSE,"PV Data"}</definedName>
    <definedName name="_____w2" hidden="1">{"PVGraph2",#N/A,FALSE,"PV Data"}</definedName>
    <definedName name="_____w3" hidden="1">{"PVGraph2",#N/A,FALSE,"PV Data"}</definedName>
    <definedName name="_____y2" hidden="1">{"PVGraph2",#N/A,FALSE,"PV Data"}</definedName>
    <definedName name="____key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I2" hidden="1">{"PVGraph2",#N/A,FALSE,"PV Data"}</definedName>
    <definedName name="___I3" hidden="1">{"PVGraph2",#N/A,FALSE,"PV Data"}</definedName>
    <definedName name="___key4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s1" hidden="1">#REF!</definedName>
    <definedName name="___s2" hidden="1">#REF!</definedName>
    <definedName name="___s3" hidden="1">#REF!</definedName>
    <definedName name="___s4" hidden="1">#REF!</definedName>
    <definedName name="___s5" hidden="1">#REF!</definedName>
    <definedName name="___s6" hidden="1">#REF!</definedName>
    <definedName name="___w1" hidden="1">{"PVGraph2",#N/A,FALSE,"PV Data"}</definedName>
    <definedName name="___w2" hidden="1">{"PVGraph2",#N/A,FALSE,"PV Data"}</definedName>
    <definedName name="___w3" hidden="1">{"PVGraph2",#N/A,FALSE,"PV Data"}</definedName>
    <definedName name="___y2" hidden="1">{"PVGraph2",#N/A,FALSE,"PV Data"}</definedName>
    <definedName name="__123Graph_A" hidden="1">#REF!</definedName>
    <definedName name="__123Graph_AChart1" hidden="1">#REF!</definedName>
    <definedName name="__123Graph_ACurrent" hidden="1">#REF!</definedName>
    <definedName name="__123Graph_APRINCIPAL" hidden="1">#REF!</definedName>
    <definedName name="__123Graph_B" hidden="1">#REF!</definedName>
    <definedName name="__123Graph_BChart1" hidden="1">#REF!</definedName>
    <definedName name="__123Graph_BCurrent" hidden="1">#REF!</definedName>
    <definedName name="__123Graph_C" hidden="1">#REF!</definedName>
    <definedName name="__123Graph_CChart1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urrent" hidden="1">#REF!</definedName>
    <definedName name="__123Graph_F" hidden="1">#REF!</definedName>
    <definedName name="__123Graph_LBL_APRINCIPAL" hidden="1">#REF!</definedName>
    <definedName name="__123Graph_X" hidden="1">#REF!</definedName>
    <definedName name="__123Graph_XChart1" hidden="1">#REF!</definedName>
    <definedName name="__123Graph_XCurrent" hidden="1">#REF!</definedName>
    <definedName name="__eds2" hidden="1">{"TOP",#N/A,TRUE,"TRIPLE OPTION EXPERIENCE";"actives",#N/A,TRUE,"TRIPLE OPTION EXPERIENCE";"experience",#N/A,TRUE,"TRIPLE OPTION EXPERIENCE";"Outacomp",#N/A,TRUE,"FEE FOR SERVICE EXPERIENCE ";"Outacomp",#N/A,TRUE,"FEE FOR SERVICE EXPERIENCE ";"Outret",#N/A,TRUE,"FEE FOR SERVICE EXPERIENCE ";"Outact",#N/A,TRUE,"FEE FOR SERVICE EXPERIENCE ";"OutRcomp",#N/A,TRUE,"FEE FOR SERVICE EXPERIENCE ";"Outact",#N/A,TRUE,"FEE FOR SERVICE EXPERIENCE ";"OutRcomp",#N/A,TRUE,"FEE FOR SERVICE EXPERIENCE ";"Outret",#N/A,TRUE,"FEE FOR SERVICE EXPERIENCE ";"actives",#N/A,TRUE,"TRIPLE OPTION EXPERIENCE";"TOP",#N/A,TRUE,"TRIPLE OPTION EXPERIENCE"}</definedName>
    <definedName name="__FDS_HYPERLINK_TOGGLE_STATE__" hidden="1">"ON"</definedName>
    <definedName name="__IntlFixup" hidden="1">TRUE</definedName>
    <definedName name="__IntlFixupTable" hidden="1">#REF!</definedName>
    <definedName name="__key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key3" hidden="1">#REF!</definedName>
    <definedName name="__MUM1" hidden="1">#REF!</definedName>
    <definedName name="__MUM10" hidden="1">#REF!</definedName>
    <definedName name="__MUM11" hidden="1">#REF!</definedName>
    <definedName name="__MUM12" hidden="1">#REF!</definedName>
    <definedName name="__MUM13" hidden="1">#REF!</definedName>
    <definedName name="__MUM14" hidden="1">#REF!</definedName>
    <definedName name="__MUM15" hidden="1">#REF!</definedName>
    <definedName name="__MUM16" hidden="1">#REF!</definedName>
    <definedName name="__MUM17" hidden="1">#REF!</definedName>
    <definedName name="__MUM18" hidden="1">#REF!</definedName>
    <definedName name="__MUM19" hidden="1">#REF!</definedName>
    <definedName name="__MUM2" hidden="1">#REF!</definedName>
    <definedName name="__MUM20" hidden="1">#REF!</definedName>
    <definedName name="__MUM21" hidden="1">#REF!</definedName>
    <definedName name="__MUM22" hidden="1">#REF!</definedName>
    <definedName name="__MUM23" hidden="1">#REF!</definedName>
    <definedName name="__MUM24" hidden="1">#REF!</definedName>
    <definedName name="__MUM25" hidden="1">#REF!</definedName>
    <definedName name="__MUM26" hidden="1">#REF!</definedName>
    <definedName name="__MUM27" hidden="1">#REF!</definedName>
    <definedName name="__MUM28" hidden="1">#REF!</definedName>
    <definedName name="__MUM29" hidden="1">#REF!</definedName>
    <definedName name="__MUM3" hidden="1">#REF!</definedName>
    <definedName name="__MUM30" hidden="1">#REF!</definedName>
    <definedName name="__MUM31" hidden="1">#REF!</definedName>
    <definedName name="__MUM32" hidden="1">#REF!</definedName>
    <definedName name="__MUM4" hidden="1">#REF!</definedName>
    <definedName name="__MUM5" hidden="1">#REF!</definedName>
    <definedName name="__MUM6" hidden="1">#REF!</definedName>
    <definedName name="__MUM7" hidden="1">#REF!</definedName>
    <definedName name="__MUM8" hidden="1">#REF!</definedName>
    <definedName name="__MUM9" hidden="1">#REF!</definedName>
    <definedName name="__QTD1" hidden="1">{"Nil","Nil",FALSE,"Detail P&amp;L-M";"Nil","Nil",FALSE,"Dep &amp; Amort-M";"Nil","Nil",FALSE,"Equity-M";"Nil","Nil",FALSE,"Debt &amp; Cash Flow-M";"Nil","Nil",FALSE,"Interest-M"}</definedName>
    <definedName name="__s1" hidden="1">#REF!</definedName>
    <definedName name="__s2" hidden="1">#REF!</definedName>
    <definedName name="__s3" hidden="1">#REF!</definedName>
    <definedName name="__s4" hidden="1">#REF!</definedName>
    <definedName name="__s5" hidden="1">#REF!</definedName>
    <definedName name="__s6" hidden="1">#REF!</definedName>
    <definedName name="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1__123Graph_ACHART_4" hidden="1">#REF!</definedName>
    <definedName name="_1__FDSAUDITLINK__" hidden="1">{"fdsup://directions/News HTML Viewer?action=OPEN&amp;on_error=off&amp;window=popup_no_button&amp;start_maximized=false&amp;creator=factset&amp;display_string=Click to view document&amp;width=640&amp;height=480&amp;address=ZQFNwiDmku6rD8XeJHel5%2BClsTh1%2BKQXZfkma2tpAQLiI8CyHvRjYyQDVL7t%2","FlfMpiTocNaw3Gpo8jIv6pGb2ENue6TMKIZPrs2228iDD%2FS879rurW4fhZH36nTEyl8j%2FJcd0ZhNwqu9MYltaV6nDlIUcUF2%2FoBeD4yU8zdaPJmMZgbGxOpsfCHY3s8J2LGk3sPgAzz3MjQvvOrEkaYDu03NUFj4FxpGksq3IjKjlNZJEQs8%2BBrc%2FAQTl%2F8yM7Od%2BoPj%2BkGyEsVVXRQInn3Dy4hc18keC6v%2FodsKUpIqg","81wmyzSUpR42%2FFYRsckFYW1L9MJttOEm7wi"}</definedName>
    <definedName name="_10__FDSAUDITLINK__" hidden="1">{"fdsup://directions/News HTML Viewer?action=OPEN&amp;on_error=off&amp;window=popup_no_button&amp;start_maximized=false&amp;creator=factset&amp;display_string=Click to view document&amp;width=640&amp;height=480&amp;address=ZQFNwqzDlZ6rDiV1JBTcRtiuYnkVWHRjDil6imjmqcrLCyXmF%2FTNn166X%2Fky9g","%2BRsaoXt7DmqKRZnq2X%2FxB009l0lyMR4nJRMuZ4Hb%2BR4f2kKDHMIidtMjbt%2BvLyWlaaB2egxe3ClTiPVcRGtwHXqe4T5zNClOJbZ81XZbYgSwxt6pAwRqyuCMPhsET1gMmj%2BlPQgW3DOl7uJuQ0%2FivNqNHBO4TFXsmDNbQmI8%2FvyniCRveypaBEmj6SmySB3CFsIFtpJhbquq40mQLNe4tOhyz67vRHTV83cHj7EvmsK3y2Ej7","JDhS6sikNrjbFEq0w0L4%3D"}</definedName>
    <definedName name="_10Table2_" hidden="1">#REF!</definedName>
    <definedName name="_11__FDSAUDITLINK__" hidden="1">{"fdsup://directions/News HTML Viewer?action=OPEN&amp;on_error=off&amp;window=popup_no_button&amp;start_maximized=false&amp;creator=factset&amp;display_string=Click to view document&amp;width=640&amp;height=480&amp;address=ZQFNwiDmku6rD8XeJHel5%2BClsTh1%2BKQXZfkma2tpAQLiI8CyHvRjYyQDVL7t%2","FlfMpiTocNaw3Gpo8jIv6pGb2ENue6TMKIZPrs2228iDD%2FS879rurW4fhZH36nTEyl8j%2FJcd0ZhNwqu9MYltaV6nDlIUcUF2%2FoBeD4yU8zdaPJmMZgbGxOpsfCHY3s8J2LGk3sPgAzz3MjQvvOrEkaYDu03NUFj4FxpGksq3IjKjlNZJEQs8%2BBrc%2FAQTl%2F8yM7Od%2BoPj%2BkGyEsVVXRQInn3Dy4hc18keC6v%2FodsKUpIqg","81wmyzSUpR42%2FFYRsckFYW1L9MJttOEm7wi"}</definedName>
    <definedName name="_12__FDSAUDITLINK__" hidden="1">{"fdsup://directions/News HTML Viewer?action=OPEN&amp;on_error=off&amp;window=popup_no_button&amp;start_maximized=false&amp;creator=factset&amp;display_string=Click to view document&amp;width=640&amp;height=480&amp;address=ZQFNAibmku6vdsALvQxFS8E8mqM5fpsEhW%2FVlrUZS8X3mXhPhwqEWlSPeKV%2FWO","c0nuspNnLpGeQAjctPFV5FC%2FMYUuTwne%2B0oFqOF9ZWxBFOI0aoy9DWjCAtikpaqJYi%2FRUAY23ZunIIO5JXI9vdv%2FD84elPHIf%2FQafK4OQFWXLyxNKBVFC9WjEnZcOiHiQO9ntr5Mh0DnhPaOFqYXKXETZDHHz%2FWgZPHcJDG%2B7UjaqkKYnqqjMXSWKr2rrV2URbwt%2FZZCeZfrTQ5DhWnci48CQW%2FTbFVq2Lo%2FeByDBfM","WJ17%2FKc%2BMuArTeRUT6kUsBevaaWfTkM"}</definedName>
    <definedName name="_13__FDSAUDITLINK__" hidden="1">{"fdsup://directions/News HTML Viewer?action=OPEN&amp;on_error=off&amp;window=popup_no_button&amp;start_maximized=false&amp;creator=factset&amp;display_string=Click to view document&amp;width=640&amp;height=480&amp;address=ZQFVwSbik%2F6rz%2BXeqnI%2F81B0czgc0dOpLXWcS%2FxBlCQXdv%2BhIf2GOYkG","eDY0SLVOuxPnpyH4RwQ9hENL3ybkIfLcp0jpLem904l83N6noWVMiDEe8%2BZe%2B71C9fbXIC57jsCTloy8n5Y88rgFOL5qduFbRb%2BGq7E5fErnZRNUVn6R%2Bdavo1ZRYVqFhqCpTR4lFx1ymGYwel8C6S2dpy2Zbws8jlM3Hr7cMYv0Hy9b%2F9HgQ2wJI%2BUG8TjBH8VqlZADDD8JHzJSJbCxV1H2PcPj3zTy1G7z2FCkCJFO7wVVGrd","6pFHQH1FCyavspqoau%2FjF6xVFQh5Mzg%2F0DBRHE7%2FcpqfyGpWeTcgpFiemvPECOvFgkA%3D%3D"}</definedName>
    <definedName name="_14__FDSAUDITLINK__" hidden="1">{"fdsup://directions/News HTML Viewer?action=OPEN&amp;on_error=off&amp;window=popup_no_button&amp;start_maximized=false&amp;creator=factset&amp;display_string=Click to view document&amp;width=640&amp;height=480&amp;address=ZQFNwqzjkp63DiU1IW%2B9wLSlWyN3Grmh0NwNbVuVyY3GFagfuF6QlzeU9yxBOqmJ","xtWY79x5tU%2BOOjNe1DFZK78AKG3t%2FMKWXeDOGIgJkr2AqEuSwwxJNBuNS3P08KPhHL%2FjXRZ0QF5wa8%2FuLA2j8g46A%2FZYxSfRr8BnxH1N7La0UrLiG8tXEqdVtpC0WPUEtkhSPpsJCtX%2B8mY%2BeXth27zFfQIVJiyqYpRxe0ZB3018kqrDY2U3QI7md0ZvOSIG%2BJehggMg7MUJHB%2BSBx0BbQWsTCEf3OXMJe%2BU%2BIOjA","L%2Fcq2Z3MsWUZPj7"}</definedName>
    <definedName name="_15__FDSAUDITLINK__" hidden="1">{"fdsup://directions/News HTML Viewer?action=OPEN&amp;on_error=off&amp;window=popup_no_button&amp;start_maximized=false&amp;creator=factset&amp;display_string=Click to view document&amp;width=640&amp;height=480&amp;address=ZQFVAaDnku6rdm9Tifph6TyHXgWlE8Fnjc3mzo0bhZswuhdjmDoxH2850q20sIzm8a","rbGzYTlpHnS2lNeG9VwRJwPSyhJ%2BH4isiEFmgAU7KD2aqOOipThK4nfz0b32jXkod6vHOb9hTcY%2BCD3%2F4sN6drPzzS3mKR6eXdIrs%2FySF0UFr%2BJip4fgDi6rR%2FOeRbmgl10YqyMIWMAjatKM%2FJ4OSPId97sUPVojv2VVMMmTpAUj4X7qcpUmw4Q1JLWwfmoJamQUJTk2WUg%2BoobJ9oJp5vNGelbcUXcnD%2B3wcEJrZPSgV","b77wxTDmkhfUOziEP9iI984wBg64KeQmjRak%3D"}</definedName>
    <definedName name="_15S" hidden="1">#REF!</definedName>
    <definedName name="_16__FDSAUDITLINK__" hidden="1">{"fdsup://directions/News HTML Viewer?action=OPEN&amp;on_error=off&amp;window=popup_no_button&amp;start_maximized=false&amp;creator=factset&amp;display_string=Click to view document&amp;width=640&amp;height=480&amp;address=ZQFNApznkp6vdm%2BXDY8uLGSo63G8jW6zpPVbmrh81h9pc%2BY0VhNn7g2NlXSlDA","UFaoHQUtqq5OXwW8O3%2Bvz0WNoEGsVja85EpibsfvCUWMgJ9CXrA92V%2BNCO80lgOnKKmCSdQYZcsYsJYtXeKLUz%2B%2BG9FTmufS3liqQl55A%2FgRuVRVgIlkEOIpGCvRcBGVkm%2FMGIODk4BCcWfrzaL3DaVmc3DGSLwsBdD06jMAxZU1gpwNPGuftZCl7JKa4fd60g8i28ySWv4yvthitT0R0LelXb3vlaK2WfnruGuS10HAtxq%2Ff","yyjbmQExYa0Kz"}</definedName>
    <definedName name="_17__FDSAUDITLINK__" hidden="1">{"fdsup://directions/News HTML Viewer?action=OPEN&amp;on_error=off&amp;window=popup_no_button&amp;start_maximized=false&amp;creator=factset&amp;display_string=Click to view document&amp;width=640&amp;height=480&amp;address=ZQFNw6znkp6vDyV1HwIVJkLkw0AT5CW9f6elUXBrchfN6iLXcDASaNxFV4sRfg7mSA","ufCPezA6GyNk29NtKOe4y4pPzCy%2BrjfZKP8aKkCu0M64VCVkp7VCKEJI9AdUamWa8rn9WUpVNIPbTBLzgVSLitQjCNAR2quHLoJKO7DGKOUgj0LQCEoGxTvpqowD1le5I9skgjYRsyiuYpBwo%2BBVx4GTyIBhCIpm3DB4WWycZJf%2Bx5YnOXJSKDPKTJwQBvURhavGjCyzQXsFg5rtokl5KR8ieInoT2R3TMstTZv9p1h4nyT8eOKAhs"}</definedName>
    <definedName name="_18__FDSAUDITLINK__" hidden="1">{"fdsup://directions/News HTML Viewer?action=OPEN&amp;on_error=off&amp;window=popup_no_button&amp;start_maximized=false&amp;creator=factset&amp;display_string=Click to view document&amp;width=640&amp;height=480&amp;address=ZQErBNSiOJ4JWI13n%2FXVvpxiZzw3EoKhjhiJrbs%2Bj8yW%2BDlg1obm%2ByMq8y","hQTiN75LSnx8RKOyOOlBeLm5xkgVx40ZlWxX69X%2Fnx1bQrR86gldabkqYgYSiYAUaus8YsBHnJfkhnVZs8N2gqWzOr6Nd8Gg%3D%3D"}</definedName>
    <definedName name="_19__FDSAUDITLINK__" hidden="1">{"fdsup://directions/News HTML Viewer?action=OPEN&amp;on_error=off&amp;window=popup_no_button&amp;start_maximized=false&amp;creator=factset&amp;display_string=Click to view document&amp;width=640&amp;height=480&amp;address=ZQFNw6znkp6vDyV1HwLVKC6OP2t49SjmFMl9sfXFQtKIVGAzXYefrNnIT1XdSiEKqX","I4EWdFlVuNmWyORzxtYyzjHymjuAu0i1%2FkFHGNzoPJO2SuuqnegT3bJDTHQ7W1pEYXmT9tH%2BTRWM5VWdlc088rPZprSnlRyRRjKMeBK9ZpAWy3K9mJIyUkrcI5Q8JaQPAdv1ZJL53ZV0nZiFWNTy1e%2F42Rv6FMB33NXGBOV33QzS5GbH1qLwjRZ7SBNtxeuYCAPh2pNxkPyzVuwuzb4rlh0LpDiV0nfyrbXtmaEVYP5RhsDW%2Bxgw1ui","vLD4Q%3D%3D"}</definedName>
    <definedName name="_2" hidden="1">#REF!</definedName>
    <definedName name="_2__FDSAUDITLINK__" hidden="1">{"fdsup://directions/News HTML Viewer?action=OPEN&amp;on_error=off&amp;window=popup_no_button&amp;start_maximized=false&amp;creator=factset&amp;display_string=Click to view document&amp;width=640&amp;height=480&amp;address=ZQFNAibmku6vdsALvQxFS8E8mqM5fpsEhW%2FVlrUZS8X3mXhPhwqEWlSPeKV%2FWO","c0nuspNnLpGeQAjctPFV5FC%2FMYUuTwne%2B0oFqOF9ZWxBFOI0aoy9DWjCAtikpaqJYi%2FRUAY23ZunIIO5JXI9vdv%2FD84elPHIf%2FQafK4OQFWXLyxNKBVFC9WjEnZcOiHiQO9ntr5Mh0DnhPaOFqYXKXETZDHHz%2FWgZPHcJDG%2B7UjaqkKYnqqjMXSWKr2rrV2URbwt%2FZZCeZfrTQ5DhWnci48CQW%2FTbFVq2Lo%2FeByDBfM","WJ17%2FKc%2BMuArTeRUT6kUsBevaaWfTkM"}</definedName>
    <definedName name="_20__FDSAUDITLINK__" hidden="1">{"fdsup://directions/News HTML Viewer?action=OPEN&amp;on_error=off&amp;window=popup_no_button&amp;start_maximized=false&amp;creator=factset&amp;display_string=Click to view document&amp;width=640&amp;height=480&amp;address=ZQFNwqzDlZ6rDiV1JBTcRtiuYnkVWHRjDil6imjmqcrLCyXmF%2FTNn166X%2Fky9g","%2BRsaoXt7DmqKRZnq2X%2FxB009l0lyMR4nJRMuZ4Hb%2BR4f2kKDHMIidtMjbt%2BvLyWlaaB2egxe3ClTiPVcRGtwHXqe4T5zNClOJbZ81XZbYgSwxt6pAwRqyuCMPhsET1gMmj%2BlPQgW3DOl7uJuQ0%2FivNqNHBO4TFXsmDNbQmI8%2FvyniCRveypaBEmj6SmySB3CFsIFtpJhbquq40mQLNe4tOhyz67vRHTV83cHj7EvmsK3y2Ej7","JDhS6sikNrjbFEq0w0L4%3D"}</definedName>
    <definedName name="_20Table2_" hidden="1">#REF!</definedName>
    <definedName name="_25Table2_" hidden="1">#REF!</definedName>
    <definedName name="_3__FDSAUDITLINK__" hidden="1">{"fdsup://directions/News HTML Viewer?action=OPEN&amp;on_error=off&amp;window=popup_no_button&amp;start_maximized=false&amp;creator=factset&amp;display_string=Click to view document&amp;width=640&amp;height=480&amp;address=ZQFVwSbik%2F6rz%2BXeqnI%2F81B0czgc0dOpLXWcS%2FxBlCQXdv%2BhIf2GOYkG","eDY0SLVOuxPnpyH4RwQ9hENL3ybkIfLcp0jpLem904l83N6noWVMiDEe8%2BZe%2B71C9fbXIC57jsCTloy8n5Y88rgFOL5qduFbRb%2BGq7E5fErnZRNUVn6R%2Bdavo1ZRYVqFhqCpTR4lFx1ymGYwel8C6S2dpy2Zbws8jlM3Hr7cMYv0Hy9b%2F9HgQ2wJI%2BUG8TjBH8VqlZADDD8JHzJSJbCxV1H2PcPj3zTy1G7z2FCkCJFO7wVVGrd","6pFHQH1FCyavspqoau%2FjF6xVFQh5Mzg%2F0DBRHE7%2FcpqfyGpWeTcgpFiemvPECOvFgkA%3D%3D"}</definedName>
    <definedName name="_4__FDSAUDITLINK__" hidden="1">{"fdsup://directions/News HTML Viewer?action=OPEN&amp;on_error=off&amp;window=popup_no_button&amp;start_maximized=false&amp;creator=factset&amp;display_string=Click to view document&amp;width=640&amp;height=480&amp;address=ZQFNwqzjkp63DiU1IW%2B9wLSlWyN3Grmh0NwNbVuVyY3GFagfuF6QlzeU9yxBOqmJ","xtWY79x5tU%2BOOjNe1DFZK78AKG3t%2FMKWXeDOGIgJkr2AqEuSwwxJNBuNS3P08KPhHL%2FjXRZ0QF5wa8%2FuLA2j8g46A%2FZYxSfRr8BnxH1N7La0UrLiG8tXEqdVtpC0WPUEtkhSPpsJCtX%2B8mY%2BeXth27zFfQIVJiyqYpRxe0ZB3018kqrDY2U3QI7md0ZvOSIG%2BJehggMg7MUJHB%2BSBx0BbQWsTCEf3OXMJe%2BU%2BIOjA","L%2Fcq2Z3MsWUZPj7"}</definedName>
    <definedName name="_5__123Graph_ACHART_4" hidden="1">#REF!</definedName>
    <definedName name="_5__FDSAUDITLINK__" hidden="1">{"fdsup://directions/News HTML Viewer?action=OPEN&amp;on_error=off&amp;window=popup_no_button&amp;start_maximized=false&amp;creator=factset&amp;display_string=Click to view document&amp;width=640&amp;height=480&amp;address=ZQFVAaDnku6rdm9Tifph6TyHXgWlE8Fnjc3mzo0bhZswuhdjmDoxH2850q20sIzm8a","rbGzYTlpHnS2lNeG9VwRJwPSyhJ%2BH4isiEFmgAU7KD2aqOOipThK4nfz0b32jXkod6vHOb9hTcY%2BCD3%2F4sN6drPzzS3mKR6eXdIrs%2FySF0UFr%2BJip4fgDi6rR%2FOeRbmgl10YqyMIWMAjatKM%2FJ4OSPId97sUPVojv2VVMMmTpAUj4X7qcpUmw4Q1JLWwfmoJamQUJTk2WUg%2BoobJ9oJp5vNGelbcUXcnD%2B3wcEJrZPSgV","b77wxTDmkhfUOziEP9iI984wBg64KeQmjRak%3D"}</definedName>
    <definedName name="_6__FDSAUDITLINK__" hidden="1">{"fdsup://directions/News HTML Viewer?action=OPEN&amp;on_error=off&amp;window=popup_no_button&amp;start_maximized=false&amp;creator=factset&amp;display_string=Click to view document&amp;width=640&amp;height=480&amp;address=ZQFNApznkp6vdm%2BXDY8uLGSo63G8jW6zpPVbmrh81h9pc%2BY0VhNn7g2NlXSlDA","UFaoHQUtqq5OXwW8O3%2Bvz0WNoEGsVja85EpibsfvCUWMgJ9CXrA92V%2BNCO80lgOnKKmCSdQYZcsYsJYtXeKLUz%2B%2BG9FTmufS3liqQl55A%2FgRuVRVgIlkEOIpGCvRcBGVkm%2FMGIODk4BCcWfrzaL3DaVmc3DGSLwsBdD06jMAxZU1gpwNPGuftZCl7JKa4fd60g8i28ySWv4yvthitT0R0LelXb3vlaK2WfnruGuS10HAtxq%2Ff","yyjbmQExYa0Kz"}</definedName>
    <definedName name="_7__FDSAUDITLINK__" hidden="1">{"fdsup://directions/News HTML Viewer?action=OPEN&amp;on_error=off&amp;window=popup_no_button&amp;start_maximized=false&amp;creator=factset&amp;display_string=Click to view document&amp;width=640&amp;height=480&amp;address=ZQFNw6znkp6vDyV1HwIVJkLkw0AT5CW9f6elUXBrchfN6iLXcDASaNxFV4sRfg7mSA","ufCPezA6GyNk29NtKOe4y4pPzCy%2BrjfZKP8aKkCu0M64VCVkp7VCKEJI9AdUamWa8rn9WUpVNIPbTBLzgVSLitQjCNAR2quHLoJKO7DGKOUgj0LQCEoGxTvpqowD1le5I9skgjYRsyiuYpBwo%2BBVx4GTyIBhCIpm3DB4WWycZJf%2Bx5YnOXJSKDPKTJwQBvURhavGjCyzQXsFg5rtokl5KR8ieInoT2R3TMstTZv9p1h4nyT8eOKAhs"}</definedName>
    <definedName name="_8__FDSAUDITLINK__" hidden="1">{"fdsup://directions/News HTML Viewer?action=OPEN&amp;on_error=off&amp;window=popup_no_button&amp;start_maximized=false&amp;creator=factset&amp;display_string=Click to view document&amp;width=640&amp;height=480&amp;address=ZQErBNSiOJ4JWI13n%2FXVvpxiZzw3EoKhjhiJrbs%2Bj8yW%2BDlg1obm%2ByMq8y","hQTiN75LSnx8RKOyOOlBeLm5xkgVx40ZlWxX69X%2Fnx1bQrR86gldabkqYgYSiYAUaus8YsBHnJfkhnVZs8N2gqWzOr6Nd8Gg%3D%3D"}</definedName>
    <definedName name="_9__FDSAUDITLINK__" hidden="1">{"fdsup://directions/News HTML Viewer?action=OPEN&amp;on_error=off&amp;window=popup_no_button&amp;start_maximized=false&amp;creator=factset&amp;display_string=Click to view document&amp;width=640&amp;height=480&amp;address=ZQFNw6znkp6vDyV1HwLVKC6OP2t49SjmFMl9sfXFQtKIVGAzXYefrNnIT1XdSiEKqX","I4EWdFlVuNmWyORzxtYyzjHymjuAu0i1%2FkFHGNzoPJO2SuuqnegT3bJDTHQ7W1pEYXmT9tH%2BTRWM5VWdlc088rPZprSnlRyRRjKMeBK9ZpAWy3K9mJIyUkrcI5Q8JaQPAdv1ZJL53ZV0nZiFWNTy1e%2F42Rv6FMB33NXGBOV33QzS5GbH1qLwjRZ7SBNtxeuYCAPh2pNxkPyzVuwuzb4rlh0LpDiV0nfyrbXtmaEVYP5RhsDW%2Bxgw1ui","vLD4Q%3D%3D"}</definedName>
    <definedName name="_ass1" hidden="1">{#N/A,#N/A,FALSE,"Aging Summary";#N/A,#N/A,FALSE,"Ratio Analysis";#N/A,#N/A,FALSE,"Test 120 Day Accts";#N/A,#N/A,FALSE,"Tickmarks"}</definedName>
    <definedName name="_bdm.00EC971BF37311D6B67A0010A48BFF38.edm" hidden="1">#REF!</definedName>
    <definedName name="_bdm.05AD755AE1B644BCB6FF7AF6D6C94EE7.edm" hidden="1">#REF!</definedName>
    <definedName name="_bdm.074EB0C6AAE811D6B66B0010A4863BD8.edm" hidden="1">#REF!</definedName>
    <definedName name="_bdm.08E312EE87AF4A9AB99D50EAD73C1121.edm" hidden="1">#REF!</definedName>
    <definedName name="_bdm.0B5E4A07F78E4E3E923312BD37FD77A2.edm" hidden="1">#REF!</definedName>
    <definedName name="_bdm.0DF34873752945C18BF6AF2DD556BBAA.edm" hidden="1">#REF!</definedName>
    <definedName name="_bdm.0E72569B534E450BBDD4D4C08A228512.edm" hidden="1">#REF!</definedName>
    <definedName name="_bdm.0F288D482B984B9FB7CF701B327B593C.edm" hidden="1">#REF!</definedName>
    <definedName name="_bdm.14263D1F2D814D5EB1F95B1D6957384D.edm" hidden="1">#REF!</definedName>
    <definedName name="_bdm.1742263542124AF3BCE865208D9E404D.edm" hidden="1">#REF!</definedName>
    <definedName name="_bdm.196E2C1A7BD14EB9BA42E1F187F09491.edm" hidden="1">#REF!</definedName>
    <definedName name="_bdm.1D220B6B5B164370A3CF21AC7A43A0CE.edm" hidden="1">#REF!</definedName>
    <definedName name="_bdm.1E0DF615475E4418A26657425AC7BE51.edm" hidden="1">#REF!</definedName>
    <definedName name="_bdm.206C2D94AA3711D6B64A0010A494EFA8.edm" hidden="1">#REF!</definedName>
    <definedName name="_bdm.206C2DBCAA3711D6B64A0010A494EFA8.edm" hidden="1">#REF!</definedName>
    <definedName name="_bdm.223D2616BD9244AB92BE2FEBEAFB570C.edm" hidden="1">#REF!</definedName>
    <definedName name="_bdm.2398C53567284E5E8937DD13BB789BD3.edm" hidden="1">#REF!</definedName>
    <definedName name="_bdm.25A9C63C58E0417DB5AA529D4513182D.edm" hidden="1">#REF!</definedName>
    <definedName name="_bdm.27904B4DF6A74A119EACCBC498052D25.edm" hidden="1">#REF!</definedName>
    <definedName name="_bdm.28F3C3B79E43484AA41A87D12ADB61B5.edm" hidden="1">#REF!</definedName>
    <definedName name="_bdm.29B6C90491534050B2C5F5D0FAC008D1.edm" hidden="1">#REF!</definedName>
    <definedName name="_bdm.2A5234D8A73011D6B6510010A48BFF38.edm" hidden="1">#REF!</definedName>
    <definedName name="_bdm.2DA9B0C09026420689DBA407C1175013.edm" hidden="1">#REF!</definedName>
    <definedName name="_bdm.2F7A28C715A34E59ACD47BF4ACFF5BEC.edm" hidden="1">#REF!</definedName>
    <definedName name="_bdm.300AD74A4CB340EC819E80CB01F466A0.edm" hidden="1">#REF!</definedName>
    <definedName name="_bdm.327EA03D3A584F82A302CFE810FD977E.edm" hidden="1">#REF!</definedName>
    <definedName name="_bdm.329FD9CDA97C40029C4A921D6224414B.edm" hidden="1">#REF!</definedName>
    <definedName name="_bdm.3803A7941AB5419A8F5B3F22659B0C31.edm" hidden="1">#REF!</definedName>
    <definedName name="_bdm.39C9E15CE9D24374A40E40FCDF6B0E3F.edm" hidden="1">#REF!</definedName>
    <definedName name="_bdm.43639E5E795A4549B421CDD123CF920D.edm" hidden="1">#REF!</definedName>
    <definedName name="_bdm.439F92B752CE4140AA16328E16839C0C.edm" hidden="1">#REF!</definedName>
    <definedName name="_bdm.43BEFD54E5614A47BA6CC71AF25685D4.edm" hidden="1">#REF!</definedName>
    <definedName name="_bdm.44BD11009E7C4888B27672FD70DACB78.edm" hidden="1">#REF!</definedName>
    <definedName name="_bdm.475844AEC35A11D6B6A80010A4860669.edm" hidden="1">#REF!</definedName>
    <definedName name="_bdm.4DC3AE1E0F744F5D9EF18EA21D885678.edm" hidden="1">#REF!</definedName>
    <definedName name="_bdm.50553AD1FFFB441A8C7A349481F9E45E.edm" hidden="1">#REF!</definedName>
    <definedName name="_bdm.5899DA80924A4C1182E5C7D6095DD314.edm" hidden="1">#REF!</definedName>
    <definedName name="_bdm.5AF8C68B1B4D4725A2EF100AD746D415.edm" hidden="1">#REF!</definedName>
    <definedName name="_bdm.5C6D0D9D93BD4742A18A5B8A51E9F99E.edm" hidden="1">#REF!</definedName>
    <definedName name="_bdm.5D8D55B204CB487ABFE89E021F786C24.edm" hidden="1">#REF!</definedName>
    <definedName name="_bdm.60347E02768C4A9898B4F9F8E4487C68.edm" hidden="1">#REF!</definedName>
    <definedName name="_bdm.635BC897BE9843D6A2C05F29B3D114D3.edm" hidden="1">#REF!</definedName>
    <definedName name="_bdm.680534A8CE05489CAF305B50B8D9395C.edm" hidden="1">#REF!</definedName>
    <definedName name="_bdm.68C63F4515314BF89862B5A20C1BD7F8.edm" hidden="1">#REF!</definedName>
    <definedName name="_bdm.6B742AA8359447F69C5B75F7CCB6E3B6.edm" hidden="1">#REF!</definedName>
    <definedName name="_bdm.6F44DF6EBF3D4432A71DF03D4DA26537.edm" hidden="1">#REF!</definedName>
    <definedName name="_bdm.716F6C2637BC4ACB8424715CBA3C945C.edm" hidden="1">#REF!</definedName>
    <definedName name="_bdm.726808AF6ACB495FA1B21036DFA75F1F.edm" hidden="1">#REF!</definedName>
    <definedName name="_bdm.75AEB8ED3BB74DDAAF13881E19CF0474.edm" hidden="1">#REF!</definedName>
    <definedName name="_bdm.76CB26C38BD6425B8EF13D4F9F050D8C.edm" hidden="1">#REF!</definedName>
    <definedName name="_bdm.77CA350A03D2489DBB902CDB2CC7E9F3.edm" hidden="1">#REF!</definedName>
    <definedName name="_bdm.77E3DB1B6A6448A88B71EC33708EDC78.edm" hidden="1">#REF!</definedName>
    <definedName name="_bdm.78B77DCD689A43EC883A79537C2E8408.edm" hidden="1">#REF!</definedName>
    <definedName name="_bdm.79B2F1DABFD2444F88AF3F7C813E64E3.edm" hidden="1">#REF!</definedName>
    <definedName name="_bdm.7BF116DE38A64470B4E18265DDE92DC0.edm" hidden="1">#REF!</definedName>
    <definedName name="_bdm.7C94300BA80D11D6B6520010A48BFF38.edm" hidden="1">#REF!</definedName>
    <definedName name="_bdm.803667C105C14884B5A6CB9298713468.edm" hidden="1">#REF!</definedName>
    <definedName name="_bdm.983AC8FF6A984882AED2CBB174642E2F.edm" hidden="1">#REF!</definedName>
    <definedName name="_bdm.98509675FE304640BD0099E41768A4DB.edm" hidden="1">#REF!</definedName>
    <definedName name="_bdm.98A6FF5E6E104127A4B3CE93863956AF.edm" hidden="1">#REF!</definedName>
    <definedName name="_bdm.9B27B749CAE34269875494A45E4DFC70.edm" hidden="1">#REF!</definedName>
    <definedName name="_bdm.9B27B749CAE34269875494A45EADFC70" hidden="1">#REF!</definedName>
    <definedName name="_bdm.9ECB63A12E9F4B9C88C18E0F4ACCFD11.edm" hidden="1">#REF!</definedName>
    <definedName name="_bdm.9F431FF176694D088241118CB30B26D3.edm" hidden="1">#REF!</definedName>
    <definedName name="_bdm.A00643E6A705476084A5F584F5934ED2.edm" hidden="1">#REF!</definedName>
    <definedName name="_bdm.A5079CC3AD6E11D6B69B0010A4860669.edm" hidden="1">#REF!</definedName>
    <definedName name="_bdm.A5ACD67A37814D1AB59C856D8B6F2DF0.edm" hidden="1">#REF!</definedName>
    <definedName name="_bdm.A835AB8BC6DC49ACA93174F81142BACB.edm" hidden="1">#REF!</definedName>
    <definedName name="_bdm.A9433F36D27E42998843D0702B3398CD.edm" hidden="1">#REF!</definedName>
    <definedName name="_bdm.AF693671E782498D8F89712C7C82178C.edm" hidden="1">#REF!</definedName>
    <definedName name="_bdm.B7DFBD22485E47999D366578A653E092.edm" hidden="1">#REF!</definedName>
    <definedName name="_bdm.B7DFBD22485E47999D366578A653E092.edm1" hidden="1">#REF!</definedName>
    <definedName name="_bdm.B91BF0A48D364AFE9B706DF758CA7B5B.edm" hidden="1">#REF!</definedName>
    <definedName name="_bdm.BA759280F5E749B5B422ACEA85F12DF4.edm" hidden="1">#REF!</definedName>
    <definedName name="_bdm.BD31A80AEEEA484CB8BF6204D87FC893.edm" hidden="1">#REF!</definedName>
    <definedName name="_bdm.C0D40696085E49099831902D538DE4D4.edm" hidden="1">#REF!</definedName>
    <definedName name="_bdm.C194714595F14520AA52E6501AEC9C62.edm" hidden="1">#REF!</definedName>
    <definedName name="_bdm.C3E13177535448438E150830D06FAD0D.edm" hidden="1">#REF!</definedName>
    <definedName name="_bdm.C63F07B43E9043C3A41505423865A163.edm" hidden="1">#REF!</definedName>
    <definedName name="_bdm.C7B3922953C6426985C1620C7A3C7EDA.edm" hidden="1">#REF!</definedName>
    <definedName name="_bdm.C9958E9530ED4CCDAC70379EF0987E45.edm" hidden="1">#REF!</definedName>
    <definedName name="_bdm.CF26F181CFB149089A150B6E9984E88F.edm" hidden="1">#REF!</definedName>
    <definedName name="_bdm.D43A6B2A947B4EA9A42335B05D28E8EB.edm" hidden="1">#REF!</definedName>
    <definedName name="_bdm.D5FAA374367241959C322560ED7F8A37.edm" hidden="1">#REF!</definedName>
    <definedName name="_bdm.DA40FBE9A21F45CAAF44C89D86D767E0.edm" hidden="1">#REF!</definedName>
    <definedName name="_bdm.DBB48143F45048CCBFD4DA6394DBE336.edm" hidden="1">#REF!</definedName>
    <definedName name="_bdm.E64AAE0B73294C9096BD67FA1B1DBAC2.edm" hidden="1">#REF!</definedName>
    <definedName name="_bdm.E759967588A5442C9B723120C8E73070.edm" hidden="1">#REF!</definedName>
    <definedName name="_bdm.E8E49C6DF7BD45AE9D28FA42F05764BF.edm" hidden="1">#REF!</definedName>
    <definedName name="_bdm.EB0EF95B174A4E97A3C7A9BFB7916D88.edm" hidden="1">#REF!</definedName>
    <definedName name="_bdm.EE441CC69CEF4660810C0AB76C9F170F.edm" hidden="1">#REF!</definedName>
    <definedName name="_bdm.F0C4D0A06132474297172E66F1E293D3.edm" hidden="1">#REF!</definedName>
    <definedName name="_bdm.F16CDE695B5146908E78CDD9F5E25F2C.edm" hidden="1">#REF!</definedName>
    <definedName name="_bdm.FA5944A4D7D644CA8283449B5AE2024F.edm" hidden="1">#REF!</definedName>
    <definedName name="_bdm.FB06355068A6473E8BFD84F095498EEF.edm" hidden="1">#REF!</definedName>
    <definedName name="_bm" hidden="1">#REF!</definedName>
    <definedName name="_eds2" hidden="1">{"TOP",#N/A,TRUE,"TRIPLE OPTION EXPERIENCE";"actives",#N/A,TRUE,"TRIPLE OPTION EXPERIENCE";"experience",#N/A,TRUE,"TRIPLE OPTION EXPERIENCE";"Outacomp",#N/A,TRUE,"FEE FOR SERVICE EXPERIENCE ";"Outacomp",#N/A,TRUE,"FEE FOR SERVICE EXPERIENCE ";"Outret",#N/A,TRUE,"FEE FOR SERVICE EXPERIENCE ";"Outact",#N/A,TRUE,"FEE FOR SERVICE EXPERIENCE ";"OutRcomp",#N/A,TRUE,"FEE FOR SERVICE EXPERIENCE ";"Outact",#N/A,TRUE,"FEE FOR SERVICE EXPERIENCE ";"OutRcomp",#N/A,TRUE,"FEE FOR SERVICE EXPERIENCE ";"Outret",#N/A,TRUE,"FEE FOR SERVICE EXPERIENCE ";"actives",#N/A,TRUE,"TRIPLE OPTION EXPERIENCE";"TOP",#N/A,TRUE,"TRIPLE OPTION EXPERIENCE"}</definedName>
    <definedName name="_EPS01">#REF!</definedName>
    <definedName name="_EPS02">#REF!</definedName>
    <definedName name="_EPS1">#REF!</definedName>
    <definedName name="_EPS2">#REF!</definedName>
    <definedName name="_EPS3">#REF!</definedName>
    <definedName name="_EPS99">#REF!</definedName>
    <definedName name="_exp2">#REF!</definedName>
    <definedName name="_Fill" hidden="1">#REF!</definedName>
    <definedName name="_fkjsgf" hidden="1">#REF!</definedName>
    <definedName name="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I2" hidden="1">{"PVGraph2",#N/A,FALSE,"PV Data"}</definedName>
    <definedName name="_I3" hidden="1">{"PVGraph2",#N/A,FALSE,"PV Data"}</definedName>
    <definedName name="_ibo2" hidden="1">{#N/A,#N/A,FALSE,"Summary";#N/A,#N/A,FALSE,"Projections";#N/A,#N/A,FALSE,"Mkt Mults";#N/A,#N/A,FALSE,"DCF";#N/A,#N/A,FALSE,"Accr Dil";#N/A,#N/A,FALSE,"PIC LBO";#N/A,#N/A,FALSE,"MULT10_4";#N/A,#N/A,FALSE,"CBI LBO"}</definedName>
    <definedName name="_Key1" hidden="1">#REF!</definedName>
    <definedName name="_Key1b" hidden="1">#REF!</definedName>
    <definedName name="_Key2" hidden="1">#REF!</definedName>
    <definedName name="_key3" hidden="1">#REF!</definedName>
    <definedName name="_key4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lev2">#REF!</definedName>
    <definedName name="_Low1">#REF!</definedName>
    <definedName name="_Low2">#REF!</definedName>
    <definedName name="_Low3">#REF!</definedName>
    <definedName name="_Low4">#REF!</definedName>
    <definedName name="_Low5">#REF!</definedName>
    <definedName name="_Low6">#REF!</definedName>
    <definedName name="_Low7">#REF!</definedName>
    <definedName name="_Low8">#REF!</definedName>
    <definedName name="_Low9">#REF!</definedName>
    <definedName name="_mu2">#REF!</definedName>
    <definedName name="_MUM1" hidden="1">#REF!</definedName>
    <definedName name="_MUM10" hidden="1">#REF!</definedName>
    <definedName name="_MUM11" hidden="1">#REF!</definedName>
    <definedName name="_MUM12" hidden="1">#REF!</definedName>
    <definedName name="_MUM13" hidden="1">#REF!</definedName>
    <definedName name="_MUM14" hidden="1">#REF!</definedName>
    <definedName name="_MUM15" hidden="1">#REF!</definedName>
    <definedName name="_MUM16" hidden="1">#REF!</definedName>
    <definedName name="_MUM17" hidden="1">#REF!</definedName>
    <definedName name="_MUM18" hidden="1">#REF!</definedName>
    <definedName name="_MUM19" hidden="1">#REF!</definedName>
    <definedName name="_MUM2" hidden="1">#REF!</definedName>
    <definedName name="_MUM20" hidden="1">#REF!</definedName>
    <definedName name="_MUM21" hidden="1">#REF!</definedName>
    <definedName name="_MUM22" hidden="1">#REF!</definedName>
    <definedName name="_MUM23" hidden="1">#REF!</definedName>
    <definedName name="_MUM24" hidden="1">#REF!</definedName>
    <definedName name="_MUM25" hidden="1">#REF!</definedName>
    <definedName name="_MUM26" hidden="1">#REF!</definedName>
    <definedName name="_MUM27" hidden="1">#REF!</definedName>
    <definedName name="_MUM28" hidden="1">#REF!</definedName>
    <definedName name="_MUM29" hidden="1">#REF!</definedName>
    <definedName name="_MUM3" hidden="1">#REF!</definedName>
    <definedName name="_MUM30" hidden="1">#REF!</definedName>
    <definedName name="_MUM31" hidden="1">#REF!</definedName>
    <definedName name="_MUM32" hidden="1">#REF!</definedName>
    <definedName name="_MUM4" hidden="1">#REF!</definedName>
    <definedName name="_MUM5" hidden="1">#REF!</definedName>
    <definedName name="_MUM6" hidden="1">#REF!</definedName>
    <definedName name="_MUM7" hidden="1">#REF!</definedName>
    <definedName name="_MUM8" hidden="1">#REF!</definedName>
    <definedName name="_MUM9" hidden="1">#REF!</definedName>
    <definedName name="_new2" hidden="1">{"COM1996",#N/A,FALSE,"ANNUAL COMMISSIONS";"COM1997",#N/A,FALSE,"ANNUAL COMMISSIONS"}</definedName>
    <definedName name="_new3" hidden="1">{"COM1996",#N/A,FALSE,"ANNUAL COMMISSIONS";"COM1997",#N/A,FALSE,"ANNUAL COMMISSIONS"}</definedName>
    <definedName name="_nv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Order1" hidden="1">255</definedName>
    <definedName name="_Order1a" hidden="1">0</definedName>
    <definedName name="_Order2" hidden="1">255</definedName>
    <definedName name="_P00comps1" hidden="1">#REF!</definedName>
    <definedName name="_P00comps2" hidden="1">#REF!</definedName>
    <definedName name="_PE1">#REF!</definedName>
    <definedName name="_PE2">#REF!</definedName>
    <definedName name="_PE3">#REF!</definedName>
    <definedName name="_PFY1">#REF!</definedName>
    <definedName name="_PFY2">#REF!</definedName>
    <definedName name="_PFY3">#REF!</definedName>
    <definedName name="_PFY4">#REF!</definedName>
    <definedName name="_pr2">#REF!</definedName>
    <definedName name="_QTD1" hidden="1">{"Nil","Nil",FALSE,"Detail P&amp;L-M";"Nil","Nil",FALSE,"Dep &amp; Amort-M";"Nil","Nil",FALSE,"Equity-M";"Nil","Nil",FALSE,"Debt &amp; Cash Flow-M";"Nil","Nil",FALSE,"Interest-M"}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od1" hidden="1">{#N/A,#N/A,FALSE,"Projections";#N/A,#N/A,FALSE,"Multiples Valuation";#N/A,#N/A,FALSE,"LBO";#N/A,#N/A,FALSE,"Multiples_Sensitivity";#N/A,#N/A,FALSE,"Summary"}</definedName>
    <definedName name="_s1" hidden="1">#REF!</definedName>
    <definedName name="_s2" hidden="1">#REF!</definedName>
    <definedName name="_s3" hidden="1">#REF!</definedName>
    <definedName name="_s4" hidden="1">#REF!</definedName>
    <definedName name="_s5" hidden="1">#REF!</definedName>
    <definedName name="_s6" hidden="1">#REF!</definedName>
    <definedName name="_SDU2" hidden="1">{#N/A,#N/A,FALSE,"Aging Summary";#N/A,#N/A,FALSE,"Ratio Analysis";#N/A,#N/A,FALSE,"Test 120 Day Accts";#N/A,#N/A,FALSE,"Tickmarks"}</definedName>
    <definedName name="_Sort" hidden="1">#REF!</definedName>
    <definedName name="_Sortb" hidden="1">#REF!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TAB1">#REF!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able3_Out" hidden="1">#REF!</definedName>
    <definedName name="_w1" hidden="1">{"PVGraph2",#N/A,FALSE,"PV Data"}</definedName>
    <definedName name="_w2" hidden="1">{"PVGraph2",#N/A,FALSE,"PV Data"}</definedName>
    <definedName name="_w3" hidden="1">{"PVGraph2",#N/A,FALSE,"PV Data"}</definedName>
    <definedName name="_wr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x1" hidden="1">{#N/A,#N/A,FALSE,"FY97";#N/A,#N/A,FALSE,"FY98";#N/A,#N/A,FALSE,"FY99";#N/A,#N/A,FALSE,"FY00";#N/A,#N/A,FALSE,"FY01"}</definedName>
    <definedName name="_y2" hidden="1">{"PVGraph2",#N/A,FALSE,"PV Data"}</definedName>
    <definedName name="_Yr1">#REF!</definedName>
    <definedName name="_Yr2">#REF!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a" hidden="1">{#N/A,#N/A,FALSE,"Projections";#N/A,#N/A,FALSE,"Multiples Valuation";#N/A,#N/A,FALSE,"LBO";#N/A,#N/A,FALSE,"Multiples_Sensitivity";#N/A,#N/A,FALSE,"Summary"}</definedName>
    <definedName name="aa" hidden="1">{#N/A,#N/A,FALSE,"Projections";#N/A,#N/A,FALSE,"Multiples Valuation";#N/A,#N/A,FALSE,"LBO";#N/A,#N/A,FALSE,"Multiples_Sensitivity";#N/A,#N/A,FALSE,"Summary"}</definedName>
    <definedName name="aaa" hidden="1">{#N/A,#N/A,FALSE,"Projections";#N/A,#N/A,FALSE,"Multiples Valuation";#N/A,#N/A,FALSE,"LBO";#N/A,#N/A,FALSE,"Multiples_Sensitivity";#N/A,#N/A,FALSE,"Summary"}</definedName>
    <definedName name="AAA_DOCTOPS" hidden="1">"AAA_SET"</definedName>
    <definedName name="AAA_duser" hidden="1">"OFF"</definedName>
    <definedName name="aaaa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aaaaaa" hidden="1">{"Outflow 1",#N/A,FALSE,"Outflows-Inflows";"Outflow 2",#N/A,FALSE,"Outflows-Inflows";"Inflow 1",#N/A,FALSE,"Outflows-Inflows";"Inflow 2",#N/A,FALSE,"Outflows-Inflows"}</definedName>
    <definedName name="aaaafff">#REF!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bb" hidden="1">{#N/A,#N/A,FALSE,"Projections";#N/A,#N/A,FALSE,"Multiples Valuation";#N/A,#N/A,FALSE,"LBO";#N/A,#N/A,FALSE,"Multiples_Sensitivity";#N/A,#N/A,FALSE,"Summary"}</definedName>
    <definedName name="aas" hidden="1">"c4426"</definedName>
    <definedName name="aasd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fa" hidden="1">{"rtn",#N/A,FALSE,"RTN";"tables",#N/A,FALSE,"RTN";"cf",#N/A,FALSE,"CF";"stats",#N/A,FALSE,"Stats";"prop",#N/A,FALSE,"Prop"}</definedName>
    <definedName name="abb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abc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ab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AccessDatabase" hidden="1">"C:\DATA\Kevin\Kevin's Model.mdb"</definedName>
    <definedName name="AccPay">#REF!</definedName>
    <definedName name="AccRec">#REF!</definedName>
    <definedName name="ACCRETE">#REF!</definedName>
    <definedName name="Acq">#REF!</definedName>
    <definedName name="AcqNum">#REF!</definedName>
    <definedName name="AcqTrig">#REF!</definedName>
    <definedName name="Acquirors">#REF!</definedName>
    <definedName name="Adam_capitation_amt_curr" hidden="1">#REF!</definedName>
    <definedName name="Adam_capitation_amt_prior" hidden="1">#REF!</definedName>
    <definedName name="Adam_premium_amt_curr" hidden="1">#REF!</definedName>
    <definedName name="Adam_premium_amt_prior" hidden="1">#REF!</definedName>
    <definedName name="ad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adf_act_emp_fund_paid_curr" hidden="1">#REF!</definedName>
    <definedName name="adf_act_emp_fund_paid_prior" hidden="1">#REF!</definedName>
    <definedName name="adf_act_emp_plus_1_fund_paid_curr" hidden="1">#REF!</definedName>
    <definedName name="adf_act_emp_plus_1_fund_paid_prior" hidden="1">#REF!</definedName>
    <definedName name="adf_act_emp_plus_2_fund_paid_curr" hidden="1">#REF!</definedName>
    <definedName name="adf_act_emp_plus_2_fund_paid_prior" hidden="1">#REF!</definedName>
    <definedName name="adf_act_emp_plus_fam_fund_paid_curr" hidden="1">#REF!</definedName>
    <definedName name="adf_act_emp_plus_fam_fund_paid_prior" hidden="1">#REF!</definedName>
    <definedName name="adf_act_total_fund_paid_curr" hidden="1">#REF!</definedName>
    <definedName name="adf_act_total_fund_paid_prior" hidden="1">#REF!</definedName>
    <definedName name="ADF_Activity_By_Tier_Range" hidden="1">#REF!</definedName>
    <definedName name="ADF_Activity_Detail_Range" hidden="1">#REF!</definedName>
    <definedName name="ADF_Fund_Report_Range" hidden="1">#REF!</definedName>
    <definedName name="adf_term_emp_fund_paid_curr" hidden="1">#REF!</definedName>
    <definedName name="adf_term_emp_fund_paid_prior" hidden="1">#REF!</definedName>
    <definedName name="adf_term_emp_plus_1_fund_paid_curr" hidden="1">#REF!</definedName>
    <definedName name="adf_term_emp_plus_1_fund_paid_prior" hidden="1">#REF!</definedName>
    <definedName name="adf_term_emp_plus_2_fund_paid_curr" hidden="1">#REF!</definedName>
    <definedName name="adf_term_emp_plus_2_fund_paid_prior" hidden="1">#REF!</definedName>
    <definedName name="adf_term_emp_plus_fam_fund_paid_curr" hidden="1">#REF!</definedName>
    <definedName name="adf_term_emp_plus_fam_fund_paid_prior" hidden="1">#REF!</definedName>
    <definedName name="adf_term_total_fund_paid_curr" hidden="1">#REF!</definedName>
    <definedName name="adf_term_total_fund_paid_prior" hidden="1">#REF!</definedName>
    <definedName name="adf_termed_tier1_active_employee_curr" hidden="1">#REF!</definedName>
    <definedName name="adf_termed_tier1_cr_claim_paid_with_cr_funds_curr" hidden="1">#REF!</definedName>
    <definedName name="adf_termed_tier1_cr_clm_paid_with_rollover_funds_curr" hidden="1">#REF!</definedName>
    <definedName name="adf_termed_tier1_cr_fund_remaining_curr" hidden="1">#REF!</definedName>
    <definedName name="adf_termed_tier1_cr_year_initial_fund_curr" hidden="1">#REF!</definedName>
    <definedName name="adf_termed_tier1_emp_0_spend_curr" hidden="1">#REF!</definedName>
    <definedName name="adf_termed_tier1_emp_100_spend_curr" hidden="1">#REF!</definedName>
    <definedName name="adf_termed_tier1_emp_24_1_spend_curr" hidden="1">#REF!</definedName>
    <definedName name="adf_termed_tier1_emp_49_25_spend_curr" hidden="1">#REF!</definedName>
    <definedName name="adf_termed_tier1_emp_74_50_spend_curr" hidden="1">#REF!</definedName>
    <definedName name="adf_termed_tier1_emp_99_75_spend_curr" hidden="1">#REF!</definedName>
    <definedName name="adf_termed_tier1_Incentive_fund_earned_curr" hidden="1">#REF!</definedName>
    <definedName name="adf_termed_tier1_rollover_fund_remaining_curr" hidden="1">#REF!</definedName>
    <definedName name="adf_termed_tier1_rollover_pr_year_curr" hidden="1">#REF!</definedName>
    <definedName name="adf_termed_tier1_tot_fund_available_curr" hidden="1">#REF!</definedName>
    <definedName name="adf_termed_tier2_active_employee_curr" hidden="1">#REF!</definedName>
    <definedName name="adf_termed_tier2_cr_claim_paid_with_cr_funds_curr" hidden="1">#REF!</definedName>
    <definedName name="adf_termed_tier2_cr_clm_paid_with_rollover_funds_curr" hidden="1">#REF!</definedName>
    <definedName name="adf_termed_tier2_cr_fund_remaining_curr" hidden="1">#REF!</definedName>
    <definedName name="adf_termed_tier2_cr_year_initial_fund_curr" hidden="1">#REF!</definedName>
    <definedName name="adf_termed_tier2_emp_0_spend_curr" hidden="1">#REF!</definedName>
    <definedName name="adf_termed_tier2_emp_100_spend_curr" hidden="1">#REF!</definedName>
    <definedName name="adf_termed_tier2_emp_24_1_spend_curr" hidden="1">#REF!</definedName>
    <definedName name="adf_termed_tier2_emp_49_25_spend_curr" hidden="1">#REF!</definedName>
    <definedName name="adf_termed_tier2_emp_74_50_spend_curr" hidden="1">#REF!</definedName>
    <definedName name="adf_termed_tier2_emp_99_75_spend_curr" hidden="1">#REF!</definedName>
    <definedName name="adf_termed_tier2_Incentive_fund_earned_curr" hidden="1">#REF!</definedName>
    <definedName name="adf_termed_tier2_rollover_fund_remaining_curr" hidden="1">#REF!</definedName>
    <definedName name="adf_termed_tier2_rollover_pr_year_curr" hidden="1">#REF!</definedName>
    <definedName name="adf_termed_tier2_tot_fund_available_curr" hidden="1">#REF!</definedName>
    <definedName name="adf_termed_tier3_active_employee_curr" hidden="1">#REF!</definedName>
    <definedName name="adf_termed_tier3_cr_claim_paid_with_cr_funds_curr" hidden="1">#REF!</definedName>
    <definedName name="adf_termed_tier3_cr_clm_paid_with_rollover_funds_curr" hidden="1">#REF!</definedName>
    <definedName name="adf_termed_tier3_cr_fund_remaining_curr" hidden="1">#REF!</definedName>
    <definedName name="adf_termed_tier3_cr_year_initial_fund_curr" hidden="1">#REF!</definedName>
    <definedName name="adf_termed_tier3_emp_0_spend_curr" hidden="1">#REF!</definedName>
    <definedName name="adf_termed_tier3_emp_100_spend_curr" hidden="1">#REF!</definedName>
    <definedName name="adf_termed_tier3_emp_24_1_spend_curr" hidden="1">#REF!</definedName>
    <definedName name="adf_termed_tier3_emp_49_25_spend_curr" hidden="1">#REF!</definedName>
    <definedName name="adf_termed_tier3_emp_74_50_spend_curr" hidden="1">#REF!</definedName>
    <definedName name="adf_termed_tier3_emp_99_75_spend_curr" hidden="1">#REF!</definedName>
    <definedName name="adf_termed_tier3_Incentive_fund_earned_curr" hidden="1">#REF!</definedName>
    <definedName name="adf_termed_tier3_rollover_fund_remaining_curr" hidden="1">#REF!</definedName>
    <definedName name="adf_termed_tier3_rollover_pr_year_curr" hidden="1">#REF!</definedName>
    <definedName name="adf_termed_tier3_tot_fund_available_curr" hidden="1">#REF!</definedName>
    <definedName name="adf_termed_tier4_active_employee_curr" hidden="1">#REF!</definedName>
    <definedName name="adf_termed_tier4_cr_claim_paid_with_cr_funds_curr" hidden="1">#REF!</definedName>
    <definedName name="adf_termed_tier4_cr_clm_paid_with_rollover_funds_curr" hidden="1">#REF!</definedName>
    <definedName name="adf_termed_tier4_cr_fund_remaining_curr" hidden="1">#REF!</definedName>
    <definedName name="adf_termed_tier4_cr_year_initial_fund_curr" hidden="1">#REF!</definedName>
    <definedName name="adf_termed_tier4_emp_0_spend_curr" hidden="1">#REF!</definedName>
    <definedName name="adf_termed_tier4_emp_100_spend_curr" hidden="1">#REF!</definedName>
    <definedName name="adf_termed_tier4_emp_24_1_spend_curr" hidden="1">#REF!</definedName>
    <definedName name="adf_termed_tier4_emp_49_25_spend_curr" hidden="1">#REF!</definedName>
    <definedName name="adf_termed_tier4_emp_74_50_spend_curr" hidden="1">#REF!</definedName>
    <definedName name="adf_termed_tier4_emp_99_75_spend_curr" hidden="1">#REF!</definedName>
    <definedName name="adf_termed_tier4_Incentive_fund_earned_curr" hidden="1">#REF!</definedName>
    <definedName name="adf_termed_tier4_rollover_fund_remaining_curr" hidden="1">#REF!</definedName>
    <definedName name="adf_termed_tier4_rollover_pr_year_curr" hidden="1">#REF!</definedName>
    <definedName name="adf_termed_tier4_tot_fund_available_curr" hidden="1">#REF!</definedName>
    <definedName name="adf_tier1_active_employee_curr" hidden="1">#REF!</definedName>
    <definedName name="adf_tier1_cr_claim_paid_with_cr_funds_curr" hidden="1">#REF!</definedName>
    <definedName name="adf_tier1_cr_clm_paid_with_rollover_funds_curr" hidden="1">#REF!</definedName>
    <definedName name="adf_tier1_cr_fund_remaining_curr" hidden="1">#REF!</definedName>
    <definedName name="adf_tier1_cr_year_initial_fund_curr" hidden="1">#REF!</definedName>
    <definedName name="adf_tier1_emp_0_spend_curr" hidden="1">#REF!</definedName>
    <definedName name="adf_tier1_emp_100_spend_curr" hidden="1">#REF!</definedName>
    <definedName name="adf_tier1_emp_24_1_spend_curr" hidden="1">#REF!</definedName>
    <definedName name="adf_tier1_emp_49_25_spend_curr" hidden="1">#REF!</definedName>
    <definedName name="adf_tier1_emp_74_50_spend_curr" hidden="1">#REF!</definedName>
    <definedName name="adf_tier1_emp_99_75_spend_curr" hidden="1">#REF!</definedName>
    <definedName name="adf_tier1_Incentive_fund_earned_curr" hidden="1">#REF!</definedName>
    <definedName name="adf_tier1_rollover_fund_remaining_curr" hidden="1">#REF!</definedName>
    <definedName name="adf_tier1_rollover_pr_year_curr" hidden="1">#REF!</definedName>
    <definedName name="adf_tier1_tot_fund_available_curr" hidden="1">#REF!</definedName>
    <definedName name="adf_tier2_active_employee_curr" hidden="1">#REF!</definedName>
    <definedName name="adf_tier2_cr_claim_paid_with_cr_funds_curr" hidden="1">#REF!</definedName>
    <definedName name="adf_tier2_cr_clm_paid_with_rollover_funds_curr" hidden="1">#REF!</definedName>
    <definedName name="adf_tier2_cr_fund_remaining_curr" hidden="1">#REF!</definedName>
    <definedName name="adf_tier2_cr_year_initial_fund_curr" hidden="1">#REF!</definedName>
    <definedName name="adf_tier2_emp_0_spend_curr" hidden="1">#REF!</definedName>
    <definedName name="adf_tier2_emp_100_spend_curr" hidden="1">#REF!</definedName>
    <definedName name="adf_tier2_emp_24_1_spend_curr" hidden="1">#REF!</definedName>
    <definedName name="adf_tier2_emp_49_25_spend_curr" hidden="1">#REF!</definedName>
    <definedName name="adf_tier2_emp_74_50_spend_curr" hidden="1">#REF!</definedName>
    <definedName name="adf_tier2_emp_99_75_spend_curr" hidden="1">#REF!</definedName>
    <definedName name="adf_tier2_Incentive_fund_earned_curr" hidden="1">#REF!</definedName>
    <definedName name="adf_tier2_rollover_fund_remaining_curr" hidden="1">#REF!</definedName>
    <definedName name="adf_tier2_rollover_pr_year_curr" hidden="1">#REF!</definedName>
    <definedName name="adf_tier2_tot_fund_available_curr" hidden="1">#REF!</definedName>
    <definedName name="adf_tier3_active_employee_curr" hidden="1">#REF!</definedName>
    <definedName name="adf_tier3_cr_claim_paid_with_cr_funds_curr" hidden="1">#REF!</definedName>
    <definedName name="adf_tier3_cr_clm_paid_with_rollover_funds_curr" hidden="1">#REF!</definedName>
    <definedName name="adf_tier3_cr_fund_remaining_curr" hidden="1">#REF!</definedName>
    <definedName name="adf_tier3_cr_year_initial_fund_curr" hidden="1">#REF!</definedName>
    <definedName name="adf_tier3_emp_0_spend_curr" hidden="1">#REF!</definedName>
    <definedName name="adf_tier3_emp_100_spend_curr" hidden="1">#REF!</definedName>
    <definedName name="adf_tier3_emp_24_1_spend_curr" hidden="1">#REF!</definedName>
    <definedName name="adf_tier3_emp_49_25_spend_curr" hidden="1">#REF!</definedName>
    <definedName name="adf_tier3_emp_74_50_spend_curr" hidden="1">#REF!</definedName>
    <definedName name="adf_tier3_emp_99_75_spend_curr" hidden="1">#REF!</definedName>
    <definedName name="adf_tier3_Incentive_fund_earned_curr" hidden="1">#REF!</definedName>
    <definedName name="adf_tier3_rollover_fund_remaining_curr" hidden="1">#REF!</definedName>
    <definedName name="adf_tier3_rollover_pr_year_curr" hidden="1">#REF!</definedName>
    <definedName name="adf_tier3_tot_fund_available_curr" hidden="1">#REF!</definedName>
    <definedName name="adf_tier4_active_employee_curr" hidden="1">#REF!</definedName>
    <definedName name="adf_tier4_cr_claim_paid_with_cr_funds_curr" hidden="1">#REF!</definedName>
    <definedName name="adf_tier4_cr_clm_paid_with_rollover_funds_curr" hidden="1">#REF!</definedName>
    <definedName name="adf_tier4_cr_fund_remaining_curr" hidden="1">#REF!</definedName>
    <definedName name="adf_tier4_cr_year_initial_fund_curr" hidden="1">#REF!</definedName>
    <definedName name="adf_tier4_emp_0_spend_curr" hidden="1">#REF!</definedName>
    <definedName name="adf_tier4_emp_100_spend_curr" hidden="1">#REF!</definedName>
    <definedName name="adf_tier4_emp_24_1_spend_curr" hidden="1">#REF!</definedName>
    <definedName name="adf_tier4_emp_49_25_spend_curr" hidden="1">#REF!</definedName>
    <definedName name="adf_tier4_emp_74_50_spend_curr" hidden="1">#REF!</definedName>
    <definedName name="adf_tier4_emp_99_75_spend_curr" hidden="1">#REF!</definedName>
    <definedName name="adf_tier4_Incentive_fund_earned_curr" hidden="1">#REF!</definedName>
    <definedName name="adf_tier4_rollover_fund_remaining_curr" hidden="1">#REF!</definedName>
    <definedName name="adf_tier4_rollover_pr_year_curr" hidden="1">#REF!</definedName>
    <definedName name="adf_tier4_tot_fund_available_curr" hidden="1">#REF!</definedName>
    <definedName name="adf_total_active_employee_curr" hidden="1">#REF!</definedName>
    <definedName name="adf_total_cr_claim_paid_with_cr_funds_curr" hidden="1">#REF!</definedName>
    <definedName name="adf_total_cr_clm_paid_with_rollover_funds_curr" hidden="1">#REF!</definedName>
    <definedName name="adf_total_cr_fund_remaining_curr" hidden="1">#REF!</definedName>
    <definedName name="adf_total_cr_year_initial_fund_curr" hidden="1">#REF!</definedName>
    <definedName name="adf_total_emp_0_spend_curr" hidden="1">#REF!</definedName>
    <definedName name="adf_total_emp_100_spend_curr" hidden="1">#REF!</definedName>
    <definedName name="adf_total_emp_24_1_spend_curr" hidden="1">#REF!</definedName>
    <definedName name="adf_total_emp_49_25_spend_curr" hidden="1">#REF!</definedName>
    <definedName name="adf_total_emp_74_50_spend_curr" hidden="1">#REF!</definedName>
    <definedName name="adf_total_emp_99_75_spend_curr" hidden="1">#REF!</definedName>
    <definedName name="adf_total_Incentive_fund_earned_curr" hidden="1">#REF!</definedName>
    <definedName name="adf_total_rollover_fund_remaining_curr" hidden="1">#REF!</definedName>
    <definedName name="adf_total_rollover_pr_year_curr" hidden="1">#REF!</definedName>
    <definedName name="adf_total_termd_active_employee_curr" hidden="1">#REF!</definedName>
    <definedName name="adf_total_termd_cr_claim_paid_with_cr_funds_curr" hidden="1">#REF!</definedName>
    <definedName name="adf_total_termd_cr_clm_paid_with_rollover_funds_curr" hidden="1">#REF!</definedName>
    <definedName name="adf_total_termd_cr_fund_remaining_curr" hidden="1">#REF!</definedName>
    <definedName name="adf_total_termd_cr_year_initial_fund_curr" hidden="1">#REF!</definedName>
    <definedName name="adf_total_termd_emp_0_spend_curr" hidden="1">#REF!</definedName>
    <definedName name="adf_total_termd_emp_100_spend_curr" hidden="1">#REF!</definedName>
    <definedName name="adf_total_termd_emp_24_1_spend_curr" hidden="1">#REF!</definedName>
    <definedName name="adf_total_termd_emp_49_25_spend_curr" hidden="1">#REF!</definedName>
    <definedName name="adf_total_termd_emp_74_50_spend_curr" hidden="1">#REF!</definedName>
    <definedName name="adf_total_termd_emp_99_75_spend_curr" hidden="1">#REF!</definedName>
    <definedName name="adf_total_termd_Incentive_fund_earned_curr" hidden="1">#REF!</definedName>
    <definedName name="adf_total_termd_rollover_fund_remaining_curr" hidden="1">#REF!</definedName>
    <definedName name="adf_total_termd_rollover_pr_year_curr" hidden="1">#REF!</definedName>
    <definedName name="adf_total_termd_tot_fund_available_curr" hidden="1">#REF!</definedName>
    <definedName name="adf_total_tot_fund_available_curr" hidden="1">#REF!</definedName>
    <definedName name="AdjTaxes">#REF!</definedName>
    <definedName name="ADLTM">#REF!</definedName>
    <definedName name="ads" hidden="1">{#N/A,#N/A,FALSE,"AD_Purch";#N/A,#N/A,FALSE,"Projections";#N/A,#N/A,FALSE,"DCF";#N/A,#N/A,FALSE,"Mkt Val"}</definedName>
    <definedName name="adsf" hidden="1">{#N/A,#N/A,FALSE,"AD_Purch";#N/A,#N/A,FALSE,"Projections";#N/A,#N/A,FALSE,"DCF";#N/A,#N/A,FALSE,"Mkt Val"}</definedName>
    <definedName name="ADYear1">#REF!</definedName>
    <definedName name="ADYear2">#REF!</definedName>
    <definedName name="aertqet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etna_PPO_II_Ntwk_Exp_PPO_Max_Net_Avg_Sub_Charges" hidden="1">#REF!</definedName>
    <definedName name="Aetna_PPO_II_Ntwk_Exp_PPO_Max_Sav_Neg_Arrang" hidden="1">#REF!</definedName>
    <definedName name="Aetna_PPO_II_Ntwk_Exp_PPO_Net_Avg_Sub_Charges" hidden="1">#REF!</definedName>
    <definedName name="Aetna_PPO_II_Ntwk_Exp_PPO_Sav_Neg_Arrang" hidden="1">#REF!</definedName>
    <definedName name="Aetna_PPO_Ntwk_Exp_PPO_Max_Net_Avg_Sub_Charges" hidden="1">#REF!</definedName>
    <definedName name="Aetna_PPO_Ntwk_Exp_PPO_Max_Sav_Neg_Arrang" hidden="1">#REF!</definedName>
    <definedName name="Aetna_PPO_Ntwk_Exp_PPO_Net_Avg_Sub_Charges" hidden="1">#REF!</definedName>
    <definedName name="Aetna_PPO_Ntwk_Exp_PPO_Sav_Neg_Arrang" hidden="1">#REF!</definedName>
    <definedName name="Aetna_Spec_Ntwk_Exp_PPO_Max_Net_Avg_Sub_Charges" hidden="1">#REF!</definedName>
    <definedName name="Aetna_Spec_Ntwk_Exp_PPO_Max_Sav_Neg_Arrang" hidden="1">#REF!</definedName>
    <definedName name="Aetna_Spec_Ntwk_Exp_PPO_Net_Avg_Sub_Charges" hidden="1">#REF!</definedName>
    <definedName name="Aetna_Spec_Ntwk_Exp_PPO_Sav_Neg_Arrang" hidden="1">#REF!</definedName>
    <definedName name="AetnaQuote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Aex_Amb_MDC_Range" hidden="1">#REF!</definedName>
    <definedName name="aex_Amb_OON_claimants_00_curr" hidden="1">#REF!</definedName>
    <definedName name="aex_Amb_OON_claimants_01_curr" hidden="1">#REF!</definedName>
    <definedName name="aex_Amb_OON_claimants_02_curr" hidden="1">#REF!</definedName>
    <definedName name="aex_Amb_OON_claimants_03_curr" hidden="1">#REF!</definedName>
    <definedName name="aex_Amb_OON_claimants_04_curr" hidden="1">#REF!</definedName>
    <definedName name="aex_Amb_OON_claimants_05_curr" hidden="1">#REF!</definedName>
    <definedName name="aex_Amb_OON_claimants_06_curr" hidden="1">#REF!</definedName>
    <definedName name="aex_Amb_OON_claimants_07_curr" hidden="1">#REF!</definedName>
    <definedName name="aex_Amb_OON_claimants_08_curr" hidden="1">#REF!</definedName>
    <definedName name="aex_Amb_OON_claimants_09_curr" hidden="1">#REF!</definedName>
    <definedName name="aex_Amb_OON_claimants_10_curr" hidden="1">#REF!</definedName>
    <definedName name="aex_Amb_OON_claimants_11_curr" hidden="1">#REF!</definedName>
    <definedName name="aex_Amb_OON_claimants_12_curr" hidden="1">#REF!</definedName>
    <definedName name="aex_Amb_OON_claimants_13_curr" hidden="1">#REF!</definedName>
    <definedName name="aex_Amb_OON_claimants_14_curr" hidden="1">#REF!</definedName>
    <definedName name="aex_Amb_OON_claimants_15_curr" hidden="1">#REF!</definedName>
    <definedName name="aex_Amb_OON_claimants_16_curr" hidden="1">#REF!</definedName>
    <definedName name="aex_Amb_OON_claimants_17_curr" hidden="1">#REF!</definedName>
    <definedName name="aex_Amb_OON_claimants_18_curr" hidden="1">#REF!</definedName>
    <definedName name="aex_Amb_OON_claimants_19_curr" hidden="1">#REF!</definedName>
    <definedName name="aex_Amb_OON_claimants_20_curr" hidden="1">#REF!</definedName>
    <definedName name="aex_Amb_OON_claimants_21_curr" hidden="1">#REF!</definedName>
    <definedName name="aex_Amb_OON_claimants_22_curr" hidden="1">#REF!</definedName>
    <definedName name="aex_Amb_OON_claimants_23_curr" hidden="1">#REF!</definedName>
    <definedName name="aex_Amb_OON_claimants_24_curr" hidden="1">#REF!</definedName>
    <definedName name="aex_Amb_OON_paid_amt_00_curr" hidden="1">#REF!</definedName>
    <definedName name="aex_Amb_OON_paid_amt_01_curr" hidden="1">#REF!</definedName>
    <definedName name="aex_Amb_OON_paid_amt_02_curr" hidden="1">#REF!</definedName>
    <definedName name="aex_Amb_OON_paid_amt_03_curr" hidden="1">#REF!</definedName>
    <definedName name="aex_Amb_OON_paid_amt_04_curr" hidden="1">#REF!</definedName>
    <definedName name="aex_Amb_OON_paid_amt_05_curr" hidden="1">#REF!</definedName>
    <definedName name="aex_Amb_OON_paid_amt_06_curr" hidden="1">#REF!</definedName>
    <definedName name="aex_Amb_OON_paid_amt_07_curr" hidden="1">#REF!</definedName>
    <definedName name="aex_Amb_OON_paid_amt_08_curr" hidden="1">#REF!</definedName>
    <definedName name="aex_Amb_OON_paid_amt_09_curr" hidden="1">#REF!</definedName>
    <definedName name="aex_Amb_OON_paid_amt_10_curr" hidden="1">#REF!</definedName>
    <definedName name="aex_Amb_OON_paid_amt_11_curr" hidden="1">#REF!</definedName>
    <definedName name="aex_Amb_OON_paid_amt_12_curr" hidden="1">#REF!</definedName>
    <definedName name="aex_Amb_OON_paid_amt_13_curr" hidden="1">#REF!</definedName>
    <definedName name="aex_Amb_OON_paid_amt_14_curr" hidden="1">#REF!</definedName>
    <definedName name="aex_Amb_OON_paid_amt_15_curr" hidden="1">#REF!</definedName>
    <definedName name="aex_Amb_OON_paid_amt_16_curr" hidden="1">#REF!</definedName>
    <definedName name="aex_Amb_OON_paid_amt_17_curr" hidden="1">#REF!</definedName>
    <definedName name="aex_Amb_OON_paid_amt_18_curr" hidden="1">#REF!</definedName>
    <definedName name="aex_Amb_OON_paid_amt_19_curr" hidden="1">#REF!</definedName>
    <definedName name="aex_Amb_OON_paid_amt_20_curr" hidden="1">#REF!</definedName>
    <definedName name="aex_Amb_OON_paid_amt_21_curr" hidden="1">#REF!</definedName>
    <definedName name="aex_Amb_OON_paid_amt_22_curr" hidden="1">#REF!</definedName>
    <definedName name="aex_Amb_OON_paid_amt_23_curr" hidden="1">#REF!</definedName>
    <definedName name="aex_Amb_OON_paid_amt_24_curr" hidden="1">#REF!</definedName>
    <definedName name="aex_Amb_Tier1_claimants_00_curr" hidden="1">#REF!</definedName>
    <definedName name="aex_Amb_Tier1_claimants_01_curr" hidden="1">#REF!</definedName>
    <definedName name="aex_Amb_Tier1_claimants_02_curr" hidden="1">#REF!</definedName>
    <definedName name="aex_Amb_Tier1_claimants_03_curr" hidden="1">#REF!</definedName>
    <definedName name="aex_Amb_Tier1_claimants_04_curr" hidden="1">#REF!</definedName>
    <definedName name="aex_Amb_Tier1_claimants_05_curr" hidden="1">#REF!</definedName>
    <definedName name="aex_Amb_Tier1_claimants_06_curr" hidden="1">#REF!</definedName>
    <definedName name="aex_Amb_Tier1_claimants_07_curr" hidden="1">#REF!</definedName>
    <definedName name="aex_Amb_Tier1_claimants_08_curr" hidden="1">#REF!</definedName>
    <definedName name="aex_Amb_Tier1_claimants_09_curr" hidden="1">#REF!</definedName>
    <definedName name="aex_Amb_Tier1_claimants_10_curr" hidden="1">#REF!</definedName>
    <definedName name="aex_Amb_Tier1_claimants_11_curr" hidden="1">#REF!</definedName>
    <definedName name="aex_Amb_Tier1_claimants_12_curr" hidden="1">#REF!</definedName>
    <definedName name="aex_Amb_Tier1_claimants_13_curr" hidden="1">#REF!</definedName>
    <definedName name="aex_Amb_Tier1_claimants_14_curr" hidden="1">#REF!</definedName>
    <definedName name="aex_Amb_Tier1_claimants_15_curr" hidden="1">#REF!</definedName>
    <definedName name="aex_Amb_Tier1_claimants_16_curr" hidden="1">#REF!</definedName>
    <definedName name="aex_Amb_Tier1_claimants_17_curr" hidden="1">#REF!</definedName>
    <definedName name="aex_Amb_Tier1_claimants_18_curr" hidden="1">#REF!</definedName>
    <definedName name="aex_Amb_Tier1_claimants_19_curr" hidden="1">#REF!</definedName>
    <definedName name="aex_Amb_Tier1_claimants_20_curr" hidden="1">#REF!</definedName>
    <definedName name="aex_Amb_Tier1_claimants_21_curr" hidden="1">#REF!</definedName>
    <definedName name="aex_Amb_Tier1_claimants_22_curr" hidden="1">#REF!</definedName>
    <definedName name="aex_Amb_Tier1_claimants_23_curr" hidden="1">#REF!</definedName>
    <definedName name="aex_Amb_Tier1_claimants_24_curr" hidden="1">#REF!</definedName>
    <definedName name="aex_Amb_Tier1_paid_amt_00_curr" hidden="1">#REF!</definedName>
    <definedName name="aex_Amb_Tier1_paid_amt_01_curr" hidden="1">#REF!</definedName>
    <definedName name="aex_Amb_Tier1_paid_amt_02_curr" hidden="1">#REF!</definedName>
    <definedName name="aex_Amb_Tier1_paid_amt_03_curr" hidden="1">#REF!</definedName>
    <definedName name="aex_Amb_Tier1_paid_amt_04_curr" hidden="1">#REF!</definedName>
    <definedName name="aex_Amb_Tier1_paid_amt_05_curr" hidden="1">#REF!</definedName>
    <definedName name="aex_Amb_Tier1_paid_amt_06_curr" hidden="1">#REF!</definedName>
    <definedName name="aex_Amb_Tier1_paid_amt_07_curr" hidden="1">#REF!</definedName>
    <definedName name="aex_Amb_Tier1_paid_amt_08_curr" hidden="1">#REF!</definedName>
    <definedName name="aex_Amb_Tier1_paid_amt_09_curr" hidden="1">#REF!</definedName>
    <definedName name="aex_Amb_Tier1_paid_amt_10_curr" hidden="1">#REF!</definedName>
    <definedName name="aex_Amb_Tier1_paid_amt_11_curr" hidden="1">#REF!</definedName>
    <definedName name="aex_Amb_Tier1_paid_amt_12_curr" hidden="1">#REF!</definedName>
    <definedName name="aex_Amb_Tier1_paid_amt_13_curr" hidden="1">#REF!</definedName>
    <definedName name="aex_Amb_Tier1_paid_amt_14_curr" hidden="1">#REF!</definedName>
    <definedName name="aex_Amb_Tier1_paid_amt_15_curr" hidden="1">#REF!</definedName>
    <definedName name="aex_Amb_Tier1_paid_amt_16_curr" hidden="1">#REF!</definedName>
    <definedName name="aex_Amb_Tier1_paid_amt_17_curr" hidden="1">#REF!</definedName>
    <definedName name="aex_Amb_Tier1_paid_amt_18_curr" hidden="1">#REF!</definedName>
    <definedName name="aex_Amb_Tier1_paid_amt_19_curr" hidden="1">#REF!</definedName>
    <definedName name="aex_Amb_Tier1_paid_amt_20_curr" hidden="1">#REF!</definedName>
    <definedName name="aex_Amb_Tier1_paid_amt_21_curr" hidden="1">#REF!</definedName>
    <definedName name="aex_Amb_Tier1_paid_amt_22_curr" hidden="1">#REF!</definedName>
    <definedName name="aex_Amb_Tier1_paid_amt_23_curr" hidden="1">#REF!</definedName>
    <definedName name="aex_Amb_Tier1_paid_amt_24_curr" hidden="1">#REF!</definedName>
    <definedName name="aex_Amb_Tier2_claimants_00_curr" hidden="1">#REF!</definedName>
    <definedName name="aex_Amb_Tier2_claimants_01_curr" hidden="1">#REF!</definedName>
    <definedName name="aex_Amb_Tier2_claimants_02_curr" hidden="1">#REF!</definedName>
    <definedName name="aex_Amb_Tier2_claimants_03_curr" hidden="1">#REF!</definedName>
    <definedName name="aex_Amb_Tier2_claimants_04_curr" hidden="1">#REF!</definedName>
    <definedName name="aex_Amb_Tier2_claimants_05_curr" hidden="1">#REF!</definedName>
    <definedName name="aex_Amb_Tier2_claimants_06_curr" hidden="1">#REF!</definedName>
    <definedName name="aex_Amb_Tier2_claimants_07_curr" hidden="1">#REF!</definedName>
    <definedName name="aex_Amb_Tier2_claimants_08_curr" hidden="1">#REF!</definedName>
    <definedName name="aex_Amb_Tier2_claimants_09_curr" hidden="1">#REF!</definedName>
    <definedName name="aex_Amb_Tier2_claimants_10_curr" hidden="1">#REF!</definedName>
    <definedName name="aex_Amb_Tier2_claimants_11_curr" hidden="1">#REF!</definedName>
    <definedName name="aex_Amb_Tier2_claimants_12_curr" hidden="1">#REF!</definedName>
    <definedName name="aex_Amb_Tier2_claimants_13_curr" hidden="1">#REF!</definedName>
    <definedName name="aex_Amb_Tier2_claimants_14_curr" hidden="1">#REF!</definedName>
    <definedName name="aex_Amb_Tier2_claimants_15_curr" hidden="1">#REF!</definedName>
    <definedName name="aex_Amb_Tier2_claimants_16_curr" hidden="1">#REF!</definedName>
    <definedName name="aex_Amb_Tier2_claimants_17_curr" hidden="1">#REF!</definedName>
    <definedName name="aex_Amb_Tier2_claimants_18_curr" hidden="1">#REF!</definedName>
    <definedName name="aex_Amb_Tier2_claimants_19_curr" hidden="1">#REF!</definedName>
    <definedName name="aex_Amb_Tier2_claimants_20_curr" hidden="1">#REF!</definedName>
    <definedName name="aex_Amb_Tier2_claimants_21_curr" hidden="1">#REF!</definedName>
    <definedName name="aex_Amb_Tier2_claimants_22_curr" hidden="1">#REF!</definedName>
    <definedName name="aex_Amb_Tier2_claimants_23_curr" hidden="1">#REF!</definedName>
    <definedName name="aex_Amb_Tier2_claimants_24_curr" hidden="1">#REF!</definedName>
    <definedName name="aex_Amb_Tier2_paid_amt_00_curr" hidden="1">#REF!</definedName>
    <definedName name="aex_Amb_Tier2_paid_amt_01_curr" hidden="1">#REF!</definedName>
    <definedName name="aex_Amb_Tier2_paid_amt_02_curr" hidden="1">#REF!</definedName>
    <definedName name="aex_Amb_Tier2_paid_amt_03_curr" hidden="1">#REF!</definedName>
    <definedName name="aex_Amb_Tier2_paid_amt_04_curr" hidden="1">#REF!</definedName>
    <definedName name="aex_Amb_Tier2_paid_amt_05_curr" hidden="1">#REF!</definedName>
    <definedName name="aex_Amb_Tier2_paid_amt_06_curr" hidden="1">#REF!</definedName>
    <definedName name="aex_Amb_Tier2_paid_amt_07_curr" hidden="1">#REF!</definedName>
    <definedName name="aex_Amb_Tier2_paid_amt_08_curr" hidden="1">#REF!</definedName>
    <definedName name="aex_Amb_Tier2_paid_amt_09_curr" hidden="1">#REF!</definedName>
    <definedName name="aex_Amb_Tier2_paid_amt_10_curr" hidden="1">#REF!</definedName>
    <definedName name="aex_Amb_Tier2_paid_amt_11_curr" hidden="1">#REF!</definedName>
    <definedName name="aex_Amb_Tier2_paid_amt_12_curr" hidden="1">#REF!</definedName>
    <definedName name="aex_Amb_Tier2_paid_amt_13_curr" hidden="1">#REF!</definedName>
    <definedName name="aex_Amb_Tier2_paid_amt_14_curr" hidden="1">#REF!</definedName>
    <definedName name="aex_Amb_Tier2_paid_amt_15_curr" hidden="1">#REF!</definedName>
    <definedName name="aex_Amb_Tier2_paid_amt_16_curr" hidden="1">#REF!</definedName>
    <definedName name="aex_Amb_Tier2_paid_amt_17_curr" hidden="1">#REF!</definedName>
    <definedName name="aex_Amb_Tier2_paid_amt_18_curr" hidden="1">#REF!</definedName>
    <definedName name="aex_Amb_Tier2_paid_amt_19_curr" hidden="1">#REF!</definedName>
    <definedName name="aex_Amb_Tier2_paid_amt_20_curr" hidden="1">#REF!</definedName>
    <definedName name="aex_Amb_Tier2_paid_amt_21_curr" hidden="1">#REF!</definedName>
    <definedName name="aex_Amb_Tier2_paid_amt_22_curr" hidden="1">#REF!</definedName>
    <definedName name="aex_Amb_Tier2_paid_amt_23_curr" hidden="1">#REF!</definedName>
    <definedName name="aex_Amb_Tier2_paid_amt_24_curr" hidden="1">#REF!</definedName>
    <definedName name="aex_Amb_Tier3_claimants_00_curr" hidden="1">#REF!</definedName>
    <definedName name="aex_Amb_Tier3_claimants_01_curr" hidden="1">#REF!</definedName>
    <definedName name="aex_Amb_Tier3_claimants_02_curr" hidden="1">#REF!</definedName>
    <definedName name="aex_Amb_Tier3_claimants_03_curr" hidden="1">#REF!</definedName>
    <definedName name="aex_Amb_Tier3_claimants_04_curr" hidden="1">#REF!</definedName>
    <definedName name="aex_Amb_Tier3_claimants_05_curr" hidden="1">#REF!</definedName>
    <definedName name="aex_Amb_Tier3_claimants_06_curr" hidden="1">#REF!</definedName>
    <definedName name="aex_Amb_Tier3_claimants_07_curr" hidden="1">#REF!</definedName>
    <definedName name="aex_Amb_Tier3_claimants_08_curr" hidden="1">#REF!</definedName>
    <definedName name="aex_Amb_Tier3_claimants_09_curr" hidden="1">#REF!</definedName>
    <definedName name="aex_Amb_Tier3_claimants_10_curr" hidden="1">#REF!</definedName>
    <definedName name="aex_Amb_Tier3_claimants_11_curr" hidden="1">#REF!</definedName>
    <definedName name="aex_Amb_Tier3_claimants_12_curr" hidden="1">#REF!</definedName>
    <definedName name="aex_Amb_Tier3_claimants_13_curr" hidden="1">#REF!</definedName>
    <definedName name="aex_Amb_Tier3_claimants_14_curr" hidden="1">#REF!</definedName>
    <definedName name="aex_Amb_Tier3_claimants_15_curr" hidden="1">#REF!</definedName>
    <definedName name="aex_Amb_Tier3_claimants_16_curr" hidden="1">#REF!</definedName>
    <definedName name="aex_Amb_Tier3_claimants_17_curr" hidden="1">#REF!</definedName>
    <definedName name="aex_Amb_Tier3_claimants_18_curr" hidden="1">#REF!</definedName>
    <definedName name="aex_Amb_Tier3_claimants_19_curr" hidden="1">#REF!</definedName>
    <definedName name="aex_Amb_Tier3_claimants_20_curr" hidden="1">#REF!</definedName>
    <definedName name="aex_Amb_Tier3_claimants_21_curr" hidden="1">#REF!</definedName>
    <definedName name="aex_Amb_Tier3_claimants_22_curr" hidden="1">#REF!</definedName>
    <definedName name="aex_Amb_Tier3_claimants_23_curr" hidden="1">#REF!</definedName>
    <definedName name="aex_Amb_Tier3_claimants_24_curr" hidden="1">#REF!</definedName>
    <definedName name="aex_Amb_Tier3_paid_amt_00_curr" hidden="1">#REF!</definedName>
    <definedName name="aex_Amb_Tier3_paid_amt_01_curr" hidden="1">#REF!</definedName>
    <definedName name="aex_Amb_Tier3_paid_amt_02_curr" hidden="1">#REF!</definedName>
    <definedName name="aex_Amb_Tier3_paid_amt_03_curr" hidden="1">#REF!</definedName>
    <definedName name="aex_Amb_Tier3_paid_amt_04_curr" hidden="1">#REF!</definedName>
    <definedName name="aex_Amb_Tier3_paid_amt_05_curr" hidden="1">#REF!</definedName>
    <definedName name="aex_Amb_Tier3_paid_amt_06_curr" hidden="1">#REF!</definedName>
    <definedName name="aex_Amb_Tier3_paid_amt_07_curr" hidden="1">#REF!</definedName>
    <definedName name="aex_Amb_Tier3_paid_amt_08_curr" hidden="1">#REF!</definedName>
    <definedName name="aex_Amb_Tier3_paid_amt_09_curr" hidden="1">#REF!</definedName>
    <definedName name="aex_Amb_Tier3_paid_amt_10_curr" hidden="1">#REF!</definedName>
    <definedName name="aex_Amb_Tier3_paid_amt_11_curr" hidden="1">#REF!</definedName>
    <definedName name="aex_Amb_Tier3_paid_amt_12_curr" hidden="1">#REF!</definedName>
    <definedName name="aex_Amb_Tier3_paid_amt_13_curr" hidden="1">#REF!</definedName>
    <definedName name="aex_Amb_Tier3_paid_amt_14_curr" hidden="1">#REF!</definedName>
    <definedName name="aex_Amb_Tier3_paid_amt_15_curr" hidden="1">#REF!</definedName>
    <definedName name="aex_Amb_Tier3_paid_amt_16_curr" hidden="1">#REF!</definedName>
    <definedName name="aex_Amb_Tier3_paid_amt_17_curr" hidden="1">#REF!</definedName>
    <definedName name="aex_Amb_Tier3_paid_amt_18_curr" hidden="1">#REF!</definedName>
    <definedName name="aex_Amb_Tier3_paid_amt_19_curr" hidden="1">#REF!</definedName>
    <definedName name="aex_Amb_Tier3_paid_amt_20_curr" hidden="1">#REF!</definedName>
    <definedName name="aex_Amb_Tier3_paid_amt_21_curr" hidden="1">#REF!</definedName>
    <definedName name="aex_Amb_Tier3_paid_amt_22_curr" hidden="1">#REF!</definedName>
    <definedName name="aex_Amb_Tier3_paid_amt_23_curr" hidden="1">#REF!</definedName>
    <definedName name="aex_Amb_Tier3_paid_amt_24_curr" hidden="1">#REF!</definedName>
    <definedName name="Aex_Experience_by_Tier_Range" hidden="1">#REF!</definedName>
    <definedName name="aex_inp_OON_admits_00_curr" hidden="1">#REF!</definedName>
    <definedName name="aex_inp_OON_admits_01_curr" hidden="1">#REF!</definedName>
    <definedName name="aex_inp_OON_admits_02_curr" hidden="1">#REF!</definedName>
    <definedName name="aex_inp_OON_admits_03_curr" hidden="1">#REF!</definedName>
    <definedName name="aex_inp_OON_admits_04_curr" hidden="1">#REF!</definedName>
    <definedName name="aex_inp_OON_admits_05_curr" hidden="1">#REF!</definedName>
    <definedName name="aex_inp_OON_admits_06_curr" hidden="1">#REF!</definedName>
    <definedName name="aex_inp_OON_admits_07_curr" hidden="1">#REF!</definedName>
    <definedName name="aex_inp_OON_admits_08_curr" hidden="1">#REF!</definedName>
    <definedName name="aex_inp_OON_admits_09_curr" hidden="1">#REF!</definedName>
    <definedName name="aex_inp_OON_admits_10_curr" hidden="1">#REF!</definedName>
    <definedName name="aex_inp_OON_admits_11_curr" hidden="1">#REF!</definedName>
    <definedName name="aex_inp_OON_admits_12_curr" hidden="1">#REF!</definedName>
    <definedName name="aex_inp_OON_admits_13_curr" hidden="1">#REF!</definedName>
    <definedName name="aex_inp_OON_admits_14_curr" hidden="1">#REF!</definedName>
    <definedName name="aex_inp_OON_admits_15_curr" hidden="1">#REF!</definedName>
    <definedName name="aex_inp_OON_admits_16_curr" hidden="1">#REF!</definedName>
    <definedName name="aex_inp_OON_admits_17_curr" hidden="1">#REF!</definedName>
    <definedName name="aex_inp_OON_admits_18_curr" hidden="1">#REF!</definedName>
    <definedName name="aex_inp_OON_admits_19_curr" hidden="1">#REF!</definedName>
    <definedName name="aex_inp_OON_admits_20_curr" hidden="1">#REF!</definedName>
    <definedName name="aex_inp_OON_admits_21_curr" hidden="1">#REF!</definedName>
    <definedName name="aex_inp_OON_admits_22_curr" hidden="1">#REF!</definedName>
    <definedName name="aex_inp_OON_admits_23_curr" hidden="1">#REF!</definedName>
    <definedName name="aex_inp_OON_admits_24_curr" hidden="1">#REF!</definedName>
    <definedName name="aex_inp_OON_days_00_curr" hidden="1">#REF!</definedName>
    <definedName name="aex_inp_OON_days_01_curr" hidden="1">#REF!</definedName>
    <definedName name="aex_inp_OON_days_02_curr" hidden="1">#REF!</definedName>
    <definedName name="aex_inp_OON_days_03_curr" hidden="1">#REF!</definedName>
    <definedName name="aex_inp_OON_days_04_curr" hidden="1">#REF!</definedName>
    <definedName name="aex_inp_OON_days_05_curr" hidden="1">#REF!</definedName>
    <definedName name="aex_inp_OON_days_06_curr" hidden="1">#REF!</definedName>
    <definedName name="aex_inp_OON_days_07_curr" hidden="1">#REF!</definedName>
    <definedName name="aex_inp_OON_days_08_curr" hidden="1">#REF!</definedName>
    <definedName name="aex_inp_OON_days_09_curr" hidden="1">#REF!</definedName>
    <definedName name="aex_inp_OON_days_10_curr" hidden="1">#REF!</definedName>
    <definedName name="aex_inp_OON_days_11_curr" hidden="1">#REF!</definedName>
    <definedName name="aex_inp_OON_days_12_curr" hidden="1">#REF!</definedName>
    <definedName name="aex_inp_OON_days_13_curr" hidden="1">#REF!</definedName>
    <definedName name="aex_inp_OON_days_14_curr" hidden="1">#REF!</definedName>
    <definedName name="aex_inp_OON_days_15_curr" hidden="1">#REF!</definedName>
    <definedName name="aex_inp_OON_days_16_curr" hidden="1">#REF!</definedName>
    <definedName name="aex_inp_OON_days_17_curr" hidden="1">#REF!</definedName>
    <definedName name="aex_inp_OON_days_18_curr" hidden="1">#REF!</definedName>
    <definedName name="aex_inp_OON_days_19_curr" hidden="1">#REF!</definedName>
    <definedName name="aex_inp_OON_days_20_curr" hidden="1">#REF!</definedName>
    <definedName name="aex_inp_OON_days_21_curr" hidden="1">#REF!</definedName>
    <definedName name="aex_inp_OON_days_22_curr" hidden="1">#REF!</definedName>
    <definedName name="aex_inp_OON_days_23_curr" hidden="1">#REF!</definedName>
    <definedName name="aex_inp_OON_days_24_curr" hidden="1">#REF!</definedName>
    <definedName name="aex_inp_OON_paid_amt_00_curr" hidden="1">#REF!</definedName>
    <definedName name="aex_inp_OON_paid_amt_01_curr" hidden="1">#REF!</definedName>
    <definedName name="aex_inp_OON_paid_amt_02_curr" hidden="1">#REF!</definedName>
    <definedName name="aex_inp_OON_paid_amt_03_curr" hidden="1">#REF!</definedName>
    <definedName name="aex_inp_OON_paid_amt_04_curr" hidden="1">#REF!</definedName>
    <definedName name="aex_inp_OON_paid_amt_05_curr" hidden="1">#REF!</definedName>
    <definedName name="aex_inp_OON_paid_amt_06_curr" hidden="1">#REF!</definedName>
    <definedName name="aex_inp_OON_paid_amt_07_curr" hidden="1">#REF!</definedName>
    <definedName name="aex_inp_OON_paid_amt_08_curr" hidden="1">#REF!</definedName>
    <definedName name="aex_inp_OON_paid_amt_09_curr" hidden="1">#REF!</definedName>
    <definedName name="aex_inp_OON_paid_amt_10_curr" hidden="1">#REF!</definedName>
    <definedName name="aex_inp_OON_paid_amt_11_curr" hidden="1">#REF!</definedName>
    <definedName name="aex_inp_OON_paid_amt_12_curr" hidden="1">#REF!</definedName>
    <definedName name="aex_inp_OON_paid_amt_13_curr" hidden="1">#REF!</definedName>
    <definedName name="aex_inp_OON_paid_amt_14_curr" hidden="1">#REF!</definedName>
    <definedName name="aex_inp_OON_paid_amt_15_curr" hidden="1">#REF!</definedName>
    <definedName name="aex_inp_OON_paid_amt_16_curr" hidden="1">#REF!</definedName>
    <definedName name="aex_inp_OON_paid_amt_17_curr" hidden="1">#REF!</definedName>
    <definedName name="aex_inp_OON_paid_amt_18_curr" hidden="1">#REF!</definedName>
    <definedName name="aex_inp_OON_paid_amt_19_curr" hidden="1">#REF!</definedName>
    <definedName name="aex_inp_OON_paid_amt_20_curr" hidden="1">#REF!</definedName>
    <definedName name="aex_inp_OON_paid_amt_21_curr" hidden="1">#REF!</definedName>
    <definedName name="aex_inp_OON_paid_amt_22_curr" hidden="1">#REF!</definedName>
    <definedName name="aex_inp_OON_paid_amt_23_curr" hidden="1">#REF!</definedName>
    <definedName name="aex_inp_OON_paid_amt_24_curr" hidden="1">#REF!</definedName>
    <definedName name="aex_inp_Tier1_admits_00_curr" hidden="1">#REF!</definedName>
    <definedName name="aex_inp_Tier1_admits_01_curr" hidden="1">#REF!</definedName>
    <definedName name="aex_inp_Tier1_admits_02_curr" hidden="1">#REF!</definedName>
    <definedName name="aex_inp_Tier1_admits_03_curr" hidden="1">#REF!</definedName>
    <definedName name="aex_inp_Tier1_admits_04_curr" hidden="1">#REF!</definedName>
    <definedName name="aex_inp_Tier1_admits_05_curr" hidden="1">#REF!</definedName>
    <definedName name="aex_inp_Tier1_admits_06_curr" hidden="1">#REF!</definedName>
    <definedName name="aex_inp_Tier1_admits_07_curr" hidden="1">#REF!</definedName>
    <definedName name="aex_inp_Tier1_admits_08_curr" hidden="1">#REF!</definedName>
    <definedName name="aex_inp_Tier1_admits_09_curr" hidden="1">#REF!</definedName>
    <definedName name="aex_inp_Tier1_admits_10_curr" hidden="1">#REF!</definedName>
    <definedName name="aex_inp_Tier1_admits_11_curr" hidden="1">#REF!</definedName>
    <definedName name="aex_inp_Tier1_admits_12_curr" hidden="1">#REF!</definedName>
    <definedName name="aex_inp_Tier1_admits_13_curr" hidden="1">#REF!</definedName>
    <definedName name="aex_inp_Tier1_admits_14_curr" hidden="1">#REF!</definedName>
    <definedName name="aex_inp_Tier1_admits_15_curr" hidden="1">#REF!</definedName>
    <definedName name="aex_inp_Tier1_admits_16_curr" hidden="1">#REF!</definedName>
    <definedName name="aex_inp_Tier1_admits_17_curr" hidden="1">#REF!</definedName>
    <definedName name="aex_inp_Tier1_admits_18_curr" hidden="1">#REF!</definedName>
    <definedName name="aex_inp_Tier1_admits_19_curr" hidden="1">#REF!</definedName>
    <definedName name="aex_inp_Tier1_admits_20_curr" hidden="1">#REF!</definedName>
    <definedName name="aex_inp_Tier1_admits_21_curr" hidden="1">#REF!</definedName>
    <definedName name="aex_inp_Tier1_admits_22_curr" hidden="1">#REF!</definedName>
    <definedName name="aex_inp_Tier1_admits_23_curr" hidden="1">#REF!</definedName>
    <definedName name="aex_inp_Tier1_admits_24_curr" hidden="1">#REF!</definedName>
    <definedName name="aex_inp_Tier1_days_00_curr" hidden="1">#REF!</definedName>
    <definedName name="aex_inp_Tier1_days_01_curr" hidden="1">#REF!</definedName>
    <definedName name="aex_inp_Tier1_days_02_curr" hidden="1">#REF!</definedName>
    <definedName name="aex_inp_Tier1_days_03_curr" hidden="1">#REF!</definedName>
    <definedName name="aex_inp_Tier1_days_04_curr" hidden="1">#REF!</definedName>
    <definedName name="aex_inp_Tier1_days_05_curr" hidden="1">#REF!</definedName>
    <definedName name="aex_inp_Tier1_days_06_curr" hidden="1">#REF!</definedName>
    <definedName name="aex_inp_Tier1_days_07_curr" hidden="1">#REF!</definedName>
    <definedName name="aex_inp_Tier1_days_08_curr" hidden="1">#REF!</definedName>
    <definedName name="aex_inp_Tier1_days_09_curr" hidden="1">#REF!</definedName>
    <definedName name="aex_inp_Tier1_days_10_curr" hidden="1">#REF!</definedName>
    <definedName name="aex_inp_Tier1_days_11_curr" hidden="1">#REF!</definedName>
    <definedName name="aex_inp_Tier1_days_12_curr" hidden="1">#REF!</definedName>
    <definedName name="aex_inp_Tier1_days_13_curr" hidden="1">#REF!</definedName>
    <definedName name="aex_inp_Tier1_days_14_curr" hidden="1">#REF!</definedName>
    <definedName name="aex_inp_Tier1_days_15_curr" hidden="1">#REF!</definedName>
    <definedName name="aex_inp_Tier1_days_16_curr" hidden="1">#REF!</definedName>
    <definedName name="aex_inp_Tier1_days_17_curr" hidden="1">#REF!</definedName>
    <definedName name="aex_inp_Tier1_days_18_curr" hidden="1">#REF!</definedName>
    <definedName name="aex_inp_Tier1_days_19_curr" hidden="1">#REF!</definedName>
    <definedName name="aex_inp_Tier1_days_20_curr" hidden="1">#REF!</definedName>
    <definedName name="aex_inp_Tier1_days_21_curr" hidden="1">#REF!</definedName>
    <definedName name="aex_inp_Tier1_days_22_curr" hidden="1">#REF!</definedName>
    <definedName name="aex_inp_Tier1_days_23_curr" hidden="1">#REF!</definedName>
    <definedName name="aex_inp_Tier1_days_24_curr" hidden="1">#REF!</definedName>
    <definedName name="aex_inp_Tier1_paid_amt_00_curr" hidden="1">#REF!</definedName>
    <definedName name="aex_inp_Tier1_paid_amt_01_curr" hidden="1">#REF!</definedName>
    <definedName name="aex_inp_Tier1_paid_amt_02_curr" hidden="1">#REF!</definedName>
    <definedName name="aex_inp_Tier1_paid_amt_03_curr" hidden="1">#REF!</definedName>
    <definedName name="aex_inp_Tier1_paid_amt_04_curr" hidden="1">#REF!</definedName>
    <definedName name="aex_inp_Tier1_paid_amt_05_curr" hidden="1">#REF!</definedName>
    <definedName name="aex_inp_Tier1_paid_amt_06_curr" hidden="1">#REF!</definedName>
    <definedName name="aex_inp_Tier1_paid_amt_07_curr" hidden="1">#REF!</definedName>
    <definedName name="aex_inp_Tier1_paid_amt_08_curr" hidden="1">#REF!</definedName>
    <definedName name="aex_inp_Tier1_paid_amt_09_curr" hidden="1">#REF!</definedName>
    <definedName name="aex_inp_Tier1_paid_amt_10_curr" hidden="1">#REF!</definedName>
    <definedName name="aex_inp_Tier1_paid_amt_11_curr" hidden="1">#REF!</definedName>
    <definedName name="aex_inp_Tier1_paid_amt_12_curr" hidden="1">#REF!</definedName>
    <definedName name="aex_inp_Tier1_paid_amt_13_curr" hidden="1">#REF!</definedName>
    <definedName name="aex_inp_Tier1_paid_amt_14_curr" hidden="1">#REF!</definedName>
    <definedName name="aex_inp_Tier1_paid_amt_15_curr" hidden="1">#REF!</definedName>
    <definedName name="aex_inp_Tier1_paid_amt_16_curr" hidden="1">#REF!</definedName>
    <definedName name="aex_inp_Tier1_paid_amt_17_curr" hidden="1">#REF!</definedName>
    <definedName name="aex_inp_Tier1_paid_amt_18_curr" hidden="1">#REF!</definedName>
    <definedName name="aex_inp_Tier1_paid_amt_19_curr" hidden="1">#REF!</definedName>
    <definedName name="aex_inp_Tier1_paid_amt_20_curr" hidden="1">#REF!</definedName>
    <definedName name="aex_inp_Tier1_paid_amt_21_curr" hidden="1">#REF!</definedName>
    <definedName name="aex_inp_Tier1_paid_amt_22_curr" hidden="1">#REF!</definedName>
    <definedName name="aex_inp_Tier1_paid_amt_23_curr" hidden="1">#REF!</definedName>
    <definedName name="aex_inp_Tier1_paid_amt_24_curr" hidden="1">#REF!</definedName>
    <definedName name="aex_inp_Tier2_admits_00_curr" hidden="1">#REF!</definedName>
    <definedName name="aex_inp_Tier2_admits_01_curr" hidden="1">#REF!</definedName>
    <definedName name="aex_inp_Tier2_admits_02_curr" hidden="1">#REF!</definedName>
    <definedName name="aex_inp_Tier2_admits_03_curr" hidden="1">#REF!</definedName>
    <definedName name="aex_inp_Tier2_admits_04_curr" hidden="1">#REF!</definedName>
    <definedName name="aex_inp_Tier2_admits_05_curr" hidden="1">#REF!</definedName>
    <definedName name="aex_inp_Tier2_admits_06_curr" hidden="1">#REF!</definedName>
    <definedName name="aex_inp_Tier2_admits_07_curr" hidden="1">#REF!</definedName>
    <definedName name="aex_inp_Tier2_admits_08_curr" hidden="1">#REF!</definedName>
    <definedName name="aex_inp_Tier2_admits_09_curr" hidden="1">#REF!</definedName>
    <definedName name="aex_inp_Tier2_admits_10_curr" hidden="1">#REF!</definedName>
    <definedName name="aex_inp_Tier2_admits_11_curr" hidden="1">#REF!</definedName>
    <definedName name="aex_inp_Tier2_admits_12_curr" hidden="1">#REF!</definedName>
    <definedName name="aex_inp_Tier2_admits_13_curr" hidden="1">#REF!</definedName>
    <definedName name="aex_inp_Tier2_admits_14_curr" hidden="1">#REF!</definedName>
    <definedName name="aex_inp_Tier2_admits_15_curr" hidden="1">#REF!</definedName>
    <definedName name="aex_inp_Tier2_admits_16_curr" hidden="1">#REF!</definedName>
    <definedName name="aex_inp_Tier2_admits_17_curr" hidden="1">#REF!</definedName>
    <definedName name="aex_inp_Tier2_admits_18_curr" hidden="1">#REF!</definedName>
    <definedName name="aex_inp_Tier2_admits_19_curr" hidden="1">#REF!</definedName>
    <definedName name="aex_inp_Tier2_admits_20_curr" hidden="1">#REF!</definedName>
    <definedName name="aex_inp_Tier2_admits_21_curr" hidden="1">#REF!</definedName>
    <definedName name="aex_inp_Tier2_admits_22_curr" hidden="1">#REF!</definedName>
    <definedName name="aex_inp_Tier2_admits_23_curr" hidden="1">#REF!</definedName>
    <definedName name="aex_inp_Tier2_admits_24_curr" hidden="1">#REF!</definedName>
    <definedName name="aex_inp_Tier2_days_00_curr" hidden="1">#REF!</definedName>
    <definedName name="aex_inp_Tier2_days_01_curr" hidden="1">#REF!</definedName>
    <definedName name="aex_inp_Tier2_days_02_curr" hidden="1">#REF!</definedName>
    <definedName name="aex_inp_Tier2_days_03_curr" hidden="1">#REF!</definedName>
    <definedName name="aex_inp_Tier2_days_04_curr" hidden="1">#REF!</definedName>
    <definedName name="aex_inp_Tier2_days_05_curr" hidden="1">#REF!</definedName>
    <definedName name="aex_inp_Tier2_days_06_curr" hidden="1">#REF!</definedName>
    <definedName name="aex_inp_Tier2_days_07_curr" hidden="1">#REF!</definedName>
    <definedName name="aex_inp_Tier2_days_08_curr" hidden="1">#REF!</definedName>
    <definedName name="aex_inp_Tier2_days_09_curr" hidden="1">#REF!</definedName>
    <definedName name="aex_inp_Tier2_days_10_curr" hidden="1">#REF!</definedName>
    <definedName name="aex_inp_Tier2_days_11_curr" hidden="1">#REF!</definedName>
    <definedName name="aex_inp_Tier2_days_12_curr" hidden="1">#REF!</definedName>
    <definedName name="aex_inp_Tier2_days_13_curr" hidden="1">#REF!</definedName>
    <definedName name="aex_inp_Tier2_days_14_curr" hidden="1">#REF!</definedName>
    <definedName name="aex_inp_Tier2_days_15_curr" hidden="1">#REF!</definedName>
    <definedName name="aex_inp_Tier2_days_16_curr" hidden="1">#REF!</definedName>
    <definedName name="aex_inp_Tier2_days_17_curr" hidden="1">#REF!</definedName>
    <definedName name="aex_inp_Tier2_days_18_curr" hidden="1">#REF!</definedName>
    <definedName name="aex_inp_Tier2_days_19_curr" hidden="1">#REF!</definedName>
    <definedName name="aex_inp_Tier2_days_20_curr" hidden="1">#REF!</definedName>
    <definedName name="aex_inp_Tier2_days_21_curr" hidden="1">#REF!</definedName>
    <definedName name="aex_inp_Tier2_days_22_curr" hidden="1">#REF!</definedName>
    <definedName name="aex_inp_Tier2_days_23_curr" hidden="1">#REF!</definedName>
    <definedName name="aex_inp_Tier2_days_24_curr" hidden="1">#REF!</definedName>
    <definedName name="aex_inp_Tier2_paid_amt_00_curr" hidden="1">#REF!</definedName>
    <definedName name="aex_inp_Tier2_paid_amt_01_curr" hidden="1">#REF!</definedName>
    <definedName name="aex_inp_Tier2_paid_amt_02_curr" hidden="1">#REF!</definedName>
    <definedName name="aex_inp_Tier2_paid_amt_03_curr" hidden="1">#REF!</definedName>
    <definedName name="aex_inp_Tier2_paid_amt_04_curr" hidden="1">#REF!</definedName>
    <definedName name="aex_inp_Tier2_paid_amt_05_curr" hidden="1">#REF!</definedName>
    <definedName name="aex_inp_Tier2_paid_amt_06_curr" hidden="1">#REF!</definedName>
    <definedName name="aex_inp_Tier2_paid_amt_07_curr" hidden="1">#REF!</definedName>
    <definedName name="aex_inp_Tier2_paid_amt_08_curr" hidden="1">#REF!</definedName>
    <definedName name="aex_inp_Tier2_paid_amt_09_curr" hidden="1">#REF!</definedName>
    <definedName name="aex_inp_Tier2_paid_amt_10_curr" hidden="1">#REF!</definedName>
    <definedName name="aex_inp_Tier2_paid_amt_11_curr" hidden="1">#REF!</definedName>
    <definedName name="aex_inp_Tier2_paid_amt_12_curr" hidden="1">#REF!</definedName>
    <definedName name="aex_inp_Tier2_paid_amt_13_curr" hidden="1">#REF!</definedName>
    <definedName name="aex_inp_Tier2_paid_amt_14_curr" hidden="1">#REF!</definedName>
    <definedName name="aex_inp_Tier2_paid_amt_15_curr" hidden="1">#REF!</definedName>
    <definedName name="aex_inp_Tier2_paid_amt_16_curr" hidden="1">#REF!</definedName>
    <definedName name="aex_inp_Tier2_paid_amt_17_curr" hidden="1">#REF!</definedName>
    <definedName name="aex_inp_Tier2_paid_amt_18_curr" hidden="1">#REF!</definedName>
    <definedName name="aex_inp_Tier2_paid_amt_19_curr" hidden="1">#REF!</definedName>
    <definedName name="aex_inp_Tier2_paid_amt_20_curr" hidden="1">#REF!</definedName>
    <definedName name="aex_inp_Tier2_paid_amt_21_curr" hidden="1">#REF!</definedName>
    <definedName name="aex_inp_Tier2_paid_amt_22_curr" hidden="1">#REF!</definedName>
    <definedName name="aex_inp_Tier2_paid_amt_23_curr" hidden="1">#REF!</definedName>
    <definedName name="aex_inp_Tier2_paid_amt_24_curr" hidden="1">#REF!</definedName>
    <definedName name="aex_inp_Tier3_admits_00_curr" hidden="1">#REF!</definedName>
    <definedName name="aex_inp_Tier3_admits_01_curr" hidden="1">#REF!</definedName>
    <definedName name="aex_inp_Tier3_admits_02_curr" hidden="1">#REF!</definedName>
    <definedName name="aex_inp_Tier3_admits_03_curr" hidden="1">#REF!</definedName>
    <definedName name="aex_inp_Tier3_admits_04_curr" hidden="1">#REF!</definedName>
    <definedName name="aex_inp_Tier3_admits_05_curr" hidden="1">#REF!</definedName>
    <definedName name="aex_inp_Tier3_admits_06_curr" hidden="1">#REF!</definedName>
    <definedName name="aex_inp_Tier3_admits_07_curr" hidden="1">#REF!</definedName>
    <definedName name="aex_inp_Tier3_admits_08_curr" hidden="1">#REF!</definedName>
    <definedName name="aex_inp_Tier3_admits_09_curr" hidden="1">#REF!</definedName>
    <definedName name="aex_inp_Tier3_admits_10_curr" hidden="1">#REF!</definedName>
    <definedName name="aex_inp_Tier3_admits_11_curr" hidden="1">#REF!</definedName>
    <definedName name="aex_inp_Tier3_admits_12_curr" hidden="1">#REF!</definedName>
    <definedName name="aex_inp_Tier3_admits_13_curr" hidden="1">#REF!</definedName>
    <definedName name="aex_inp_Tier3_admits_14_curr" hidden="1">#REF!</definedName>
    <definedName name="aex_inp_Tier3_admits_15_curr" hidden="1">#REF!</definedName>
    <definedName name="aex_inp_Tier3_admits_16_curr" hidden="1">#REF!</definedName>
    <definedName name="aex_inp_Tier3_admits_17_curr" hidden="1">#REF!</definedName>
    <definedName name="aex_inp_Tier3_admits_18_curr" hidden="1">#REF!</definedName>
    <definedName name="aex_inp_Tier3_admits_19_curr" hidden="1">#REF!</definedName>
    <definedName name="aex_inp_Tier3_admits_20_curr" hidden="1">#REF!</definedName>
    <definedName name="aex_inp_Tier3_admits_21_curr" hidden="1">#REF!</definedName>
    <definedName name="aex_inp_Tier3_admits_22_curr" hidden="1">#REF!</definedName>
    <definedName name="aex_inp_Tier3_admits_23_curr" hidden="1">#REF!</definedName>
    <definedName name="aex_inp_Tier3_admits_24_curr" hidden="1">#REF!</definedName>
    <definedName name="aex_inp_Tier3_days_00_curr" hidden="1">#REF!</definedName>
    <definedName name="aex_inp_Tier3_days_01_curr" hidden="1">#REF!</definedName>
    <definedName name="aex_inp_Tier3_days_02_curr" hidden="1">#REF!</definedName>
    <definedName name="aex_inp_Tier3_days_03_curr" hidden="1">#REF!</definedName>
    <definedName name="aex_inp_Tier3_days_04_curr" hidden="1">#REF!</definedName>
    <definedName name="aex_inp_Tier3_days_05_curr" hidden="1">#REF!</definedName>
    <definedName name="aex_inp_Tier3_days_06_curr" hidden="1">#REF!</definedName>
    <definedName name="aex_inp_Tier3_days_07_curr" hidden="1">#REF!</definedName>
    <definedName name="aex_inp_Tier3_days_08_curr" hidden="1">#REF!</definedName>
    <definedName name="aex_inp_Tier3_days_09_curr" hidden="1">#REF!</definedName>
    <definedName name="aex_inp_Tier3_days_10_curr" hidden="1">#REF!</definedName>
    <definedName name="aex_inp_Tier3_days_11_curr" hidden="1">#REF!</definedName>
    <definedName name="aex_inp_Tier3_days_12_curr" hidden="1">#REF!</definedName>
    <definedName name="aex_inp_Tier3_days_13_curr" hidden="1">#REF!</definedName>
    <definedName name="aex_inp_Tier3_days_14_curr" hidden="1">#REF!</definedName>
    <definedName name="aex_inp_Tier3_days_15_curr" hidden="1">#REF!</definedName>
    <definedName name="aex_inp_Tier3_days_16_curr" hidden="1">#REF!</definedName>
    <definedName name="aex_inp_Tier3_days_17_curr" hidden="1">#REF!</definedName>
    <definedName name="aex_inp_Tier3_days_18_curr" hidden="1">#REF!</definedName>
    <definedName name="aex_inp_Tier3_days_19_curr" hidden="1">#REF!</definedName>
    <definedName name="aex_inp_Tier3_days_20_curr" hidden="1">#REF!</definedName>
    <definedName name="aex_inp_Tier3_days_21_curr" hidden="1">#REF!</definedName>
    <definedName name="aex_inp_Tier3_days_22_curr" hidden="1">#REF!</definedName>
    <definedName name="aex_inp_Tier3_days_23_curr" hidden="1">#REF!</definedName>
    <definedName name="aex_inp_Tier3_days_24_curr" hidden="1">#REF!</definedName>
    <definedName name="aex_inp_Tier3_paid_amt_00_curr" hidden="1">#REF!</definedName>
    <definedName name="aex_inp_Tier3_paid_amt_01_curr" hidden="1">#REF!</definedName>
    <definedName name="aex_inp_Tier3_paid_amt_02_curr" hidden="1">#REF!</definedName>
    <definedName name="aex_inp_Tier3_paid_amt_03_curr" hidden="1">#REF!</definedName>
    <definedName name="aex_inp_Tier3_paid_amt_04_curr" hidden="1">#REF!</definedName>
    <definedName name="aex_inp_Tier3_paid_amt_05_curr" hidden="1">#REF!</definedName>
    <definedName name="aex_inp_Tier3_paid_amt_06_curr" hidden="1">#REF!</definedName>
    <definedName name="aex_inp_Tier3_paid_amt_07_curr" hidden="1">#REF!</definedName>
    <definedName name="aex_inp_Tier3_paid_amt_08_curr" hidden="1">#REF!</definedName>
    <definedName name="aex_inp_Tier3_paid_amt_09_curr" hidden="1">#REF!</definedName>
    <definedName name="aex_inp_Tier3_paid_amt_10_curr" hidden="1">#REF!</definedName>
    <definedName name="aex_inp_Tier3_paid_amt_11_curr" hidden="1">#REF!</definedName>
    <definedName name="aex_inp_Tier3_paid_amt_12_curr" hidden="1">#REF!</definedName>
    <definedName name="aex_inp_Tier3_paid_amt_13_curr" hidden="1">#REF!</definedName>
    <definedName name="aex_inp_Tier3_paid_amt_14_curr" hidden="1">#REF!</definedName>
    <definedName name="aex_inp_Tier3_paid_amt_15_curr" hidden="1">#REF!</definedName>
    <definedName name="aex_inp_Tier3_paid_amt_16_curr" hidden="1">#REF!</definedName>
    <definedName name="aex_inp_Tier3_paid_amt_17_curr" hidden="1">#REF!</definedName>
    <definedName name="aex_inp_Tier3_paid_amt_18_curr" hidden="1">#REF!</definedName>
    <definedName name="aex_inp_Tier3_paid_amt_19_curr" hidden="1">#REF!</definedName>
    <definedName name="aex_inp_Tier3_paid_amt_20_curr" hidden="1">#REF!</definedName>
    <definedName name="aex_inp_Tier3_paid_amt_21_curr" hidden="1">#REF!</definedName>
    <definedName name="aex_inp_Tier3_paid_amt_22_curr" hidden="1">#REF!</definedName>
    <definedName name="aex_inp_Tier3_paid_amt_23_curr" hidden="1">#REF!</definedName>
    <definedName name="aex_inp_Tier3_paid_amt_24_curr" hidden="1">#REF!</definedName>
    <definedName name="Aex_IP_MDC_Range" hidden="1">#REF!</definedName>
    <definedName name="aex_Med_MDC_cd_00_curr" hidden="1">#REF!</definedName>
    <definedName name="aex_Med_MDC_cd_01_curr" hidden="1">#REF!</definedName>
    <definedName name="aex_Med_MDC_cd_02_curr" hidden="1">#REF!</definedName>
    <definedName name="aex_Med_MDC_cd_03_curr" hidden="1">#REF!</definedName>
    <definedName name="aex_Med_MDC_cd_04_curr" hidden="1">#REF!</definedName>
    <definedName name="aex_Med_MDC_cd_05_curr" hidden="1">#REF!</definedName>
    <definedName name="aex_Med_MDC_cd_06_curr" hidden="1">#REF!</definedName>
    <definedName name="aex_Med_MDC_cd_07_curr" hidden="1">#REF!</definedName>
    <definedName name="aex_Med_MDC_cd_08_curr" hidden="1">#REF!</definedName>
    <definedName name="aex_Med_MDC_cd_09_curr" hidden="1">#REF!</definedName>
    <definedName name="aex_Med_MDC_cd_10_curr" hidden="1">#REF!</definedName>
    <definedName name="aex_Med_MDC_cd_11_curr" hidden="1">#REF!</definedName>
    <definedName name="aex_Med_MDC_cd_12_curr" hidden="1">#REF!</definedName>
    <definedName name="aex_Med_MDC_cd_13_curr" hidden="1">#REF!</definedName>
    <definedName name="aex_Med_MDC_cd_14_curr" hidden="1">#REF!</definedName>
    <definedName name="aex_Med_MDC_cd_15_curr" hidden="1">#REF!</definedName>
    <definedName name="aex_Med_MDC_cd_16_curr" hidden="1">#REF!</definedName>
    <definedName name="aex_Med_MDC_cd_17_curr" hidden="1">#REF!</definedName>
    <definedName name="aex_Med_MDC_cd_18_curr" hidden="1">#REF!</definedName>
    <definedName name="aex_Med_MDC_cd_19_curr" hidden="1">#REF!</definedName>
    <definedName name="aex_Med_MDC_cd_20_curr" hidden="1">#REF!</definedName>
    <definedName name="aex_Med_MDC_cd_21_curr" hidden="1">#REF!</definedName>
    <definedName name="aex_Med_MDC_cd_22_curr" hidden="1">#REF!</definedName>
    <definedName name="aex_Med_MDC_cd_23_curr" hidden="1">#REF!</definedName>
    <definedName name="aex_Med_MDC_cd_24_curr" hidden="1">#REF!</definedName>
    <definedName name="Aex_Medical_Cost_Category_Range" hidden="1">#REF!</definedName>
    <definedName name="aex_OOC_Amb_Paid_Amt_curr" hidden="1">#REF!</definedName>
    <definedName name="aex_OOC_Claimants_curr" hidden="1">#REF!</definedName>
    <definedName name="aex_OOC_Inp_Paid_Amt_curr" hidden="1">#REF!</definedName>
    <definedName name="aex_OOC_Paid_Amt_curr" hidden="1">#REF!</definedName>
    <definedName name="aex_OON_paid_amt_amb_surgeries_curr" hidden="1">#REF!</definedName>
    <definedName name="aex_OON_paid_amt_amb_visits_curr" hidden="1">#REF!</definedName>
    <definedName name="aex_OON_paid_amt_er_visits_curr" hidden="1">#REF!</definedName>
    <definedName name="aex_OON_paid_amt_home_health_visits_curr" hidden="1">#REF!</definedName>
    <definedName name="aex_OON_paid_amt_inp_days_curr" hidden="1">#REF!</definedName>
    <definedName name="aex_OON_paid_amt_inp_surgeries_curr" hidden="1">#REF!</definedName>
    <definedName name="aex_OON_paid_amt_lab_services_curr" hidden="1">#REF!</definedName>
    <definedName name="aex_OON_paid_amt_med_rx_curr" hidden="1">#REF!</definedName>
    <definedName name="aex_OON_paid_amt_med_services_visits_curr" hidden="1">#REF!</definedName>
    <definedName name="aex_OON_paid_amt_mental_health_visits_curr" hidden="1">#REF!</definedName>
    <definedName name="aex_OON_paid_amt_misc_med_curr" hidden="1">#REF!</definedName>
    <definedName name="aex_OON_paid_amt_off_surgeries_curr" hidden="1">#REF!</definedName>
    <definedName name="aex_OON_paid_amt_other_spec_off_visits_curr" hidden="1">#REF!</definedName>
    <definedName name="aex_OON_paid_amt_primary_off_visits_curr" hidden="1">#REF!</definedName>
    <definedName name="aex_OON_paid_amt_radiology_services_curr" hidden="1">#REF!</definedName>
    <definedName name="aex_OON_paid_amt_spec_off_visits_curr" hidden="1">#REF!</definedName>
    <definedName name="aex_oon_paid_amt_tot_curr" hidden="1">#REF!</definedName>
    <definedName name="aex_oon_paid_amt_tot_prior" hidden="1">#REF!</definedName>
    <definedName name="aex_OON_paid_amt_total_curr" hidden="1">#REF!</definedName>
    <definedName name="aex_OON_Util_amb_surgeries_curr" hidden="1">#REF!</definedName>
    <definedName name="aex_OON_Util_amb_visits_curr" hidden="1">#REF!</definedName>
    <definedName name="aex_OON_Util_er_visits_curr" hidden="1">#REF!</definedName>
    <definedName name="aex_OON_Util_home_health_visits_curr" hidden="1">#REF!</definedName>
    <definedName name="aex_OON_Util_inp_days_curr" hidden="1">#REF!</definedName>
    <definedName name="aex_OON_Util_inp_surgeries_curr" hidden="1">#REF!</definedName>
    <definedName name="aex_OON_Util_lab_services_curr" hidden="1">#REF!</definedName>
    <definedName name="aex_OON_Util_med_rx_curr" hidden="1">#REF!</definedName>
    <definedName name="aex_OON_Util_med_services_visits_curr" hidden="1">#REF!</definedName>
    <definedName name="aex_OON_Util_mental_health_visits_curr" hidden="1">#REF!</definedName>
    <definedName name="aex_OON_Util_misc_med_curr" hidden="1">#REF!</definedName>
    <definedName name="aex_OON_Util_off_surgeries_curr" hidden="1">#REF!</definedName>
    <definedName name="aex_OON_Util_other_spec_off_visits_curr" hidden="1">#REF!</definedName>
    <definedName name="aex_OON_Util_primary_off_visits_curr" hidden="1">#REF!</definedName>
    <definedName name="aex_OON_Util_radiology_services_curr" hidden="1">#REF!</definedName>
    <definedName name="aex_OON_Util_spec_off_visits_curr" hidden="1">#REF!</definedName>
    <definedName name="aex_OON_Util_total_curr" hidden="1">#REF!</definedName>
    <definedName name="aex_oon_utlilization_tot_curr" hidden="1">#REF!</definedName>
    <definedName name="aex_oon_utlilization_tot_prior" hidden="1">#REF!</definedName>
    <definedName name="Aex_Professional_Experience_Range" hidden="1">#REF!</definedName>
    <definedName name="aex_Tier1_Amb_Paid_Amt_curr" hidden="1">#REF!</definedName>
    <definedName name="aex_Tier1_Claimants_curr" hidden="1">#REF!</definedName>
    <definedName name="aex_Tier1_Inp_Paid_Amt_curr" hidden="1">#REF!</definedName>
    <definedName name="aex_Tier1_paid_amt_amb_surgeries_curr" hidden="1">#REF!</definedName>
    <definedName name="aex_Tier1_paid_amt_amb_visits_curr" hidden="1">#REF!</definedName>
    <definedName name="aex_Tier1_Paid_Amt_curr" hidden="1">#REF!</definedName>
    <definedName name="aex_Tier1_paid_amt_er_visits_curr" hidden="1">#REF!</definedName>
    <definedName name="aex_Tier1_paid_amt_home_health_visits_curr" hidden="1">#REF!</definedName>
    <definedName name="aex_Tier1_paid_amt_inp_days_curr" hidden="1">#REF!</definedName>
    <definedName name="aex_Tier1_paid_amt_inp_surgeries_curr" hidden="1">#REF!</definedName>
    <definedName name="aex_Tier1_paid_amt_lab_services_curr" hidden="1">#REF!</definedName>
    <definedName name="aex_Tier1_paid_amt_med_rx_curr" hidden="1">#REF!</definedName>
    <definedName name="aex_Tier1_paid_amt_med_services_visits_curr" hidden="1">#REF!</definedName>
    <definedName name="aex_Tier1_paid_amt_mental_health_visits_curr" hidden="1">#REF!</definedName>
    <definedName name="aex_Tier1_paid_amt_misc_med_curr" hidden="1">#REF!</definedName>
    <definedName name="aex_Tier1_paid_amt_off_surgeries_curr" hidden="1">#REF!</definedName>
    <definedName name="aex_Tier1_paid_amt_other_spec_off_visits_curr" hidden="1">#REF!</definedName>
    <definedName name="aex_Tier1_paid_amt_primary_off_visits_curr" hidden="1">#REF!</definedName>
    <definedName name="aex_Tier1_paid_amt_radiology_services_curr" hidden="1">#REF!</definedName>
    <definedName name="aex_Tier1_paid_amt_spec_off_visits_curr" hidden="1">#REF!</definedName>
    <definedName name="aex_tier1_paid_amt_tot_curr" hidden="1">#REF!</definedName>
    <definedName name="aex_tier1_paid_amt_tot_prior" hidden="1">#REF!</definedName>
    <definedName name="aex_Tier1_paid_amt_total_curr" hidden="1">#REF!</definedName>
    <definedName name="aex_Tier1_Util_amb_surgeries_curr" hidden="1">#REF!</definedName>
    <definedName name="aex_Tier1_Util_amb_visits_curr" hidden="1">#REF!</definedName>
    <definedName name="aex_Tier1_Util_er_visits_curr" hidden="1">#REF!</definedName>
    <definedName name="aex_Tier1_Util_home_health_visits_curr" hidden="1">#REF!</definedName>
    <definedName name="aex_Tier1_Util_inp_days_curr" hidden="1">#REF!</definedName>
    <definedName name="aex_Tier1_Util_inp_surgeries_curr" hidden="1">#REF!</definedName>
    <definedName name="aex_Tier1_Util_lab_services_curr" hidden="1">#REF!</definedName>
    <definedName name="aex_Tier1_Util_med_rx_curr" hidden="1">#REF!</definedName>
    <definedName name="aex_Tier1_Util_med_services_visits_curr" hidden="1">#REF!</definedName>
    <definedName name="aex_Tier1_Util_mental_health_visits_curr" hidden="1">#REF!</definedName>
    <definedName name="aex_Tier1_Util_misc_med_curr" hidden="1">#REF!</definedName>
    <definedName name="aex_Tier1_Util_off_surgeries_curr" hidden="1">#REF!</definedName>
    <definedName name="aex_Tier1_Util_other_spec_off_visits_curr" hidden="1">#REF!</definedName>
    <definedName name="aex_Tier1_Util_primary_off_visits_curr" hidden="1">#REF!</definedName>
    <definedName name="aex_Tier1_Util_radiology_services_curr" hidden="1">#REF!</definedName>
    <definedName name="aex_Tier1_Util_spec_off_visits_curr" hidden="1">#REF!</definedName>
    <definedName name="aex_Tier1_Util_total_curr" hidden="1">#REF!</definedName>
    <definedName name="aex_tier1_utlilization_tot_curr" hidden="1">#REF!</definedName>
    <definedName name="aex_tier1_utlilization_tot_prior" hidden="1">#REF!</definedName>
    <definedName name="aex_Tier2_Amb_Paid_Amt_curr" hidden="1">#REF!</definedName>
    <definedName name="aex_Tier2_Claimants_curr" hidden="1">#REF!</definedName>
    <definedName name="aex_Tier2_Inp_Paid_Amt_curr" hidden="1">#REF!</definedName>
    <definedName name="aex_Tier2_paid_amt_amb_surgeries_curr" hidden="1">#REF!</definedName>
    <definedName name="aex_Tier2_paid_amt_amb_visits_curr" hidden="1">#REF!</definedName>
    <definedName name="aex_Tier2_Paid_Amt_curr" hidden="1">#REF!</definedName>
    <definedName name="aex_Tier2_paid_amt_er_visits_curr" hidden="1">#REF!</definedName>
    <definedName name="aex_Tier2_paid_amt_home_health_visits_curr" hidden="1">#REF!</definedName>
    <definedName name="aex_Tier2_paid_amt_inp_days_curr" hidden="1">#REF!</definedName>
    <definedName name="aex_Tier2_paid_amt_inp_surgeries_curr" hidden="1">#REF!</definedName>
    <definedName name="aex_Tier2_paid_amt_lab_services_curr" hidden="1">#REF!</definedName>
    <definedName name="aex_Tier2_paid_amt_med_rx_curr" hidden="1">#REF!</definedName>
    <definedName name="aex_Tier2_paid_amt_med_services_visits_curr" hidden="1">#REF!</definedName>
    <definedName name="aex_Tier2_paid_amt_mental_health_visits_curr" hidden="1">#REF!</definedName>
    <definedName name="aex_Tier2_paid_amt_misc_med_curr" hidden="1">#REF!</definedName>
    <definedName name="aex_Tier2_paid_amt_off_surgeries_curr" hidden="1">#REF!</definedName>
    <definedName name="aex_Tier2_paid_amt_other_spec_off_visits_curr" hidden="1">#REF!</definedName>
    <definedName name="aex_Tier2_paid_amt_primary_off_visits_curr" hidden="1">#REF!</definedName>
    <definedName name="aex_Tier2_paid_amt_radiology_services_curr" hidden="1">#REF!</definedName>
    <definedName name="aex_Tier2_paid_amt_spec_off_visits_curr" hidden="1">#REF!</definedName>
    <definedName name="aex_tier2_paid_amt_tot_curr" hidden="1">#REF!</definedName>
    <definedName name="aex_tier2_paid_amt_tot_prior" hidden="1">#REF!</definedName>
    <definedName name="aex_Tier2_paid_amt_total_curr" hidden="1">#REF!</definedName>
    <definedName name="aex_Tier2_Util_amb_surgeries_curr" hidden="1">#REF!</definedName>
    <definedName name="aex_Tier2_Util_amb_visits_curr" hidden="1">#REF!</definedName>
    <definedName name="aex_Tier2_Util_er_visits_curr" hidden="1">#REF!</definedName>
    <definedName name="aex_Tier2_Util_home_health_visits_curr" hidden="1">#REF!</definedName>
    <definedName name="aex_Tier2_Util_inp_days_curr" hidden="1">#REF!</definedName>
    <definedName name="aex_Tier2_Util_inp_surgeries_curr" hidden="1">#REF!</definedName>
    <definedName name="aex_Tier2_Util_lab_services_curr" hidden="1">#REF!</definedName>
    <definedName name="aex_Tier2_Util_med_rx_curr" hidden="1">#REF!</definedName>
    <definedName name="aex_Tier2_Util_med_services_visits_curr" hidden="1">#REF!</definedName>
    <definedName name="aex_Tier2_Util_mental_health_visits_curr" hidden="1">#REF!</definedName>
    <definedName name="aex_Tier2_Util_misc_med_curr" hidden="1">#REF!</definedName>
    <definedName name="aex_Tier2_Util_off_surgeries_curr" hidden="1">#REF!</definedName>
    <definedName name="aex_Tier2_Util_other_spec_off_visits_curr" hidden="1">#REF!</definedName>
    <definedName name="aex_Tier2_Util_primary_off_visits_curr" hidden="1">#REF!</definedName>
    <definedName name="aex_Tier2_Util_radiology_services_curr" hidden="1">#REF!</definedName>
    <definedName name="aex_Tier2_Util_spec_off_visits_curr" hidden="1">#REF!</definedName>
    <definedName name="aex_Tier2_Util_total_curr" hidden="1">#REF!</definedName>
    <definedName name="aex_tier2_utlilization_tot_curr" hidden="1">#REF!</definedName>
    <definedName name="aex_tier2_utlilization_tot_prior" hidden="1">#REF!</definedName>
    <definedName name="aex_Tier3_Amb_Paid_Amt_curr" hidden="1">#REF!</definedName>
    <definedName name="aex_Tier3_Claimants_curr" hidden="1">#REF!</definedName>
    <definedName name="aex_Tier3_Inp_Paid_Amt_curr" hidden="1">#REF!</definedName>
    <definedName name="aex_Tier3_paid_amt_amb_surgeries_curr" hidden="1">#REF!</definedName>
    <definedName name="aex_Tier3_paid_amt_amb_visits_curr" hidden="1">#REF!</definedName>
    <definedName name="aex_Tier3_Paid_Amt_curr" hidden="1">#REF!</definedName>
    <definedName name="aex_Tier3_paid_amt_er_visits_curr" hidden="1">#REF!</definedName>
    <definedName name="aex_Tier3_paid_amt_home_health_visits_curr" hidden="1">#REF!</definedName>
    <definedName name="aex_Tier3_paid_amt_inp_days_curr" hidden="1">#REF!</definedName>
    <definedName name="aex_Tier3_paid_amt_inp_surgeries_curr" hidden="1">#REF!</definedName>
    <definedName name="aex_Tier3_paid_amt_lab_services_curr" hidden="1">#REF!</definedName>
    <definedName name="aex_Tier3_paid_amt_med_rx_curr" hidden="1">#REF!</definedName>
    <definedName name="aex_Tier3_paid_amt_med_services_visits_curr" hidden="1">#REF!</definedName>
    <definedName name="aex_Tier3_paid_amt_mental_health_visits_curr" hidden="1">#REF!</definedName>
    <definedName name="aex_Tier3_paid_amt_misc_med_curr" hidden="1">#REF!</definedName>
    <definedName name="aex_Tier3_paid_amt_off_surgeries_curr" hidden="1">#REF!</definedName>
    <definedName name="aex_Tier3_paid_amt_other_spec_off_visits_curr" hidden="1">#REF!</definedName>
    <definedName name="aex_Tier3_paid_amt_primary_off_visits_curr" hidden="1">#REF!</definedName>
    <definedName name="aex_Tier3_paid_amt_radiology_services_curr" hidden="1">#REF!</definedName>
    <definedName name="aex_Tier3_paid_amt_spec_off_visits_curr" hidden="1">#REF!</definedName>
    <definedName name="aex_tier3_paid_amt_tot_curr" hidden="1">#REF!</definedName>
    <definedName name="aex_tier3_paid_amt_tot_prior" hidden="1">#REF!</definedName>
    <definedName name="aex_Tier3_paid_amt_total_curr" hidden="1">#REF!</definedName>
    <definedName name="aex_Tier3_Util_amb_surgeries_curr" hidden="1">#REF!</definedName>
    <definedName name="aex_Tier3_Util_amb_visits_curr" hidden="1">#REF!</definedName>
    <definedName name="aex_Tier3_Util_er_visits_curr" hidden="1">#REF!</definedName>
    <definedName name="aex_Tier3_Util_home_health_visits_curr" hidden="1">#REF!</definedName>
    <definedName name="aex_Tier3_Util_inp_days_curr" hidden="1">#REF!</definedName>
    <definedName name="aex_Tier3_Util_inp_surgeries_curr" hidden="1">#REF!</definedName>
    <definedName name="aex_Tier3_Util_lab_services_curr" hidden="1">#REF!</definedName>
    <definedName name="aex_Tier3_Util_med_rx_curr" hidden="1">#REF!</definedName>
    <definedName name="aex_Tier3_Util_med_services_visits_curr" hidden="1">#REF!</definedName>
    <definedName name="aex_Tier3_Util_mental_health_visits_curr" hidden="1">#REF!</definedName>
    <definedName name="aex_Tier3_Util_misc_med_curr" hidden="1">#REF!</definedName>
    <definedName name="aex_Tier3_Util_off_surgeries_curr" hidden="1">#REF!</definedName>
    <definedName name="aex_Tier3_Util_other_spec_off_visits_curr" hidden="1">#REF!</definedName>
    <definedName name="aex_Tier3_Util_primary_off_visits_curr" hidden="1">#REF!</definedName>
    <definedName name="aex_Tier3_Util_radiology_services_curr" hidden="1">#REF!</definedName>
    <definedName name="aex_Tier3_Util_spec_off_visits_curr" hidden="1">#REF!</definedName>
    <definedName name="aex_Tier3_Util_total_curr" hidden="1">#REF!</definedName>
    <definedName name="aex_tier3_utlilization_tot_curr" hidden="1">#REF!</definedName>
    <definedName name="aex_tier3_utlilization_tot_prior" hidden="1">#REF!</definedName>
    <definedName name="aex_TOT_Amb_Paid_Amt_curr" hidden="1">#REF!</definedName>
    <definedName name="aex_TOT_Claimants_curr" hidden="1">#REF!</definedName>
    <definedName name="aex_TOT_Inp_Paid_Amt_curr" hidden="1">#REF!</definedName>
    <definedName name="aex_TOT_Paid_Amt_curr" hidden="1">#REF!</definedName>
    <definedName name="Aexcel_Demographic_Line_Count" hidden="1">#REF!</definedName>
    <definedName name="Aexcel_Demographics_Headings1" hidden="1">#REF!</definedName>
    <definedName name="Aexcel_Demographics_Headings2" hidden="1">#REF!</definedName>
    <definedName name="Aexcel_Prof_Cost_Line_Count" hidden="1">#REF!</definedName>
    <definedName name="Aexcel_Prof_Exp_Cost_Headings" hidden="1">#REF!</definedName>
    <definedName name="Aexcel_Prof_Exp_Location_Headings" hidden="1">#REF!</definedName>
    <definedName name="Aexcel_Prof_Exp_PMPM_Headings" hidden="1">#REF!</definedName>
    <definedName name="Aexcel_Prof_Exp_Util_Headings" hidden="1">#REF!</definedName>
    <definedName name="Aexcel_Prof_Location_Line_Count" hidden="1">#REF!</definedName>
    <definedName name="Aexcel_Prof_PMPM_Line_Count" hidden="1">#REF!</definedName>
    <definedName name="Aexcel_Prof_Util_Line_Count" hidden="1">#REF!</definedName>
    <definedName name="Aexcel_Structure_Headings" hidden="1">#REF!</definedName>
    <definedName name="Aexcel_Structure_Line_Count" hidden="1">#REF!</definedName>
    <definedName name="AexcelBOBDate" hidden="1">#REF!</definedName>
    <definedName name="AfterTaxItems">#REF!</definedName>
    <definedName name="ahf_act_emp_fund_paid_curr" hidden="1">#REF!</definedName>
    <definedName name="ahf_act_emp_plus_1_fund_paid_curr" hidden="1">#REF!</definedName>
    <definedName name="ahf_act_emp_plus_2_fund_paid_curr" hidden="1">#REF!</definedName>
    <definedName name="ahf_act_emp_plus_fam_fund_paid_curr" hidden="1">#REF!</definedName>
    <definedName name="ahf_act_total_fund_paid_curr" hidden="1">#REF!</definedName>
    <definedName name="AHF_Activity_By_Tier_Range" hidden="1">#REF!</definedName>
    <definedName name="AHF_Activity_Detail_Range" hidden="1">#REF!</definedName>
    <definedName name="ahf_ahf_paid_amt_female_0_19_curr" hidden="1">#REF!</definedName>
    <definedName name="ahf_ahf_paid_amt_female_20_44_curr" hidden="1">#REF!</definedName>
    <definedName name="ahf_ahf_paid_amt_female_45_64_curr" hidden="1">#REF!</definedName>
    <definedName name="ahf_ahf_paid_amt_female_65_over_curr" hidden="1">#REF!</definedName>
    <definedName name="ahf_ahf_paid_amt_male_0_19_curr" hidden="1">#REF!</definedName>
    <definedName name="ahf_ahf_paid_amt_male_20_44_curr" hidden="1">#REF!</definedName>
    <definedName name="ahf_ahf_paid_amt_male_45_64_curr" hidden="1">#REF!</definedName>
    <definedName name="ahf_ahf_paid_amt_male_65_over_curr" hidden="1">#REF!</definedName>
    <definedName name="ahf_ahf_paid_amt_total_0_19_curr" hidden="1">#REF!</definedName>
    <definedName name="ahf_ahf_paid_amt_total_curr" hidden="1">#REF!</definedName>
    <definedName name="ahf_ahf_paid_amt_total_prior" hidden="1">#REF!</definedName>
    <definedName name="ahf_ahf_paid_amt_unknown_0_19_curr" hidden="1">#REF!</definedName>
    <definedName name="ahf_ahf_paid_amt_unknown_20_44_curr" hidden="1">#REF!</definedName>
    <definedName name="ahf_ahf_paid_amt_unknown_45_64_curr" hidden="1">#REF!</definedName>
    <definedName name="ahf_ahf_paid_amt_unknown_65_over_curr" hidden="1">#REF!</definedName>
    <definedName name="ahf_bnft_plan_paid_amt_female_0_19_curr" hidden="1">#REF!</definedName>
    <definedName name="ahf_bnft_plan_paid_amt_female_20_44_curr" hidden="1">#REF!</definedName>
    <definedName name="ahf_bnft_plan_paid_amt_female_45_64_curr" hidden="1">#REF!</definedName>
    <definedName name="ahf_bnft_plan_paid_amt_female_65_over_curr" hidden="1">#REF!</definedName>
    <definedName name="ahf_bnft_plan_paid_amt_male_0_19_curr" hidden="1">#REF!</definedName>
    <definedName name="ahf_bnft_plan_paid_amt_male_20_44_curr" hidden="1">#REF!</definedName>
    <definedName name="ahf_bnft_plan_paid_amt_male_45_64_curr" hidden="1">#REF!</definedName>
    <definedName name="ahf_bnft_plan_paid_amt_male_65_over_curr" hidden="1">#REF!</definedName>
    <definedName name="ahf_bnft_plan_paid_amt_total_0_19_curr" hidden="1">#REF!</definedName>
    <definedName name="ahf_bnft_plan_paid_amt_total_curr" hidden="1">#REF!</definedName>
    <definedName name="ahf_bnft_plan_paid_amt_total_prior" hidden="1">#REF!</definedName>
    <definedName name="ahf_bnft_plan_paid_amt_unknown_0_19_curr" hidden="1">#REF!</definedName>
    <definedName name="ahf_bnft_plan_paid_amt_unknown_20_44_curr" hidden="1">#REF!</definedName>
    <definedName name="ahf_bnft_plan_paid_amt_unknown_45_64_curr" hidden="1">#REF!</definedName>
    <definedName name="ahf_bnft_plan_paid_amt_unknown_65_over_curr" hidden="1">#REF!</definedName>
    <definedName name="ahf_calc_ing_cost_amt_female_0_19_curr" hidden="1">#REF!</definedName>
    <definedName name="ahf_calc_ing_cost_amt_female_20_44_curr" hidden="1">#REF!</definedName>
    <definedName name="ahf_calc_ing_cost_amt_female_45_64_curr" hidden="1">#REF!</definedName>
    <definedName name="ahf_calc_ing_cost_amt_female_65_over_curr" hidden="1">#REF!</definedName>
    <definedName name="ahf_calc_ing_cost_amt_male_0_19_curr" hidden="1">#REF!</definedName>
    <definedName name="ahf_calc_ing_cost_amt_male_20_44_curr" hidden="1">#REF!</definedName>
    <definedName name="ahf_calc_ing_cost_amt_male_45_64_curr" hidden="1">#REF!</definedName>
    <definedName name="ahf_calc_ing_cost_amt_male_65_over_curr" hidden="1">#REF!</definedName>
    <definedName name="ahf_calc_ing_cost_amt_total_0_19_curr" hidden="1">#REF!</definedName>
    <definedName name="ahf_calc_ing_cost_amt_total_curr" hidden="1">#REF!</definedName>
    <definedName name="ahf_calc_ing_cost_amt_total_prior" hidden="1">#REF!</definedName>
    <definedName name="ahf_calc_ing_cost_amt_unknown_0_19_curr" hidden="1">#REF!</definedName>
    <definedName name="ahf_calc_ing_cost_amt_unknown_20_44_curr" hidden="1">#REF!</definedName>
    <definedName name="ahf_calc_ing_cost_amt_unknown_45_64_curr" hidden="1">#REF!</definedName>
    <definedName name="ahf_calc_ing_cost_amt_unknown_65_over_curr" hidden="1">#REF!</definedName>
    <definedName name="ahf_dental_expenses_curr" hidden="1">#REF!</definedName>
    <definedName name="ahf_dental_expenses_prior" hidden="1">#REF!</definedName>
    <definedName name="AHF_Fund_Report_Range" hidden="1">#REF!</definedName>
    <definedName name="AHF_Med_admit_count_curr" hidden="1">#REF!</definedName>
    <definedName name="AHF_Med_admit_count_prior" hidden="1">#REF!</definedName>
    <definedName name="AHF_Med_allowed_amt_female_0_19_curr" hidden="1">#REF!</definedName>
    <definedName name="AHF_Med_allowed_amt_female_0_19_prior" hidden="1">#REF!</definedName>
    <definedName name="AHF_Med_allowed_amt_female_20_44_curr" hidden="1">#REF!</definedName>
    <definedName name="AHF_Med_allowed_amt_female_45_64_curr" hidden="1">#REF!</definedName>
    <definedName name="AHF_Med_allowed_amt_female_65_over_curr" hidden="1">#REF!</definedName>
    <definedName name="AHF_Med_allowed_amt_male_0_19_curr" hidden="1">#REF!</definedName>
    <definedName name="AHF_Med_allowed_amt_male_20_44_curr" hidden="1">#REF!</definedName>
    <definedName name="AHF_Med_allowed_amt_male_45_64_curr" hidden="1">#REF!</definedName>
    <definedName name="AHF_Med_allowed_amt_male_65_over_curr" hidden="1">#REF!</definedName>
    <definedName name="AHF_Med_allowed_amt_total_curr" hidden="1">#REF!</definedName>
    <definedName name="AHF_Med_allowed_amt_total_prior" hidden="1">#REF!</definedName>
    <definedName name="AHF_Med_allowed_amt_unknown_0_19_curr" hidden="1">#REF!</definedName>
    <definedName name="AHF_Med_allowed_amt_unknown_20_44_curr" hidden="1">#REF!</definedName>
    <definedName name="AHF_Med_allowed_amt_unknown_45_64_curr" hidden="1">#REF!</definedName>
    <definedName name="AHF_Med_allowed_amt_unknown_65_over_curr" hidden="1">#REF!</definedName>
    <definedName name="AHF_Med_amb_paid_amt_curr" hidden="1">#REF!</definedName>
    <definedName name="AHF_Med_amb_paid_amt_prior" hidden="1">#REF!</definedName>
    <definedName name="AHF_Med_amb_surgery_count_curr" hidden="1">#REF!</definedName>
    <definedName name="AHF_Med_amb_surgery_count_prior" hidden="1">#REF!</definedName>
    <definedName name="AHF_Med_avg_age_members_curr" hidden="1">#REF!</definedName>
    <definedName name="AHF_Med_avg_age_members_prior" hidden="1">#REF!</definedName>
    <definedName name="AHF_Med_claim_count_female_0_19_curr" hidden="1">#REF!</definedName>
    <definedName name="AHF_Med_claim_count_female_0_19_prior" hidden="1">#REF!</definedName>
    <definedName name="AHF_Med_claim_count_female_20_44_curr" hidden="1">#REF!</definedName>
    <definedName name="AHF_Med_claim_count_female_45_64_curr" hidden="1">#REF!</definedName>
    <definedName name="AHF_Med_claim_count_female_65_over_curr" hidden="1">#REF!</definedName>
    <definedName name="AHF_Med_claim_count_male_0_19_curr" hidden="1">#REF!</definedName>
    <definedName name="AHF_Med_claim_count_male_20_44_curr" hidden="1">#REF!</definedName>
    <definedName name="AHF_Med_claim_count_male_45_64_curr" hidden="1">#REF!</definedName>
    <definedName name="AHF_Med_claim_count_male_65_over_curr" hidden="1">#REF!</definedName>
    <definedName name="AHF_Med_claim_count_total_curr" hidden="1">#REF!</definedName>
    <definedName name="AHF_Med_claim_count_total_prior" hidden="1">#REF!</definedName>
    <definedName name="AHF_Med_claim_count_unknown_0_19_curr" hidden="1">#REF!</definedName>
    <definedName name="AHF_Med_claim_count_unknown_20_44_curr" hidden="1">#REF!</definedName>
    <definedName name="AHF_Med_claim_count_unknown_45_64_curr" hidden="1">#REF!</definedName>
    <definedName name="AHF_Med_claim_count_unknown_65_over_curr" hidden="1">#REF!</definedName>
    <definedName name="AHF_Med_count_amb_curr" hidden="1">#REF!</definedName>
    <definedName name="AHF_Med_count_er_curr" hidden="1">#REF!</definedName>
    <definedName name="AHF_Med_count_home_health_curr" hidden="1">#REF!</definedName>
    <definedName name="AHF_Med_count_inp_curr" hidden="1">#REF!</definedName>
    <definedName name="AHF_Med_count_lab_curr" hidden="1">#REF!</definedName>
    <definedName name="AHF_Med_count_medical_misc_curr" hidden="1">#REF!</definedName>
    <definedName name="AHF_Med_count_medical_rx_curr" hidden="1">#REF!</definedName>
    <definedName name="AHF_Med_count_mental_health_curr" hidden="1">#REF!</definedName>
    <definedName name="AHF_Med_count_prim_phys_curr" hidden="1">#REF!</definedName>
    <definedName name="AHF_Med_count_rad_curr" hidden="1">#REF!</definedName>
    <definedName name="AHF_Med_count_spec_phys_curr" hidden="1">#REF!</definedName>
    <definedName name="AHF_Med_count_total_curr" hidden="1">#REF!</definedName>
    <definedName name="AHF_Med_count_total_mcc_curr" hidden="1">#REF!</definedName>
    <definedName name="AHF_Med_days_count_curr" hidden="1">#REF!</definedName>
    <definedName name="AHF_Med_days_count_prior" hidden="1">#REF!</definedName>
    <definedName name="AHF_Med_emp_paid_amt_female_0_19_curr" hidden="1">#REF!</definedName>
    <definedName name="AHF_Med_emp_paid_amt_female_0_19_prior" hidden="1">#REF!</definedName>
    <definedName name="AHF_Med_emp_paid_amt_female_20_44_curr" hidden="1">#REF!</definedName>
    <definedName name="AHF_Med_emp_paid_amt_female_45_64_curr" hidden="1">#REF!</definedName>
    <definedName name="AHF_Med_emp_paid_amt_female_65_over_curr" hidden="1">#REF!</definedName>
    <definedName name="AHF_Med_emp_paid_amt_male_0_19_curr" hidden="1">#REF!</definedName>
    <definedName name="AHF_Med_emp_paid_amt_male_20_44_curr" hidden="1">#REF!</definedName>
    <definedName name="AHF_Med_emp_paid_amt_male_45_64_curr" hidden="1">#REF!</definedName>
    <definedName name="AHF_Med_emp_paid_amt_male_65_over_curr" hidden="1">#REF!</definedName>
    <definedName name="AHF_Med_emp_paid_amt_total_curr" hidden="1">#REF!</definedName>
    <definedName name="AHF_Med_emp_paid_amt_total_prior" hidden="1">#REF!</definedName>
    <definedName name="AHF_Med_emp_paid_amt_unknown_0_19_curr" hidden="1">#REF!</definedName>
    <definedName name="AHF_Med_emp_paid_amt_unknown_20_44_curr" hidden="1">#REF!</definedName>
    <definedName name="AHF_Med_emp_paid_amt_unknown_45_64_curr" hidden="1">#REF!</definedName>
    <definedName name="AHF_Med_emp_paid_amt_unknown_65_over_curr" hidden="1">#REF!</definedName>
    <definedName name="AHF_Med_er_visits_count_curr" hidden="1">#REF!</definedName>
    <definedName name="AHF_Med_er_visits_count_prior" hidden="1">#REF!</definedName>
    <definedName name="AHF_Med_female_mem_0_19_curr" hidden="1">#REF!</definedName>
    <definedName name="AHF_Med_female_mem_0_19_prior" hidden="1">#REF!</definedName>
    <definedName name="AHF_Med_female_mem_20_44_curr" hidden="1">#REF!</definedName>
    <definedName name="AHF_Med_female_mem_20_44_prior" hidden="1">#REF!</definedName>
    <definedName name="AHF_Med_female_mem_45_64_curr" hidden="1">#REF!</definedName>
    <definedName name="AHF_Med_female_mem_45_64_prior" hidden="1">#REF!</definedName>
    <definedName name="AHF_Med_female_mem_65_over_curr" hidden="1">#REF!</definedName>
    <definedName name="AHF_Med_female_mem_65_over_prior" hidden="1">#REF!</definedName>
    <definedName name="AHF_Med_female_members_curr" hidden="1">#REF!</definedName>
    <definedName name="AHF_Med_female_members_prior" hidden="1">#REF!</definedName>
    <definedName name="AHF_Med_fund_in_network_paid_amt_curr" hidden="1">#REF!</definedName>
    <definedName name="AHF_Med_fund_in_network_paid_amt_prior" hidden="1">#REF!</definedName>
    <definedName name="AHF_Med_fund_paid_amt_amb_curr" hidden="1">#REF!</definedName>
    <definedName name="AHF_Med_fund_paid_amt_curr" hidden="1">#REF!</definedName>
    <definedName name="AHF_Med_fund_paid_amt_er_curr" hidden="1">#REF!</definedName>
    <definedName name="AHF_Med_fund_paid_amt_female_0_19_curr" hidden="1">#REF!</definedName>
    <definedName name="AHF_Med_fund_paid_amt_female_0_19_prior" hidden="1">#REF!</definedName>
    <definedName name="AHF_Med_fund_paid_amt_female_20_44_curr" hidden="1">#REF!</definedName>
    <definedName name="AHF_Med_fund_paid_amt_female_45_64_curr" hidden="1">#REF!</definedName>
    <definedName name="AHF_Med_fund_paid_amt_female_65_over_curr" hidden="1">#REF!</definedName>
    <definedName name="AHF_Med_fund_paid_amt_home_health_curr" hidden="1">#REF!</definedName>
    <definedName name="AHF_Med_fund_paid_amt_inp_curr" hidden="1">#REF!</definedName>
    <definedName name="AHF_Med_fund_paid_amt_lab_curr" hidden="1">#REF!</definedName>
    <definedName name="AHF_Med_fund_paid_amt_male_0_19_curr" hidden="1">#REF!</definedName>
    <definedName name="AHF_Med_fund_paid_amt_male_20_44_curr" hidden="1">#REF!</definedName>
    <definedName name="AHF_Med_fund_paid_amt_male_45_64_curr" hidden="1">#REF!</definedName>
    <definedName name="AHF_Med_fund_paid_amt_male_65_over_curr" hidden="1">#REF!</definedName>
    <definedName name="AHF_Med_fund_paid_amt_medical_misc_curr" hidden="1">#REF!</definedName>
    <definedName name="AHF_Med_fund_paid_amt_medical_rx_curr" hidden="1">#REF!</definedName>
    <definedName name="AHF_Med_fund_paid_amt_mental_health_curr" hidden="1">#REF!</definedName>
    <definedName name="AHF_Med_fund_paid_amt_prim_phys_curr" hidden="1">#REF!</definedName>
    <definedName name="AHF_Med_fund_paid_amt_prior" hidden="1">#REF!</definedName>
    <definedName name="AHF_Med_fund_paid_amt_rad_curr" hidden="1">#REF!</definedName>
    <definedName name="AHF_Med_fund_paid_amt_spec_phys_curr" hidden="1">#REF!</definedName>
    <definedName name="AHF_Med_fund_paid_amt_total_curr" hidden="1">#REF!</definedName>
    <definedName name="AHF_Med_fund_paid_amt_total_mcc_curr" hidden="1">#REF!</definedName>
    <definedName name="AHF_Med_fund_paid_amt_total_prior" hidden="1">#REF!</definedName>
    <definedName name="AHF_Med_fund_paid_amt_unknown_0_19_curr" hidden="1">#REF!</definedName>
    <definedName name="AHF_Med_fund_paid_amt_unknown_20_44_curr" hidden="1">#REF!</definedName>
    <definedName name="AHF_Med_fund_paid_amt_unknown_45_64_curr" hidden="1">#REF!</definedName>
    <definedName name="AHF_Med_fund_paid_amt_unknown_65_over_curr" hidden="1">#REF!</definedName>
    <definedName name="AHF_Med_in_network_paid_amt_curr" hidden="1">#REF!</definedName>
    <definedName name="AHF_Med_in_network_paid_amt_prior" hidden="1">#REF!</definedName>
    <definedName name="AHF_Med_inp_paid_amt_curr" hidden="1">#REF!</definedName>
    <definedName name="AHF_Med_inp_paid_amt_prior" hidden="1">#REF!</definedName>
    <definedName name="AHF_Med_inp_surgery_count_curr" hidden="1">#REF!</definedName>
    <definedName name="AHF_Med_inp_surgery_count_prior" hidden="1">#REF!</definedName>
    <definedName name="AHF_Med_male_mem_0_19_curr" hidden="1">#REF!</definedName>
    <definedName name="AHF_Med_male_mem_0_19_prior" hidden="1">#REF!</definedName>
    <definedName name="AHF_Med_male_mem_20_44_curr" hidden="1">#REF!</definedName>
    <definedName name="AHF_Med_male_mem_20_44_prior" hidden="1">#REF!</definedName>
    <definedName name="AHF_Med_male_mem_45_64_curr" hidden="1">#REF!</definedName>
    <definedName name="AHF_Med_male_mem_45_64_prior" hidden="1">#REF!</definedName>
    <definedName name="AHF_Med_male_mem_65_over_curr" hidden="1">#REF!</definedName>
    <definedName name="AHF_Med_male_mem_65_over_prior" hidden="1">#REF!</definedName>
    <definedName name="AHF_Med_male_members_curr" hidden="1">#REF!</definedName>
    <definedName name="AHF_Med_male_members_prior" hidden="1">#REF!</definedName>
    <definedName name="AHF_Med_months_curr" hidden="1">#REF!</definedName>
    <definedName name="AHF_Med_months_prior" hidden="1">#REF!</definedName>
    <definedName name="AHF_Med_num_employees_curr" hidden="1">#REF!</definedName>
    <definedName name="AHF_Med_num_employees_prior" hidden="1">#REF!</definedName>
    <definedName name="AHF_Med_num_members_curr" hidden="1">#REF!</definedName>
    <definedName name="AHF_Med_num_members_prior" hidden="1">#REF!</definedName>
    <definedName name="AHF_Med_office_visits_count_curr" hidden="1">#REF!</definedName>
    <definedName name="AHF_Med_office_visits_count_prior" hidden="1">#REF!</definedName>
    <definedName name="AHF_Med_paid_amt_amb_curr" hidden="1">#REF!</definedName>
    <definedName name="AHF_Med_paid_amt_curr" hidden="1">#REF!</definedName>
    <definedName name="AHF_Med_paid_amt_er_curr" hidden="1">#REF!</definedName>
    <definedName name="AHF_Med_paid_amt_female_0_19_curr" hidden="1">#REF!</definedName>
    <definedName name="AHF_Med_paid_amt_female_0_19_prior" hidden="1">#REF!</definedName>
    <definedName name="AHF_Med_paid_amt_female_20_44_curr" hidden="1">#REF!</definedName>
    <definedName name="AHF_Med_paid_amt_female_45_64_curr" hidden="1">#REF!</definedName>
    <definedName name="AHF_Med_paid_amt_female_65_over_curr" hidden="1">#REF!</definedName>
    <definedName name="AHF_Med_paid_amt_home_health_curr" hidden="1">#REF!</definedName>
    <definedName name="AHF_Med_paid_amt_inp_curr" hidden="1">#REF!</definedName>
    <definedName name="AHF_Med_paid_amt_lab_curr" hidden="1">#REF!</definedName>
    <definedName name="AHF_Med_paid_amt_male_0_19_curr" hidden="1">#REF!</definedName>
    <definedName name="AHF_Med_paid_amt_male_20_44_curr" hidden="1">#REF!</definedName>
    <definedName name="AHF_Med_paid_amt_male_45_64_curr" hidden="1">#REF!</definedName>
    <definedName name="AHF_Med_paid_amt_male_65_over_curr" hidden="1">#REF!</definedName>
    <definedName name="AHF_Med_paid_amt_medical_misc_curr" hidden="1">#REF!</definedName>
    <definedName name="AHF_Med_paid_amt_medical_rx_curr" hidden="1">#REF!</definedName>
    <definedName name="AHF_Med_paid_amt_mental_health_curr" hidden="1">#REF!</definedName>
    <definedName name="AHF_Med_paid_amt_prim_phys_curr" hidden="1">#REF!</definedName>
    <definedName name="AHF_Med_paid_amt_prior" hidden="1">#REF!</definedName>
    <definedName name="AHF_Med_paid_amt_rad_curr" hidden="1">#REF!</definedName>
    <definedName name="AHF_Med_paid_amt_spec_phys_curr" hidden="1">#REF!</definedName>
    <definedName name="AHF_Med_paid_amt_total_curr" hidden="1">#REF!</definedName>
    <definedName name="AHF_Med_paid_amt_total_mcc_curr" hidden="1">#REF!</definedName>
    <definedName name="AHF_Med_paid_amt_total_prior" hidden="1">#REF!</definedName>
    <definedName name="AHF_Med_paid_amt_unknown_0_19_curr" hidden="1">#REF!</definedName>
    <definedName name="AHF_Med_paid_amt_unknown_20_44_curr" hidden="1">#REF!</definedName>
    <definedName name="AHF_Med_paid_amt_unknown_45_64_curr" hidden="1">#REF!</definedName>
    <definedName name="AHF_Med_paid_amt_unknown_65_over_curr" hidden="1">#REF!</definedName>
    <definedName name="AHF_Med_primary_office__visits_count_prior" hidden="1">#REF!</definedName>
    <definedName name="AHF_Med_primary_office_visits_count_curr" hidden="1">#REF!</definedName>
    <definedName name="AHF_Med_primary_office_visits_count_prior" hidden="1">#REF!</definedName>
    <definedName name="AHF_Med_specialist_office__visits_count_prior" hidden="1">#REF!</definedName>
    <definedName name="AHF_Med_specialist_office_visits_count_curr" hidden="1">#REF!</definedName>
    <definedName name="AHF_Med_specialist_office_visits_count_prior" hidden="1">#REF!</definedName>
    <definedName name="AHF_Med_surgery_count_curr" hidden="1">#REF!</definedName>
    <definedName name="AHF_Med_surgery_count_prior" hidden="1">#REF!</definedName>
    <definedName name="AHF_Med_unknown_mem_0_19_curr" hidden="1">#REF!</definedName>
    <definedName name="AHF_Med_unknown_mem_0_19_prior" hidden="1">#REF!</definedName>
    <definedName name="AHF_Med_unknown_mem_20_44_curr" hidden="1">#REF!</definedName>
    <definedName name="AHF_Med_unknown_mem_20_44_prior" hidden="1">#REF!</definedName>
    <definedName name="AHF_Med_unknown_mem_45_64_curr" hidden="1">#REF!</definedName>
    <definedName name="AHF_Med_unknown_mem_45_64_prior" hidden="1">#REF!</definedName>
    <definedName name="AHF_Med_unknown_mem_65_over_curr" hidden="1">#REF!</definedName>
    <definedName name="AHF_Med_unknown_mem_65_over_prior" hidden="1">#REF!</definedName>
    <definedName name="AHF_Med_unknown_members_curr" hidden="1">#REF!</definedName>
    <definedName name="AHF_Med_unknown_members_prior" hidden="1">#REF!</definedName>
    <definedName name="AHF_Medical_by_Family_Range" hidden="1">#REF!</definedName>
    <definedName name="AHF_Medical_by_Member_Range" hidden="1">#REF!</definedName>
    <definedName name="AHF_Medical_Cost_Category_Range" hidden="1">#REF!</definedName>
    <definedName name="AHF_Medical_Demographics_Range" hidden="1">#REF!</definedName>
    <definedName name="ahf_medical_expenses_curr" hidden="1">#REF!</definedName>
    <definedName name="ahf_medical_expenses_prior" hidden="1">#REF!</definedName>
    <definedName name="AHF_Medical_Key_Statistics_Range" hidden="1">#REF!</definedName>
    <definedName name="ahf_member_cnt_female_0_19_curr" hidden="1">#REF!</definedName>
    <definedName name="ahf_member_cnt_female_20_44_curr" hidden="1">#REF!</definedName>
    <definedName name="ahf_member_cnt_female_45_64_curr" hidden="1">#REF!</definedName>
    <definedName name="ahf_member_cnt_female_65_over_curr" hidden="1">#REF!</definedName>
    <definedName name="ahf_member_cnt_male_0_19_curr" hidden="1">#REF!</definedName>
    <definedName name="ahf_member_cnt_male_20_44_curr" hidden="1">#REF!</definedName>
    <definedName name="ahf_member_cnt_male_45_64_curr" hidden="1">#REF!</definedName>
    <definedName name="ahf_member_cnt_male_65_over_curr" hidden="1">#REF!</definedName>
    <definedName name="ahf_member_cnt_total_0_19_curr" hidden="1">#REF!</definedName>
    <definedName name="ahf_member_cnt_total_curr" hidden="1">#REF!</definedName>
    <definedName name="ahf_member_cnt_total_prior" hidden="1">#REF!</definedName>
    <definedName name="ahf_member_cnt_unknown_0_19_curr" hidden="1">#REF!</definedName>
    <definedName name="ahf_member_cnt_unknown_20_44_curr" hidden="1">#REF!</definedName>
    <definedName name="ahf_member_cnt_unknown_45_64_curr" hidden="1">#REF!</definedName>
    <definedName name="ahf_member_cnt_unknown_65_over_curr" hidden="1">#REF!</definedName>
    <definedName name="ahf_paid_amt_female_0_19_curr" hidden="1">#REF!</definedName>
    <definedName name="ahf_paid_amt_female_20_44_curr" hidden="1">#REF!</definedName>
    <definedName name="ahf_paid_amt_female_45_64_curr" hidden="1">#REF!</definedName>
    <definedName name="ahf_paid_amt_female_65_over_curr" hidden="1">#REF!</definedName>
    <definedName name="ahf_paid_amt_male_0_19_curr" hidden="1">#REF!</definedName>
    <definedName name="ahf_paid_amt_male_20_44_curr" hidden="1">#REF!</definedName>
    <definedName name="ahf_paid_amt_male_45_64_curr" hidden="1">#REF!</definedName>
    <definedName name="ahf_paid_amt_male_65_over_curr" hidden="1">#REF!</definedName>
    <definedName name="ahf_paid_amt_total_0_19_curr" hidden="1">#REF!</definedName>
    <definedName name="ahf_paid_amt_total_curr" hidden="1">#REF!</definedName>
    <definedName name="ahf_paid_amt_total_prior" hidden="1">#REF!</definedName>
    <definedName name="ahf_paid_amt_unknown_0_19_curr" hidden="1">#REF!</definedName>
    <definedName name="ahf_paid_amt_unknown_20_44_curr" hidden="1">#REF!</definedName>
    <definedName name="ahf_paid_amt_unknown_45_64_curr" hidden="1">#REF!</definedName>
    <definedName name="ahf_paid_amt_unknown_65_over_curr" hidden="1">#REF!</definedName>
    <definedName name="AHF_Rx_Demographics_Range" hidden="1">#REF!</definedName>
    <definedName name="AHF_Rx_Key_Statistics_Range" hidden="1">#REF!</definedName>
    <definedName name="ahf_rx_num_brand_claims_curr" hidden="1">#REF!</definedName>
    <definedName name="ahf_rx_num_brand_claims_prior" hidden="1">#REF!</definedName>
    <definedName name="ahf_rx_num_claims_curr" hidden="1">#REF!</definedName>
    <definedName name="ahf_rx_num_claims_prior" hidden="1">#REF!</definedName>
    <definedName name="ahf_rx_num_formulary_claims_curr" hidden="1">#REF!</definedName>
    <definedName name="ahf_rx_num_formulary_claims_prior" hidden="1">#REF!</definedName>
    <definedName name="ahf_rx_num_gen_subst_claims_y_curr" hidden="1">#REF!</definedName>
    <definedName name="ahf_rx_num_gen_subst_claims_y_o_curr" hidden="1">#REF!</definedName>
    <definedName name="ahf_rx_num_gen_subst_claims_y_o_prior" hidden="1">#REF!</definedName>
    <definedName name="ahf_rx_num_gen_subst_claims_y_prior" hidden="1">#REF!</definedName>
    <definedName name="ahf_rx_num_generic_claims_curr" hidden="1">#REF!</definedName>
    <definedName name="ahf_rx_num_generic_claims_prior" hidden="1">#REF!</definedName>
    <definedName name="ahf_rx_num_unique_mem_id_curr" hidden="1">#REF!</definedName>
    <definedName name="ahf_rx_num_unique_mem_id_prior" hidden="1">#REF!</definedName>
    <definedName name="ahf_srv_copay_amt_female_0_19_curr" hidden="1">#REF!</definedName>
    <definedName name="ahf_srv_copay_amt_female_20_44_curr" hidden="1">#REF!</definedName>
    <definedName name="ahf_srv_copay_amt_female_45_64_curr" hidden="1">#REF!</definedName>
    <definedName name="ahf_srv_copay_amt_female_65_over_curr" hidden="1">#REF!</definedName>
    <definedName name="ahf_srv_copay_amt_male_0_19_curr" hidden="1">#REF!</definedName>
    <definedName name="ahf_srv_copay_amt_male_20_44_curr" hidden="1">#REF!</definedName>
    <definedName name="ahf_srv_copay_amt_male_45_64_curr" hidden="1">#REF!</definedName>
    <definedName name="ahf_srv_copay_amt_male_65_over_curr" hidden="1">#REF!</definedName>
    <definedName name="ahf_srv_copay_amt_total_0_19_curr" hidden="1">#REF!</definedName>
    <definedName name="ahf_srv_copay_amt_total_curr" hidden="1">#REF!</definedName>
    <definedName name="ahf_srv_copay_amt_total_prior" hidden="1">#REF!</definedName>
    <definedName name="ahf_srv_copay_amt_unknown_0_19_curr" hidden="1">#REF!</definedName>
    <definedName name="ahf_srv_copay_amt_unknown_20_44_curr" hidden="1">#REF!</definedName>
    <definedName name="ahf_srv_copay_amt_unknown_45_64_curr" hidden="1">#REF!</definedName>
    <definedName name="ahf_srv_copay_amt_unknown_65_over_curr" hidden="1">#REF!</definedName>
    <definedName name="ahf_term_emp_fund_paid_curr" hidden="1">#REF!</definedName>
    <definedName name="ahf_term_emp_plus_1_fund_paid_curr" hidden="1">#REF!</definedName>
    <definedName name="ahf_term_emp_plus_2_fund_paid_curr" hidden="1">#REF!</definedName>
    <definedName name="ahf_term_emp_plus_fam_fund_paid_curr" hidden="1">#REF!</definedName>
    <definedName name="ahf_term_total_fund_paid_curr" hidden="1">#REF!</definedName>
    <definedName name="ahf_termed_tier1_active_employee_curr" hidden="1">#REF!</definedName>
    <definedName name="ahf_termed_tier1_cr_claim_paid_with_cr_funds_curr" hidden="1">#REF!</definedName>
    <definedName name="ahf_termed_tier1_cr_clm_paid_with_rollover_funds_curr" hidden="1">#REF!</definedName>
    <definedName name="ahf_termed_tier1_cr_fund_remaining_curr" hidden="1">#REF!</definedName>
    <definedName name="ahf_termed_tier1_cr_year_initial_fund_curr" hidden="1">#REF!</definedName>
    <definedName name="ahf_termed_tier1_emp_0_spend_curr" hidden="1">#REF!</definedName>
    <definedName name="ahf_termed_tier1_emp_100_spend_curr" hidden="1">#REF!</definedName>
    <definedName name="ahf_termed_tier1_emp_24_1_spend_curr" hidden="1">#REF!</definedName>
    <definedName name="ahf_termed_tier1_emp_49_25_spend_curr" hidden="1">#REF!</definedName>
    <definedName name="ahf_termed_tier1_emp_74_50_spend_curr" hidden="1">#REF!</definedName>
    <definedName name="ahf_termed_tier1_emp_99_75_spend_curr" hidden="1">#REF!</definedName>
    <definedName name="ahf_termed_tier1_Incentive_fund_earned_curr" hidden="1">#REF!</definedName>
    <definedName name="ahf_termed_tier1_rollover_fund_remaining_curr" hidden="1">#REF!</definedName>
    <definedName name="ahf_termed_tier1_rollover_pr_year_curr" hidden="1">#REF!</definedName>
    <definedName name="ahf_termed_tier1_tot_fund_available_curr" hidden="1">#REF!</definedName>
    <definedName name="ahf_termed_tier2_active_employee_curr" hidden="1">#REF!</definedName>
    <definedName name="ahf_termed_tier2_cr_claim_paid_with_cr_funds_curr" hidden="1">#REF!</definedName>
    <definedName name="ahf_termed_tier2_cr_clm_paid_with_rollover_funds_curr" hidden="1">#REF!</definedName>
    <definedName name="ahf_termed_tier2_cr_fund_remaining_curr" hidden="1">#REF!</definedName>
    <definedName name="ahf_termed_tier2_cr_year_initial_fund_curr" hidden="1">#REF!</definedName>
    <definedName name="ahf_termed_tier2_emp_0_spend_curr" hidden="1">#REF!</definedName>
    <definedName name="ahf_termed_tier2_emp_100_spend_curr" hidden="1">#REF!</definedName>
    <definedName name="ahf_termed_tier2_emp_24_1_spend_curr" hidden="1">#REF!</definedName>
    <definedName name="ahf_termed_tier2_emp_49_25_spend_curr" hidden="1">#REF!</definedName>
    <definedName name="ahf_termed_tier2_emp_74_50_spend_curr" hidden="1">#REF!</definedName>
    <definedName name="ahf_termed_tier2_emp_99_75_spend_curr" hidden="1">#REF!</definedName>
    <definedName name="ahf_termed_tier2_Incentive_fund_earned_curr" hidden="1">#REF!</definedName>
    <definedName name="ahf_termed_tier2_rollover_fund_remaining_curr" hidden="1">#REF!</definedName>
    <definedName name="ahf_termed_tier2_rollover_pr_year_curr" hidden="1">#REF!</definedName>
    <definedName name="ahf_termed_tier2_tot_fund_available_curr" hidden="1">#REF!</definedName>
    <definedName name="ahf_termed_tier3_active_employee_curr" hidden="1">#REF!</definedName>
    <definedName name="ahf_termed_tier3_cr_claim_paid_with_cr_funds_curr" hidden="1">#REF!</definedName>
    <definedName name="ahf_termed_tier3_cr_clm_paid_with_rollover_funds_curr" hidden="1">#REF!</definedName>
    <definedName name="ahf_termed_tier3_cr_fund_remaining_curr" hidden="1">#REF!</definedName>
    <definedName name="ahf_termed_tier3_cr_year_initial_fund_curr" hidden="1">#REF!</definedName>
    <definedName name="ahf_termed_tier3_emp_0_spend_curr" hidden="1">#REF!</definedName>
    <definedName name="ahf_termed_tier3_emp_100_spend_curr" hidden="1">#REF!</definedName>
    <definedName name="ahf_termed_tier3_emp_24_1_spend_curr" hidden="1">#REF!</definedName>
    <definedName name="ahf_termed_tier3_emp_49_25_spend_curr" hidden="1">#REF!</definedName>
    <definedName name="ahf_termed_tier3_emp_74_50_spend_curr" hidden="1">#REF!</definedName>
    <definedName name="ahf_termed_tier3_emp_99_75_spend_curr" hidden="1">#REF!</definedName>
    <definedName name="ahf_termed_tier3_Incentive_fund_earned_curr" hidden="1">#REF!</definedName>
    <definedName name="ahf_termed_tier3_rollover_fund_remaining_curr" hidden="1">#REF!</definedName>
    <definedName name="ahf_termed_tier3_rollover_pr_year_curr" hidden="1">#REF!</definedName>
    <definedName name="ahf_termed_tier3_tot_fund_available_curr" hidden="1">#REF!</definedName>
    <definedName name="ahf_termed_tier4_active_employee_curr" hidden="1">#REF!</definedName>
    <definedName name="ahf_termed_tier4_cr_claim_paid_with_cr_funds_curr" hidden="1">#REF!</definedName>
    <definedName name="ahf_termed_tier4_cr_clm_paid_with_rollover_funds_curr" hidden="1">#REF!</definedName>
    <definedName name="ahf_termed_tier4_cr_fund_remaining_curr" hidden="1">#REF!</definedName>
    <definedName name="ahf_termed_tier4_cr_year_initial_fund_curr" hidden="1">#REF!</definedName>
    <definedName name="ahf_termed_tier4_emp_0_spend_curr" hidden="1">#REF!</definedName>
    <definedName name="ahf_termed_tier4_emp_100_spend_curr" hidden="1">#REF!</definedName>
    <definedName name="ahf_termed_tier4_emp_24_1_spend_curr" hidden="1">#REF!</definedName>
    <definedName name="ahf_termed_tier4_emp_49_25_spend_curr" hidden="1">#REF!</definedName>
    <definedName name="ahf_termed_tier4_emp_74_50_spend_curr" hidden="1">#REF!</definedName>
    <definedName name="ahf_termed_tier4_emp_99_75_spend_curr" hidden="1">#REF!</definedName>
    <definedName name="ahf_termed_tier4_Incentive_fund_earned_curr" hidden="1">#REF!</definedName>
    <definedName name="ahf_termed_tier4_rollover_fund_remaining_curr" hidden="1">#REF!</definedName>
    <definedName name="ahf_termed_tier4_rollover_pr_year_curr" hidden="1">#REF!</definedName>
    <definedName name="ahf_termed_tier4_tot_fund_available_curr" hidden="1">#REF!</definedName>
    <definedName name="ahf_tier1_active_employee_curr" hidden="1">#REF!</definedName>
    <definedName name="ahf_tier1_cr_claim_paid_with_cr_funds_curr" hidden="1">#REF!</definedName>
    <definedName name="ahf_tier1_cr_clm_paid_with_rollover_funds_curr" hidden="1">#REF!</definedName>
    <definedName name="ahf_tier1_cr_fund_remaining_curr" hidden="1">#REF!</definedName>
    <definedName name="ahf_tier1_cr_year_initial_fund_curr" hidden="1">#REF!</definedName>
    <definedName name="ahf_tier1_emp_0_spend_curr" hidden="1">#REF!</definedName>
    <definedName name="ahf_tier1_emp_100_spend_curr" hidden="1">#REF!</definedName>
    <definedName name="ahf_tier1_emp_24_1_spend_curr" hidden="1">#REF!</definedName>
    <definedName name="ahf_tier1_emp_49_25_spend_curr" hidden="1">#REF!</definedName>
    <definedName name="ahf_tier1_emp_74_50_spend_curr" hidden="1">#REF!</definedName>
    <definedName name="ahf_tier1_emp_99_75_spend_curr" hidden="1">#REF!</definedName>
    <definedName name="ahf_tier1_Incentive_fund_earned_curr" hidden="1">#REF!</definedName>
    <definedName name="ahf_tier1_rollover_fund_remaining_curr" hidden="1">#REF!</definedName>
    <definedName name="ahf_tier1_rollover_pr_year_curr" hidden="1">#REF!</definedName>
    <definedName name="ahf_tier1_tot_fund_available_curr" hidden="1">#REF!</definedName>
    <definedName name="ahf_tier2_active_employee_curr" hidden="1">#REF!</definedName>
    <definedName name="ahf_tier2_cr_claim_paid_with_cr_funds_curr" hidden="1">#REF!</definedName>
    <definedName name="ahf_tier2_cr_clm_paid_with_rollover_funds_curr" hidden="1">#REF!</definedName>
    <definedName name="ahf_tier2_cr_fund_remaining_curr" hidden="1">#REF!</definedName>
    <definedName name="ahf_tier2_cr_year_initial_fund_curr" hidden="1">#REF!</definedName>
    <definedName name="ahf_tier2_emp_0_spend_curr" hidden="1">#REF!</definedName>
    <definedName name="ahf_tier2_emp_100_spend_curr" hidden="1">#REF!</definedName>
    <definedName name="ahf_tier2_emp_24_1_spend_curr" hidden="1">#REF!</definedName>
    <definedName name="ahf_tier2_emp_49_25_spend_curr" hidden="1">#REF!</definedName>
    <definedName name="ahf_tier2_emp_74_50_spend_curr" hidden="1">#REF!</definedName>
    <definedName name="ahf_tier2_emp_99_75_spend_curr" hidden="1">#REF!</definedName>
    <definedName name="ahf_tier2_Incentive_fund_earned_curr" hidden="1">#REF!</definedName>
    <definedName name="ahf_tier2_rollover_fund_remaining_curr" hidden="1">#REF!</definedName>
    <definedName name="ahf_tier2_rollover_pr_year_curr" hidden="1">#REF!</definedName>
    <definedName name="ahf_tier2_tot_fund_available_curr" hidden="1">#REF!</definedName>
    <definedName name="ahf_tier3_active_employee_curr" hidden="1">#REF!</definedName>
    <definedName name="ahf_tier3_cr_claim_paid_with_cr_funds_curr" hidden="1">#REF!</definedName>
    <definedName name="ahf_tier3_cr_clm_paid_with_rollover_funds_curr" hidden="1">#REF!</definedName>
    <definedName name="ahf_tier3_cr_fund_remaining_curr" hidden="1">#REF!</definedName>
    <definedName name="ahf_tier3_cr_year_initial_fund_curr" hidden="1">#REF!</definedName>
    <definedName name="ahf_tier3_emp_0_spend_curr" hidden="1">#REF!</definedName>
    <definedName name="ahf_tier3_emp_100_spend_curr" hidden="1">#REF!</definedName>
    <definedName name="ahf_tier3_emp_24_1_spend_curr" hidden="1">#REF!</definedName>
    <definedName name="ahf_tier3_emp_49_25_spend_curr" hidden="1">#REF!</definedName>
    <definedName name="ahf_tier3_emp_74_50_spend_curr" hidden="1">#REF!</definedName>
    <definedName name="ahf_tier3_emp_99_75_spend_curr" hidden="1">#REF!</definedName>
    <definedName name="ahf_tier3_Incentive_fund_earned_curr" hidden="1">#REF!</definedName>
    <definedName name="ahf_tier3_rollover_fund_remaining_curr" hidden="1">#REF!</definedName>
    <definedName name="ahf_tier3_rollover_pr_year_curr" hidden="1">#REF!</definedName>
    <definedName name="ahf_tier3_tot_fund_available_curr" hidden="1">#REF!</definedName>
    <definedName name="ahf_tier4_active_employee_curr" hidden="1">#REF!</definedName>
    <definedName name="ahf_tier4_cr_claim_paid_with_cr_funds_curr" hidden="1">#REF!</definedName>
    <definedName name="ahf_tier4_cr_clm_paid_with_rollover_funds_curr" hidden="1">#REF!</definedName>
    <definedName name="ahf_tier4_cr_fund_remaining_curr" hidden="1">#REF!</definedName>
    <definedName name="ahf_tier4_cr_year_initial_fund_curr" hidden="1">#REF!</definedName>
    <definedName name="ahf_tier4_emp_0_spend_curr" hidden="1">#REF!</definedName>
    <definedName name="ahf_tier4_emp_100_spend_curr" hidden="1">#REF!</definedName>
    <definedName name="ahf_tier4_emp_24_1_spend_curr" hidden="1">#REF!</definedName>
    <definedName name="ahf_tier4_emp_49_25_spend_curr" hidden="1">#REF!</definedName>
    <definedName name="ahf_tier4_emp_74_50_spend_curr" hidden="1">#REF!</definedName>
    <definedName name="ahf_tier4_emp_99_75_spend_curr" hidden="1">#REF!</definedName>
    <definedName name="ahf_tier4_Incentive_fund_earned_curr" hidden="1">#REF!</definedName>
    <definedName name="ahf_tier4_rollover_fund_remaining_curr" hidden="1">#REF!</definedName>
    <definedName name="ahf_tier4_rollover_pr_year_curr" hidden="1">#REF!</definedName>
    <definedName name="ahf_tier4_tot_fund_available_curr" hidden="1">#REF!</definedName>
    <definedName name="ahf_total_active_employee_curr" hidden="1">#REF!</definedName>
    <definedName name="ahf_total_cr_claim_paid_with_cr_funds_curr" hidden="1">#REF!</definedName>
    <definedName name="ahf_total_cr_clm_paid_with_rollover_funds_curr" hidden="1">#REF!</definedName>
    <definedName name="ahf_total_cr_fund_remaining_curr" hidden="1">#REF!</definedName>
    <definedName name="ahf_total_cr_year_initial_fund_curr" hidden="1">#REF!</definedName>
    <definedName name="ahf_total_emp_0_spend_curr" hidden="1">#REF!</definedName>
    <definedName name="ahf_total_emp_100_spend_curr" hidden="1">#REF!</definedName>
    <definedName name="ahf_total_emp_24_1_spend_curr" hidden="1">#REF!</definedName>
    <definedName name="ahf_total_emp_49_25_spend_curr" hidden="1">#REF!</definedName>
    <definedName name="ahf_total_emp_74_50_spend_curr" hidden="1">#REF!</definedName>
    <definedName name="ahf_total_emp_99_75_spend_curr" hidden="1">#REF!</definedName>
    <definedName name="ahf_total_Incentive_fund_earned_curr" hidden="1">#REF!</definedName>
    <definedName name="ahf_total_rollover_fund_remaining_curr" hidden="1">#REF!</definedName>
    <definedName name="ahf_total_rollover_pr_year_curr" hidden="1">#REF!</definedName>
    <definedName name="ahf_total_termd_active_employee_curr" hidden="1">#REF!</definedName>
    <definedName name="ahf_total_termd_cr_claim_paid_with_cr_funds_curr" hidden="1">#REF!</definedName>
    <definedName name="ahf_total_termd_cr_clm_paid_with_rollover_funds_curr" hidden="1">#REF!</definedName>
    <definedName name="ahf_total_termd_cr_fund_remaining_curr" hidden="1">#REF!</definedName>
    <definedName name="ahf_total_termd_cr_year_initial_fund_curr" hidden="1">#REF!</definedName>
    <definedName name="ahf_total_termd_emp_0_spend_curr" hidden="1">#REF!</definedName>
    <definedName name="ahf_total_termd_emp_100_spend_curr" hidden="1">#REF!</definedName>
    <definedName name="ahf_total_termd_emp_24_1_spend_curr" hidden="1">#REF!</definedName>
    <definedName name="ahf_total_termd_emp_49_25_spend_curr" hidden="1">#REF!</definedName>
    <definedName name="ahf_total_termd_emp_74_50_spend_curr" hidden="1">#REF!</definedName>
    <definedName name="ahf_total_termd_emp_99_75_spend_curr" hidden="1">#REF!</definedName>
    <definedName name="ahf_total_termd_Incentive_fund_earned_curr" hidden="1">#REF!</definedName>
    <definedName name="ahf_total_termd_rollover_fund_remaining_curr" hidden="1">#REF!</definedName>
    <definedName name="ahf_total_termd_rollover_pr_year_curr" hidden="1">#REF!</definedName>
    <definedName name="ahf_total_termd_tot_fund_available_curr" hidden="1">#REF!</definedName>
    <definedName name="ahf_total_tot_fund_available_curr" hidden="1">#REF!</definedName>
    <definedName name="AHFFamilyDollarsCurr" hidden="1">#REF!</definedName>
    <definedName name="allokay">#REF!</definedName>
    <definedName name="allsicempty">#REF!</definedName>
    <definedName name="Amb_MDC_Analysis_Medical_Range" hidden="1">#REF!</definedName>
    <definedName name="amb_mdc_na_bob_column1" hidden="1">#REF!</definedName>
    <definedName name="AmortLTM">#REF!</definedName>
    <definedName name="AmortPeriod">#REF!</definedName>
    <definedName name="AmortYear1">#REF!</definedName>
    <definedName name="AmortYear2">#REF!</definedName>
    <definedName name="amt">#REF!</definedName>
    <definedName name="Annual" hidden="1">{"Outflow 1",#N/A,FALSE,"Outflows-Inflows";"Outflow 2",#N/A,FALSE,"Outflows-Inflows";"Inflow 1",#N/A,FALSE,"Outflows-Inflows";"Inflow 2",#N/A,FALSE,"Outflows-Inflows"}</definedName>
    <definedName name="anscount" hidden="1">1</definedName>
    <definedName name="argqe" hidden="1">{#N/A,#N/A,FALSE,"puboff";#N/A,#N/A,FALSE,"financials";#N/A,#N/A,FALSE,"valuation";#N/A,#N/A,FALSE,"split"}</definedName>
    <definedName name="as" hidden="1">{"Outflow 1",#N/A,FALSE,"Outflows-Inflows";"Outflow 2",#N/A,FALSE,"Outflows-Inflows";"Inflow 1",#N/A,FALSE,"Outflows-Inflows";"Inflow 2",#N/A,FALSE,"Outflows-Inflows"}</definedName>
    <definedName name="AS2DocOpenMode" hidden="1">"AS2DocumentEdit"</definedName>
    <definedName name="AS2NamedRange" hidden="1">196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df" hidden="1">40379.4506944444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f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g" hidden="1">{"rtn",#N/A,FALSE,"RTN";"tables",#N/A,FALSE,"RTN";"cf",#N/A,FALSE,"CF";"stats",#N/A,FALSE,"Stats";"prop",#N/A,FALSE,"Prop"}</definedName>
    <definedName name="ASEDTGrh" hidden="1">#REF!</definedName>
    <definedName name="asgg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.all" hidden="1">{#N/A,#N/A,FALSE,"cpt"}</definedName>
    <definedName name="ass2.all" hidden="1">{#N/A,#N/A,FALSE,"cpt"}</definedName>
    <definedName name="Assets">#REF!</definedName>
    <definedName name="AssetsA">#REF!</definedName>
    <definedName name="AssetsT">#REF!</definedName>
    <definedName name="AssetWriteup">#REF!</definedName>
    <definedName name="asss" hidden="1">{"rtn",#N/A,FALSE,"RTN";"tables",#N/A,FALSE,"RTN";"cf",#N/A,FALSE,"CF";"stats",#N/A,FALSE,"Stats";"prop",#N/A,FALSE,"Prop"}</definedName>
    <definedName name="Assumptios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ttritionMonthly">#REF!</definedName>
    <definedName name="Audit_Recon" hidden="1">{"fdsup://directions/News HTML Viewer?action=OPEN&amp;on_error=off&amp;window=popup_no_button&amp;start_maximized=false&amp;creator=factset&amp;display_string=Click to view document&amp;width=640&amp;height=480&amp;address=ZQFNwiDmku6rD8XeJHel5%2BClsTh1%2BKQXZfkma2tpAQLiI8CyHvRjYyQDVL7t%2","FlfMpiTocNaw3Gpo8jIv6pGb2ENue6TMKIZPrs2228iDD%2FS879rurW4fhZH36nTEyl8j%2FJcd0ZhNwqu9MYltaV6nDlIUcUF2%2FoBeD4yU8zdaPJmMZgbGxOpsfCHY3s8J2LGk3sPgAzz3MjQvvOrEkaYDu03NUFj4FxpGksq3IjKjlNZJEQs8%2BBrc%2FAQTl%2F8yM7Od%2BoPj%2BkGyEsVVXRQInn3Dy4hc18keC6v%2FodsKUpIqg","81wmyzSUpR42%2FFYRsckFYW1L9MJttOEm7wi"}</definedName>
    <definedName name="AUto1" hidden="1">{#N/A,#N/A,FALSE,"Sheet1"}</definedName>
    <definedName name="AUto2" hidden="1">{#N/A,#N/A,FALSE,"Sheet1"}</definedName>
    <definedName name="AVG_CPM">#REF!</definedName>
    <definedName name="AvgShares">#REF!</definedName>
    <definedName name="ax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adLink" hidden="1">#REF!</definedName>
    <definedName name="BaseTick">#REF!</definedName>
    <definedName name="bb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bb" hidden="1">{#N/A,#N/A,FALSE,"ExitStratigy"}</definedName>
    <definedName name="bbbbbb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Bal">#REF!</definedName>
    <definedName name="BenefitsLoad">#REF!</definedName>
    <definedName name="Beta">#REF!</definedName>
    <definedName name="BetaInc">#REF!</definedName>
    <definedName name="BG_Del" hidden="1">15</definedName>
    <definedName name="BG_Ins" hidden="1">4</definedName>
    <definedName name="BG_Mod" hidden="1">6</definedName>
    <definedName name="BH_BOB_Med_avg_age_members_curr" hidden="1">#REF!</definedName>
    <definedName name="BH_BOB_Med_female_mem_0_19_curr" hidden="1">#REF!</definedName>
    <definedName name="BH_BOB_Med_female_mem_20_44_curr" hidden="1">#REF!</definedName>
    <definedName name="BH_BOB_Med_female_mem_45_64_curr" hidden="1">#REF!</definedName>
    <definedName name="BH_BOB_Med_female_mem_65_over_curr" hidden="1">#REF!</definedName>
    <definedName name="BH_BOB_Med_female_members_curr" hidden="1">#REF!</definedName>
    <definedName name="BH_BOB_Med_male_mem_0_19_curr" hidden="1">#REF!</definedName>
    <definedName name="BH_BOB_Med_male_mem_20_44_curr" hidden="1">#REF!</definedName>
    <definedName name="BH_BOB_Med_male_mem_45_64_curr" hidden="1">#REF!</definedName>
    <definedName name="BH_BOB_Med_male_mem_65_over_curr" hidden="1">#REF!</definedName>
    <definedName name="BH_BOB_Med_male_members_curr" hidden="1">#REF!</definedName>
    <definedName name="BH_BOB_Med_months_curr" hidden="1">#REF!</definedName>
    <definedName name="BH_BOB_Med_num_employees_curr" hidden="1">#REF!</definedName>
    <definedName name="BH_BOB_Med_num_members_curr" hidden="1">#REF!</definedName>
    <definedName name="BH_BOB_Med_unknown_mem_0_19_curr" hidden="1">#REF!</definedName>
    <definedName name="BH_BOB_Med_unknown_mem_20_44_curr" hidden="1">#REF!</definedName>
    <definedName name="BH_BOB_Med_unknown_mem_45_64_curr" hidden="1">#REF!</definedName>
    <definedName name="BH_BOB_Med_unknown_mem_65_over_curr" hidden="1">#REF!</definedName>
    <definedName name="BH_BOB_Med_unknown_members_curr" hidden="1">#REF!</definedName>
    <definedName name="BH_BOB_Rx_avg_age_members_curr" hidden="1">#REF!</definedName>
    <definedName name="BH_BOB_Rx_female_mem_0_19_curr" hidden="1">#REF!</definedName>
    <definedName name="BH_BOB_Rx_female_mem_20_44_curr" hidden="1">#REF!</definedName>
    <definedName name="BH_BOB_Rx_female_mem_45_64_curr" hidden="1">#REF!</definedName>
    <definedName name="BH_BOB_Rx_female_mem_65_over_curr" hidden="1">#REF!</definedName>
    <definedName name="BH_BOB_Rx_female_members_curr" hidden="1">#REF!</definedName>
    <definedName name="BH_BOB_Rx_male_mem_0_19_curr" hidden="1">#REF!</definedName>
    <definedName name="BH_BOB_Rx_male_mem_20_44_curr" hidden="1">#REF!</definedName>
    <definedName name="BH_BOB_Rx_male_mem_45_64_curr" hidden="1">#REF!</definedName>
    <definedName name="BH_BOB_Rx_male_mem_65_over_curr" hidden="1">#REF!</definedName>
    <definedName name="BH_BOB_Rx_male_members_curr" hidden="1">#REF!</definedName>
    <definedName name="BH_BOB_Rx_months_curr" hidden="1">#REF!</definedName>
    <definedName name="BH_BOB_Rx_num_employees_curr" hidden="1">#REF!</definedName>
    <definedName name="BH_BOB_Rx_num_members_curr" hidden="1">#REF!</definedName>
    <definedName name="BH_BOB_Rx_unknown_mem_0_19_curr" hidden="1">#REF!</definedName>
    <definedName name="BH_BOB_Rx_unknown_mem_20_44_curr" hidden="1">#REF!</definedName>
    <definedName name="BH_BOB_Rx_unknown_mem_45_64_curr" hidden="1">#REF!</definedName>
    <definedName name="BH_BOB_Rx_unknown_mem_65_over_curr" hidden="1">#REF!</definedName>
    <definedName name="BH_BOB_Rx_unknown_members_curr" hidden="1">#REF!</definedName>
    <definedName name="BHBOBDate" hidden="1">#REF!</definedName>
    <definedName name="BID">#REF!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PH1" hidden="1">#REF!</definedName>
    <definedName name="BLPH10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OB_Dental_allowed_amt_curr" hidden="1">#REF!</definedName>
    <definedName name="BOB_Dental_allowed_amt_prior" hidden="1">#REF!</definedName>
    <definedName name="BOB_Dental_basic_paid_amt_curr" hidden="1">#REF!</definedName>
    <definedName name="BOB_Dental_basic_paid_amt_prior" hidden="1">#REF!</definedName>
    <definedName name="BOB_Dental_basic_svcs_curr" hidden="1">#REF!</definedName>
    <definedName name="BOB_Dental_basic_svcs_prior" hidden="1">#REF!</definedName>
    <definedName name="BOB_Dental_cob_amt_curr" hidden="1">#REF!</definedName>
    <definedName name="BOB_Dental_cob_amt_prior" hidden="1">#REF!</definedName>
    <definedName name="BOB_Dental_coinsurance_amt_curr" hidden="1">#REF!</definedName>
    <definedName name="BOB_Dental_coinsurance_amt_prior" hidden="1">#REF!</definedName>
    <definedName name="BOB_Dental_deductible_amt_curr" hidden="1">#REF!</definedName>
    <definedName name="BOB_Dental_deductible_amt_prior" hidden="1">#REF!</definedName>
    <definedName name="BOB_Dental_major_paid_amt_curr" hidden="1">#REF!</definedName>
    <definedName name="BOB_Dental_major_paid_amt_prior" hidden="1">#REF!</definedName>
    <definedName name="BOB_Dental_major_svcs_curr" hidden="1">#REF!</definedName>
    <definedName name="BOB_Dental_major_svcs_prior" hidden="1">#REF!</definedName>
    <definedName name="BOB_Dental_network_paid_amt_curr" hidden="1">#REF!</definedName>
    <definedName name="BOB_Dental_network_paid_amt_prior" hidden="1">#REF!</definedName>
    <definedName name="BOB_Dental_orthodonic_paid_amt_curr" hidden="1">#REF!</definedName>
    <definedName name="BOB_Dental_orthodonic_paid_amt_prior" hidden="1">#REF!</definedName>
    <definedName name="BOB_Dental_orthodonic_svcs_curr" hidden="1">#REF!</definedName>
    <definedName name="BOB_Dental_orthodonic_svcs_prior" hidden="1">#REF!</definedName>
    <definedName name="BOB_Dental_other_paid_amt_curr" hidden="1">#REF!</definedName>
    <definedName name="BOB_Dental_other_paid_amt_prior" hidden="1">#REF!</definedName>
    <definedName name="BOB_Dental_other_svcs_curr" hidden="1">#REF!</definedName>
    <definedName name="BOB_Dental_other_svcs_prior" hidden="1">#REF!</definedName>
    <definedName name="BOB_Dental_paid_amt_curr" hidden="1">#REF!</definedName>
    <definedName name="BOB_Dental_paid_amt_prior" hidden="1">#REF!</definedName>
    <definedName name="BOB_Dental_preventative_paid_amt_curr" hidden="1">#REF!</definedName>
    <definedName name="BOB_Dental_preventative_paid_amt_prior" hidden="1">#REF!</definedName>
    <definedName name="BOB_Dental_preventative_svcs_curr" hidden="1">#REF!</definedName>
    <definedName name="BOB_Dental_preventative_svcs_prior" hidden="1">#REF!</definedName>
    <definedName name="BOB_Med_admit_count_curr" hidden="1">#REF!</definedName>
    <definedName name="BOB_Med_admit_count_prior" hidden="1">#REF!</definedName>
    <definedName name="BOB_Med_allowed_amt_curr" hidden="1">#REF!</definedName>
    <definedName name="BOB_Med_allowed_amt_prior" hidden="1">#REF!</definedName>
    <definedName name="BOB_Med_amb_paid_amt_curr" hidden="1">#REF!</definedName>
    <definedName name="BOB_Med_amb_paid_amt_prior" hidden="1">#REF!</definedName>
    <definedName name="BOB_Med_amb_surgery_count_curr" hidden="1">#REF!</definedName>
    <definedName name="BOB_Med_amb_surgery_count_prior" hidden="1">#REF!</definedName>
    <definedName name="BOB_Med_avg_age_members_curr" hidden="1">#REF!</definedName>
    <definedName name="BOB_Med_avg_age_members_prior" hidden="1">#REF!</definedName>
    <definedName name="BOB_Med_claim_count_above_threshold_curr" hidden="1">#REF!</definedName>
    <definedName name="BOB_Med_claim_count_above_threshold_prior" hidden="1">#REF!</definedName>
    <definedName name="BOB_Med_claim_count_curr" hidden="1">#REF!</definedName>
    <definedName name="BOB_Med_claim_count_prior" hidden="1">#REF!</definedName>
    <definedName name="BOB_Med_cob_amt_curr" hidden="1">#REF!</definedName>
    <definedName name="BOB_Med_cob_amt_prior" hidden="1">#REF!</definedName>
    <definedName name="BOB_Med_coinsurance_amt_curr" hidden="1">#REF!</definedName>
    <definedName name="BOB_Med_coinsurance_amt_prior" hidden="1">#REF!</definedName>
    <definedName name="BOB_Med_copay_amt_curr" hidden="1">#REF!</definedName>
    <definedName name="BOB_Med_copay_amt_prior" hidden="1">#REF!</definedName>
    <definedName name="BOB_Med_days_count_curr" hidden="1">#REF!</definedName>
    <definedName name="BOB_Med_days_count_prior" hidden="1">#REF!</definedName>
    <definedName name="BOB_Med_deductible_amt_curr" hidden="1">#REF!</definedName>
    <definedName name="BOB_Med_deductible_amt_prior" hidden="1">#REF!</definedName>
    <definedName name="BOB_Med_er_visits_count_curr" hidden="1">#REF!</definedName>
    <definedName name="BOB_Med_er_visits_count_prior" hidden="1">#REF!</definedName>
    <definedName name="BOB_Med_female_mem_0_19_curr" hidden="1">#REF!</definedName>
    <definedName name="BOB_Med_female_mem_0_19_prior" hidden="1">#REF!</definedName>
    <definedName name="BOB_Med_female_mem_20_44_curr" hidden="1">#REF!</definedName>
    <definedName name="BOB_Med_female_mem_20_44_prior" hidden="1">#REF!</definedName>
    <definedName name="BOB_Med_female_mem_45_64_curr" hidden="1">#REF!</definedName>
    <definedName name="BOB_Med_female_mem_45_64_prior" hidden="1">#REF!</definedName>
    <definedName name="BOB_Med_female_mem_65_over_curr" hidden="1">#REF!</definedName>
    <definedName name="BOB_Med_female_mem_65_over_prior" hidden="1">#REF!</definedName>
    <definedName name="BOB_Med_female_members_curr" hidden="1">#REF!</definedName>
    <definedName name="BOB_Med_female_members_prior" hidden="1">#REF!</definedName>
    <definedName name="BOB_Med_inp_paid_amt_curr" hidden="1">#REF!</definedName>
    <definedName name="BOB_Med_inp_paid_amt_prior" hidden="1">#REF!</definedName>
    <definedName name="BOB_Med_inp_surgery_count_curr" hidden="1">#REF!</definedName>
    <definedName name="BOB_Med_inp_surgery_count_prior" hidden="1">#REF!</definedName>
    <definedName name="BOB_Med_male_mem_0_19_curr" hidden="1">#REF!</definedName>
    <definedName name="BOB_Med_male_mem_0_19_prior" hidden="1">#REF!</definedName>
    <definedName name="BOB_Med_male_mem_20_44_curr" hidden="1">#REF!</definedName>
    <definedName name="BOB_Med_male_mem_20_44_prior" hidden="1">#REF!</definedName>
    <definedName name="BOB_Med_male_mem_45_64_curr" hidden="1">#REF!</definedName>
    <definedName name="BOB_Med_male_mem_45_64_prior" hidden="1">#REF!</definedName>
    <definedName name="BOB_Med_male_mem_65_over_curr" hidden="1">#REF!</definedName>
    <definedName name="BOB_Med_male_mem_65_over_prior" hidden="1">#REF!</definedName>
    <definedName name="BOB_Med_male_members_curr" hidden="1">#REF!</definedName>
    <definedName name="BOB_Med_male_members_prior" hidden="1">#REF!</definedName>
    <definedName name="BOB_Med_MDC_admits_00_curr" hidden="1">#REF!</definedName>
    <definedName name="BOB_Med_MDC_admits_01_curr" hidden="1">#REF!</definedName>
    <definedName name="BOB_Med_MDC_admits_02_curr" hidden="1">#REF!</definedName>
    <definedName name="BOB_Med_MDC_admits_03_curr" hidden="1">#REF!</definedName>
    <definedName name="BOB_Med_MDC_admits_04_curr" hidden="1">#REF!</definedName>
    <definedName name="BOB_Med_MDC_admits_05_curr" hidden="1">#REF!</definedName>
    <definedName name="BOB_Med_MDC_admits_06_curr" hidden="1">#REF!</definedName>
    <definedName name="BOB_Med_MDC_admits_07_curr" hidden="1">#REF!</definedName>
    <definedName name="BOB_Med_MDC_admits_08_curr" hidden="1">#REF!</definedName>
    <definedName name="BOB_Med_MDC_admits_09_curr" hidden="1">#REF!</definedName>
    <definedName name="BOB_Med_MDC_admits_10_curr" hidden="1">#REF!</definedName>
    <definedName name="BOB_Med_MDC_admits_11_curr" hidden="1">#REF!</definedName>
    <definedName name="BOB_Med_MDC_admits_12_curr" hidden="1">#REF!</definedName>
    <definedName name="BOB_Med_MDC_admits_13_curr" hidden="1">#REF!</definedName>
    <definedName name="BOB_Med_MDC_admits_14_curr" hidden="1">#REF!</definedName>
    <definedName name="BOB_Med_MDC_admits_15_curr" hidden="1">#REF!</definedName>
    <definedName name="BOB_Med_MDC_admits_16_curr" hidden="1">#REF!</definedName>
    <definedName name="BOB_Med_MDC_admits_17_curr" hidden="1">#REF!</definedName>
    <definedName name="BOB_Med_MDC_admits_18_curr" hidden="1">#REF!</definedName>
    <definedName name="BOB_Med_MDC_admits_19_curr" hidden="1">#REF!</definedName>
    <definedName name="BOB_Med_MDC_admits_20_curr" hidden="1">#REF!</definedName>
    <definedName name="BOB_Med_MDC_admits_21_curr" hidden="1">#REF!</definedName>
    <definedName name="BOB_Med_MDC_admits_22_curr" hidden="1">#REF!</definedName>
    <definedName name="BOB_Med_MDC_admits_23_curr" hidden="1">#REF!</definedName>
    <definedName name="BOB_Med_MDC_admits_999_curr" hidden="1">#REF!</definedName>
    <definedName name="BOB_Med_MDC_amb_paid_00_curr" hidden="1">#REF!</definedName>
    <definedName name="BOB_Med_MDC_amb_paid_01_curr" hidden="1">#REF!</definedName>
    <definedName name="BOB_Med_MDC_amb_paid_02_curr" hidden="1">#REF!</definedName>
    <definedName name="BOB_Med_MDC_amb_paid_03_curr" hidden="1">#REF!</definedName>
    <definedName name="BOB_Med_MDC_amb_paid_04_curr" hidden="1">#REF!</definedName>
    <definedName name="BOB_Med_MDC_amb_paid_05_curr" hidden="1">#REF!</definedName>
    <definedName name="BOB_Med_MDC_amb_paid_06_curr" hidden="1">#REF!</definedName>
    <definedName name="BOB_Med_MDC_amb_paid_07_curr" hidden="1">#REF!</definedName>
    <definedName name="BOB_Med_MDC_amb_paid_08_curr" hidden="1">#REF!</definedName>
    <definedName name="BOB_Med_MDC_amb_paid_09_curr" hidden="1">#REF!</definedName>
    <definedName name="BOB_Med_MDC_amb_paid_10_curr" hidden="1">#REF!</definedName>
    <definedName name="BOB_Med_MDC_amb_paid_11_curr" hidden="1">#REF!</definedName>
    <definedName name="BOB_Med_MDC_amb_paid_12_curr" hidden="1">#REF!</definedName>
    <definedName name="BOB_Med_MDC_amb_paid_13_curr" hidden="1">#REF!</definedName>
    <definedName name="BOB_Med_MDC_amb_paid_14_curr" hidden="1">#REF!</definedName>
    <definedName name="BOB_Med_MDC_amb_paid_15_curr" hidden="1">#REF!</definedName>
    <definedName name="BOB_Med_MDC_amb_paid_16_curr" hidden="1">#REF!</definedName>
    <definedName name="BOB_Med_MDC_amb_paid_17_curr" hidden="1">#REF!</definedName>
    <definedName name="BOB_Med_MDC_amb_paid_18_curr" hidden="1">#REF!</definedName>
    <definedName name="BOB_Med_MDC_amb_paid_19_curr" hidden="1">#REF!</definedName>
    <definedName name="BOB_Med_MDC_amb_paid_20_curr" hidden="1">#REF!</definedName>
    <definedName name="BOB_Med_MDC_amb_paid_21_curr" hidden="1">#REF!</definedName>
    <definedName name="BOB_Med_MDC_amb_paid_22_curr" hidden="1">#REF!</definedName>
    <definedName name="BOB_Med_MDC_amb_paid_23_curr" hidden="1">#REF!</definedName>
    <definedName name="BOB_Med_MDC_amb_paid_999_curr" hidden="1">#REF!</definedName>
    <definedName name="BOB_Med_MDC_cd_00_curr" hidden="1">#REF!</definedName>
    <definedName name="BOB_Med_MDC_cd_01_curr" hidden="1">#REF!</definedName>
    <definedName name="BOB_Med_MDC_cd_02_curr" hidden="1">#REF!</definedName>
    <definedName name="BOB_Med_MDC_cd_03_curr" hidden="1">#REF!</definedName>
    <definedName name="BOB_Med_MDC_cd_04_curr" hidden="1">#REF!</definedName>
    <definedName name="BOB_Med_MDC_cd_05_curr" hidden="1">#REF!</definedName>
    <definedName name="BOB_Med_MDC_cd_06_curr" hidden="1">#REF!</definedName>
    <definedName name="BOB_Med_MDC_cd_07_curr" hidden="1">#REF!</definedName>
    <definedName name="BOB_Med_MDC_cd_08_curr" hidden="1">#REF!</definedName>
    <definedName name="BOB_Med_MDC_cd_09_curr" hidden="1">#REF!</definedName>
    <definedName name="BOB_Med_MDC_cd_10_curr" hidden="1">#REF!</definedName>
    <definedName name="BOB_Med_MDC_cd_11_curr" hidden="1">#REF!</definedName>
    <definedName name="BOB_Med_MDC_cd_12_curr" hidden="1">#REF!</definedName>
    <definedName name="BOB_Med_MDC_cd_13_curr" hidden="1">#REF!</definedName>
    <definedName name="BOB_Med_MDC_cd_14_curr" hidden="1">#REF!</definedName>
    <definedName name="BOB_Med_MDC_cd_15_curr" hidden="1">#REF!</definedName>
    <definedName name="BOB_Med_MDC_cd_16_curr" hidden="1">#REF!</definedName>
    <definedName name="BOB_Med_MDC_cd_17_curr" hidden="1">#REF!</definedName>
    <definedName name="BOB_Med_MDC_cd_18_curr" hidden="1">#REF!</definedName>
    <definedName name="BOB_Med_MDC_cd_19_curr" hidden="1">#REF!</definedName>
    <definedName name="BOB_Med_MDC_cd_20_curr" hidden="1">#REF!</definedName>
    <definedName name="BOB_Med_MDC_cd_21_curr" hidden="1">#REF!</definedName>
    <definedName name="BOB_Med_MDC_cd_22_curr" hidden="1">#REF!</definedName>
    <definedName name="BOB_Med_MDC_cd_23_curr" hidden="1">#REF!</definedName>
    <definedName name="BOB_Med_MDC_cd_999_curr" hidden="1">#REF!</definedName>
    <definedName name="BOB_Med_MDC_claimants_00_curr" hidden="1">#REF!</definedName>
    <definedName name="BOB_Med_MDC_claimants_01_curr" hidden="1">#REF!</definedName>
    <definedName name="BOB_Med_MDC_claimants_02_curr" hidden="1">#REF!</definedName>
    <definedName name="BOB_Med_MDC_claimants_03_curr" hidden="1">#REF!</definedName>
    <definedName name="BOB_Med_MDC_claimants_04_curr" hidden="1">#REF!</definedName>
    <definedName name="BOB_Med_MDC_claimants_05_curr" hidden="1">#REF!</definedName>
    <definedName name="BOB_Med_MDC_claimants_06_curr" hidden="1">#REF!</definedName>
    <definedName name="BOB_Med_MDC_claimants_07_curr" hidden="1">#REF!</definedName>
    <definedName name="BOB_Med_MDC_claimants_08_curr" hidden="1">#REF!</definedName>
    <definedName name="BOB_Med_MDC_claimants_09_curr" hidden="1">#REF!</definedName>
    <definedName name="BOB_Med_MDC_claimants_10_curr" hidden="1">#REF!</definedName>
    <definedName name="BOB_Med_MDC_claimants_11_curr" hidden="1">#REF!</definedName>
    <definedName name="BOB_Med_MDC_claimants_12_curr" hidden="1">#REF!</definedName>
    <definedName name="BOB_Med_MDC_claimants_13_curr" hidden="1">#REF!</definedName>
    <definedName name="BOB_Med_MDC_claimants_14_curr" hidden="1">#REF!</definedName>
    <definedName name="BOB_Med_MDC_claimants_15_curr" hidden="1">#REF!</definedName>
    <definedName name="BOB_Med_MDC_claimants_16_curr" hidden="1">#REF!</definedName>
    <definedName name="BOB_Med_MDC_claimants_17_curr" hidden="1">#REF!</definedName>
    <definedName name="BOB_Med_MDC_claimants_18_curr" hidden="1">#REF!</definedName>
    <definedName name="BOB_Med_MDC_claimants_19_curr" hidden="1">#REF!</definedName>
    <definedName name="BOB_Med_MDC_claimants_20_curr" hidden="1">#REF!</definedName>
    <definedName name="BOB_Med_MDC_claimants_21_curr" hidden="1">#REF!</definedName>
    <definedName name="BOB_Med_MDC_claimants_22_curr" hidden="1">#REF!</definedName>
    <definedName name="BOB_Med_MDC_claimants_23_curr" hidden="1">#REF!</definedName>
    <definedName name="BOB_Med_MDC_claimants_999_curr" hidden="1">#REF!</definedName>
    <definedName name="BOB_Med_MDC_days_00_curr" hidden="1">#REF!</definedName>
    <definedName name="BOB_Med_MDC_days_01_curr" hidden="1">#REF!</definedName>
    <definedName name="BOB_Med_MDC_days_02_curr" hidden="1">#REF!</definedName>
    <definedName name="BOB_Med_MDC_days_03_curr" hidden="1">#REF!</definedName>
    <definedName name="BOB_Med_MDC_days_04_curr" hidden="1">#REF!</definedName>
    <definedName name="BOB_Med_MDC_days_05_curr" hidden="1">#REF!</definedName>
    <definedName name="BOB_Med_MDC_days_06_curr" hidden="1">#REF!</definedName>
    <definedName name="BOB_Med_MDC_days_07_curr" hidden="1">#REF!</definedName>
    <definedName name="BOB_Med_MDC_days_08_curr" hidden="1">#REF!</definedName>
    <definedName name="BOB_Med_MDC_days_09_curr" hidden="1">#REF!</definedName>
    <definedName name="BOB_Med_MDC_days_10_curr" hidden="1">#REF!</definedName>
    <definedName name="BOB_Med_MDC_days_11_curr" hidden="1">#REF!</definedName>
    <definedName name="BOB_Med_MDC_days_12_curr" hidden="1">#REF!</definedName>
    <definedName name="BOB_Med_MDC_days_13_curr" hidden="1">#REF!</definedName>
    <definedName name="BOB_Med_MDC_days_14_curr" hidden="1">#REF!</definedName>
    <definedName name="BOB_Med_MDC_days_15_curr" hidden="1">#REF!</definedName>
    <definedName name="BOB_Med_MDC_days_16_curr" hidden="1">#REF!</definedName>
    <definedName name="BOB_Med_MDC_days_17_curr" hidden="1">#REF!</definedName>
    <definedName name="BOB_Med_MDC_days_18_curr" hidden="1">#REF!</definedName>
    <definedName name="BOB_Med_MDC_days_19_curr" hidden="1">#REF!</definedName>
    <definedName name="BOB_Med_MDC_days_20_curr" hidden="1">#REF!</definedName>
    <definedName name="BOB_Med_MDC_days_21_curr" hidden="1">#REF!</definedName>
    <definedName name="BOB_Med_MDC_days_22_curr" hidden="1">#REF!</definedName>
    <definedName name="BOB_Med_MDC_days_23_curr" hidden="1">#REF!</definedName>
    <definedName name="BOB_Med_MDC_days_999_curr" hidden="1">#REF!</definedName>
    <definedName name="BOB_Med_MDC_inp_paid_00_curr" hidden="1">#REF!</definedName>
    <definedName name="BOB_Med_MDC_inp_paid_01_curr" hidden="1">#REF!</definedName>
    <definedName name="BOB_Med_MDC_inp_paid_02_curr" hidden="1">#REF!</definedName>
    <definedName name="BOB_Med_MDC_inp_paid_03_curr" hidden="1">#REF!</definedName>
    <definedName name="BOB_Med_MDC_inp_paid_04_curr" hidden="1">#REF!</definedName>
    <definedName name="BOB_Med_MDC_inp_paid_05_curr" hidden="1">#REF!</definedName>
    <definedName name="BOB_Med_MDC_inp_paid_06_curr" hidden="1">#REF!</definedName>
    <definedName name="BOB_Med_MDC_inp_paid_07_curr" hidden="1">#REF!</definedName>
    <definedName name="BOB_Med_MDC_inp_paid_08_curr" hidden="1">#REF!</definedName>
    <definedName name="BOB_Med_MDC_inp_paid_09_curr" hidden="1">#REF!</definedName>
    <definedName name="BOB_Med_MDC_inp_paid_10_curr" hidden="1">#REF!</definedName>
    <definedName name="BOB_Med_MDC_inp_paid_11_curr" hidden="1">#REF!</definedName>
    <definedName name="BOB_Med_MDC_inp_paid_12_curr" hidden="1">#REF!</definedName>
    <definedName name="BOB_Med_MDC_inp_paid_13_curr" hidden="1">#REF!</definedName>
    <definedName name="BOB_Med_MDC_inp_paid_14_curr" hidden="1">#REF!</definedName>
    <definedName name="BOB_Med_MDC_inp_paid_15_curr" hidden="1">#REF!</definedName>
    <definedName name="BOB_Med_MDC_inp_paid_16_curr" hidden="1">#REF!</definedName>
    <definedName name="BOB_Med_MDC_inp_paid_17_curr" hidden="1">#REF!</definedName>
    <definedName name="BOB_Med_MDC_inp_paid_18_curr" hidden="1">#REF!</definedName>
    <definedName name="BOB_Med_MDC_inp_paid_19_curr" hidden="1">#REF!</definedName>
    <definedName name="BOB_Med_MDC_inp_paid_20_curr" hidden="1">#REF!</definedName>
    <definedName name="BOB_Med_MDC_inp_paid_21_curr" hidden="1">#REF!</definedName>
    <definedName name="BOB_Med_MDC_inp_paid_22_curr" hidden="1">#REF!</definedName>
    <definedName name="BOB_Med_MDC_inp_paid_23_curr" hidden="1">#REF!</definedName>
    <definedName name="BOB_Med_MDC_inp_paid_999_curr" hidden="1">#REF!</definedName>
    <definedName name="BOB_Med_MDC_paid_00_curr" hidden="1">#REF!</definedName>
    <definedName name="BOB_Med_MDC_paid_01_curr" hidden="1">#REF!</definedName>
    <definedName name="BOB_Med_MDC_paid_02_curr" hidden="1">#REF!</definedName>
    <definedName name="BOB_Med_MDC_paid_03_curr" hidden="1">#REF!</definedName>
    <definedName name="BOB_Med_MDC_paid_04_curr" hidden="1">#REF!</definedName>
    <definedName name="BOB_Med_MDC_paid_05_curr" hidden="1">#REF!</definedName>
    <definedName name="BOB_Med_MDC_paid_06_curr" hidden="1">#REF!</definedName>
    <definedName name="BOB_Med_MDC_paid_07_curr" hidden="1">#REF!</definedName>
    <definedName name="BOB_Med_MDC_paid_08_curr" hidden="1">#REF!</definedName>
    <definedName name="BOB_Med_MDC_paid_09_curr" hidden="1">#REF!</definedName>
    <definedName name="BOB_Med_MDC_paid_10_curr" hidden="1">#REF!</definedName>
    <definedName name="BOB_Med_MDC_paid_11_curr" hidden="1">#REF!</definedName>
    <definedName name="BOB_Med_MDC_paid_12_curr" hidden="1">#REF!</definedName>
    <definedName name="BOB_Med_MDC_paid_13_curr" hidden="1">#REF!</definedName>
    <definedName name="BOB_Med_MDC_paid_14_curr" hidden="1">#REF!</definedName>
    <definedName name="BOB_Med_MDC_paid_15_curr" hidden="1">#REF!</definedName>
    <definedName name="BOB_Med_MDC_paid_16_curr" hidden="1">#REF!</definedName>
    <definedName name="BOB_Med_MDC_paid_17_curr" hidden="1">#REF!</definedName>
    <definedName name="BOB_Med_MDC_paid_18_curr" hidden="1">#REF!</definedName>
    <definedName name="BOB_Med_MDC_paid_19_curr" hidden="1">#REF!</definedName>
    <definedName name="BOB_Med_MDC_paid_20_curr" hidden="1">#REF!</definedName>
    <definedName name="BOB_Med_MDC_paid_21_curr" hidden="1">#REF!</definedName>
    <definedName name="BOB_Med_MDC_paid_22_curr" hidden="1">#REF!</definedName>
    <definedName name="BOB_Med_MDC_paid_23_curr" hidden="1">#REF!</definedName>
    <definedName name="BOB_Med_MDC_paid_999_curr" hidden="1">#REF!</definedName>
    <definedName name="BOB_Med_months_curr" hidden="1">#REF!</definedName>
    <definedName name="BOB_Med_months_prior" hidden="1">#REF!</definedName>
    <definedName name="BOB_Med_num_employees_curr" hidden="1">#REF!</definedName>
    <definedName name="BOB_Med_num_employees_prior" hidden="1">#REF!</definedName>
    <definedName name="BOB_Med_num_members_curr" hidden="1">#REF!</definedName>
    <definedName name="BOB_Med_num_members_prior" hidden="1">#REF!</definedName>
    <definedName name="BOB_Med_office_visits_count_curr" hidden="1">#REF!</definedName>
    <definedName name="BOB_Med_office_visits_count_prior" hidden="1">#REF!</definedName>
    <definedName name="BOB_Med_paid_amt_above_threshold_curr" hidden="1">#REF!</definedName>
    <definedName name="BOB_Med_paid_amt_above_threshold_prior" hidden="1">#REF!</definedName>
    <definedName name="BOB_Med_paid_amt_amb_surgeries_curr" hidden="1">#REF!</definedName>
    <definedName name="BOB_Med_paid_amt_amb_surgeries_prior" hidden="1">#REF!</definedName>
    <definedName name="BOB_Med_paid_amt_amb_visits_curr" hidden="1">#REF!</definedName>
    <definedName name="BOB_Med_paid_amt_amb_visits_prior" hidden="1">#REF!</definedName>
    <definedName name="BOB_Med_paid_amt_curr" hidden="1">#REF!</definedName>
    <definedName name="BOB_Med_paid_amt_er_visits_curr" hidden="1">#REF!</definedName>
    <definedName name="BOB_Med_paid_amt_er_visits_prior" hidden="1">#REF!</definedName>
    <definedName name="BOB_Med_paid_amt_home_health_curr" hidden="1">#REF!</definedName>
    <definedName name="BOB_Med_paid_amt_home_health_prior" hidden="1">#REF!</definedName>
    <definedName name="BOB_Med_paid_amt_inp_days_curr" hidden="1">#REF!</definedName>
    <definedName name="BOB_Med_paid_amt_inp_days_prior" hidden="1">#REF!</definedName>
    <definedName name="BOB_Med_paid_amt_inp_surgeries_curr" hidden="1">#REF!</definedName>
    <definedName name="BOB_Med_paid_amt_inp_surgeries_prior" hidden="1">#REF!</definedName>
    <definedName name="BOB_Med_paid_amt_lab_serv_curr" hidden="1">#REF!</definedName>
    <definedName name="BOB_Med_paid_amt_lab_serv_prior" hidden="1">#REF!</definedName>
    <definedName name="BOB_Med_paid_amt_med_rx_curr" hidden="1">#REF!</definedName>
    <definedName name="BOB_Med_paid_amt_med_rx_prior" hidden="1">#REF!</definedName>
    <definedName name="BOB_Med_paid_amt_med_visits_curr" hidden="1">#REF!</definedName>
    <definedName name="BOB_Med_paid_amt_med_visits_prior" hidden="1">#REF!</definedName>
    <definedName name="BOB_Med_paid_amt_mental_health_curr" hidden="1">#REF!</definedName>
    <definedName name="BOB_Med_paid_amt_mental_health_prior" hidden="1">#REF!</definedName>
    <definedName name="BOB_Med_paid_amt_misc_med_curr" hidden="1">#REF!</definedName>
    <definedName name="BOB_Med_paid_amt_misc_med_prior" hidden="1">#REF!</definedName>
    <definedName name="BOB_Med_paid_amt_office_surgeries_curr" hidden="1">#REF!</definedName>
    <definedName name="BOB_Med_paid_amt_office_surgeries_prior" hidden="1">#REF!</definedName>
    <definedName name="BOB_Med_paid_amt_prim_off_visits_curr" hidden="1">#REF!</definedName>
    <definedName name="BOB_Med_paid_amt_prim_off_visits_prior" hidden="1">#REF!</definedName>
    <definedName name="BOB_Med_paid_amt_prior" hidden="1">#REF!</definedName>
    <definedName name="BOB_Med_paid_amt_rad_serv_curr" hidden="1">#REF!</definedName>
    <definedName name="BOB_Med_paid_amt_rad_serv_prior" hidden="1">#REF!</definedName>
    <definedName name="BOB_Med_paid_amt_spec_office_visits_curr" hidden="1">#REF!</definedName>
    <definedName name="BOB_Med_paid_amt_spec_office_visits_prior" hidden="1">#REF!</definedName>
    <definedName name="BOB_Med_paid_encounter_lab_rad_curr" hidden="1">#REF!</definedName>
    <definedName name="BOB_Med_paid_encounter_lab_rad_prior" hidden="1">#REF!</definedName>
    <definedName name="BOB_Med_paid_encounter_other_curr" hidden="1">#REF!</definedName>
    <definedName name="BOB_Med_paid_encounter_other_prior" hidden="1">#REF!</definedName>
    <definedName name="BOB_Med_paid_encounter_prim_phys_curr" hidden="1">#REF!</definedName>
    <definedName name="BOB_Med_paid_encounter_prim_phys_prior" hidden="1">#REF!</definedName>
    <definedName name="BOB_Med_paid_encounter_spec_phys_curr" hidden="1">#REF!</definedName>
    <definedName name="BOB_Med_paid_encounter_spec_phys_prior" hidden="1">#REF!</definedName>
    <definedName name="BOB_Med_paid_other_curr" hidden="1">#REF!</definedName>
    <definedName name="BOB_Med_paid_other_prior" hidden="1">#REF!</definedName>
    <definedName name="BOB_Med_par_admit_count_curr" hidden="1">#REF!</definedName>
    <definedName name="BOB_Med_par_admit_count_prior" hidden="1">#REF!</definedName>
    <definedName name="BOB_Med_par_paid_amt_curr" hidden="1">#REF!</definedName>
    <definedName name="BOB_Med_par_paid_amt_prior" hidden="1">#REF!</definedName>
    <definedName name="BOB_Med_par_phys_office_visits_count_curr" hidden="1">#REF!</definedName>
    <definedName name="BOB_Med_par_phys_office_visits_count_prior" hidden="1">#REF!</definedName>
    <definedName name="BOB_Med_phys_office_visits_count_curr" hidden="1">#REF!</definedName>
    <definedName name="BOB_Med_phys_office_visits_count_prior" hidden="1">#REF!</definedName>
    <definedName name="BOB_Med_surgery_count_curr" hidden="1">#REF!</definedName>
    <definedName name="BOB_Med_surgery_count_prior" hidden="1">#REF!</definedName>
    <definedName name="BOB_Med_threshold_curr" hidden="1">#REF!</definedName>
    <definedName name="BOB_Med_threshold_prior" hidden="1">#REF!</definedName>
    <definedName name="BOB_Med_unknown_mem_0_19_curr" hidden="1">#REF!</definedName>
    <definedName name="BOB_Med_unknown_mem_0_19_prior" hidden="1">#REF!</definedName>
    <definedName name="BOB_Med_unknown_mem_20_44_curr" hidden="1">#REF!</definedName>
    <definedName name="BOB_Med_unknown_mem_20_44_prior" hidden="1">#REF!</definedName>
    <definedName name="BOB_Med_unknown_mem_45_64_curr" hidden="1">#REF!</definedName>
    <definedName name="BOB_Med_unknown_mem_45_64_prior" hidden="1">#REF!</definedName>
    <definedName name="BOB_Med_unknown_mem_65_over_curr" hidden="1">#REF!</definedName>
    <definedName name="BOB_Med_unknown_mem_65_over_prior" hidden="1">#REF!</definedName>
    <definedName name="BOB_Med_unknown_members_curr" hidden="1">#REF!</definedName>
    <definedName name="BOB_Med_unknown_members_prior" hidden="1">#REF!</definedName>
    <definedName name="BOB_num_brand_multisource_claims_curr" hidden="1">#REF!</definedName>
    <definedName name="BOB_num_brand_multisource_claims_prior" hidden="1">#REF!</definedName>
    <definedName name="BOB_num_brand_singlesource_claims_curr" hidden="1">#REF!</definedName>
    <definedName name="BOB_num_brand_singlesource_claims_prior" hidden="1">#REF!</definedName>
    <definedName name="BOB_num_claims_curr" hidden="1">#REF!</definedName>
    <definedName name="BOB_num_claims_prior" hidden="1">#REF!</definedName>
    <definedName name="BOB_num_cross_brand_claims_curr" hidden="1">#REF!</definedName>
    <definedName name="BOB_num_cross_brand_claims_prior" hidden="1">#REF!</definedName>
    <definedName name="BOB_num_formulary_claims_curr" hidden="1">#REF!</definedName>
    <definedName name="BOB_num_formulary_claims_prior" hidden="1">#REF!</definedName>
    <definedName name="BOB_num_generic_claims_curr" hidden="1">#REF!</definedName>
    <definedName name="BOB_num_generic_claims_prior" hidden="1">#REF!</definedName>
    <definedName name="BOB_num_non_formulary_claims_curr" hidden="1">#REF!</definedName>
    <definedName name="BOB_num_non_formulary_claims_prior" hidden="1">#REF!</definedName>
    <definedName name="BOB_num_other_generic_claims_curr" hidden="1">#REF!</definedName>
    <definedName name="BOB_num_other_generic_claims_prior" hidden="1">#REF!</definedName>
    <definedName name="BOB_num_util_members_curr" hidden="1">#REF!</definedName>
    <definedName name="BOB_num_util_members_prior" hidden="1">#REF!</definedName>
    <definedName name="BOB_Rx_avg_age_members_curr" hidden="1">#REF!</definedName>
    <definedName name="BOB_Rx_avg_age_members_prior" hidden="1">#REF!</definedName>
    <definedName name="BOB_Rx_female_mem_0_19_curr" hidden="1">#REF!</definedName>
    <definedName name="BOB_Rx_female_mem_0_19_prior" hidden="1">#REF!</definedName>
    <definedName name="BOB_Rx_female_mem_20_44_curr" hidden="1">#REF!</definedName>
    <definedName name="BOB_Rx_female_mem_20_44_prior" hidden="1">#REF!</definedName>
    <definedName name="BOB_Rx_female_mem_45_64_curr" hidden="1">#REF!</definedName>
    <definedName name="BOB_Rx_female_mem_45_64_prior" hidden="1">#REF!</definedName>
    <definedName name="BOB_Rx_female_mem_65_over_curr" hidden="1">#REF!</definedName>
    <definedName name="BOB_Rx_female_mem_65_over_prior" hidden="1">#REF!</definedName>
    <definedName name="BOB_Rx_female_members_curr" hidden="1">#REF!</definedName>
    <definedName name="BOB_Rx_female_members_prior" hidden="1">#REF!</definedName>
    <definedName name="BOB_Rx_male_mem_0_19_curr" hidden="1">#REF!</definedName>
    <definedName name="BOB_Rx_male_mem_0_19_prior" hidden="1">#REF!</definedName>
    <definedName name="BOB_Rx_male_mem_20_44_curr" hidden="1">#REF!</definedName>
    <definedName name="BOB_Rx_male_mem_20_44_prior" hidden="1">#REF!</definedName>
    <definedName name="BOB_Rx_male_mem_45_64_curr" hidden="1">#REF!</definedName>
    <definedName name="BOB_Rx_male_mem_45_64_prior" hidden="1">#REF!</definedName>
    <definedName name="BOB_Rx_male_mem_65_over_curr" hidden="1">#REF!</definedName>
    <definedName name="BOB_Rx_male_mem_65_over_prior" hidden="1">#REF!</definedName>
    <definedName name="BOB_Rx_male_members_curr" hidden="1">#REF!</definedName>
    <definedName name="BOB_Rx_male_members_prior" hidden="1">#REF!</definedName>
    <definedName name="BOB_Rx_months_curr" hidden="1">#REF!</definedName>
    <definedName name="BOB_Rx_months_prior" hidden="1">#REF!</definedName>
    <definedName name="BOB_Rx_num_employees_curr" hidden="1">#REF!</definedName>
    <definedName name="BOB_Rx_num_employees_prior" hidden="1">#REF!</definedName>
    <definedName name="BOB_Rx_num_members_curr" hidden="1">#REF!</definedName>
    <definedName name="BOB_Rx_num_members_prior" hidden="1">#REF!</definedName>
    <definedName name="BOB_Rx_unknown_mem_0_19_curr" hidden="1">#REF!</definedName>
    <definedName name="BOB_Rx_unknown_mem_0_19_prior" hidden="1">#REF!</definedName>
    <definedName name="BOB_Rx_unknown_mem_20_44_curr" hidden="1">#REF!</definedName>
    <definedName name="BOB_Rx_unknown_mem_20_44_prior" hidden="1">#REF!</definedName>
    <definedName name="BOB_Rx_unknown_mem_45_64_curr" hidden="1">#REF!</definedName>
    <definedName name="BOB_Rx_unknown_mem_45_64_prior" hidden="1">#REF!</definedName>
    <definedName name="BOB_Rx_unknown_mem_65_over_curr" hidden="1">#REF!</definedName>
    <definedName name="BOB_Rx_unknown_mem_65_over_prior" hidden="1">#REF!</definedName>
    <definedName name="BOB_Rx_unknown_members_curr" hidden="1">#REF!</definedName>
    <definedName name="BOB_Rx_unknown_members_prior" hidden="1">#REF!</definedName>
    <definedName name="BOB_sum_brand_multisource_paid_amt_curr" hidden="1">#REF!</definedName>
    <definedName name="BOB_sum_brand_multisource_paid_amt_prior" hidden="1">#REF!</definedName>
    <definedName name="BOB_sum_brand_singlesource_paid_amt_curr" hidden="1">#REF!</definedName>
    <definedName name="BOB_sum_brand_singlesource_paid_amt_prior" hidden="1">#REF!</definedName>
    <definedName name="BOB_sum_cross_brand_paid_amt_curr" hidden="1">#REF!</definedName>
    <definedName name="BOB_sum_cross_brand_paid_amt_prior" hidden="1">#REF!</definedName>
    <definedName name="BOB_sum_formulary_paid_amt_curr" hidden="1">#REF!</definedName>
    <definedName name="BOB_sum_formulary_paid_amt_prior" hidden="1">#REF!</definedName>
    <definedName name="BOB_sum_generic_paid_amt_curr" hidden="1">#REF!</definedName>
    <definedName name="BOB_sum_generic_paid_amt_prior" hidden="1">#REF!</definedName>
    <definedName name="BOB_sum_non_formulary_paid_amt_curr" hidden="1">#REF!</definedName>
    <definedName name="BOB_sum_non_formulary_paid_amt_prior" hidden="1">#REF!</definedName>
    <definedName name="BOB_sum_other_generic_paid_amt_curr" hidden="1">#REF!</definedName>
    <definedName name="BOB_sum_other_generic_paid_amt_prior" hidden="1">#REF!</definedName>
    <definedName name="BOB_sum_paid_curr" hidden="1">#REF!</definedName>
    <definedName name="BOB_sum_paid_prior" hidden="1">#REF!</definedName>
    <definedName name="BOBDate" hidden="1">#REF!</definedName>
    <definedName name="BookA">#REF!</definedName>
    <definedName name="BookAdj">#REF!</definedName>
    <definedName name="BookC">#REF!</definedName>
    <definedName name="BookT">#REF!</definedName>
    <definedName name="brand_curr" hidden="1">#REF!</definedName>
    <definedName name="brand_prior" hidden="1">#REF!</definedName>
    <definedName name="BrandAverageCopay" hidden="1">#REF!</definedName>
    <definedName name="BrandMultiAverageCopay" hidden="1">#REF!</definedName>
    <definedName name="BrokerEnteredName" hidden="1">#REF!</definedName>
    <definedName name="BrokerEnteredTagLine" hidden="1">#REF!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S_Summary">#REF!</definedName>
    <definedName name="BV">#REF!</definedName>
    <definedName name="bvwrg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CA">#REF!</definedName>
    <definedName name="CAGRTrig">#REF!</definedName>
    <definedName name="CalEPS1">#REF!</definedName>
    <definedName name="CalEPS2">#REF!</definedName>
    <definedName name="CalEPS3">#REF!</definedName>
    <definedName name="CalPE1">#REF!</definedName>
    <definedName name="CalPE2">#REF!</definedName>
    <definedName name="CalPE3">#REF!</definedName>
    <definedName name="Cap">#REF!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_capitation_amt_curr" hidden="1">#REF!</definedName>
    <definedName name="Cap_capitation_amt_prior" hidden="1">#REF!</definedName>
    <definedName name="Cap_Table">#REF!</definedName>
    <definedName name="CapA">#REF!</definedName>
    <definedName name="CapC">#REF!</definedName>
    <definedName name="CapEx">#REF!</definedName>
    <definedName name="CapExMargin">#REF!</definedName>
    <definedName name="CapIntExp">#REF!</definedName>
    <definedName name="CapT">#REF!</definedName>
    <definedName name="Cash">#REF!</definedName>
    <definedName name="CashA">#REF!</definedName>
    <definedName name="CashFlow">#REF!</definedName>
    <definedName name="CashFlows">#REF!</definedName>
    <definedName name="CashPer">#REF!</definedName>
    <definedName name="CashRate">#REF!</definedName>
    <definedName name="CashT">#REF!</definedName>
    <definedName name="CatClaimantThreshold" hidden="1">#REF!</definedName>
    <definedName name="cawc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Chart_1_opts" hidden="1">"1, 6, 1, False, 2, False, False, , 0, False, True, 1, 2"</definedName>
    <definedName name="cb_Chart_10_opts" hidden="1">"1, 8, 1, False, 2, False, False, , 0, False, False, 1, 1"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5, 1, False, 2, False, False, , 0, False, False, 1, 2"</definedName>
    <definedName name="cb_Chart_12_opts" hidden="1">"1, 5, 1, False, 2, True, False, , 0, True, False, 1, 2"</definedName>
    <definedName name="cb_Chart_13_opts" hidden="1">"1, 5, 1, False, 2, True, False, , 0, True, False, 1, 2"</definedName>
    <definedName name="cb_Chart_14_opts" hidden="1">"2, 2, 2, True, 2, False, False, , 0, False, True, 1,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"2, 1, 2, True, 2, False, False, , 0, False, True, 1, 2"</definedName>
    <definedName name="cb_Chart_1670_opts" hidden="1">"1, 5, 1, False, 2, True, False, , 0, False, False, 2, 1"</definedName>
    <definedName name="cb_Chart_17_opts" hidden="1">"1, 9, 1, False, 2, False, False, , 0, False, False, 1, 1"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2, 1, False, 2, False, False, , 0, False, False, 2, 1"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10, 1, False, 2, True, False, , 0, False, False, 2, 2"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10, 1, False, 2, True, False, , 0, False, False, 2, 1"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5_opts" hidden="1">"1, 8, 1, False, 2, False, False, , 0, False, False, 1, 2"</definedName>
    <definedName name="cb_Chart_52582_opts" hidden="1">"1, 1, 1, False, 2, False, False, , 0, False, False, 1, 2"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3, 1, False, 2, False, False, , 0, False, True, 2, 2"</definedName>
    <definedName name="cb_Chart_5449_opts" hidden="1">"1, 1, 1, False, 2, False, False, , 0, False, False, 1, 1"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"2, 1, 2, True, 2, False, False, , 0, False, True, 1,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2, 1, False, 2, False, False, , 0, False, False, 2, 1"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2, 1, False, 2, False, False, , 0, False, False, 2, 1"</definedName>
    <definedName name="cb_sChart_36498_opts" hidden="1">"1, 3, 1, False, 2, False, False, , 0, False, False, 1, 2"</definedName>
    <definedName name="cb_sChart_37450_opts" hidden="1">"1, 1, 1, False, 2, True, False, , 0, False, False, 1, 2"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1, 1, False, 2, True, False, , 0, False, False, 1, 2"</definedName>
    <definedName name="cb_sChart_5449_opts" hidden="1">"1, 3, 1, False, 2, False, False, , 0, False, True, 2, 2"</definedName>
    <definedName name="cb_sChart_5723_opts" hidden="1">"1, 1, 1, False, 2, True, False, , 0, False, False, 2, 1"</definedName>
    <definedName name="cb_sChart_58046_opts" hidden="1">"1, 1, 1, False, 2, True, False, , 0, False, False, 1,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1, 1, False, 2, False, False, , 0, False, False, 1, 1"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2, 1, False, 2, False, False, , 0, False, False, 2, 1"</definedName>
    <definedName name="cb_sChart_79140_opts" hidden="1">"1, 1, 1, False, 2, True, False, , 0, False, False, 1, 2"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1, 1, False, 2, True, False, , 0, False, False, 1, 2"</definedName>
    <definedName name="cb_sChart_87236_opts" hidden="1">"1, 2, 1, False, 2, False, False, , 0, False, False, 2, 1"</definedName>
    <definedName name="cb_sChart_95047_opts" hidden="1">"1, 3, 1, False, 2, False, False, , 0, False, False, 1, 2"</definedName>
    <definedName name="cb_sChart_96286_opts" hidden="1">"1, 2, 1, False, 2, False, False, , 0, False, False, 2, 1"</definedName>
    <definedName name="cb_sChart11DCFB24_opts" hidden="1">"1, 9, 1, False, 2, False, False, , 0, False, True, 1, 1"</definedName>
    <definedName name="cb_sChart11EADA92_opts" hidden="1">"1, 1, 1, False, 2, False, False, , 0, False, True, 2, 2"</definedName>
    <definedName name="cb_sChart11EAED4A_opts" hidden="1">"1, 1, 1, False, 2, False, False, , 0, False, True, 2, 2"</definedName>
    <definedName name="cb_sChart11EB049E_opts" hidden="1">"1, 1, 1, False, 2, False, False, , 0, False, True, 2, 2"</definedName>
    <definedName name="cb_sChart11FB1BDC_opts" hidden="1">"1, 1, 1, False, 2, True, False, , 0, False, True, 2, 2"</definedName>
    <definedName name="cb_sChart11FB2467_opts" hidden="1">"1, 1, 1, False, 2, True, False, , 0, False, True, 2, 2"</definedName>
    <definedName name="cb_sChart11FB271E_opts" hidden="1">"1, 1, 1, False, 2, True, False, , 0, False, True, 2, 2"</definedName>
    <definedName name="cb_sChart11FB296C_opts" hidden="1">"1, 1, 1, False, 2, True, False, , 0, False, True, 2, 2"</definedName>
    <definedName name="cb_sChart11FB4DE8_opts" hidden="1">"1, 9, 1, False, 2, False, False, , 0, False, True, 1, 2"</definedName>
    <definedName name="cb_sChart11FCA363_opts" hidden="1">"2, 1, 2, True, 2, False, False, , 0, False, True, 2, 2"</definedName>
    <definedName name="cb_sChart11FCA851_opts" hidden="1">"2, 1, 2, True, 2, False, False, , 0, False, True, 2, 2"</definedName>
    <definedName name="cb_sChart11FCE81C_opts" hidden="1">"1, 9, 1, False, 2, False, False, , 0, False, True, 2, 2"</definedName>
    <definedName name="cb_sChart12073B79_opts" hidden="1">"1, 9, 1, False, 2, False, False, , 0, False, True, 2, 2"</definedName>
    <definedName name="cb_sChart12074F69_opts" hidden="1">"1, 9, 1, False, 2, False, False, , 0, False, True, 2, 2"</definedName>
    <definedName name="cb_sChart1216F828_opts" hidden="1">"2, 1, 1, False, 2, False, False, , 0, False, True, 2, 2"</definedName>
    <definedName name="cb_sChart122574E1_opts" hidden="1">"1, 1, 1, False, 2, False, False, , 0, False, True, 2, 2"</definedName>
    <definedName name="cb_sChart12285211_opts" hidden="1">"1, 9, 1, False, 2, False, False, , 0, False, False, 1, 2"</definedName>
    <definedName name="cb_sChart12291B1F_opts" hidden="1">"2, 1, 1, True, 3, False, False, , 0, False, False, 1, 2"</definedName>
    <definedName name="cb_sChart1248DE96_opts" hidden="1">"1, 9, 1, False, 2, False, False, , 0, False, False, 1, 2"</definedName>
    <definedName name="cb_sChart1248E206_opts" hidden="1">"1, 9, 1, False, 2, False, False, , 0, False, False, 1, 2"</definedName>
    <definedName name="cb_sChart15CA0E0A_opts" hidden="1">"1, 9, 1, False, 2, False, False, , 0, False, False, 1, 2"</definedName>
    <definedName name="cb_sChart15CA1FFD_opts" hidden="1">"1, 10, 1, False, 2, False, False, , 0, False, False, 1, 1"</definedName>
    <definedName name="cb_sChart15CA20AB_opts" hidden="1">"1, 9, 1, False, 2, False, False, , 0, False, False, 1, 1"</definedName>
    <definedName name="cb_sChart15CA2F5C_opts" hidden="1">"1, 9, 1, False, 2, False, False, , 0, False, False, 1, 1"</definedName>
    <definedName name="cb_sChart15CA30C3_opts" hidden="1">"1, 9, 1, False, 2, False, False, , 0, False, True, 1, 1"</definedName>
    <definedName name="cb_sChart1A3873A1_opts" hidden="1">"1, 1, 1, False, 2, True, False, , 0, False, True, 1, 1"</definedName>
    <definedName name="cb_sChart1A3875D8_opts" hidden="1">"1, 1, 1, False, 2, False, False, , 0, False, False, 1, 1"</definedName>
    <definedName name="cb_sChart1A3877BF_opts" hidden="1">"1, 1, 1, False, 2, True, False, , 0, False, True, 1, 1"</definedName>
    <definedName name="cb_sChart1A387878_opts" hidden="1">"1, 1, 1, False, 2, True, False, , 0, False, True, 1, 1"</definedName>
    <definedName name="cb_sChart1A387AF4_opts" hidden="1">"1, 3, 1, False, 2, False, False, , 0, False, False, 1, 1"</definedName>
    <definedName name="cb_sChart1A38BEAE_opts" hidden="1">"1, 10, 1, False, 2, True, False, , 0, False, False, 1, 1"</definedName>
    <definedName name="cb_sChart1A43A019_opts" hidden="1">"1, 1, 1, False, 2, True, False, , 0, False, False, 1, 1"</definedName>
    <definedName name="cb_sChart1A4414D6_opts" hidden="1">"1, 1, 1, False, 2, True, False, , 0, False, False, 1, 1"</definedName>
    <definedName name="cb_sChart1A4416BC_opts" hidden="1">"1, 1, 1, False, 2, True, False, , 0, False, False, 1, 1"</definedName>
    <definedName name="cb_sChart1A4418D0_opts" hidden="1">"1, 1, 1, False, 2, True, False, , 0, False, False, 1, 1"</definedName>
    <definedName name="cb_sChart1A4419DA_opts" hidden="1">"1, 1, 1, False, 2, True, False, , 0, False, False, 1, 1"</definedName>
    <definedName name="cb_sChart7F59C8D_opts" hidden="1">"1, 4, 1, False, 2, False, False, , 0, False, False, 1, 1"</definedName>
    <definedName name="cb_sChart7F59D80_opts" hidden="1">"1, 1, 1, False, 2, True, False, , 0, False, False, 1, 1"</definedName>
    <definedName name="cb_sChart7F5A913_opts" hidden="1">"1, 1, 1, False, 2, True, False, , 0, False, False, 3, 1"</definedName>
    <definedName name="cb_sChart7F5AA63_opts" hidden="1">"1, 1, 1, False, 2, False, False, , 0, False, False, 3, 1"</definedName>
    <definedName name="cb_sChart7F5AB6D_opts" hidden="1">"1, 1, 1, False, 2, False, False, , 0, False, False, 3, 1"</definedName>
    <definedName name="cb_sChart7F5AED1_opts" hidden="1">"1, 1, 1, False, 2, False, False, , 0, False, False, 3, 1"</definedName>
    <definedName name="cb_sChartD68BCC9_opts" hidden="1">"1, 1, 1, False, 2, True, False, , 0, False, True, 1, 1"</definedName>
    <definedName name="cb_sChartD6B06A2_opts" hidden="1">"1, 1, 1, False, 2, False, False, , 0, False, False, 2, 2"</definedName>
    <definedName name="cb_sChartD6B1FA3_opts" hidden="1">"1, 1, 1, False, 2, False, False, , 0, False, False, 2, 2"</definedName>
    <definedName name="cb_sChartD6B69B1_opts" hidden="1">"1, 1, 1, False, 2, False, False, , 0, False, False, 1, 2"</definedName>
    <definedName name="cb_sChartD6B76F0_opts" hidden="1">"2, 1, 1, False, 2, False, False, , 0, False, False, 1, 2"</definedName>
    <definedName name="cb_sChartD6B943C_opts" hidden="1">"2, 1, 1, False, 3, False, False, , 0, False, False, 1, 2"</definedName>
    <definedName name="cb_sChartD6C1C01_opts" hidden="1">"2, 1, 1, True, 2, False, False, , 0, False, False, 1, 2"</definedName>
    <definedName name="cb_sChartD6FD60D_opts" hidden="1">"1, 1, 1, False, 2, False, False, , 0, False, False, 1, 1"</definedName>
    <definedName name="cb_sChartD78B484_opts" hidden="1">"2, 1, 1, False, 2, True, False, , 0, False, False, 1, 2"</definedName>
    <definedName name="cb_sChartD78C2AA_opts" hidden="1">"2, 1, 1, True, 2, True, False, , 0, False, False, 1, 2"</definedName>
    <definedName name="cb_sChartD78C76A_opts" hidden="1">"2, 1, 1, True, 2, True, False, , 0, False, False, 1, 1"</definedName>
    <definedName name="cb_sChartD78CF99_opts" hidden="1">"2, 1, 3, True, 2, False, False, , 0, False, False, 1, 1"</definedName>
    <definedName name="cb_sChartD78D2CE_opts" hidden="1">"1, 1, 1, False, 2, False, False, , 0, False, False, 1, 2"</definedName>
    <definedName name="cb_sChartD78D365_opts" hidden="1">"1, 1, 1, False, 2, False, False, , 0, False, False, 1, 2"</definedName>
    <definedName name="cb_sChartD78D5B3_opts" hidden="1">"1, 1, 1, False, 2, False, False, , 0, False, False, 1, 2"</definedName>
    <definedName name="cb_sChartD78D655_opts" hidden="1">"1, 1, 1, False, 2, True, False, , 0, False, False, 1, 2"</definedName>
    <definedName name="cb_sChartD78DFD4_opts" hidden="1">"2, 1, 1, True, 2, False, False, , 0, False, False, 1, 2"</definedName>
    <definedName name="cb_sChartD78E27F_opts" hidden="1">"2, 1, 1, True, 2, False, False, , 0, False, False, 1, 2"</definedName>
    <definedName name="cb_sChartD78E924_opts" hidden="1">"2, 1, 1, True, 3, False, False, , 0, False, False, 1, 2"</definedName>
    <definedName name="cb_sChartD7A9852_opts" hidden="1">"2, 1, 1, True, 3, False, False, , 0, False, False, 1, 2"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WorkbookPriority" hidden="1">-31260691</definedName>
    <definedName name="cc" hidden="1">{#N/A,#N/A,FALSE,"LoanAssumptions"}</definedName>
    <definedName name="ccc" hidden="1">{#N/A,#N/A,FALSE,"LoanAssumptions"}</definedName>
    <definedName name="Change2" hidden="1">#N/A</definedName>
    <definedName name="Change3" hidden="1">#N/A</definedName>
    <definedName name="Change4" hidden="1">#N/A</definedName>
    <definedName name="ChangeRange" hidden="1">#N/A</definedName>
    <definedName name="ChangeRange2" hidden="1">#N/A</definedName>
    <definedName name="Changes">#REF!</definedName>
    <definedName name="Check_For_Account_Selection" hidden="1">#REF!</definedName>
    <definedName name="Check_For_Capitation_Product" hidden="1">#REF!</definedName>
    <definedName name="Check_For_Plan_Selection" hidden="1">#REF!</definedName>
    <definedName name="Check_For_Product_99" hidden="1">#REF!</definedName>
    <definedName name="Check_For_Split_Funded_Medical" hidden="1">#REF!</definedName>
    <definedName name="Check_Template_Type" hidden="1">#REF!</definedName>
    <definedName name="Check1">#REF!</definedName>
    <definedName name="CIGNA12.15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ciq_meta_info_004e446f9f9e4985a9b75968121974d4" comment="&lt;Category&gt;" hidden="1">#REF!</definedName>
    <definedName name="ciq_meta_info_0c91374f33694252aa0012855ff292e4" comment="Metric: Undefined, &lt;174&gt;_x000a_Entity: &lt;2668699&gt;" hidden="1">#REF!</definedName>
    <definedName name="ciq_meta_info_12fe3978cde7498c8312ae0151ede6f4" comment="Metric: Undefined, &lt;174&gt;_x000a_Entity: &lt;0&gt;" hidden="1">#REF!</definedName>
    <definedName name="ciq_meta_info_1893968efa384ab0814592e273e9e595" comment="Metric: Undefined, &lt;174&gt;_x000a_Entity: &lt;2668699&gt;" hidden="1">#REF!</definedName>
    <definedName name="ciq_meta_info_2e42e0e2a5564f2f95067e31c3a98210" comment="&lt;Category&gt;" hidden="1">#REF!</definedName>
    <definedName name="ciq_meta_info_33b0280c11c34f608c00c84f25d862cf" comment="Metric: Undefined, &lt;174&gt;_x000a_Entity: &lt;0&gt;" hidden="1">#REF!</definedName>
    <definedName name="ciq_meta_info_3709b0fb177445c9be6308c82050ea75" comment="Metric: Undefined, &lt;174&gt;_x000a_Entity: &lt;0&gt;" hidden="1">#REF!</definedName>
    <definedName name="ciq_meta_info_3bf4e66d0b54447696ed4f687240c164" comment="&lt;Category&gt;" hidden="1">#REF!</definedName>
    <definedName name="ciq_meta_info_42dd16ce731e456fb423173ab8d80af3" comment="Metric: Undefined, &lt;174&gt;_x000a_Entity: &lt;0&gt;" hidden="1">#REF!</definedName>
    <definedName name="ciq_meta_info_44818688f8704a6fb88016c5413eefdc" comment="&lt;Category&gt;" hidden="1">#REF!</definedName>
    <definedName name="ciq_meta_info_488c7f57bd2349e995535b5813626d38" comment="Metric: Undefined, &lt;174&gt;_x000a_Entity: &lt;2668681&gt;" hidden="1">#REF!</definedName>
    <definedName name="ciq_meta_info_4bf382208af840f3a0c57abfc8f02934" comment="Metric: Undefined, &lt;174&gt;_x000a_Entity: &lt;2668699&gt;" hidden="1">#REF!</definedName>
    <definedName name="ciq_meta_info_5f13325db66446838a4ef16c68e374f4" comment="&lt;Category&gt;" hidden="1">#REF!</definedName>
    <definedName name="ciq_meta_info_6500495f8cdb432bb9e46f0cef321133" comment="Metric: Undefined, &lt;174&gt;_x000a_Entity: &lt;0&gt;" hidden="1">#REF!</definedName>
    <definedName name="ciq_meta_info_6b118d6a8d9e4717875fd1c9d9d51ba3" comment="Metric: Undefined, &lt;174&gt;_x000a_Entity: &lt;2668681&gt;" hidden="1">#REF!</definedName>
    <definedName name="ciq_meta_info_73c8c26de6d24ce0aec99294d9991712" comment="&lt;Category&gt;" hidden="1">#REF!</definedName>
    <definedName name="ciq_meta_info_780b41d9f3e44582b3e7fb5433f1003e" comment="&lt;Category&gt;" hidden="1">#REF!</definedName>
    <definedName name="ciq_meta_info_817f5b35d597429287889ef2e1c3c2b9" comment="Metric: Undefined, &lt;174&gt;_x000a_Entity: &lt;2667768&gt;" hidden="1">#REF!</definedName>
    <definedName name="ciq_meta_info_901a4c3f0d1d45608ce744b1fd354844" comment="Metric: Undefined, &lt;174&gt;_x000a_Entity: &lt;2668699&gt;" hidden="1">#REF!</definedName>
    <definedName name="ciq_meta_info_941aee01a5f24e44b9a6d52ac004769b" comment="Metric: Undefined, &lt;174&gt;_x000a_Entity: &lt;362956&gt;" hidden="1">#REF!</definedName>
    <definedName name="ciq_meta_info_9a96faed93bb40c1a1c8e6e83afef714" comment="Metric: Undefined, &lt;174&gt;_x000a_Entity: &lt;2668681&gt;" hidden="1">#REF!</definedName>
    <definedName name="ciq_meta_info_9ec80e37e87c48d29b38e6c33834e884" comment="&lt;Category&gt;" hidden="1">#REF!</definedName>
    <definedName name="ciq_meta_info_a2fc0fc09ea74ec59a008f3a2a4b0a20" comment="Metric: Undefined, &lt;174&gt;_x000a_Entity: &lt;2667768&gt;" hidden="1">#REF!</definedName>
    <definedName name="ciq_meta_info_ae81b4347817487e885836a877fefb46" hidden="1">#REF!</definedName>
    <definedName name="ciq_meta_info_b664e722239c4cde86e530c230078538" hidden="1">#REF!</definedName>
    <definedName name="ciq_meta_info_b8890dafecb545a19e21a891430a79ee" comment="Metric: Undefined, &lt;174&gt;_x000a_Entity: &lt;2668681&gt;" hidden="1">#REF!</definedName>
    <definedName name="ciq_meta_info_b9d0250d9bba40c9b27ee64a0385c7cf" comment="Metric: Undefined, &lt;174&gt;_x000a_Entity: &lt;2668699&gt;" hidden="1">#REF!</definedName>
    <definedName name="ciq_meta_info_c583b8fead3f47298885392988fb0ddb" comment="&lt;Category&gt;" hidden="1">#REF!</definedName>
    <definedName name="ciq_meta_info_cd712566b5454306bc4f6d8f2e2ab934" comment="Metric: Undefined, &lt;174&gt;_x000a_Entity: &lt;0&gt;" hidden="1">#REF!</definedName>
    <definedName name="ciq_meta_info_e9b5829eec9a4e8baf7c928b2c2c4e1c" comment="&lt;Category&gt;" hidden="1">#REF!</definedName>
    <definedName name="ciq_meta_info_ea8d10edb910490a9fb0186402f32266" comment="&lt;Category&gt;" hidden="1">#REF!</definedName>
    <definedName name="CIQWBGuid" hidden="1">"Project Radar - Operating Model_v1.xlsx"</definedName>
    <definedName name="COGS">#REF!</definedName>
    <definedName name="ComDivPaid">#REF!</definedName>
    <definedName name="CommonEquity">#REF!</definedName>
    <definedName name="CommunityRated_HPD_Row_21_delete" hidden="1">#REF!</definedName>
    <definedName name="CommunityRated_HPD_Row_22_delete" hidden="1">#REF!</definedName>
    <definedName name="CommunityRatedMedicare_HPD_Footnote3_delete" hidden="1">#REF!</definedName>
    <definedName name="CommunityRatedRow23Row27SIKeyStats" hidden="1">#REF!</definedName>
    <definedName name="Company">#REF!</definedName>
    <definedName name="ComparatEU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DebtCap">#REF!</definedName>
    <definedName name="CompTaxRate">#REF!</definedName>
    <definedName name="CompTrig">#REF!</definedName>
    <definedName name="considcash">#REF!</definedName>
    <definedName name="considmix">#REF!</definedName>
    <definedName name="considstock">#REF!</definedName>
    <definedName name="ConvDebt1">#REF!</definedName>
    <definedName name="ConvDebt2">#REF!</definedName>
    <definedName name="ConvDebtOut">#REF!</definedName>
    <definedName name="Conversion_Rate">#REF!</definedName>
    <definedName name="ConvPref1">#REF!</definedName>
    <definedName name="ConvPref2">#REF!</definedName>
    <definedName name="ConvPrefLiq1">#REF!</definedName>
    <definedName name="ConvPrefLiq2">#REF!</definedName>
    <definedName name="ConvPrefOut">#REF!</definedName>
    <definedName name="ConvTrig">#REF!</definedName>
    <definedName name="CopySumH02">#REF!</definedName>
    <definedName name="Corporate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st.xl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Cost_Sharing_Analysis_Dental_Range" hidden="1">#REF!</definedName>
    <definedName name="CostOfDebt">#REF!</definedName>
    <definedName name="coun" hidden="1">{#N/A,#N/A,FALSE,"Assessment";#N/A,#N/A,FALSE,"Staffing";#N/A,#N/A,FALSE,"Hires";#N/A,#N/A,FALSE,"Assumptions"}</definedName>
    <definedName name="COUNTRY" hidden="1">{#N/A,#N/A,FALSE,"Assessment";#N/A,#N/A,FALSE,"Staffing";#N/A,#N/A,FALSE,"Hires";#N/A,#N/A,FALSE,"Assumptions"}</definedName>
    <definedName name="Cover" hidden="1">#REF!</definedName>
    <definedName name="Cover_Page_Range" hidden="1">#REF!</definedName>
    <definedName name="Cover_Page_Run_Macros_Range" hidden="1">#REF!</definedName>
    <definedName name="CoverPageBrokerName" hidden="1">#REF!</definedName>
    <definedName name="CoverPageBrokerTagLine" hidden="1">#REF!</definedName>
    <definedName name="CoverPageHome" hidden="1">#REF!</definedName>
    <definedName name="CoverPageProduct" hidden="1">#REF!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sdfsa" hidden="1">"c4427"</definedName>
    <definedName name="CSynLTM">#REF!</definedName>
    <definedName name="CSynYear1">#REF!</definedName>
    <definedName name="CSynYear2">#REF!</definedName>
    <definedName name="CTR">#REF!</definedName>
    <definedName name="curr_yyyymmdd_incurred_end_date" hidden="1">#REF!</definedName>
    <definedName name="curr_yyyymmdd_processed_end_date" hidden="1">#REF!</definedName>
    <definedName name="Current">#REF!</definedName>
    <definedName name="Current_Cat_End_Row_Number" hidden="1">#REF!</definedName>
    <definedName name="Current_Claims_Above_50K_Check" hidden="1">#REF!</definedName>
    <definedName name="Current_Network_Discount_Savings" hidden="1">#REF!</definedName>
    <definedName name="CurrentAssets">#REF!</definedName>
    <definedName name="CurrentDate">#REF!</definedName>
    <definedName name="CurrentLiab">#REF!</definedName>
    <definedName name="CurrentRatio">#REF!</definedName>
    <definedName name="Cust_Spec_Ntwk_Exp_PPO_Max_Net_Avg_Sub_Charges" hidden="1">#REF!</definedName>
    <definedName name="Cust_Spec_Ntwk_Exp_PPO_Max_Sav_Neg_Arrang" hidden="1">#REF!</definedName>
    <definedName name="Cust_Spec_Ntwk_Exp_PPO_Net_Avg_Sub_Charges" hidden="1">#REF!</definedName>
    <definedName name="Cust_Spec_Ntwk_Exp_PPO_Sav_Neg_Arrang" hidden="1">#REF!</definedName>
    <definedName name="Cwvu.GREY_ALL." hidden="1">#REF!</definedName>
    <definedName name="cxaa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D" hidden="1">{#N/A,#N/A,FALSE,"AD_Purch";#N/A,#N/A,FALSE,"Projections";#N/A,#N/A,FALSE,"DCF";#N/A,#N/A,FALSE,"Mkt Val"}</definedName>
    <definedName name="DA">#REF!</definedName>
    <definedName name="DA_Accumulator_Range" hidden="1">#REF!</definedName>
    <definedName name="DA_Capitation_Range" hidden="1">#REF!</definedName>
    <definedName name="DA_Dental_Range" hidden="1">#REF!</definedName>
    <definedName name="DA_Medical_Range" hidden="1">#REF!</definedName>
    <definedName name="DA_Off_Page_Range" hidden="1">#REF!</definedName>
    <definedName name="DA_Prior_Range" hidden="1">#REF!</definedName>
    <definedName name="DA_RX_Range" hidden="1">#REF!</definedName>
    <definedName name="DAEnd">#REF!</definedName>
    <definedName name="DAStart">#REF!</definedName>
    <definedName name="Data">#REF!</definedName>
    <definedName name="DATA_01" hidden="1">#REF!</definedName>
    <definedName name="Data_Availability_Summary_Home" hidden="1">#REF!</definedName>
    <definedName name="Data_Availability_Summary_Range" hidden="1">#REF!</definedName>
    <definedName name="datarange">#REF!</definedName>
    <definedName name="datarange2">#REF!</definedName>
    <definedName name="datarange3">#REF!</definedName>
    <definedName name="DataThrough">#REF!</definedName>
    <definedName name="Date">#REF!</definedName>
    <definedName name="DaysInv">#REF!</definedName>
    <definedName name="DaysPay">#REF!</definedName>
    <definedName name="DaysRec">#REF!</definedName>
    <definedName name="dbf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d" hidden="1">{#N/A,#N/A,FALSE,"AD_Purch";#N/A,#N/A,FALSE,"Projections";#N/A,#N/A,FALSE,"DCF";#N/A,#N/A,FALSE,"Mkt Val"}</definedName>
    <definedName name="DD_ER_VISITS_FOOTNOTE" hidden="1">#REF!</definedName>
    <definedName name="dd_prov_net_footnote" hidden="1">#REF!</definedName>
    <definedName name="dd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ddd" hidden="1">{#N/A,#N/A,FALSE,"AD_Purchase";#N/A,#N/A,FALSE,"Credit";#N/A,#N/A,FALSE,"PF Acquisition";#N/A,#N/A,FALSE,"PF Offering"}</definedName>
    <definedName name="ddddddddd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sfd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ebt">#REF!</definedName>
    <definedName name="DebtA">#REF!</definedName>
    <definedName name="DebtAdj">#REF!</definedName>
    <definedName name="DebtBeta">#REF!</definedName>
    <definedName name="DebtBook">#REF!</definedName>
    <definedName name="DebtC">#REF!</definedName>
    <definedName name="DebtCap">#REF!</definedName>
    <definedName name="DebtCap2">#REF!</definedName>
    <definedName name="DebtEBITDA">#REF!</definedName>
    <definedName name="DebtEnt">#REF!</definedName>
    <definedName name="DebtEntInc">#REF!</definedName>
    <definedName name="DebtPrice1">#REF!</definedName>
    <definedName name="DebtPrice2">#REF!</definedName>
    <definedName name="DebtService1" hidden="1">{"Outflow 1",#N/A,FALSE,"Outflows-Inflows";"Outflow 2",#N/A,FALSE,"Outflows-Inflows";"Inflow 1",#N/A,FALSE,"Outflows-Inflows";"Inflow 2",#N/A,FALSE,"Outflows-Inflows"}</definedName>
    <definedName name="DebtShares1">#REF!</definedName>
    <definedName name="DebtShares2">#REF!</definedName>
    <definedName name="DebtSr">#REF!</definedName>
    <definedName name="DebtSub">#REF!</definedName>
    <definedName name="DebtT">#REF!</definedName>
    <definedName name="DEEnd">#REF!</definedName>
    <definedName name="DeferredTaxes">#REF!</definedName>
    <definedName name="Delete">#REF!</definedName>
    <definedName name="Demographics_Dental_Range" hidden="1">#REF!</definedName>
    <definedName name="Demographics_FI_Community_Graph_range" hidden="1">#REF!</definedName>
    <definedName name="Demographics_FI_Community_Medicare_cust_age_gen_Graph_range" hidden="1">#REF!</definedName>
    <definedName name="Demographics_FI_Community_Medicare_Graph_range" hidden="1">#REF!</definedName>
    <definedName name="Demographics_FI_Community_Medicare_Graph_range_cust_age_gender_curr_prior_comparison" hidden="1">#REF!</definedName>
    <definedName name="Demographics_Medical_Range" hidden="1">#REF!</definedName>
    <definedName name="dent_net_avg_sub_charges_ppo_aetna_ppo_II_ntwk_curr" hidden="1">#REF!</definedName>
    <definedName name="dent_net_avg_sub_charges_ppo_aetna_ppo_II_ntwk_prior" hidden="1">#REF!</definedName>
    <definedName name="dent_net_avg_sub_charges_ppo_aetna_ppo_ntwk_curr" hidden="1">#REF!</definedName>
    <definedName name="dent_net_avg_sub_charges_ppo_aetna_ppo_ntwk_prior" hidden="1">#REF!</definedName>
    <definedName name="dent_net_avg_sub_charges_ppo_aetna_spec_ntwk_curr" hidden="1">#REF!</definedName>
    <definedName name="dent_net_avg_sub_charges_ppo_aetna_spec_ntwk_prior" hidden="1">#REF!</definedName>
    <definedName name="dent_net_avg_sub_charges_ppo_cust_spec_ntwk_curr" hidden="1">#REF!</definedName>
    <definedName name="dent_net_avg_sub_charges_ppo_cust_spec_ntwk_prior" hidden="1">#REF!</definedName>
    <definedName name="dent_net_avg_sub_charges_ppo_max_aetna_ppo_II_ntwk_curr" hidden="1">#REF!</definedName>
    <definedName name="dent_net_avg_sub_charges_ppo_max_aetna_ppo_II_ntwk_prior" hidden="1">#REF!</definedName>
    <definedName name="dent_net_avg_sub_charges_ppo_max_aetna_ppo_ntwk_curr" hidden="1">#REF!</definedName>
    <definedName name="dent_net_avg_sub_charges_ppo_max_aetna_ppo_ntwk_prior" hidden="1">#REF!</definedName>
    <definedName name="dent_net_avg_sub_charges_ppo_max_aetna_spec_ntwk_curr" hidden="1">#REF!</definedName>
    <definedName name="dent_net_avg_sub_charges_ppo_max_aetna_spec_ntwk_prior" hidden="1">#REF!</definedName>
    <definedName name="dent_net_avg_sub_charges_ppo_max_cust_spec_ntwk_curr" hidden="1">#REF!</definedName>
    <definedName name="dent_net_avg_sub_charges_ppo_max_cust_spec_ntwk_prior" hidden="1">#REF!</definedName>
    <definedName name="dent_net_avg_sub_charges_ppo_max_out_ntwk_curr" hidden="1">#REF!</definedName>
    <definedName name="dent_net_avg_sub_charges_ppo_max_out_ntwk_prior" hidden="1">#REF!</definedName>
    <definedName name="dent_net_avg_sub_charges_ppo_out_ntwk_curr" hidden="1">#REF!</definedName>
    <definedName name="dent_net_avg_sub_charges_ppo_out_ntwk_prior" hidden="1">#REF!</definedName>
    <definedName name="dent_sav_frm_negot_arrangements_ppo_aetna_ppo_II_ntwk_curr" hidden="1">#REF!</definedName>
    <definedName name="dent_sav_frm_negot_arrangements_ppo_aetna_ppo_II_ntwk_prior" hidden="1">#REF!</definedName>
    <definedName name="dent_sav_frm_negot_arrangements_ppo_aetna_ppo_ntwk_curr" hidden="1">#REF!</definedName>
    <definedName name="dent_sav_frm_negot_arrangements_ppo_aetna_ppo_ntwk_prior" hidden="1">#REF!</definedName>
    <definedName name="dent_sav_frm_negot_arrangements_ppo_aetna_spec_ntwk_curr" hidden="1">#REF!</definedName>
    <definedName name="dent_sav_frm_negot_arrangements_ppo_aetna_spec_ntwk_prior" hidden="1">#REF!</definedName>
    <definedName name="dent_sav_frm_negot_arrangements_ppo_cust_spec_ntwk_curr" hidden="1">#REF!</definedName>
    <definedName name="dent_sav_frm_negot_arrangements_ppo_cust_spec_ntwk_prior" hidden="1">#REF!</definedName>
    <definedName name="dent_sav_frm_negot_arrangements_ppo_max_aetna_ppo_II_ntwk_curr" hidden="1">#REF!</definedName>
    <definedName name="dent_sav_frm_negot_arrangements_ppo_max_aetna_ppo_II_ntwk_prior" hidden="1">#REF!</definedName>
    <definedName name="dent_sav_frm_negot_arrangements_ppo_max_aetna_ppo_ntwk_curr" hidden="1">#REF!</definedName>
    <definedName name="dent_sav_frm_negot_arrangements_ppo_max_aetna_ppo_ntwk_prior" hidden="1">#REF!</definedName>
    <definedName name="dent_sav_frm_negot_arrangements_ppo_max_aetna_spec_ntwk_curr" hidden="1">#REF!</definedName>
    <definedName name="dent_sav_frm_negot_arrangements_ppo_max_aetna_spec_ntwk_prior" hidden="1">#REF!</definedName>
    <definedName name="dent_sav_frm_negot_arrangements_ppo_max_cust_spec_ntwk_curr" hidden="1">#REF!</definedName>
    <definedName name="dent_sav_frm_negot_arrangements_ppo_max_cust_spec_ntwk_prior" hidden="1">#REF!</definedName>
    <definedName name="dent_sav_frm_negot_arrangements_ppo_max_out_ntwk_curr" hidden="1">#REF!</definedName>
    <definedName name="dent_sav_frm_negot_arrangements_ppo_max_out_ntwk_prior" hidden="1">#REF!</definedName>
    <definedName name="dent_sav_frm_negot_arrangements_ppo_out_ntwk_curr" hidden="1">#REF!</definedName>
    <definedName name="dent_sav_frm_negot_arrangements_ppo_out_ntwk_prior" hidden="1">#REF!</definedName>
    <definedName name="dent_tot_services_aetna_ppo_II_ntwk_curr" hidden="1">#REF!</definedName>
    <definedName name="dent_tot_services_aetna_ppo_II_ntwk_prior" hidden="1">#REF!</definedName>
    <definedName name="dent_tot_services_aetna_ppo_ntwk_curr" hidden="1">#REF!</definedName>
    <definedName name="dent_tot_services_aetna_ppo_ntwk_prior" hidden="1">#REF!</definedName>
    <definedName name="dent_tot_services_aetna_spec_ntwk_curr" hidden="1">#REF!</definedName>
    <definedName name="dent_tot_services_aetna_spec_ntwk_prior" hidden="1">#REF!</definedName>
    <definedName name="dent_tot_services_cust_spec_ntwk_curr" hidden="1">#REF!</definedName>
    <definedName name="dent_tot_services_cust_spec_ntwk_prior" hidden="1">#REF!</definedName>
    <definedName name="dent_tot_services_out_ntwk_curr" hidden="1">#REF!</definedName>
    <definedName name="dent_tot_services_out_ntwk_prior" hidden="1">#REF!</definedName>
    <definedName name="dental_ahf_ind" hidden="1">#REF!</definedName>
    <definedName name="dental_alt_ben_in_network_curr" hidden="1">#REF!</definedName>
    <definedName name="dental_alt_ben_in_network_prior" hidden="1">#REF!</definedName>
    <definedName name="dental_alt_ben_out_network_curr" hidden="1">#REF!</definedName>
    <definedName name="dental_alt_ben_out_network_prior" hidden="1">#REF!</definedName>
    <definedName name="Dental_avg_age_members_curr" hidden="1">#REF!</definedName>
    <definedName name="Dental_avg_age_members_prior" hidden="1">#REF!</definedName>
    <definedName name="dental_basic_in_network_curr" hidden="1">#REF!</definedName>
    <definedName name="dental_basic_in_network_prior" hidden="1">#REF!</definedName>
    <definedName name="dental_basic_out_network_curr" hidden="1">#REF!</definedName>
    <definedName name="dental_basic_out_network_prior" hidden="1">#REF!</definedName>
    <definedName name="Dental_basic_paid_amt_curr" hidden="1">#REF!</definedName>
    <definedName name="Dental_basic_paid_amt_prior" hidden="1">#REF!</definedName>
    <definedName name="Dental_basic_svcs_curr" hidden="1">#REF!</definedName>
    <definedName name="Dental_basic_svcs_prior" hidden="1">#REF!</definedName>
    <definedName name="dental_children_in_network_curr" hidden="1">#REF!</definedName>
    <definedName name="dental_children_in_network_prior" hidden="1">#REF!</definedName>
    <definedName name="dental_children_out_network_curr" hidden="1">#REF!</definedName>
    <definedName name="dental_children_out_network_prior" hidden="1">#REF!</definedName>
    <definedName name="dental_cob_in_network_curr" hidden="1">#REF!</definedName>
    <definedName name="dental_cob_in_network_prior" hidden="1">#REF!</definedName>
    <definedName name="dental_cob_out_network_curr" hidden="1">#REF!</definedName>
    <definedName name="dental_cob_out_network_prior" hidden="1">#REF!</definedName>
    <definedName name="dental_coinsurance_copay_in_network_curr" hidden="1">#REF!</definedName>
    <definedName name="dental_coinsurance_copay_in_network_prior" hidden="1">#REF!</definedName>
    <definedName name="dental_coinsurance_copay_out_network_curr" hidden="1">#REF!</definedName>
    <definedName name="dental_coinsurance_copay_out_network_prior" hidden="1">#REF!</definedName>
    <definedName name="Dental_cost_share_allowed_amt_curr" hidden="1">#REF!</definedName>
    <definedName name="Dental_cost_share_allowed_amt_prior" hidden="1">#REF!</definedName>
    <definedName name="Dental_cost_share_cob_amt_curr" hidden="1">#REF!</definedName>
    <definedName name="Dental_cost_share_cob_amt_prior" hidden="1">#REF!</definedName>
    <definedName name="Dental_cost_share_coins_amt_curr" hidden="1">#REF!</definedName>
    <definedName name="Dental_cost_share_coins_amt_prior" hidden="1">#REF!</definedName>
    <definedName name="Dental_cost_share_deductible_amt_curr" hidden="1">#REF!</definedName>
    <definedName name="Dental_cost_share_deductible_amt_prior" hidden="1">#REF!</definedName>
    <definedName name="dental_deductible_in_network_curr" hidden="1">#REF!</definedName>
    <definedName name="dental_deductible_in_network_prior" hidden="1">#REF!</definedName>
    <definedName name="dental_deductible_out_network_curr" hidden="1">#REF!</definedName>
    <definedName name="dental_deductible_out_network_prior" hidden="1">#REF!</definedName>
    <definedName name="Dental_dependent_paid_amt_curr" hidden="1">#REF!</definedName>
    <definedName name="Dental_dependent_paid_amt_prior" hidden="1">#REF!</definedName>
    <definedName name="dental_dup_bills_in_network_curr" hidden="1">#REF!</definedName>
    <definedName name="dental_dup_bills_in_network_prior" hidden="1">#REF!</definedName>
    <definedName name="dental_dup_bills_out_network_curr" hidden="1">#REF!</definedName>
    <definedName name="dental_dup_bills_out_network_prior" hidden="1">#REF!</definedName>
    <definedName name="dental_elig_denials_in_network_curr" hidden="1">#REF!</definedName>
    <definedName name="dental_elig_denials_in_network_prior" hidden="1">#REF!</definedName>
    <definedName name="dental_elig_denials_out_network_curr" hidden="1">#REF!</definedName>
    <definedName name="dental_elig_denials_out_network_prior" hidden="1">#REF!</definedName>
    <definedName name="dental_employee_in_network_curr" hidden="1">#REF!</definedName>
    <definedName name="dental_employee_in_network_prior" hidden="1">#REF!</definedName>
    <definedName name="dental_employee_out_network_curr" hidden="1">#REF!</definedName>
    <definedName name="dental_employee_out_network_prior" hidden="1">#REF!</definedName>
    <definedName name="Dental_employee_paid_amt_curr" hidden="1">#REF!</definedName>
    <definedName name="Dental_employee_paid_amt_prior" hidden="1">#REF!</definedName>
    <definedName name="Dental_female_mem_0_19_curr" hidden="1">#REF!</definedName>
    <definedName name="Dental_female_mem_0_19_prior" hidden="1">#REF!</definedName>
    <definedName name="Dental_female_mem_20_44_curr" hidden="1">#REF!</definedName>
    <definedName name="Dental_female_mem_20_44_prior" hidden="1">#REF!</definedName>
    <definedName name="Dental_female_mem_45_64_curr" hidden="1">#REF!</definedName>
    <definedName name="Dental_female_mem_45_64_prior" hidden="1">#REF!</definedName>
    <definedName name="Dental_female_mem_65_over_curr" hidden="1">#REF!</definedName>
    <definedName name="Dental_female_mem_65_over_prior" hidden="1">#REF!</definedName>
    <definedName name="Dental_female_members_curr" hidden="1">#REF!</definedName>
    <definedName name="Dental_female_members_prior" hidden="1">#REF!</definedName>
    <definedName name="dental_freq_limit_in_network_curr" hidden="1">#REF!</definedName>
    <definedName name="dental_freq_limit_in_network_prior" hidden="1">#REF!</definedName>
    <definedName name="dental_freq_limit_out_network_curr" hidden="1">#REF!</definedName>
    <definedName name="dental_freq_limit_out_network_prior" hidden="1">#REF!</definedName>
    <definedName name="Dental_Ingenix_Footnote" hidden="1">#REF!</definedName>
    <definedName name="Dental_key_results_network_discount_amt_curr" hidden="1">#REF!</definedName>
    <definedName name="Dental_key_results_network_discount_amt_prior" hidden="1">#REF!</definedName>
    <definedName name="Dental_key_results_network_paid_amt_curr" hidden="1">#REF!</definedName>
    <definedName name="Dental_key_results_network_paid_amt_prior" hidden="1">#REF!</definedName>
    <definedName name="Dental_key_results_rc_savings_amt_curr" hidden="1">#REF!</definedName>
    <definedName name="Dental_key_results_rc_savings_amt_prior" hidden="1">#REF!</definedName>
    <definedName name="dental_major_in_network_curr" hidden="1">#REF!</definedName>
    <definedName name="dental_major_in_network_prior" hidden="1">#REF!</definedName>
    <definedName name="dental_major_out_network_curr" hidden="1">#REF!</definedName>
    <definedName name="dental_major_out_network_prior" hidden="1">#REF!</definedName>
    <definedName name="Dental_major_paid_amt_curr" hidden="1">#REF!</definedName>
    <definedName name="Dental_major_paid_amt_prior" hidden="1">#REF!</definedName>
    <definedName name="Dental_major_svcs_curr" hidden="1">#REF!</definedName>
    <definedName name="Dental_major_svcs_prior" hidden="1">#REF!</definedName>
    <definedName name="Dental_male_mem_0_19_curr" hidden="1">#REF!</definedName>
    <definedName name="Dental_male_mem_0_19_prior" hidden="1">#REF!</definedName>
    <definedName name="Dental_male_mem_20_44_curr" hidden="1">#REF!</definedName>
    <definedName name="Dental_male_mem_20_44_prior" hidden="1">#REF!</definedName>
    <definedName name="Dental_male_mem_45_64_curr" hidden="1">#REF!</definedName>
    <definedName name="Dental_male_mem_45_64_prior" hidden="1">#REF!</definedName>
    <definedName name="Dental_male_mem_65_over_curr" hidden="1">#REF!</definedName>
    <definedName name="Dental_male_mem_65_over_prior" hidden="1">#REF!</definedName>
    <definedName name="Dental_male_members_curr" hidden="1">#REF!</definedName>
    <definedName name="Dental_male_members_prior" hidden="1">#REF!</definedName>
    <definedName name="Dental_months_curr" hidden="1">#REF!</definedName>
    <definedName name="Dental_months_prior" hidden="1">#REF!</definedName>
    <definedName name="Dental_net_submitted_in_network_curr" hidden="1">#REF!</definedName>
    <definedName name="Dental_net_submitted_in_network_prior" hidden="1">#REF!</definedName>
    <definedName name="Dental_net_submitted_other_curr" hidden="1">#REF!</definedName>
    <definedName name="Dental_net_submitted_other_prior" hidden="1">#REF!</definedName>
    <definedName name="Dental_net_submitted_out_network_curr" hidden="1">#REF!</definedName>
    <definedName name="Dental_net_submitted_out_network_prior" hidden="1">#REF!</definedName>
    <definedName name="Dental_network_discount_in_network_curr" hidden="1">#REF!</definedName>
    <definedName name="Dental_network_discount_in_network_prior" hidden="1">#REF!</definedName>
    <definedName name="Dental_network_discount_other_curr" hidden="1">#REF!</definedName>
    <definedName name="Dental_network_discount_other_prior" hidden="1">#REF!</definedName>
    <definedName name="Dental_network_discount_out_network_curr" hidden="1">#REF!</definedName>
    <definedName name="Dental_network_discount_out_network_prior" hidden="1">#REF!</definedName>
    <definedName name="dental_non_covered_serv_in_network_curr" hidden="1">#REF!</definedName>
    <definedName name="dental_non_covered_serv_in_network_prior" hidden="1">#REF!</definedName>
    <definedName name="dental_non_covered_serv_out_network_curr" hidden="1">#REF!</definedName>
    <definedName name="dental_non_covered_serv_out_network_prior" hidden="1">#REF!</definedName>
    <definedName name="dental_not_medically_necess_in_network_curr" hidden="1">#REF!</definedName>
    <definedName name="dental_not_medically_necess_in_network_prior" hidden="1">#REF!</definedName>
    <definedName name="dental_not_medically_necess_out_network_curr" hidden="1">#REF!</definedName>
    <definedName name="dental_not_medically_necess_out_network_prior" hidden="1">#REF!</definedName>
    <definedName name="Dental_num_employees_curr" hidden="1">#REF!</definedName>
    <definedName name="Dental_num_employees_prior" hidden="1">#REF!</definedName>
    <definedName name="Dental_num_members_curr" hidden="1">#REF!</definedName>
    <definedName name="Dental_num_members_prior" hidden="1">#REF!</definedName>
    <definedName name="Dental_OON_Footnote" hidden="1">#REF!</definedName>
    <definedName name="Dental_orthodonic_paid_amt_curr" hidden="1">#REF!</definedName>
    <definedName name="Dental_orthodonic_paid_amt_prior" hidden="1">#REF!</definedName>
    <definedName name="Dental_orthodonic_svcs_curr" hidden="1">#REF!</definedName>
    <definedName name="Dental_orthodonic_svcs_prior" hidden="1">#REF!</definedName>
    <definedName name="dental_orthodontic_in_network_curr" hidden="1">#REF!</definedName>
    <definedName name="dental_orthodontic_in_network_prior" hidden="1">#REF!</definedName>
    <definedName name="dental_orthodontic_out_network_curr" hidden="1">#REF!</definedName>
    <definedName name="dental_orthodontic_out_network_prior" hidden="1">#REF!</definedName>
    <definedName name="dental_oth_denied_clms_in_network_curr" hidden="1">#REF!</definedName>
    <definedName name="dental_oth_denied_clms_in_network_prior" hidden="1">#REF!</definedName>
    <definedName name="dental_oth_denied_clms_out_network_curr" hidden="1">#REF!</definedName>
    <definedName name="dental_oth_denied_clms_out_network_prior" hidden="1">#REF!</definedName>
    <definedName name="dental_other_in_network_curr" hidden="1">#REF!</definedName>
    <definedName name="dental_other_in_network_prior" hidden="1">#REF!</definedName>
    <definedName name="dental_other_out_network_curr" hidden="1">#REF!</definedName>
    <definedName name="dental_other_out_network_prior" hidden="1">#REF!</definedName>
    <definedName name="Dental_other_paid_amt_curr" hidden="1">#REF!</definedName>
    <definedName name="Dental_other_paid_amt_prior" hidden="1">#REF!</definedName>
    <definedName name="Dental_other_svcs_curr" hidden="1">#REF!</definedName>
    <definedName name="Dental_other_svcs_prior" hidden="1">#REF!</definedName>
    <definedName name="dental_other_unknown_in_network_curr" hidden="1">#REF!</definedName>
    <definedName name="dental_other_unknown_in_network_prior" hidden="1">#REF!</definedName>
    <definedName name="dental_other_unknown_out_network_curr" hidden="1">#REF!</definedName>
    <definedName name="dental_other_unknown_out_network_prior" hidden="1">#REF!</definedName>
    <definedName name="Dental_paid_amt_curr" hidden="1">#REF!</definedName>
    <definedName name="Dental_paid_amt_female_0_19_curr" hidden="1">#REF!</definedName>
    <definedName name="Dental_paid_amt_female_0_19_prior" hidden="1">#REF!</definedName>
    <definedName name="Dental_paid_amt_female_20_44_curr" hidden="1">#REF!</definedName>
    <definedName name="Dental_paid_amt_female_20_44_prior" hidden="1">#REF!</definedName>
    <definedName name="Dental_paid_amt_female_45_64_curr" hidden="1">#REF!</definedName>
    <definedName name="Dental_paid_amt_female_45_64_prior" hidden="1">#REF!</definedName>
    <definedName name="Dental_paid_amt_female_65_over_curr" hidden="1">#REF!</definedName>
    <definedName name="Dental_paid_amt_female_65_over_prior" hidden="1">#REF!</definedName>
    <definedName name="Dental_paid_amt_male_0_19_curr" hidden="1">#REF!</definedName>
    <definedName name="Dental_paid_amt_male_0_19_prior" hidden="1">#REF!</definedName>
    <definedName name="Dental_paid_amt_male_20_44_curr" hidden="1">#REF!</definedName>
    <definedName name="Dental_paid_amt_male_20_44_prior" hidden="1">#REF!</definedName>
    <definedName name="Dental_paid_amt_male_45_64_curr" hidden="1">#REF!</definedName>
    <definedName name="Dental_paid_amt_male_45_64_prior" hidden="1">#REF!</definedName>
    <definedName name="Dental_paid_amt_male_65_over_curr" hidden="1">#REF!</definedName>
    <definedName name="Dental_paid_amt_male_65_over_prior" hidden="1">#REF!</definedName>
    <definedName name="Dental_paid_amt_prior" hidden="1">#REF!</definedName>
    <definedName name="Dental_paid_amt_unknown_0_19_curr" hidden="1">#REF!</definedName>
    <definedName name="Dental_paid_amt_unknown_0_19_prior" hidden="1">#REF!</definedName>
    <definedName name="Dental_paid_amt_unknown_20_44_curr" hidden="1">#REF!</definedName>
    <definedName name="Dental_paid_amt_unknown_20_44_prior" hidden="1">#REF!</definedName>
    <definedName name="Dental_paid_amt_unknown_45_64_curr" hidden="1">#REF!</definedName>
    <definedName name="Dental_paid_amt_unknown_45_64_prior" hidden="1">#REF!</definedName>
    <definedName name="Dental_paid_amt_unknown_65_over_curr" hidden="1">#REF!</definedName>
    <definedName name="Dental_paid_amt_unknown_65_over_prior" hidden="1">#REF!</definedName>
    <definedName name="dental_paid_ben_in_network_curr" hidden="1">#REF!</definedName>
    <definedName name="dental_paid_ben_in_network_prior" hidden="1">#REF!</definedName>
    <definedName name="dental_paid_ben_out_network_curr" hidden="1">#REF!</definedName>
    <definedName name="dental_paid_ben_out_network_prior" hidden="1">#REF!</definedName>
    <definedName name="dental_plan_max_in_network_curr" hidden="1">#REF!</definedName>
    <definedName name="dental_plan_max_in_network_prior" hidden="1">#REF!</definedName>
    <definedName name="dental_plan_max_out_network_curr" hidden="1">#REF!</definedName>
    <definedName name="dental_plan_max_out_network_prior" hidden="1">#REF!</definedName>
    <definedName name="Dental_PPO_Max_Section_Check" hidden="1">#REF!</definedName>
    <definedName name="Dental_PPO_Section_Check" hidden="1">#REF!</definedName>
    <definedName name="Dental_preventative_paid_amt_curr" hidden="1">#REF!</definedName>
    <definedName name="Dental_preventative_paid_amt_prior" hidden="1">#REF!</definedName>
    <definedName name="Dental_preventative_svcs_curr" hidden="1">#REF!</definedName>
    <definedName name="Dental_preventative_svcs_prior" hidden="1">#REF!</definedName>
    <definedName name="dental_preventive_in_network_curr" hidden="1">#REF!</definedName>
    <definedName name="dental_preventive_in_network_prior" hidden="1">#REF!</definedName>
    <definedName name="dental_preventive_out_network_curr" hidden="1">#REF!</definedName>
    <definedName name="dental_preventive_out_network_prior" hidden="1">#REF!</definedName>
    <definedName name="dental_prov_netw_sav_disc_in_network_curr" hidden="1">#REF!</definedName>
    <definedName name="dental_prov_netw_sav_disc_in_network_prior" hidden="1">#REF!</definedName>
    <definedName name="dental_prov_netw_sav_disc_out_network_curr" hidden="1">#REF!</definedName>
    <definedName name="dental_prov_netw_sav_disc_out_network_prior" hidden="1">#REF!</definedName>
    <definedName name="Dental_rc_savings_in_network_curr" hidden="1">#REF!</definedName>
    <definedName name="Dental_rc_savings_in_network_prior" hidden="1">#REF!</definedName>
    <definedName name="Dental_rc_savings_other_curr" hidden="1">#REF!</definedName>
    <definedName name="Dental_rc_savings_other_prior" hidden="1">#REF!</definedName>
    <definedName name="Dental_rc_savings_out_network_curr" hidden="1">#REF!</definedName>
    <definedName name="Dental_rc_savings_out_network_prior" hidden="1">#REF!</definedName>
    <definedName name="dental_reason_cust_in_network_curr" hidden="1">#REF!</definedName>
    <definedName name="dental_reason_cust_in_network_prior" hidden="1">#REF!</definedName>
    <definedName name="dental_reason_cust_out_network_curr" hidden="1">#REF!</definedName>
    <definedName name="dental_reason_cust_out_network_prior" hidden="1">#REF!</definedName>
    <definedName name="Dental_services_in_network_curr" hidden="1">#REF!</definedName>
    <definedName name="Dental_services_in_network_prior" hidden="1">#REF!</definedName>
    <definedName name="Dental_services_other_curr" hidden="1">#REF!</definedName>
    <definedName name="Dental_services_other_prior" hidden="1">#REF!</definedName>
    <definedName name="Dental_services_out_network_curr" hidden="1">#REF!</definedName>
    <definedName name="Dental_services_out_network_prior" hidden="1">#REF!</definedName>
    <definedName name="dental_spouse_in_network_curr" hidden="1">#REF!</definedName>
    <definedName name="dental_spouse_in_network_prior" hidden="1">#REF!</definedName>
    <definedName name="dental_spouse_out_network_curr" hidden="1">#REF!</definedName>
    <definedName name="dental_spouse_out_network_prior" hidden="1">#REF!</definedName>
    <definedName name="dental_tot_ben_cat_in_network_curr" hidden="1">#REF!</definedName>
    <definedName name="dental_tot_ben_cat_in_network_prior" hidden="1">#REF!</definedName>
    <definedName name="dental_tot_ben_cat_out_network_curr" hidden="1">#REF!</definedName>
    <definedName name="dental_tot_ben_cat_out_network_prior" hidden="1">#REF!</definedName>
    <definedName name="dental_tot_mbr_type_in_network_curr" hidden="1">#REF!</definedName>
    <definedName name="dental_tot_mbr_type_in_network_prior" hidden="1">#REF!</definedName>
    <definedName name="dental_tot_mbr_type_out_network_curr" hidden="1">#REF!</definedName>
    <definedName name="dental_tot_mbr_type_out_network_prior" hidden="1">#REF!</definedName>
    <definedName name="Dental_unknown_mem_0_19_curr" hidden="1">#REF!</definedName>
    <definedName name="Dental_unknown_mem_0_19_prior" hidden="1">#REF!</definedName>
    <definedName name="Dental_unknown_mem_20_44_curr" hidden="1">#REF!</definedName>
    <definedName name="Dental_unknown_mem_20_44_prior" hidden="1">#REF!</definedName>
    <definedName name="Dental_unknown_mem_45_64_curr" hidden="1">#REF!</definedName>
    <definedName name="Dental_unknown_mem_45_64_prior" hidden="1">#REF!</definedName>
    <definedName name="Dental_unknown_mem_65_over_curr" hidden="1">#REF!</definedName>
    <definedName name="Dental_unknown_mem_65_over_prior" hidden="1">#REF!</definedName>
    <definedName name="Dental_unknown_members_curr" hidden="1">#REF!</definedName>
    <definedName name="Dental_unknown_members_prior" hidden="1">#REF!</definedName>
    <definedName name="DentalProductCheck" hidden="1">#REF!</definedName>
    <definedName name="DeprPeriod">#REF!</definedName>
    <definedName name="Description">#REF!</definedName>
    <definedName name="Description2">#REF!</definedName>
    <definedName name="DEStart">#REF!</definedName>
    <definedName name="dfdfdfd" hidden="1">{#N/A,#N/A,FALSE,"AD_Purchase";#N/A,#N/A,FALSE,"Credit";#N/A,#N/A,FALSE,"PF Acquisition";#N/A,#N/A,FALSE,"PF Offering"}</definedName>
    <definedName name="dfdfdfldsj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fds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fdsf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fg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dfgdfg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dfg" hidden="1">{#N/A,#N/A,FALSE,"Assump";#N/A,#N/A,FALSE,"Income";#N/A,#N/A,FALSE,"Balance";#N/A,#N/A,FALSE,"DCF Pump";#N/A,#N/A,FALSE,"Trans Assump";#N/A,#N/A,FALSE,"Combined Income";#N/A,#N/A,FALSE,"Combined Balance"}</definedName>
    <definedName name="dfssd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iv">#REF!</definedName>
    <definedName name="DivPayoutRatio">#REF!</definedName>
    <definedName name="DivYield">#REF!</definedName>
    <definedName name="DLDate01">#REF!</definedName>
    <definedName name="DLRange01">#REF!</definedName>
    <definedName name="DME_Dirty" hidden="1">"False"</definedName>
    <definedName name="DME_LocalFile" hidden="1">"True"</definedName>
    <definedName name="DME_ODMALinks1" hidden="1">"::ODMA\DME-MSE\London-44590=C:\TEMP\Dme\London-44590.xls"</definedName>
    <definedName name="DME_ODMALinksCount" hidden="1">"1"</definedName>
    <definedName name="doh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rillDownBOBSIKeyStats" hidden="1">#REF!</definedName>
    <definedName name="DrillDownRow17Row27SIKeyStats" hidden="1">#REF!</definedName>
    <definedName name="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vf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wcwc" hidden="1">{#N/A,#N/A,FALSE,"Assump";#N/A,#N/A,FALSE,"Income";#N/A,#N/A,FALSE,"Balance";#N/A,#N/A,FALSE,"DCF Pump";#N/A,#N/A,FALSE,"Trans Assump";#N/A,#N/A,FALSE,"Combined Income";#N/A,#N/A,FALSE,"Combined Balance"}</definedName>
    <definedName name="e" hidden="1">{"MonthlyRentRoll",#N/A,FALSE,"RentRoll"}</definedName>
    <definedName name="e1e">#REF!</definedName>
    <definedName name="e2e">#REF!</definedName>
    <definedName name="e3e">#REF!</definedName>
    <definedName name="e5yy25y" hidden="1">{#N/A,#N/A,FALSE,"Projections";#N/A,#N/A,FALSE,"Contribution_Stock";#N/A,#N/A,FALSE,"PF_Combo_Stock";#N/A,#N/A,FALSE,"Projections";#N/A,#N/A,FALSE,"Contribution_Cash";#N/A,#N/A,FALSE,"PF_Combo_Cash";#N/A,#N/A,FALSE,"IPO_Cash"}</definedName>
    <definedName name="ea">#REF!</definedName>
    <definedName name="EBIT">#REF!</definedName>
    <definedName name="EBITA">#REF!</definedName>
    <definedName name="EBITC">#REF!</definedName>
    <definedName name="EBITDA">#REF!</definedName>
    <definedName name="EBITDAA">#REF!</definedName>
    <definedName name="EBITDAC">#REF!</definedName>
    <definedName name="EBITDACapExInt">#REF!</definedName>
    <definedName name="EBITDAGrowth">#REF!</definedName>
    <definedName name="EBITDAInt">#REF!</definedName>
    <definedName name="EBITDAMargin">#REF!</definedName>
    <definedName name="EBITDAR">#REF!</definedName>
    <definedName name="EBITDAT">#REF!</definedName>
    <definedName name="EBITGrowth">#REF!</definedName>
    <definedName name="EBITInt">#REF!</definedName>
    <definedName name="EBITMargin">#REF!</definedName>
    <definedName name="EBITR">#REF!</definedName>
    <definedName name="EBITT">#REF!</definedName>
    <definedName name="eds" hidden="1">{"TOP",#N/A,TRUE,"TRIPLE OPTION EXPERIENCE";"actives",#N/A,TRUE,"TRIPLE OPTION EXPERIENCE";"experience",#N/A,TRUE,"TRIPLE OPTION EXPERIENCE";"Outacomp",#N/A,TRUE,"FEE FOR SERVICE EXPERIENCE ";"Outacomp",#N/A,TRUE,"FEE FOR SERVICE EXPERIENCE ";"Outret",#N/A,TRUE,"FEE FOR SERVICE EXPERIENCE ";"Outact",#N/A,TRUE,"FEE FOR SERVICE EXPERIENCE ";"OutRcomp",#N/A,TRUE,"FEE FOR SERVICE EXPERIENCE ";"Outact",#N/A,TRUE,"FEE FOR SERVICE EXPERIENCE ";"OutRcomp",#N/A,TRUE,"FEE FOR SERVICE EXPERIENCE ";"Outret",#N/A,TRUE,"FEE FOR SERVICE EXPERIENCE ";"actives",#N/A,TRUE,"TRIPLE OPTION EXPERIENCE";"TOP",#N/A,TRUE,"TRIPLE OPTION EXPERIENCE"}</definedName>
    <definedName name="ee" hidden="1">{#N/A,#N/A,FALSE,"OperatingAssumptions"}</definedName>
    <definedName name="eee" hidden="1">{#N/A,#N/A,FALSE,"OperatingAssumptions"}</definedName>
    <definedName name="EIRCELL">#REF!</definedName>
    <definedName name="End_Bal">#REF!</definedName>
    <definedName name="Enterprise">#REF!</definedName>
    <definedName name="EnterpriseA">#REF!</definedName>
    <definedName name="EnterpriseC">#REF!</definedName>
    <definedName name="EnterpriseT">#REF!</definedName>
    <definedName name="EPS">#REF!</definedName>
    <definedName name="EPS00">#REF!</definedName>
    <definedName name="EPSDate">#REF!</definedName>
    <definedName name="EPSGrowth">#REF!</definedName>
    <definedName name="EPSLTM">#REF!</definedName>
    <definedName name="EPSLTMA">#REF!</definedName>
    <definedName name="EPSLTMC">#REF!</definedName>
    <definedName name="EPSLTMT">#REF!</definedName>
    <definedName name="ePSM_Dental_Graph_Page" hidden="1">#REF!</definedName>
    <definedName name="ePSM_Medical_Graph_Page_Range" hidden="1">#REF!</definedName>
    <definedName name="ePSM_Rx_Graph_Page" hidden="1">#REF!</definedName>
    <definedName name="EPSSource">#REF!</definedName>
    <definedName name="EPSYear1A">#REF!</definedName>
    <definedName name="EPSYear1C">#REF!</definedName>
    <definedName name="EPSYear1T">#REF!</definedName>
    <definedName name="EPSYear2A">#REF!</definedName>
    <definedName name="EPSYear2C">#REF!</definedName>
    <definedName name="EPSYear2T">#REF!</definedName>
    <definedName name="Equity">#REF!</definedName>
    <definedName name="EquityA">#REF!</definedName>
    <definedName name="EquityAdj">#REF!</definedName>
    <definedName name="EquityBeta">#REF!</definedName>
    <definedName name="EquityRiskPremium">#REF!</definedName>
    <definedName name="EquityT">#REF!</definedName>
    <definedName name="EquityValue">#REF!</definedName>
    <definedName name="eqvhigh">#REF!</definedName>
    <definedName name="eqvhighblank">#REF!</definedName>
    <definedName name="eqvlow">#REF!</definedName>
    <definedName name="ER_Visits_1000_Members" hidden="1">#REF!</definedName>
    <definedName name="ert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erwer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etr" hidden="1">{#N/A,#N/A,FALSE,"FACTSHEETS";#N/A,#N/A,FALSE,"pump";#N/A,#N/A,FALSE,"filter"}</definedName>
    <definedName name="etvhigh">#REF!</definedName>
    <definedName name="etvhighblank">#REF!</definedName>
    <definedName name="etvlow">#REF!</definedName>
    <definedName name="ev.Calculation" hidden="1">-4105</definedName>
    <definedName name="ev.Initialized" hidden="1">FALSE</definedName>
    <definedName name="EV__EVCOM_OPTIONS__" hidden="1">8</definedName>
    <definedName name="EV__EXPOPTIONS__" hidden="1">0</definedName>
    <definedName name="EV__LASTREFTIME__" hidden="1">40931.7958912037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134217783</definedName>
    <definedName name="EV__WBVERSION__" hidden="1">0</definedName>
    <definedName name="EV__WSINFO__" hidden="1">"gjdr09"</definedName>
    <definedName name="EV1Other1">#REF!</definedName>
    <definedName name="EV1Other2">#REF!</definedName>
    <definedName name="EV1OtherLTM">#REF!</definedName>
    <definedName name="EV2Other1">#REF!</definedName>
    <definedName name="EV2Other2">#REF!</definedName>
    <definedName name="EV2OtherLTM">#REF!</definedName>
    <definedName name="EV3Other1">#REF!</definedName>
    <definedName name="EV3Other2">#REF!</definedName>
    <definedName name="EV3OtherLTM">#REF!</definedName>
    <definedName name="EVCashFlow1">#REF!</definedName>
    <definedName name="EVCashFlow2">#REF!</definedName>
    <definedName name="EVCashFlowLTM">#REF!</definedName>
    <definedName name="EVEBIT">#REF!</definedName>
    <definedName name="EVEBIT1">#REF!</definedName>
    <definedName name="EVEBIT2">#REF!</definedName>
    <definedName name="EVEBITDA">#REF!</definedName>
    <definedName name="EVEBITDA1">#REF!</definedName>
    <definedName name="EVEBITDA2">#REF!</definedName>
    <definedName name="EVEBITDALTM">#REF!</definedName>
    <definedName name="EVEBITLTM">#REF!</definedName>
    <definedName name="evlow">#REF!</definedName>
    <definedName name="EVNetInc1">#REF!</definedName>
    <definedName name="EVNetInc2">#REF!</definedName>
    <definedName name="EVNetIncLTM">#REF!</definedName>
    <definedName name="EVRevenues">#REF!</definedName>
    <definedName name="EVRevenues1">#REF!</definedName>
    <definedName name="EVRevenues2">#REF!</definedName>
    <definedName name="EVRevenuesLTM">#REF!</definedName>
    <definedName name="ewrew" hidden="1">{#N/A,#N/A,FALSE,"Projections";#N/A,#N/A,FALSE,"Multiples Valuation";#N/A,#N/A,FALSE,"LBO";#N/A,#N/A,FALSE,"Multiples_Sensitivity";#N/A,#N/A,FALSE,"Summary"}</definedName>
    <definedName name="ExcessCash">#REF!</definedName>
    <definedName name="ExchRatio">#REF!</definedName>
    <definedName name="exclude_large_claimant_ind" hidden="1">#REF!</definedName>
    <definedName name="Exclude_MDC_Range" hidden="1">#REF!</definedName>
    <definedName name="Exec_SUmmary_Default_text" hidden="1">#REF!</definedName>
    <definedName name="Existing">#REF!</definedName>
    <definedName name="Expenses">#REF!</definedName>
    <definedName name="Extra_Pay">#REF!</definedName>
    <definedName name="f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fd" hidden="1">{"cvr",#N/A,FALSE,"CVR";"sum",#N/A,FALSE,"SUM";"obal",#N/A,FALSE,"OBAL";#N/A,#N/A,FALSE,"INC1";#N/A,#N/A,FALSE,"INC2";"bal1",#N/A,FALSE,"BAL1";"inc",#N/A,FALSE,"INC";"bal",#N/A,FALSE,"BAL";"cash",#N/A,FALSE,"CASH";"debt",#N/A,FALSE,"DEBT";"eqty",#N/A,FALSE,"EQTY";"tax",#N/A,FALSE,"TAX";"depr",#N/A,FALSE,"DEPR";#N/A,#N/A,FALSE,"IRR";"strip1",#N/A,FALSE,"STRP";"fee",#N/A,FALSE,"FEE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g" hidden="1">{"Assumptions",#N/A,TRUE,"Assumptions";"Income",#N/A,TRUE,"Income";"Balance",#N/A,TRUE,"Balance"}</definedName>
    <definedName name="FDP_0_1_aUrv" hidden="1">#REF!</definedName>
    <definedName name="FDP_1_1_aUrv" hidden="1">#REF!</definedName>
    <definedName name="FDP_10_1_aUrv" hidden="1">#REF!</definedName>
    <definedName name="FDP_100_1_aUrv" hidden="1">#REF!</definedName>
    <definedName name="FDP_101_1_aUrv" hidden="1">#REF!</definedName>
    <definedName name="FDP_102_1_aU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D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U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D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Drv" hidden="1">#REF!</definedName>
    <definedName name="FDP_130_1_aUrv" hidden="1">#REF!</definedName>
    <definedName name="FDP_131_1_aUrv" hidden="1">#REF!</definedName>
    <definedName name="FDP_132_1_aUrv" hidden="1">#REF!</definedName>
    <definedName name="FDP_133_1_aUrv" hidden="1">#REF!</definedName>
    <definedName name="FDP_134_1_aUrv" hidden="1">#REF!</definedName>
    <definedName name="FDP_135_1_aUrv" hidden="1">#REF!</definedName>
    <definedName name="FDP_136_1_aSrv" hidden="1">#REF!</definedName>
    <definedName name="FDP_137_1_aUrv" hidden="1">#REF!</definedName>
    <definedName name="FDP_138_1_aUrv" hidden="1">#REF!</definedName>
    <definedName name="FDP_139_1_aUrv" hidden="1">#REF!</definedName>
    <definedName name="FDP_14_1_aDrv" hidden="1">#REF!</definedName>
    <definedName name="FDP_140_1_aUrv" hidden="1">#REF!</definedName>
    <definedName name="FDP_141_1_aS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0_1_aUrv" hidden="1">#REF!</definedName>
    <definedName name="FDP_151_1_aUrv" hidden="1">#REF!</definedName>
    <definedName name="FDP_152_1_aUrv" hidden="1">#REF!</definedName>
    <definedName name="FDP_153_1_aUrv" hidden="1">#REF!</definedName>
    <definedName name="FDP_154_1_aUrv" hidden="1">#REF!</definedName>
    <definedName name="FDP_155_1_aSrv" hidden="1">#REF!</definedName>
    <definedName name="FDP_156_1_aUrv" hidden="1">#REF!</definedName>
    <definedName name="FDP_157_1_aSrv" hidden="1">#REF!</definedName>
    <definedName name="FDP_158_1_aUrv" hidden="1">#REF!</definedName>
    <definedName name="FDP_159_1_aSrv" hidden="1">#REF!</definedName>
    <definedName name="FDP_16_1_aDrv" hidden="1">#REF!</definedName>
    <definedName name="FDP_160_1_aUrv" hidden="1">#REF!</definedName>
    <definedName name="FDP_161_1_aSrv" hidden="1">#REF!</definedName>
    <definedName name="FDP_162_1_aUrv" hidden="1">#REF!</definedName>
    <definedName name="FDP_163_1_aSrv" hidden="1">#REF!</definedName>
    <definedName name="FDP_164_1_aUrv" hidden="1">#REF!</definedName>
    <definedName name="FDP_165_1_aSrv" hidden="1">#REF!</definedName>
    <definedName name="FDP_166_1_aDrv" hidden="1">#REF!</definedName>
    <definedName name="FDP_167_1_aDrv" hidden="1">#REF!</definedName>
    <definedName name="FDP_168_1_aDrv" hidden="1">#REF!</definedName>
    <definedName name="FDP_169_1_aDrv" hidden="1">#REF!</definedName>
    <definedName name="FDP_17_1_aUrv" hidden="1">#REF!</definedName>
    <definedName name="FDP_170_1_aDrv" hidden="1">#REF!</definedName>
    <definedName name="FDP_171_1_aDrv" hidden="1">#REF!</definedName>
    <definedName name="FDP_172_1_aDrv" hidden="1">#REF!</definedName>
    <definedName name="FDP_173_1_aDrv" hidden="1">#REF!</definedName>
    <definedName name="FDP_174_1_aDrv" hidden="1">#REF!</definedName>
    <definedName name="FDP_175_1_aDrv" hidden="1">#REF!</definedName>
    <definedName name="FDP_176_1_aDrv" hidden="1">#REF!</definedName>
    <definedName name="FDP_177_1_aDrv" hidden="1">#REF!</definedName>
    <definedName name="FDP_178_1_aDrv" hidden="1">#REF!</definedName>
    <definedName name="FDP_179_1_aUrv" hidden="1">#REF!</definedName>
    <definedName name="FDP_18_1_aUrv" hidden="1">#REF!</definedName>
    <definedName name="FDP_180_1_aUrv" hidden="1">#REF!</definedName>
    <definedName name="FDP_181_1_aUrv" hidden="1">#REF!</definedName>
    <definedName name="FDP_182_1_aDrv" hidden="1">#REF!</definedName>
    <definedName name="FDP_183_1_aDrv" hidden="1">#REF!</definedName>
    <definedName name="FDP_184_1_aUdv" hidden="1">#REF!</definedName>
    <definedName name="FDP_185_1_aUdv" hidden="1">#REF!</definedName>
    <definedName name="FDP_186_1_aUdv" hidden="1">#REF!</definedName>
    <definedName name="FDP_187_1_aUdv" hidden="1">#REF!</definedName>
    <definedName name="FDP_188_1_aUdv" hidden="1">#REF!</definedName>
    <definedName name="FDP_189_1_aUdv" hidden="1">#REF!</definedName>
    <definedName name="FDP_19_1_aDrv" hidden="1">#REF!</definedName>
    <definedName name="FDP_190_1_aUdv" hidden="1">#REF!</definedName>
    <definedName name="FDP_191_1_aUdv" hidden="1">#REF!</definedName>
    <definedName name="FDP_192_1_aUdv" hidden="1">#REF!</definedName>
    <definedName name="FDP_193_1_aUdv" hidden="1">#REF!</definedName>
    <definedName name="FDP_194_1_aUdv" hidden="1">#REF!</definedName>
    <definedName name="FDP_195_1_aUdv" hidden="1">#REF!</definedName>
    <definedName name="FDP_196_1_aUdv" hidden="1">#REF!</definedName>
    <definedName name="FDP_197_1_aUdv" hidden="1">#REF!</definedName>
    <definedName name="FDP_198_1_aUdv" hidden="1">#REF!</definedName>
    <definedName name="FDP_199_1_aUdv" hidden="1">#REF!</definedName>
    <definedName name="FDP_2_1_aUrv" hidden="1">#REF!</definedName>
    <definedName name="FDP_20_1_aDrv" hidden="1">#REF!</definedName>
    <definedName name="FDP_200_1_aDdv" hidden="1">#REF!</definedName>
    <definedName name="FDP_201_1_aDdv" hidden="1">#REF!</definedName>
    <definedName name="FDP_202_1_aDdv" hidden="1">#REF!</definedName>
    <definedName name="FDP_203_1_aDdv" hidden="1">#REF!</definedName>
    <definedName name="FDP_204_1_aUrv" hidden="1">#REF!</definedName>
    <definedName name="FDP_205_1_aUrv" hidden="1">#REF!</definedName>
    <definedName name="FDP_206_1_aDrv" hidden="1">#REF!</definedName>
    <definedName name="FDP_21_1_aDrv" hidden="1">#REF!</definedName>
    <definedName name="FDP_22_1_aDrv" hidden="1">#REF!</definedName>
    <definedName name="FDP_23_1_aDrv" hidden="1">#REF!</definedName>
    <definedName name="FDP_24_1_aDrv" hidden="1">#REF!</definedName>
    <definedName name="FDP_25_1_aUrv" hidden="1">#REF!</definedName>
    <definedName name="FDP_26_1_aUrv" hidden="1">#REF!</definedName>
    <definedName name="FDP_27_1_aDrv" hidden="1">#REF!</definedName>
    <definedName name="FDP_28_1_aUrv" hidden="1">#REF!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P_29_1_aUrv" hidden="1">#REF!</definedName>
    <definedName name="FDP_3_1_aUrv" hidden="1">#REF!</definedName>
    <definedName name="FDP_30_1_aUrv" hidden="1">#REF!</definedName>
    <definedName name="FDP_31_1_aUrv" hidden="1">#REF!</definedName>
    <definedName name="FDP_32_1_aUrv" hidden="1">#REF!</definedName>
    <definedName name="FDP_33_1_aDrv" hidden="1">#REF!</definedName>
    <definedName name="FDP_34_1_aUrv" hidden="1">#REF!</definedName>
    <definedName name="FDP_35_1_aUrv" hidden="1">#REF!</definedName>
    <definedName name="FDP_36_1_aUrv" hidden="1">#REF!</definedName>
    <definedName name="FDP_37_1_aUrv" hidden="1">#REF!</definedName>
    <definedName name="FDP_38_1_aUrv" hidden="1">#REF!</definedName>
    <definedName name="FDP_39_1_aSrv" hidden="1">#REF!</definedName>
    <definedName name="FDP_4_1_aSrv" hidden="1">#REF!</definedName>
    <definedName name="FDP_40_1_aUrv" hidden="1">#REF!</definedName>
    <definedName name="FDP_41_1_aUrv" hidden="1">#REF!</definedName>
    <definedName name="FDP_42_1_aUrv" hidden="1">#REF!</definedName>
    <definedName name="FDP_43_1_aUrv" hidden="1">#REF!</definedName>
    <definedName name="FDP_44_1_aUrv" hidden="1">#REF!</definedName>
    <definedName name="FDP_45_1_aSrv" hidden="1">#REF!</definedName>
    <definedName name="FDP_46_1_aSrv" hidden="1">#REF!</definedName>
    <definedName name="FDP_47_1_aUrv" hidden="1">#REF!</definedName>
    <definedName name="FDP_48_1_aUrv" hidden="1">#REF!</definedName>
    <definedName name="FDP_49_1_aUrv" hidden="1">#REF!</definedName>
    <definedName name="FDP_5_1_aDrv" hidden="1">#REF!</definedName>
    <definedName name="FDP_50_1_aUrv" hidden="1">#REF!</definedName>
    <definedName name="FDP_51_1_aUrv" hidden="1">#REF!</definedName>
    <definedName name="FDP_52_1_aSrv" hidden="1">#REF!</definedName>
    <definedName name="FDP_53_1_aUrv" hidden="1">#REF!</definedName>
    <definedName name="FDP_54_1_aUrv" hidden="1">#REF!</definedName>
    <definedName name="FDP_55_1_aUrv" hidden="1">#REF!</definedName>
    <definedName name="FDP_56_1_aUrv" hidden="1">#REF!</definedName>
    <definedName name="FDP_57_1_aUrv" hidden="1">#REF!</definedName>
    <definedName name="FDP_58_1_aUrv" hidden="1">#REF!</definedName>
    <definedName name="FDP_59_1_aUrv" hidden="1">#REF!</definedName>
    <definedName name="FDP_6_1_aSrv" hidden="1">#REF!</definedName>
    <definedName name="FDP_60_1_aUrv" hidden="1">#REF!</definedName>
    <definedName name="FDP_61_1_aUrv" hidden="1">#REF!</definedName>
    <definedName name="FDP_62_1_aUrv" hidden="1">#REF!</definedName>
    <definedName name="FDP_63_1_aUrv" hidden="1">#REF!</definedName>
    <definedName name="FDP_64_1_aUrv" hidden="1">#REF!</definedName>
    <definedName name="FDP_65_1_aSrv" hidden="1">#REF!</definedName>
    <definedName name="FDP_66_1_aSrv" hidden="1">#REF!</definedName>
    <definedName name="FDP_67_1_aUrv" hidden="1">#REF!</definedName>
    <definedName name="FDP_68_1_aSrv" hidden="1">#REF!</definedName>
    <definedName name="FDP_69_1_aSrv" hidden="1">#REF!</definedName>
    <definedName name="FDP_7_1_aSrv" hidden="1">#REF!</definedName>
    <definedName name="FDP_70_1_aUrv" hidden="1">#REF!</definedName>
    <definedName name="FDP_71_1_aUrv" hidden="1">#REF!</definedName>
    <definedName name="FDP_72_1_aUrv" hidden="1">#REF!</definedName>
    <definedName name="FDP_73_1_aSrv" hidden="1">#REF!</definedName>
    <definedName name="FDP_74_1_aDrv" hidden="1">#REF!</definedName>
    <definedName name="FDP_75_1_aUrv" hidden="1">#REF!</definedName>
    <definedName name="FDP_76_1_aDrv" hidden="1">#REF!</definedName>
    <definedName name="FDP_77_1_aUrv" hidden="1">#REF!</definedName>
    <definedName name="FDP_78_1_aSrv" hidden="1">#REF!</definedName>
    <definedName name="FDP_79_1_aUrv" hidden="1">#REF!</definedName>
    <definedName name="FDP_8_1_aUrv" hidden="1">#REF!</definedName>
    <definedName name="FDP_80_1_aS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Srv" hidden="1">#REF!</definedName>
    <definedName name="FDP_87_1_aUrv" hidden="1">#REF!</definedName>
    <definedName name="FDP_88_1_aSrv" hidden="1">#REF!</definedName>
    <definedName name="FDP_89_1_aUrv" hidden="1">#REF!</definedName>
    <definedName name="FDP_9_1_aSrv" hidden="1">#REF!</definedName>
    <definedName name="FDP_90_1_aUrv" hidden="1">#REF!</definedName>
    <definedName name="FDP_91_1_aUrv" hidden="1">#REF!</definedName>
    <definedName name="FDP_92_1_aSrv" hidden="1">#REF!</definedName>
    <definedName name="FDP_93_1_aUrv" hidden="1">#REF!</definedName>
    <definedName name="FDP_94_1_aSrv" hidden="1">#REF!</definedName>
    <definedName name="FDP_95_1_aUrv" hidden="1">#REF!</definedName>
    <definedName name="FDP_96_1_aUrv" hidden="1">#REF!</definedName>
    <definedName name="FDP_97_1_aSrv" hidden="1">#REF!</definedName>
    <definedName name="FDP_98_1_aDrv" hidden="1">#REF!</definedName>
    <definedName name="FDP_99_1_aUrv" hidden="1">#REF!</definedName>
    <definedName name="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fdsa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fds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FDShares">#REF!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d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" hidden="1">{#N/A,#N/A,TRUE,"Summary";"AnnualRentRoll",#N/A,TRUE,"RentRoll";#N/A,#N/A,TRUE,"ExitStratigy";#N/A,#N/A,TRUE,"OperatingAssumptions"}</definedName>
    <definedName name="FFDF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s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fff" hidden="1">{#N/A,#N/A,TRUE,"Summary";"AnnualRentRoll",#N/A,TRUE,"RentRoll";#N/A,#N/A,TRUE,"ExitStratigy";#N/A,#N/A,TRUE,"OperatingAssumptions"}</definedName>
    <definedName name="ffff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I_comm_rated_gloss_med_billed_amt_per_emp" hidden="1">#REF!</definedName>
    <definedName name="FI_comm_rated_gloss_num_of_emp" hidden="1">#REF!</definedName>
    <definedName name="FI_comm_rated_gloss_ratio_of_mem_to_emp" hidden="1">#REF!</definedName>
    <definedName name="FI_Demographics_Medical_Range" hidden="1">#REF!</definedName>
    <definedName name="FI_ER_Visits_1000_Members" hidden="1">#REF!</definedName>
    <definedName name="FI_ExclusionInd" hidden="1">#REF!</definedName>
    <definedName name="FI_EXEC_SUMMARY_RANGE_ROW66_ROW73" hidden="1">#REF!</definedName>
    <definedName name="FI_EXEC_SUMMARY_RANGE_ROW7_ROW73" hidden="1">#REF!</definedName>
    <definedName name="fi_exec_summary_row41" hidden="1">#REF!</definedName>
    <definedName name="fi_exec_summary_rows11" hidden="1">#REF!</definedName>
    <definedName name="fi_exec_summary_rows52_rows61" hidden="1">#REF!</definedName>
    <definedName name="fi_exec_summary_rows66_rows74" hidden="1">#REF!</definedName>
    <definedName name="fi_exec_summary_rows7_rows74" hidden="1">#REF!</definedName>
    <definedName name="FI_Executive_Summary_Home" hidden="1">#REF!</definedName>
    <definedName name="FI_Executive_Summary_Page" hidden="1">#REF!</definedName>
    <definedName name="FI_Executive_Summary_Page_NoData_Text" hidden="1">#REF!</definedName>
    <definedName name="FI_Executive_Summary_Range" hidden="1">#REF!</definedName>
    <definedName name="FI_Key_Statistics_Medical_Range" hidden="1">#REF!</definedName>
    <definedName name="FI_Key_Stats_BOB_Range" hidden="1">#REF!</definedName>
    <definedName name="FI_Key_Stats_Footnote1_Range" hidden="1">#REF!</definedName>
    <definedName name="FI_Key_Stats_Footnote2_Range" hidden="1">#REF!</definedName>
    <definedName name="FI_Key_Stats_Footnote3_Range" hidden="1">#REF!</definedName>
    <definedName name="FI_Key_Stats_Footnote4_Range" hidden="1">#REF!</definedName>
    <definedName name="FI_Key_Stats_Med_Paid_per_Employee" hidden="1">#REF!</definedName>
    <definedName name="FI_Key_Stats_Number_of_Employees" hidden="1">#REF!</definedName>
    <definedName name="FI_Key_Stats_Ratio_Members_To_Employees" hidden="1">#REF!</definedName>
    <definedName name="FI_Key_Stats_Row36_Range" hidden="1">#REF!</definedName>
    <definedName name="FI_Key_Stats_Rows23_Rows27_Range" hidden="1">#REF!</definedName>
    <definedName name="FI_medicare_Rx_Key_Stats_Number_of_Employees" hidden="1">#REF!</definedName>
    <definedName name="FI_medicare_Rx_Key_Stats_ratio_of_members_to_employees" hidden="1">#REF!</definedName>
    <definedName name="FI_Provider_Network_Exp_Medical_Range" hidden="1">#REF!</definedName>
    <definedName name="FI_Rx_Key_Statistics_Range" hidden="1">#REF!</definedName>
    <definedName name="FI_Rx_Paid_Current" hidden="1">#REF!</definedName>
    <definedName name="FI_Trend_Analysis_Medical_Range" hidden="1">#REF!</definedName>
    <definedName name="Financial_Overview_Dental_Range" hidden="1">#REF!</definedName>
    <definedName name="Financial_Overview_Medical_Range" hidden="1">#REF!</definedName>
    <definedName name="FinancialOverviewCurr._3" hidden="1">#REF!</definedName>
    <definedName name="FinancialOverviewCurr._6" hidden="1">#REF!</definedName>
    <definedName name="FinancialOverviewCurr._7" hidden="1">#REF!</definedName>
    <definedName name="First_Time_Switch" hidden="1">#REF!</definedName>
    <definedName name="FirstTick">#REF!</definedName>
    <definedName name="FO_Dental_report_has_xml_ind" hidden="1">#REF!</definedName>
    <definedName name="Footnote1">#REF!</definedName>
    <definedName name="Footnote2">#REF!</definedName>
    <definedName name="Footnote3">#REF!</definedName>
    <definedName name="Footnote4">#REF!</definedName>
    <definedName name="FootnoteDefaults" hidden="1">{1;TRUE;5;"Times New Roman";FALSE;FALSE;TRUE;18;8;-4.5;-4;1;2;2;1;TRUE;5}</definedName>
    <definedName name="forgeti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mer">#REF!</definedName>
    <definedName name="formulary_curr" hidden="1">#REF!</definedName>
    <definedName name="formulary_prior" hidden="1">#REF!</definedName>
    <definedName name="Forward1">#REF!</definedName>
    <definedName name="Forward2">#REF!</definedName>
    <definedName name="FOV_01_Range" hidden="1">#REF!</definedName>
    <definedName name="FOV_02_Range" hidden="1">#REF!</definedName>
    <definedName name="FOV_03_Range" hidden="1">#REF!</definedName>
    <definedName name="FOV_04_Range" hidden="1">#REF!</definedName>
    <definedName name="FOV_05_Range" hidden="1">#REF!</definedName>
    <definedName name="FOV_06_Range" hidden="1">#REF!</definedName>
    <definedName name="FOV_07_Range" hidden="1">#REF!</definedName>
    <definedName name="FOV_08_Range" hidden="1">#REF!</definedName>
    <definedName name="FOV_09_Range" hidden="1">#REF!</definedName>
    <definedName name="FOV_10_Range" hidden="1">#REF!</definedName>
    <definedName name="FOV_11_Range" hidden="1">#REF!</definedName>
    <definedName name="FOV_12_Range" hidden="1">#REF!</definedName>
    <definedName name="FOV_13_Range" hidden="1">#REF!</definedName>
    <definedName name="FOV_14_Range" hidden="1">#REF!</definedName>
    <definedName name="FOV_15_Range" hidden="1">#REF!</definedName>
    <definedName name="FOV_30_Range" hidden="1">#REF!</definedName>
    <definedName name="FOV_40_Range" hidden="1">#REF!</definedName>
    <definedName name="FOV_41_Range" hidden="1">#REF!</definedName>
    <definedName name="FOV_42_Range" hidden="1">#REF!</definedName>
    <definedName name="FOV_43_Range" hidden="1">#REF!</definedName>
    <definedName name="FOV_44_Range" hidden="1">#REF!</definedName>
    <definedName name="FOV_45_Range" hidden="1">#REF!</definedName>
    <definedName name="FOV_46_Range" hidden="1">#REF!</definedName>
    <definedName name="FOV_47_Range" hidden="1">#REF!</definedName>
    <definedName name="FOV_48_Range" hidden="1">#REF!</definedName>
    <definedName name="FOV_49_Range" hidden="1">#REF!</definedName>
    <definedName name="FOV_50_Range" hidden="1">#REF!</definedName>
    <definedName name="FOV_51_Range" hidden="1">#REF!</definedName>
    <definedName name="FOV_52_Range" hidden="1">#REF!</definedName>
    <definedName name="FOV_53_Range" hidden="1">#REF!</definedName>
    <definedName name="FOV_54_Range" hidden="1">#REF!</definedName>
    <definedName name="FOV_55_Range" hidden="1">#REF!</definedName>
    <definedName name="FOV_56_Range" hidden="1">#REF!</definedName>
    <definedName name="FOV_57_Range" hidden="1">#REF!</definedName>
    <definedName name="FOV_58_Range" hidden="1">#REF!</definedName>
    <definedName name="FOV_59_Range" hidden="1">#REF!</definedName>
    <definedName name="FOV_68_Range" hidden="1">#REF!</definedName>
    <definedName name="FOV_69_Range" hidden="1">#REF!</definedName>
    <definedName name="FOV_70_Range" hidden="1">#REF!</definedName>
    <definedName name="FOV_71_Range" hidden="1">#REF!</definedName>
    <definedName name="FOV_72_Range" hidden="1">#REF!</definedName>
    <definedName name="FOV_73_Range" hidden="1">#REF!</definedName>
    <definedName name="FOV_74_Range" hidden="1">#REF!</definedName>
    <definedName name="FOV_75_Range" hidden="1">#REF!</definedName>
    <definedName name="FOV_76_Range" hidden="1">#REF!</definedName>
    <definedName name="FOV_99_Range" hidden="1">#REF!</definedName>
    <definedName name="FOV_DN_Range" hidden="1">#REF!</definedName>
    <definedName name="FOV_RX_Range" hidden="1">#REF!</definedName>
    <definedName name="FOV_SI_Dental_Range" hidden="1">#REF!</definedName>
    <definedName name="FOV_SI_Pharmacy_Range" hidden="1">#REF!</definedName>
    <definedName name="FOV_SI_Product_01_Range" hidden="1">#REF!</definedName>
    <definedName name="FOV_SI_Product_05_Range" hidden="1">#REF!</definedName>
    <definedName name="fr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esfg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sssadf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uck" hidden="1">{"by departments",#N/A,TRUE,"FORECAST";"cap_headcount",#N/A,TRUE,"FORECAST";"summary",#N/A,TRUE,"FORECAST"}</definedName>
    <definedName name="fuckme" hidden="1">{"SUMMARY",#N/A,TRUE,"SUMMARY";"compare",#N/A,TRUE,"Vs. Bus Plan";"ratios",#N/A,TRUE,"Ratios";"REVENUE",#N/A,TRUE,"Revenue";"expenses",#N/A,TRUE,"1996 budget";"payroll",#N/A,TRUE,"Payroll"}</definedName>
    <definedName name="Full_Print">#REF!</definedName>
    <definedName name="FundCode" hidden="1">#REF!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YE">#REF!</definedName>
    <definedName name="FYE1CapEx">#REF!</definedName>
    <definedName name="FYE1CashFlow">#REF!</definedName>
    <definedName name="FYE1EBIT">#REF!</definedName>
    <definedName name="FYE1EBITDA">#REF!</definedName>
    <definedName name="FYE1GrossProfit">#REF!</definedName>
    <definedName name="FYE1NetInc">#REF!</definedName>
    <definedName name="FYE1Other1">#REF!</definedName>
    <definedName name="FYE1Other2">#REF!</definedName>
    <definedName name="FYE1Other3">#REF!</definedName>
    <definedName name="FYE1Revenues">#REF!</definedName>
    <definedName name="FYE1Shares">#REF!</definedName>
    <definedName name="FYE2CapEx">#REF!</definedName>
    <definedName name="FYE2CashFlow">#REF!</definedName>
    <definedName name="FYE2EBIT">#REF!</definedName>
    <definedName name="FYE2EBITDA">#REF!</definedName>
    <definedName name="FYE2GrossProfit">#REF!</definedName>
    <definedName name="FYE2NetInc">#REF!</definedName>
    <definedName name="FYE2Other1">#REF!</definedName>
    <definedName name="FYE2Other2">#REF!</definedName>
    <definedName name="FYE2Other3">#REF!</definedName>
    <definedName name="FYE2Revenues">#REF!</definedName>
    <definedName name="FYE2Shares">#REF!</definedName>
    <definedName name="g">#REF!</definedName>
    <definedName name="g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gdfs" hidden="1">{#N/A,#N/A,FALSE,"Projections";#N/A,#N/A,FALSE,"Multiples Valuation";#N/A,#N/A,FALSE,"LBO";#N/A,#N/A,FALSE,"Multiples_Sensitivity";#N/A,#N/A,FALSE,"Summary"}</definedName>
    <definedName name="generic_curr" hidden="1">#REF!</definedName>
    <definedName name="generic_prior" hidden="1">#REF!</definedName>
    <definedName name="generic_subst_curr" hidden="1">#REF!</definedName>
    <definedName name="generic_subst_prior" hidden="1">#REF!</definedName>
    <definedName name="generic_util_curr" hidden="1">#REF!</definedName>
    <definedName name="generic_util_prior" hidden="1">#REF!</definedName>
    <definedName name="GenericAverageCopay" hidden="1">#REF!</definedName>
    <definedName name="g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GG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gg" hidden="1">{#N/A,#N/A,FALSE,"PropertyInfo"}</definedName>
    <definedName name="GOITALONE">#REF!</definedName>
    <definedName name="gooch" hidden="1">{#N/A,#N/A,FALSE,"Projections";#N/A,#N/A,FALSE,"Multiples Valuation";#N/A,#N/A,FALSE,"LBO";#N/A,#N/A,FALSE,"Multiples_Sensitivity";#N/A,#N/A,FALSE,"Summary"}</definedName>
    <definedName name="Goodwill">#REF!</definedName>
    <definedName name="gotff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pi_name_class_A_curr" hidden="1">#REF!</definedName>
    <definedName name="gpi_name_class_A_prior" hidden="1">#REF!</definedName>
    <definedName name="gpi_name_class_B_curr" hidden="1">#REF!</definedName>
    <definedName name="gpi_name_class_B_prior" hidden="1">#REF!</definedName>
    <definedName name="gpi_name_class_C_curr" hidden="1">#REF!</definedName>
    <definedName name="gpi_name_class_C_prior" hidden="1">#REF!</definedName>
    <definedName name="gpi_name_class_D_curr" hidden="1">#REF!</definedName>
    <definedName name="gpi_name_class_D_prior" hidden="1">#REF!</definedName>
    <definedName name="gpi_name_class_E_curr" hidden="1">#REF!</definedName>
    <definedName name="gpi_name_class_E_prior" hidden="1">#REF!</definedName>
    <definedName name="gpi_name_class_F_curr" hidden="1">#REF!</definedName>
    <definedName name="gpi_name_class_F_prior" hidden="1">#REF!</definedName>
    <definedName name="gpi_name_class_G_curr" hidden="1">#REF!</definedName>
    <definedName name="gpi_name_class_G_prior" hidden="1">#REF!</definedName>
    <definedName name="gpi_name_class_H_curr" hidden="1">#REF!</definedName>
    <definedName name="gpi_name_class_H_prior" hidden="1">#REF!</definedName>
    <definedName name="gpi_name_class_I_curr" hidden="1">#REF!</definedName>
    <definedName name="gpi_name_class_I_prior" hidden="1">#REF!</definedName>
    <definedName name="gpi_name_class_J_curr" hidden="1">#REF!</definedName>
    <definedName name="gpi_name_class_J_prior" hidden="1">#REF!</definedName>
    <definedName name="gpi_name_class_K_curr" hidden="1">#REF!</definedName>
    <definedName name="gpi_name_class_K_prior" hidden="1">#REF!</definedName>
    <definedName name="gpi_name_class_L_curr" hidden="1">#REF!</definedName>
    <definedName name="gpi_name_class_L_prior" hidden="1">#REF!</definedName>
    <definedName name="gpi_name_class_M_curr" hidden="1">#REF!</definedName>
    <definedName name="gpi_name_class_M_prior" hidden="1">#REF!</definedName>
    <definedName name="gpi_name_class_N_curr" hidden="1">#REF!</definedName>
    <definedName name="gpi_name_class_N_prior" hidden="1">#REF!</definedName>
    <definedName name="gpi_name_class_O_curr" hidden="1">#REF!</definedName>
    <definedName name="gpi_name_class_O_prior" hidden="1">#REF!</definedName>
    <definedName name="gpi_name_class_OTHER_curr" hidden="1">#REF!</definedName>
    <definedName name="gpi_name_class_OTHER_prior" hidden="1">#REF!</definedName>
    <definedName name="gpi_name_class_P_curr" hidden="1">#REF!</definedName>
    <definedName name="gpi_name_class_P_prior" hidden="1">#REF!</definedName>
    <definedName name="gpi_name_class_Q_curr" hidden="1">#REF!</definedName>
    <definedName name="gpi_name_class_Q_prior" hidden="1">#REF!</definedName>
    <definedName name="gpi_name_class_R_curr" hidden="1">#REF!</definedName>
    <definedName name="gpi_name_class_R_prior" hidden="1">#REF!</definedName>
    <definedName name="GrossMargin">#REF!</definedName>
    <definedName name="GrossProfit">#REF!</definedName>
    <definedName name="Growth_Rate">#REF!</definedName>
    <definedName name="h" hidden="1">{#N/A,#N/A,FALSE,"PropertyInfo"}</definedName>
    <definedName name="Header_Row">#REF!</definedName>
    <definedName name="Health_Profile_Top_10_Dis_Med_HPD_Range" hidden="1">#REF!</definedName>
    <definedName name="HEI" hidden="1">{"AQUIRORDCF",#N/A,FALSE,"Merger consequences";"Acquirorassns",#N/A,FALSE,"Merger consequences"}</definedName>
    <definedName name="Hello" hidden="1">{"rtn",#N/A,FALSE,"RTN";"tables",#N/A,FALSE,"RTN";"cf",#N/A,FALSE,"CF";"stats",#N/A,FALSE,"Stats";"prop",#N/A,FALSE,"Prop"}</definedName>
    <definedName name="hg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hh" hidden="1">{#N/A,#N/A,FALSE,"Summary"}</definedName>
    <definedName name="hhh" hidden="1">{#N/A,#N/A,FALSE,"Summary"}</definedName>
    <definedName name="High1">#REF!</definedName>
    <definedName name="High2">#REF!</definedName>
    <definedName name="High3">#REF!</definedName>
    <definedName name="High4">#REF!</definedName>
    <definedName name="High5">#REF!</definedName>
    <definedName name="High6">#REF!</definedName>
    <definedName name="High7">#REF!</definedName>
    <definedName name="High8">#REF!</definedName>
    <definedName name="High9">#REF!</definedName>
    <definedName name="HighDate">#REF!</definedName>
    <definedName name="highempty">#REF!</definedName>
    <definedName name="HighPrice">#REF!</definedName>
    <definedName name="hjyny" hidden="1">{#N/A,#N/A,FALSE,"TSUM";#N/A,#N/A,FALSE,"shares";#N/A,#N/A,FALSE,"earnout";#N/A,#N/A,FALSE,"Heaty";#N/A,#N/A,FALSE,"self-tend";#N/A,#N/A,FALSE,"self-sum"}</definedName>
    <definedName name="HMO_Rate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HMORate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</definedName>
    <definedName name="hn.DZ_MultByFXRates" hidden="1">#REF!,#REF!,#REF!,#REF!</definedName>
    <definedName name="hn.ExtDb" hidden="1">FALSE</definedName>
    <definedName name="hn.LTM_MultByFXRates" hidden="1">#REF!,#REF!,#REF!,#REF!,#REF!,#REF!,#REF!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YearLabel" hidden="1">#REF!</definedName>
    <definedName name="hnu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MFE" hidden="1">{#N/A,#N/A,FALSE,"Assessment";#N/A,#N/A,FALSE,"Staffing";#N/A,#N/A,FALSE,"Hires";#N/A,#N/A,FALSE,"Assumptions"}</definedName>
    <definedName name="Hospital_Profile_Home" hidden="1">#REF!</definedName>
    <definedName name="Hospital_Profile_Medical_Range" hidden="1">#REF!</definedName>
    <definedName name="Hospital_Profile_Medical_Range2" hidden="1">#REF!</definedName>
    <definedName name="Hospital_Profile_Range" hidden="1">#REF!</definedName>
    <definedName name="houy" hidden="1">{#N/A,#N/A,FALSE,"AD_Purchase";#N/A,#N/A,FALSE,"Credit";#N/A,#N/A,FALSE,"PF Acquisition";#N/A,#N/A,FALSE,"PF Offering"}</definedName>
    <definedName name="houy2" hidden="1">{#N/A,#N/A,FALSE,"AD_Purchase";#N/A,#N/A,FALSE,"Credit";#N/A,#N/A,FALSE,"PF Acquisition";#N/A,#N/A,FALSE,"PF Offering"}</definedName>
    <definedName name="hpd_bob_prevalence" hidden="1">#REF!</definedName>
    <definedName name="HPD_bob_prevalence_asthma_curr" hidden="1">#REF!</definedName>
    <definedName name="HPD_bob_prevalence_asthma_prior" hidden="1">#REF!</definedName>
    <definedName name="HPD_bob_prevalence_coronary_artery_disease_curr" hidden="1">#REF!</definedName>
    <definedName name="HPD_bob_prevalence_coronary_artery_disease_prior" hidden="1">#REF!</definedName>
    <definedName name="HPD_bob_prevalence_diabetes_curr" hidden="1">#REF!</definedName>
    <definedName name="HPD_bob_prevalence_diabetes_prior" hidden="1">#REF!</definedName>
    <definedName name="HPD_bob_prevalence_heart_failure_curr" hidden="1">#REF!</definedName>
    <definedName name="HPD_bob_prevalence_heart_failure_prior" hidden="1">#REF!</definedName>
    <definedName name="HPD_bob_prevalence_low_back_curr" hidden="1">#REF!</definedName>
    <definedName name="HPD_bob_prevalence_low_back_prior" hidden="1">#REF!</definedName>
    <definedName name="HPD_bob_prevalence_other_curr" hidden="1">#REF!</definedName>
    <definedName name="HPD_bob_prevalence_other_prior" hidden="1">#REF!</definedName>
    <definedName name="hpd_cr_delete_paid_columns" hidden="1">#REF!</definedName>
    <definedName name="HPD_Delete_Range" hidden="1">#REF!</definedName>
    <definedName name="HPD_No_Obs_Found_Range" hidden="1">#REF!</definedName>
    <definedName name="HPD_number_claimants_asthma_curr" hidden="1">#REF!</definedName>
    <definedName name="HPD_number_claimants_asthma_prior" hidden="1">#REF!</definedName>
    <definedName name="HPD_number_claimants_coronary_artery_disease_curr" hidden="1">#REF!</definedName>
    <definedName name="HPD_number_claimants_coronary_artery_disease_prior" hidden="1">#REF!</definedName>
    <definedName name="HPD_number_claimants_diabetes_curr" hidden="1">#REF!</definedName>
    <definedName name="HPD_number_claimants_diabetes_prior" hidden="1">#REF!</definedName>
    <definedName name="HPD_number_claimants_heart_failure_curr" hidden="1">#REF!</definedName>
    <definedName name="HPD_number_claimants_heart_failure_prior" hidden="1">#REF!</definedName>
    <definedName name="HPD_number_claimants_low_back_curr" hidden="1">#REF!</definedName>
    <definedName name="HPD_number_claimants_low_back_prior" hidden="1">#REF!</definedName>
    <definedName name="HPD_number_claimants_other_curr" hidden="1">#REF!</definedName>
    <definedName name="HPD_number_claimants_other_prior" hidden="1">#REF!</definedName>
    <definedName name="HPD_number_claimants_total_curr" hidden="1">#REF!</definedName>
    <definedName name="HPD_number_claimants_total_prior" hidden="1">#REF!</definedName>
    <definedName name="HPD_paid_amt_asthma_curr" hidden="1">#REF!</definedName>
    <definedName name="HPD_paid_amt_asthma_prior" hidden="1">#REF!</definedName>
    <definedName name="HPD_paid_amt_coronary_artery_disease_curr" hidden="1">#REF!</definedName>
    <definedName name="HPD_paid_amt_coronary_artery_disease_prior" hidden="1">#REF!</definedName>
    <definedName name="HPD_paid_amt_diabetes_curr" hidden="1">#REF!</definedName>
    <definedName name="HPD_paid_amt_diabetes_prior" hidden="1">#REF!</definedName>
    <definedName name="HPD_paid_amt_heart_failure_curr" hidden="1">#REF!</definedName>
    <definedName name="HPD_paid_amt_heart_failure_prior" hidden="1">#REF!</definedName>
    <definedName name="HPD_paid_amt_low_back_curr" hidden="1">#REF!</definedName>
    <definedName name="HPD_paid_amt_low_back_prior" hidden="1">#REF!</definedName>
    <definedName name="HPD_paid_amt_other_curr" hidden="1">#REF!</definedName>
    <definedName name="HPD_paid_amt_other_prior" hidden="1">#REF!</definedName>
    <definedName name="HPD_paid_amt_total_curr" hidden="1">#REF!</definedName>
    <definedName name="HPD_paid_amt_total_prior" hidden="1">#REF!</definedName>
    <definedName name="HPD_Rows_6_7" hidden="1">#REF!</definedName>
    <definedName name="HPD_total_population_curr" hidden="1">#REF!</definedName>
    <definedName name="HPD_total_population_prior" hidden="1">#REF!</definedName>
    <definedName name="HTML_CodePage" hidden="1">1252</definedName>
    <definedName name="HTML_Control" hidden="1">{"'Sheet1'!$A$1:$J$121"}</definedName>
    <definedName name="HTML_Control2" hidden="1">{"'Web'!$A$4:$Q$25"}</definedName>
    <definedName name="HTML_Description" hidden="1">""</definedName>
    <definedName name="HTML_Email" hidden="1">""</definedName>
    <definedName name="HTML_Header" hidden="1">"Sheet1"</definedName>
    <definedName name="HTML_LastUpdate" hidden="1">"10/21/99"</definedName>
    <definedName name="HTML_LineAfter" hidden="1">FALSE</definedName>
    <definedName name="HTML_LineBefore" hidden="1">FALSE</definedName>
    <definedName name="HTML_Name" hidden="1">"Paulette Peoples"</definedName>
    <definedName name="HTML_OBDlg2" hidden="1">TRUE</definedName>
    <definedName name="HTML_OBDlg4" hidden="1">TRUE</definedName>
    <definedName name="HTML_OS" hidden="1">0</definedName>
    <definedName name="HTML_PathFile" hidden="1">"\\Bhincres01\groups\Mkt_Dev\EXECMKTR\RIGS\RigBible\Web NA.htm"</definedName>
    <definedName name="HTML_Title" hidden="1">"Total North America"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10_1" hidden="1">"[Daily.xls]Web!$A$1:$Q$26"</definedName>
    <definedName name="HTML10_10" hidden="1">"Howard_Haughton@prenhall.com"</definedName>
    <definedName name="HTML10_11" hidden="1">1</definedName>
    <definedName name="HTML10_12" hidden="1">"\\Consfin2\InetPub\wwwroot\DailySales.htm"</definedName>
    <definedName name="HTML10_2" hidden="1">1</definedName>
    <definedName name="HTML10_3" hidden="1">"Consumer Group Daily Sales"</definedName>
    <definedName name="HTML10_4" hidden="1">"for the month of March"</definedName>
    <definedName name="HTML10_5" hidden="1">""</definedName>
    <definedName name="HTML10_6" hidden="1">-4146</definedName>
    <definedName name="HTML10_7" hidden="1">-4146</definedName>
    <definedName name="HTML10_8" hidden="1">"3/24/97"</definedName>
    <definedName name="HTML10_9" hidden="1">"Howard Haughton"</definedName>
    <definedName name="HTML2_1" hidden="1">"[WebDaily.xls]Sheet1!$A$1:$V$32"</definedName>
    <definedName name="HTML2_10" hidden="1">"Howard_Haughton@prenhall.com"</definedName>
    <definedName name="HTML2_11" hidden="1">1</definedName>
    <definedName name="HTML2_12" hidden="1">"C:\InetPub\wwwroot\DailySales.htm"</definedName>
    <definedName name="HTML2_2" hidden="1">1</definedName>
    <definedName name="HTML2_3" hidden="1">"WebDaily"</definedName>
    <definedName name="HTML2_4" hidden="1">"Consumer Group Daily Sales"</definedName>
    <definedName name="HTML2_5" hidden="1">""</definedName>
    <definedName name="HTML2_6" hidden="1">1</definedName>
    <definedName name="HTML2_7" hidden="1">1</definedName>
    <definedName name="HTML2_8" hidden="1">"9/6/96"</definedName>
    <definedName name="HTML2_9" hidden="1">"Howard L. Haughton"</definedName>
    <definedName name="HTML3_1" hidden="1">"[WebDaily.xls]Sheet1!$A$1:$R$32"</definedName>
    <definedName name="HTML3_10" hidden="1">"Howard_Haughton@prenhall.com"</definedName>
    <definedName name="HTML3_11" hidden="1">1</definedName>
    <definedName name="HTML3_12" hidden="1">"C:\InetPub\wwwroot\DailySales.htm"</definedName>
    <definedName name="HTML3_2" hidden="1">1</definedName>
    <definedName name="HTML3_3" hidden="1">"WebDaily"</definedName>
    <definedName name="HTML3_4" hidden="1">"Consumer Group Daily Sales"</definedName>
    <definedName name="HTML3_5" hidden="1">""</definedName>
    <definedName name="HTML3_6" hidden="1">1</definedName>
    <definedName name="HTML3_7" hidden="1">1</definedName>
    <definedName name="HTML3_8" hidden="1">"9/6/96"</definedName>
    <definedName name="HTML3_9" hidden="1">"Howard L. Haughton"</definedName>
    <definedName name="HTML4_1" hidden="1">"[WebDaily.xls]Sheet1!$A$1:$Q$28"</definedName>
    <definedName name="HTML4_10" hidden="1">"Howard_Haughton@prenhall.com"</definedName>
    <definedName name="HTML4_11" hidden="1">1</definedName>
    <definedName name="HTML4_12" hidden="1">"C:\InetPub\wwwroot\DailySales.htm"</definedName>
    <definedName name="HTML4_2" hidden="1">1</definedName>
    <definedName name="HTML4_3" hidden="1">"WebDaily"</definedName>
    <definedName name="HTML4_4" hidden="1">"Consumer Group Daily Sales - September 1996"</definedName>
    <definedName name="HTML4_5" hidden="1">""</definedName>
    <definedName name="HTML4_6" hidden="1">1</definedName>
    <definedName name="HTML4_7" hidden="1">1</definedName>
    <definedName name="HTML4_8" hidden="1">"9/27/96"</definedName>
    <definedName name="HTML4_9" hidden="1">"Howard L. Haughton"</definedName>
    <definedName name="HTML5_1" hidden="1">"[WEBDAILY.XLS]Sheet1!$A$1:$Q$28"</definedName>
    <definedName name="HTML5_10" hidden="1">""</definedName>
    <definedName name="HTML5_11" hidden="1">1</definedName>
    <definedName name="HTML5_12" hidden="1">"C:\InetPub\wwwroot\DailySales.htm"</definedName>
    <definedName name="HTML5_2" hidden="1">1</definedName>
    <definedName name="HTML5_3" hidden="1">"Daily Sales - November"</definedName>
    <definedName name="HTML5_4" hidden="1">"Consumer Group Daily Sales"</definedName>
    <definedName name="HTML5_5" hidden="1">""</definedName>
    <definedName name="HTML5_6" hidden="1">-4146</definedName>
    <definedName name="HTML5_7" hidden="1">-4146</definedName>
    <definedName name="HTML5_8" hidden="1">"11/20/96"</definedName>
    <definedName name="HTML5_9" hidden="1">"Howard L. Haughton"</definedName>
    <definedName name="HTML6_1" hidden="1">"[DAILY.XLS]Web!$A$1:$Q$28"</definedName>
    <definedName name="HTML6_10" hidden="1">"Howard_Haughton@prenhall.com"</definedName>
    <definedName name="HTML6_11" hidden="1">1</definedName>
    <definedName name="HTML6_12" hidden="1">"C:\InetPub\wwwroot\DailySales.htm"</definedName>
    <definedName name="HTML6_2" hidden="1">1</definedName>
    <definedName name="HTML6_3" hidden="1">"WebDaily"</definedName>
    <definedName name="HTML6_4" hidden="1">"Consumer Group Daily sales"</definedName>
    <definedName name="HTML6_5" hidden="1">""</definedName>
    <definedName name="HTML6_6" hidden="1">-4146</definedName>
    <definedName name="HTML6_7" hidden="1">-4146</definedName>
    <definedName name="HTML6_8" hidden="1">"12/19/96"</definedName>
    <definedName name="HTML6_9" hidden="1">"Howard L. Haughton"</definedName>
    <definedName name="HTML7_1" hidden="1">"[DAILY.XLS]Web!$A$1:$M$28"</definedName>
    <definedName name="HTML7_10" hidden="1">"Howard_Haughton@prenhall.com"</definedName>
    <definedName name="HTML7_11" hidden="1">1</definedName>
    <definedName name="HTML7_12" hidden="1">"C:\InetPub\wwwroot\DailySales.htm"</definedName>
    <definedName name="HTML7_2" hidden="1">1</definedName>
    <definedName name="HTML7_3" hidden="1">"DAILY SALES - JANUARY"</definedName>
    <definedName name="HTML7_4" hidden="1">"CONSUMER GROUP DAILY SALES"</definedName>
    <definedName name="HTML7_5" hidden="1">""</definedName>
    <definedName name="HTML7_6" hidden="1">-4146</definedName>
    <definedName name="HTML7_7" hidden="1">-4146</definedName>
    <definedName name="HTML7_8" hidden="1">"1/6/97"</definedName>
    <definedName name="HTML7_9" hidden="1">"Howard L. Haughton"</definedName>
    <definedName name="HTML8_1" hidden="1">"[DAILY.XLS]Web!$A$1:$M$26"</definedName>
    <definedName name="HTML8_10" hidden="1">"Howard_Haughton@prenhall.com"</definedName>
    <definedName name="HTML8_11" hidden="1">1</definedName>
    <definedName name="HTML8_12" hidden="1">"C:\InetPub\wwwroot\DailySales.htm"</definedName>
    <definedName name="HTML8_2" hidden="1">1</definedName>
    <definedName name="HTML8_3" hidden="1">"Consumer Group"</definedName>
    <definedName name="HTML8_4" hidden="1">"February Daliy Sales"</definedName>
    <definedName name="HTML8_5" hidden="1">""</definedName>
    <definedName name="HTML8_6" hidden="1">-4146</definedName>
    <definedName name="HTML8_7" hidden="1">-4146</definedName>
    <definedName name="HTML8_8" hidden="1">"2/10/97"</definedName>
    <definedName name="HTML8_9" hidden="1">"Howard L. Haughton"</definedName>
    <definedName name="HTML9_1" hidden="1">"[DAILY.XLS]Web!$A$1:$Q$26"</definedName>
    <definedName name="HTML9_10" hidden="1">"Howard_Haughton @prenhall.com"</definedName>
    <definedName name="HTML9_11" hidden="1">1</definedName>
    <definedName name="HTML9_12" hidden="1">"\\Consfin2\InetPub\wwwroot\DailySales.htm"</definedName>
    <definedName name="HTML9_2" hidden="1">1</definedName>
    <definedName name="HTML9_3" hidden="1">"Consumer Group"</definedName>
    <definedName name="HTML9_4" hidden="1">"April Daily Sales"</definedName>
    <definedName name="HTML9_5" hidden="1">""</definedName>
    <definedName name="HTML9_6" hidden="1">-4146</definedName>
    <definedName name="HTML9_7" hidden="1">-4146</definedName>
    <definedName name="HTML9_8" hidden="1">"4/18/97"</definedName>
    <definedName name="HTML9_9" hidden="1">"Howard L. Haughton"</definedName>
    <definedName name="HTMLCount" hidden="1">1</definedName>
    <definedName name="hui" hidden="1">{#N/A,#N/A,FALSE,"Assump2";#N/A,#N/A,FALSE,"Income2";#N/A,#N/A,FALSE,"Balance2";#N/A,#N/A,FALSE,"DCF Filter";#N/A,#N/A,FALSE,"Trans Assump2";#N/A,#N/A,FALSE,"Combined Income2";#N/A,#N/A,FALSE,"Combined Balance2"}</definedName>
    <definedName name="i">#REF!</definedName>
    <definedName name="ic">#REF!</definedName>
    <definedName name="iffx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ioo" hidden="1">{#N/A,#N/A,FALSE,"TSUM";#N/A,#N/A,FALSE,"shares";#N/A,#N/A,FALSE,"earnout";#N/A,#N/A,FALSE,"Heaty";#N/A,#N/A,FALSE,"self-tend";#N/A,#N/A,FALSE,"self-sum"}</definedName>
    <definedName name="ijn" hidden="1">{#N/A,#N/A,FALSE,"AD_Purchase";#N/A,#N/A,FALSE,"Credit";#N/A,#N/A,FALSE,"PF Acquisition";#N/A,#N/A,FALSE,"PF Offering"}</definedName>
    <definedName name="impact_na_range1" hidden="1">#REF!</definedName>
    <definedName name="Impact_of_Catastrophic_Medical_Range" hidden="1">#REF!</definedName>
    <definedName name="IncEndDateCurr" hidden="1">#REF!</definedName>
    <definedName name="IncEndDatePrior" hidden="1">#REF!</definedName>
    <definedName name="IncStartDateCurr" hidden="1">#REF!</definedName>
    <definedName name="IncStartDatePrior" hidden="1">#REF!</definedName>
    <definedName name="infinity2" hidden="1">{"CashFlow","Nil",FALSE,"Yearly Reports-Y";"Revenue_OI","Nil",FALSE,"Yearly Reports-Y";"MTVNChannelComp","Nil",FALSE,"Yearly Reports-Y"}</definedName>
    <definedName name="InflationMonth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t">#REF!</definedName>
    <definedName name="IntA">#REF!</definedName>
    <definedName name="IntAdj">#REF!</definedName>
    <definedName name="IntangAssets">#REF!</definedName>
    <definedName name="IntC">#REF!</definedName>
    <definedName name="Interconnection_prices_and_revenue">#REF!</definedName>
    <definedName name="Interest_Rate">#REF!</definedName>
    <definedName name="IntExp">#REF!</definedName>
    <definedName name="IntInc">#REF!</definedName>
    <definedName name="IntroPrintArea" hidden="1">#REF!</definedName>
    <definedName name="IntT">#REF!</definedName>
    <definedName name="Inventories">#REF!</definedName>
    <definedName name="InvestBook">#REF!</definedName>
    <definedName name="Investments">#REF!</definedName>
    <definedName name="IP_MDC_Analysis_Medical_Range" hidden="1">#REF!</definedName>
    <definedName name="ip_mdc_na_bob_column1" hidden="1">#REF!</definedName>
    <definedName name="IPO4_Sheet1_List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ONDRATING_FITCH" hidden="1">"IQ_BONDRATING_FITCH"</definedName>
    <definedName name="IQ_BONDRATING_FITCH_DATE" hidden="1">"c241"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BV_STDDEV_EST_REUT" hidden="1">"c5408"</definedName>
    <definedName name="IQ_BV_STDDEV_EST_THOM" hidden="1">"c5152"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_REUT" hidden="1">"c6800"</definedName>
    <definedName name="IQ_CAL_Y" hidden="1">"c102"</definedName>
    <definedName name="IQ_CAL_Y_EST_REUT" hidden="1">"c6801"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HIGH_EST" hidden="1">"c1669"</definedName>
    <definedName name="IQ_CFPS_HIGH_EST_REUT" hidden="1">"c3846"</definedName>
    <definedName name="IQ_CFPS_LOW_EST" hidden="1">"c1670"</definedName>
    <definedName name="IQ_CFPS_LOW_EST_REUT" hidden="1">"c3847"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RATE" hidden="1">"c2192"</definedName>
    <definedName name="IQ_CONVERT" hidden="1">"c2536"</definedName>
    <definedName name="IQ_CONVERT_DEBT" hidden="1">"c224"</definedName>
    <definedName name="IQ_CONVERT_PCT" hidden="1">"c2537"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AMOUNT" hidden="1">"c3041"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_REUT" hidden="1">"c5501"</definedName>
    <definedName name="IQ_DPS_EST_REUT" hidden="1">"c3851"</definedName>
    <definedName name="IQ_DPS_HIGH_EST" hidden="1">"c1676"</definedName>
    <definedName name="IQ_DPS_HIGH_EST_REUT" hidden="1">"c3853"</definedName>
    <definedName name="IQ_DPS_LOW_EST" hidden="1">"c1677"</definedName>
    <definedName name="IQ_DPS_LOW_EST_REUT" hidden="1">"c3854"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ST" hidden="1">"c1681"</definedName>
    <definedName name="IQ_EBIT_EST_REUT" hidden="1">"c5333"</definedName>
    <definedName name="IQ_EBIT_GROWTH_1" hidden="1">"IQ_EBIT_GROWTH_1"</definedName>
    <definedName name="IQ_EBIT_GROWTH_2" hidden="1">"IQ_EBIT_GROWTH_2"</definedName>
    <definedName name="IQ_EBIT_HIGH_EST" hidden="1">"c1683"</definedName>
    <definedName name="IQ_EBIT_HIGH_EST_REUT" hidden="1">"c5335"</definedName>
    <definedName name="IQ_EBIT_INT" hidden="1">"c360"</definedName>
    <definedName name="IQ_EBIT_LOW_EST" hidden="1">"c1684"</definedName>
    <definedName name="IQ_EBIT_LOW_EST_REUT" hidden="1">"c5336"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EST_REUT" hidden="1">"c3640"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O_EST" hidden="1">"c267"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TDDEV_EST" hidden="1">"c375"</definedName>
    <definedName name="IQ_EBITDA_STDDEV_EST_REUT" hidden="1">"c3645"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1" hidden="1">"IQ_EPS_EST_1"</definedName>
    <definedName name="IQ_EPS_EST_BOTTOM_UP_REUT" hidden="1">"c5497"</definedName>
    <definedName name="IQ_EPS_EST_REUT" hidden="1">"c5453"</definedName>
    <definedName name="IQ_EPS_GW_ACT_OR_EST" hidden="1">"c2223"</definedName>
    <definedName name="IQ_EPS_GW_ACT_OR_EST_REUT" hidden="1">"c5469"</definedName>
    <definedName name="IQ_EPS_GW_EST" hidden="1">"c1737"</definedName>
    <definedName name="IQ_EPS_GW_EST_BOTTOM_UP_REUT" hidden="1">"c5499"</definedName>
    <definedName name="IQ_EPS_GW_EST_REUT" hidden="1">"c5389"</definedName>
    <definedName name="IQ_EPS_GW_HIGH_EST" hidden="1">"c1739"</definedName>
    <definedName name="IQ_EPS_GW_HIGH_EST_REUT" hidden="1">"c5391"</definedName>
    <definedName name="IQ_EPS_GW_LOW_EST" hidden="1">"c1740"</definedName>
    <definedName name="IQ_EPS_GW_LOW_EST_REUT" hidden="1">"c5392"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_EST" hidden="1">"c271"</definedName>
    <definedName name="IQ_EPS_NORM" hidden="1">"c1902"</definedName>
    <definedName name="IQ_EPS_NORM_EST" hidden="1">"c2226"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TDDEV_EST" hidden="1">"c403"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SHARE_REUT" hidden="1">"c5445"</definedName>
    <definedName name="IQ_EST_ACT_BV_THOM" hidden="1">"c5153"</definedName>
    <definedName name="IQ_EST_ACT_CAPEX_REUT" hidden="1">"c3975"</definedName>
    <definedName name="IQ_EST_ACT_CFPS" hidden="1">"c1673"</definedName>
    <definedName name="IQ_EST_ACT_CFPS_REUT" hidden="1">"c3850"</definedName>
    <definedName name="IQ_EST_ACT_DPS" hidden="1">"c1680"</definedName>
    <definedName name="IQ_EST_ACT_DPS_REUT" hidden="1">"c3857"</definedName>
    <definedName name="IQ_EST_ACT_EBIT" hidden="1">"c1687"</definedName>
    <definedName name="IQ_EST_ACT_EBIT_REUT" hidden="1">"c5339"</definedName>
    <definedName name="IQ_EST_ACT_EBITDA" hidden="1">"c1664"</definedName>
    <definedName name="IQ_EST_ACT_EBITDA_REUT" hidden="1">"c3836"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FFO" hidden="1">"c1666"</definedName>
    <definedName name="IQ_EST_ACT_FFO_REUT" hidden="1">"c3843"</definedName>
    <definedName name="IQ_EST_ACT_FFO_SHARE_SHARE_REUT" hidden="1">"c3843"</definedName>
    <definedName name="IQ_EST_ACT_FFO_SHARE_SHARE_THOM" hidden="1">"c4005"</definedName>
    <definedName name="IQ_EST_ACT_FFO_THOM" hidden="1">"c4005"</definedName>
    <definedName name="IQ_EST_ACT_NAV" hidden="1">"c1757"</definedName>
    <definedName name="IQ_EST_ACT_NAV_SHARE_REUT" hidden="1">"c5616"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DIFF_REUT" hidden="1">"c5433"</definedName>
    <definedName name="IQ_EST_BV_DIFF_THOM" hidden="1">"c5204"</definedName>
    <definedName name="IQ_EST_BV_SURPRISE_PERCENT_REUT" hidden="1">"c5434"</definedName>
    <definedName name="IQ_EST_BV_SURPRISE_PERCENT_THOM" hidden="1">"c5205"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EQ_GROWTH_Q" hidden="1">"c1764"</definedName>
    <definedName name="IQ_EST_EPS_SEQ_GROWTH_Q_REUT" hidden="1">"c3859"</definedName>
    <definedName name="IQ_EST_EPS_SURPRISE" hidden="1">"c1635"</definedName>
    <definedName name="IQ_EST_EPS_SURPRISE_PERCENT" hidden="1">"c1635"</definedName>
    <definedName name="IQ_EST_EPS_SURPRISE_PERCENT_REUT" hidden="1">"c5459"</definedName>
    <definedName name="IQ_EST_FFO_DIFF" hidden="1">"c1869"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SHARE_DIFF_REUT" hidden="1">"c3890"</definedName>
    <definedName name="IQ_EST_FFO_SHARE_SHARE_DIFF_THOM" hidden="1">"c5186"</definedName>
    <definedName name="IQ_EST_FFO_SHARE_SHARE_SURPRISE_PERCENT_REUT" hidden="1">"c3891"</definedName>
    <definedName name="IQ_EST_FFO_SHARE_SHARE_SURPRISE_PERCENT_THOM" hidden="1">"c5187"</definedName>
    <definedName name="IQ_EST_FFO_SURPRISE_PERCENT" hidden="1">"c1870"</definedName>
    <definedName name="IQ_EST_FFO_SURPRISE_PERCENT_REUT" hidden="1">"c3891"</definedName>
    <definedName name="IQ_EST_FFO_SURPRISE_PERCENT_THOM" hidden="1">"c5187"</definedName>
    <definedName name="IQ_EST_FOOTNOTE_REUT" hidden="1">"c5478"</definedName>
    <definedName name="IQ_EST_NAV_DIFF" hidden="1">"c1895"</definedName>
    <definedName name="IQ_EST_NAV_SURPRISE_PERCENT" hidden="1">"c1896"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"tdw"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"c4970"</definedName>
    <definedName name="IQ_FFO_EST_REUT" hidden="1">"c3837"</definedName>
    <definedName name="IQ_FFO_EST_THOM" hidden="1">"c3999"</definedName>
    <definedName name="IQ_FFO_HIGH_EST" hidden="1">"c419"</definedName>
    <definedName name="IQ_FFO_HIGH_EST_CIQ" hidden="1">"c4977"</definedName>
    <definedName name="IQ_FFO_HIGH_EST_REUT" hidden="1">"c3839"</definedName>
    <definedName name="IQ_FFO_HIGH_EST_THOM" hidden="1">"c4001"</definedName>
    <definedName name="IQ_FFO_LOW_EST" hidden="1">"c420"</definedName>
    <definedName name="IQ_FFO_LOW_EST_CIQ" hidden="1">"c4978"</definedName>
    <definedName name="IQ_FFO_LOW_EST_REUT" hidden="1">"c3840"</definedName>
    <definedName name="IQ_FFO_LOW_EST_THOM" hidden="1">"c4002"</definedName>
    <definedName name="IQ_FFO_MEDIAN_EST" hidden="1">"c1665"</definedName>
    <definedName name="IQ_FFO_MEDIAN_EST_CIQ" hidden="1">"c4979"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" hidden="1">"c421"</definedName>
    <definedName name="IQ_FFO_NUM_EST_CIQ" hidden="1">"c4980"</definedName>
    <definedName name="IQ_FFO_NUM_EST_REUT" hidden="1">"c3841"</definedName>
    <definedName name="IQ_FFO_NUM_EST_THOM" hidden="1">"c4003"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REUT" hidden="1">"c3837"</definedName>
    <definedName name="IQ_FFO_SHARE_SHARE_EST_THOM" hidden="1">"c3999"</definedName>
    <definedName name="IQ_FFO_SHARE_SHARE_HIGH_EST_REUT" hidden="1">"c3839"</definedName>
    <definedName name="IQ_FFO_SHARE_SHARE_HIGH_EST_THOM" hidden="1">"c4001"</definedName>
    <definedName name="IQ_FFO_SHARE_SHARE_LOW_EST_REUT" hidden="1">"c3840"</definedName>
    <definedName name="IQ_FFO_SHARE_SHARE_LOW_EST_THOM" hidden="1">"c4002"</definedName>
    <definedName name="IQ_FFO_SHARE_SHARE_MEDIAN_EST_REUT" hidden="1">"c3838"</definedName>
    <definedName name="IQ_FFO_SHARE_SHARE_MEDIAN_EST_THOM" hidden="1">"c4000"</definedName>
    <definedName name="IQ_FFO_SHARE_SHARE_NUM_EST_REUT" hidden="1">"c3841"</definedName>
    <definedName name="IQ_FFO_SHARE_SHARE_NUM_EST_THOM" hidden="1">"c4003"</definedName>
    <definedName name="IQ_FFO_SHARE_SHARE_STDDEV_EST_REUT" hidden="1">"c3842"</definedName>
    <definedName name="IQ_FFO_SHARE_SHARE_STDDEV_EST_THOM" hidden="1">"c4004"</definedName>
    <definedName name="IQ_FFO_STDDEV_EST" hidden="1">"c422"</definedName>
    <definedName name="IQ_FFO_STDDEV_EST_CIQ" hidden="1">"c4981"</definedName>
    <definedName name="IQ_FFO_STDDEV_EST_REUT" hidden="1">"c3842"</definedName>
    <definedName name="IQ_FFO_STDDEV_EST_THOM" hidden="1">"c4004"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_REUT" hidden="1">"c6798"</definedName>
    <definedName name="IQ_FISCAL_Y" hidden="1">"c441"</definedName>
    <definedName name="IQ_FISCAL_Y_EST_REUT" hidden="1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_TARGET_PRICE" hidden="1">"c1651"</definedName>
    <definedName name="IQ_HIGH_TARGET_PRICE_REUT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L_EPS_EST" hidden="1">"c24729"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D_GUARANTEED_US_FDIC" hidden="1">"c6404"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RATIO" hidden="1">"c2783"</definedName>
    <definedName name="IQ_MC_SGA_MARGIN" hidden="1">"c9932"</definedName>
    <definedName name="IQ_MC_SGA_OPERATING_REV" hidden="1">"c9931"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43215.8810532407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REUT" hidden="1">"c5368"</definedName>
    <definedName name="IQ_NI_GW_EST" hidden="1">"c1723"</definedName>
    <definedName name="IQ_NI_GW_EST_REUT" hidden="1">"c5375"</definedName>
    <definedName name="IQ_NI_GW_HIGH_EST" hidden="1">"c1725"</definedName>
    <definedName name="IQ_NI_GW_HIGH_EST_REUT" hidden="1">"c5377"</definedName>
    <definedName name="IQ_NI_GW_LOW_EST" hidden="1">"c1726"</definedName>
    <definedName name="IQ_NI_GW_LOW_EST_REUT" hidden="1">"c5378"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LOW_EST" hidden="1">"c1719"</definedName>
    <definedName name="IQ_NI_LOW_EST_REUT" hidden="1">"c5371"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FAS" hidden="1">"c795"</definedName>
    <definedName name="IQ_NI_STDDEV_EST" hidden="1">"c1721"</definedName>
    <definedName name="IQ_NI_STDDEV_EST_REUT" hidden="1">"c5373"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REUT" hidden="1">"c3938"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REUT" hidden="1">"c3939"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REUT" hidden="1">"c3935"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REUT" hidden="1">"c3936"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REUT" hidden="1">"c3937"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REUT" hidden="1">"c3933"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REUT" hidden="1">"c3934"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REUT" hidden="1">"c3964"</definedName>
    <definedName name="IQ_PERCENT_CHANGE_EST_FFO_SHARE_SHARE_WEEK_THOM" hidden="1">"c5274"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"c3966"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TARGET" hidden="1">"c82"</definedName>
    <definedName name="IQ_PRICE_TARGET_BOTTOM_UP_REUT" hidden="1">"c5494"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REUT" hidden="1">"c5461"</definedName>
    <definedName name="IQ_REVENUE_EST" hidden="1">"c1126"</definedName>
    <definedName name="IQ_REVENUE_EST_1" hidden="1">"IQ_REVENUE_EST_1"</definedName>
    <definedName name="IQ_REVENUE_EST_BOTTOM_UP_REUT" hidden="1">"c5496"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O_EST" hidden="1">"c263"</definedName>
    <definedName name="IQ_REVENUE_NUM_EST" hidden="1">"c1129"</definedName>
    <definedName name="IQ_REVENUE_NUM_EST_REUT" hidden="1">"c3638"</definedName>
    <definedName name="IQ_REVISION_DATE_" hidden="1">39198.8768865741</definedName>
    <definedName name="IQ_REVOLVING_SECURED_1_–4_NON_ACCRUAL_FFIEC" hidden="1">"c13314"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ISSUE_LC_ACTION" hidden="1">"c2644"</definedName>
    <definedName name="IQ_SP_ISSUE_LC_DATE" hidden="1">"c2643"</definedName>
    <definedName name="IQ_SP_ISSUE_LC_LT" hidden="1">"c2645"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GS_FIN" hidden="1">"c2998"</definedName>
    <definedName name="IQ_STOCK_BASED_COGS_UTIL" hidden="1">"c2997"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QB_BOOKMARK_COUNT" hidden="1">1</definedName>
    <definedName name="IQB_BOOKMARK_LOCATION_3" hidden="1">#REF!</definedName>
    <definedName name="IQB_BOOKMARK_LOCATION_4" hidden="1">#REF!</definedName>
    <definedName name="IQB_BOOKMARK_LOCATION_5" hidden="1">#REF!</definedName>
    <definedName name="IQB_BOOKMARK_LOCATION_6" hidden="1">#REF!</definedName>
    <definedName name="IQRA5" hidden="1">"$A$6:$A$131"</definedName>
    <definedName name="IQRA8" hidden="1">"$A$9:$A$260"</definedName>
    <definedName name="IQRAF17" hidden="1">"$AF$18:$AF$259"</definedName>
    <definedName name="IQRAP17" hidden="1">"$AP$18"</definedName>
    <definedName name="IQRAP89" hidden="1">"$AP$90:$AP$97"</definedName>
    <definedName name="IQRAQ17" hidden="1">"$AQ$18"</definedName>
    <definedName name="IQRAQ89" hidden="1">"$AQ$90"</definedName>
    <definedName name="IQRAR89" hidden="1">"$AR$90:$AR$97"</definedName>
    <definedName name="IQRAS17" hidden="1">"$AS$18:$AS$25"</definedName>
    <definedName name="IQRAS89" hidden="1">"$AS$90:$AS$93"</definedName>
    <definedName name="IQRAT17" hidden="1">"$AT$18:$AT$25"</definedName>
    <definedName name="IQRAT89" hidden="1">"$AT$90:$AT$97"</definedName>
    <definedName name="IQRAU17" hidden="1">"$AU$18"</definedName>
    <definedName name="IQRAV89" hidden="1">"$AV$90:$AV$97"</definedName>
    <definedName name="IQRAX89" hidden="1">"$AX$90:$AX$97"</definedName>
    <definedName name="IQRAZ17" hidden="1">"$AZ$18:$AZ$19"</definedName>
    <definedName name="IQRB5" hidden="1">"$B$6:$B$131"</definedName>
    <definedName name="IQRB8" hidden="1">"$B$9:$B$260"</definedName>
    <definedName name="IQRC8" hidden="1">"$C$9:$C$260"</definedName>
    <definedName name="IQRCapExofSalesChartV10" hidden="1">#REF!</definedName>
    <definedName name="IQRChartV6" hidden="1">#REF!</definedName>
    <definedName name="IQRChartV7" hidden="1">#REF!</definedName>
    <definedName name="IQRCOMPANYA2AF17" hidden="1">#REF!</definedName>
    <definedName name="IQRCOMPANYA2AP89" hidden="1">#REF!</definedName>
    <definedName name="IQRCOMPANYA2AR89" hidden="1">#REF!</definedName>
    <definedName name="IQRCOMPANYA2AT89" hidden="1">#REF!</definedName>
    <definedName name="IQRCOMPANYA2AV89" hidden="1">#REF!</definedName>
    <definedName name="IQRCOMPANYA2AX89" hidden="1">#REF!</definedName>
    <definedName name="IQRCOMPANYBAF17" hidden="1">#REF!</definedName>
    <definedName name="IQRCOMPANYBAP89" hidden="1">#REF!</definedName>
    <definedName name="IQRCOMPANYBAR89" hidden="1">#REF!</definedName>
    <definedName name="IQRCOMPANYBAT89" hidden="1">#REF!</definedName>
    <definedName name="IQRCOMPANYBAV89" hidden="1">#REF!</definedName>
    <definedName name="IQRCOMPANYBAX89" hidden="1">#REF!</definedName>
    <definedName name="IQRCOMPANYBAZ17" hidden="1">#REF!</definedName>
    <definedName name="IQRCompInputO43" hidden="1">#REF!</definedName>
    <definedName name="IQRCompInputQ43" hidden="1">#REF!</definedName>
    <definedName name="IQRCompInputU9" hidden="1">#REF!</definedName>
    <definedName name="IQRCompsAN140" hidden="1">#REF!</definedName>
    <definedName name="IQRCompsAN183" hidden="1">#REF!</definedName>
    <definedName name="IQRCompsAN225" hidden="1">#REF!</definedName>
    <definedName name="IQRCompsAO140" hidden="1">#REF!</definedName>
    <definedName name="IQRCompsAO183" hidden="1">#REF!</definedName>
    <definedName name="IQRCompsAO225" hidden="1">#REF!</definedName>
    <definedName name="IQRCompsAP140" hidden="1">#REF!</definedName>
    <definedName name="IQRCompsAP183" hidden="1">#REF!</definedName>
    <definedName name="IQRCompsAP225" hidden="1">#REF!</definedName>
    <definedName name="IQRCompsAQ140" hidden="1">#REF!</definedName>
    <definedName name="IQRCompsAQ154" hidden="1">#REF!</definedName>
    <definedName name="IQRCompsAQ183" hidden="1">#REF!</definedName>
    <definedName name="IQRCompsAQ225" hidden="1">#REF!</definedName>
    <definedName name="IQRCompsAQ241" hidden="1">#REF!</definedName>
    <definedName name="IQRCompsAR140" hidden="1">#REF!</definedName>
    <definedName name="IQRCompsAR154" hidden="1">#REF!</definedName>
    <definedName name="IQRCompsAR183" hidden="1">#REF!</definedName>
    <definedName name="IQRCompsAR225" hidden="1">#REF!</definedName>
    <definedName name="IQRCompsAR241" hidden="1">#REF!</definedName>
    <definedName name="IQRCompsAS140" hidden="1">#REF!</definedName>
    <definedName name="IQRCompsAS154" hidden="1">#REF!</definedName>
    <definedName name="IQRCompsAS183" hidden="1">#REF!</definedName>
    <definedName name="IQRCompsAS225" hidden="1">#REF!</definedName>
    <definedName name="IQRCompsAS241" hidden="1">#REF!</definedName>
    <definedName name="IQRCompsAT154" hidden="1">#REF!</definedName>
    <definedName name="IQRCompsAT241" hidden="1">#REF!</definedName>
    <definedName name="IQRCompsAU140" hidden="1">#REF!</definedName>
    <definedName name="IQRCompsAU154" hidden="1">#REF!</definedName>
    <definedName name="IQRCompsAU183" hidden="1">#REF!</definedName>
    <definedName name="IQRCompsAU225" hidden="1">#REF!</definedName>
    <definedName name="IQRCompsAU241" hidden="1">#REF!</definedName>
    <definedName name="IQRCompsAV140" hidden="1">#REF!</definedName>
    <definedName name="IQRCompsAV154" hidden="1">#REF!</definedName>
    <definedName name="IQRCompsAV183" hidden="1">#REF!</definedName>
    <definedName name="IQRCompsAV198" hidden="1">#REF!</definedName>
    <definedName name="IQRCompsAV225" hidden="1">#REF!</definedName>
    <definedName name="IQRCompsAV241" hidden="1">#REF!</definedName>
    <definedName name="IQRCompsAW140" hidden="1">#REF!</definedName>
    <definedName name="IQRCompsAW154" hidden="1">#REF!</definedName>
    <definedName name="IQRCompsAW183" hidden="1">#REF!</definedName>
    <definedName name="IQRCompsAW198" hidden="1">#REF!</definedName>
    <definedName name="IQRCompsAW225" hidden="1">#REF!</definedName>
    <definedName name="IQRCompsAW241" hidden="1">#REF!</definedName>
    <definedName name="IQRCompsAX154" hidden="1">#REF!</definedName>
    <definedName name="IQRCompsAX198" hidden="1">#REF!</definedName>
    <definedName name="IQRCompsAX241" hidden="1">#REF!</definedName>
    <definedName name="IQRCompsAY154" hidden="1">#REF!</definedName>
    <definedName name="IQRCompsAY198" hidden="1">#REF!</definedName>
    <definedName name="IQRCompsAY241" hidden="1">#REF!</definedName>
    <definedName name="IQRCompsK140" hidden="1">#REF!</definedName>
    <definedName name="IQRCompsL140" hidden="1">#REF!</definedName>
    <definedName name="IQRCompsM140" hidden="1">#REF!</definedName>
    <definedName name="IQRCompsN140" hidden="1">#REF!</definedName>
    <definedName name="IQRCompsO140" hidden="1">#REF!</definedName>
    <definedName name="IQRCompsP140" hidden="1">#REF!</definedName>
    <definedName name="IQRCompsR140" hidden="1">#REF!</definedName>
    <definedName name="IQRCompsS140" hidden="1">#REF!</definedName>
    <definedName name="IQRCompsT140" hidden="1">#REF!</definedName>
    <definedName name="IQRCustomIndexX10" hidden="1">#REF!</definedName>
    <definedName name="IQRIndexDataA13" hidden="1">#REF!</definedName>
    <definedName name="IQRMediaCompTemplate2V43" hidden="1">#REF!</definedName>
    <definedName name="IQRMediaCompTemplate2V8" hidden="1">#REF!</definedName>
    <definedName name="IQRMediaCompTemplateAB43" hidden="1">#REF!</definedName>
    <definedName name="IQRMediaCompTemplateV51" hidden="1">#REF!</definedName>
    <definedName name="IQRMediaCompTemplateV61" hidden="1">#REF!</definedName>
    <definedName name="IQRMediaCompTemplateX5" hidden="1">#REF!</definedName>
    <definedName name="IQRSheet1P4" hidden="1">#REF!</definedName>
    <definedName name="IQRSheet1Q4" hidden="1">#REF!</definedName>
    <definedName name="IQRSheet1R4" hidden="1">#REF!</definedName>
    <definedName name="IQRSheet1S4" hidden="1">#REF!</definedName>
    <definedName name="IQRSheet1T4" hidden="1">#REF!</definedName>
    <definedName name="IQRSheet2A10" hidden="1">#REF!</definedName>
    <definedName name="IQRSheet2A11" hidden="1">#REF!</definedName>
    <definedName name="IQRSheet2A12" hidden="1">#REF!</definedName>
    <definedName name="IQRStockChartAA10" hidden="1">#REF!</definedName>
    <definedName name="IQRStockChartAF10" hidden="1">#REF!</definedName>
    <definedName name="IQRStockChartFL11" hidden="1">#REF!</definedName>
    <definedName name="IQRTelecomCompTemplateW54" hidden="1">#REF!</definedName>
    <definedName name="IQRTowersCompTemplateX39" hidden="1">#REF!</definedName>
    <definedName name="IQRX10" hidden="1">"$X$11:$X$114"</definedName>
    <definedName name="IRI_WorkspaceId" hidden="1">"bccdb1c1af0e4ad2930bd3379ca5d267"</definedName>
    <definedName name="IS_Summary">#REF!</definedName>
    <definedName name="IsColHidden" hidden="1">FALSE</definedName>
    <definedName name="IsLTMColHidden" hidden="1">FALSE</definedName>
    <definedName name="Item1">#REF!</definedName>
    <definedName name="Item10">#REF!</definedName>
    <definedName name="Item2">#REF!</definedName>
    <definedName name="Item3">#REF!</definedName>
    <definedName name="Item4">#REF!</definedName>
    <definedName name="Item5">#REF!</definedName>
    <definedName name="Item6">#REF!</definedName>
    <definedName name="Item7">#REF!</definedName>
    <definedName name="Item8">#REF!</definedName>
    <definedName name="Item9">#REF!</definedName>
    <definedName name="ItemLabel1">#REF!</definedName>
    <definedName name="ItemLabel10">#REF!</definedName>
    <definedName name="ItemLabel2">#REF!</definedName>
    <definedName name="ItemLabel3">#REF!</definedName>
    <definedName name="ItemLabel4">#REF!</definedName>
    <definedName name="ItemLabel5">#REF!</definedName>
    <definedName name="ItemLabel6">#REF!</definedName>
    <definedName name="ItemLabel7">#REF!</definedName>
    <definedName name="ItemLabel8">#REF!</definedName>
    <definedName name="ItemLabel9">#REF!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aso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jeyj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h" hidden="1">{#N/A,#N/A,FALSE,"Assump";#N/A,#N/A,FALSE,"Income";#N/A,#N/A,FALSE,"Balance";#N/A,#N/A,FALSE,"DCF Pump";#N/A,#N/A,FALSE,"Trans Assump";#N/A,#N/A,FALSE,"Combined Income";#N/A,#N/A,FALSE,"Combined Balance"}</definedName>
    <definedName name="jimwrn.network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JJJJJJJJJJJJJJJJJJJJ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jklhjk" hidden="1">{#N/A,#N/A,FALSE,"Sheet1"}</definedName>
    <definedName name="job_id" hidden="1">#REF!</definedName>
    <definedName name="ju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junk">#REF!</definedName>
    <definedName name="kdkj">#REF!</definedName>
    <definedName name="key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_Statistics_Dental_Range" hidden="1">#REF!</definedName>
    <definedName name="Key_Statistics_Medical_Range" hidden="1">#REF!</definedName>
    <definedName name="keycop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j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kjhhh" hidden="1">{"cvr",#N/A,FALSE,"CVR";"sum",#N/A,FALSE,"SUM";"obal",#N/A,FALSE,"OBAL";#N/A,#N/A,FALSE,"INC1";#N/A,#N/A,FALSE,"INC2";"bal1",#N/A,FALSE,"BAL1";"inc",#N/A,FALSE,"INC";"bal",#N/A,FALSE,"BAL";"cash",#N/A,FALSE,"CASH";"debt",#N/A,FALSE,"DEBT";"eqty",#N/A,FALSE,"EQTY";"tax",#N/A,FALSE,"TAX";"depr",#N/A,FALSE,"DEPR";#N/A,#N/A,FALSE,"IRR";"strip1",#N/A,FALSE,"STRP";"fee",#N/A,FALSE,"FEE"}</definedName>
    <definedName name="KKK" hidden="1">{#N/A,#N/A,FALSE,"Assessment";#N/A,#N/A,FALSE,"Staffing";#N/A,#N/A,FALSE,"Hires";#N/A,#N/A,FALSE,"Assumptions"}</definedName>
    <definedName name="l" hidden="1">40296.6534606482</definedName>
    <definedName name="Last_Row">#REF!</definedName>
    <definedName name="LatestFYE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evel_c_d_user_ind" hidden="1">#REF!</definedName>
    <definedName name="LFQ">#REF!</definedName>
    <definedName name="LFY">#REF!</definedName>
    <definedName name="LicRevF01">#REF!</definedName>
    <definedName name="limcount" hidden="1">1</definedName>
    <definedName name="ListOffset" hidden="1">1</definedName>
    <definedName name="lkjlkj" hidden="1">{"Final",#N/A,FALSE,"Feb-96"}</definedName>
    <definedName name="ll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lll" hidden="1">{#N/A,#N/A,FALSE,"Summary";#N/A,#N/A,FALSE,"proj1";#N/A,#N/A,FALSE,"proj2"}</definedName>
    <definedName name="Loan_Amount">#REF!</definedName>
    <definedName name="Loan_Start">#REF!</definedName>
    <definedName name="Loan_Year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GINS_Quarter">#REF!</definedName>
    <definedName name="lookup_report_name" hidden="1">#REF!</definedName>
    <definedName name="Low_Threshold" hidden="1">#REF!</definedName>
    <definedName name="LowDate">#REF!</definedName>
    <definedName name="lowempty">#REF!</definedName>
    <definedName name="LowPrice">#REF!</definedName>
    <definedName name="ls02.Selected">#REF!</definedName>
    <definedName name="LTEPSGrowth">#REF!</definedName>
    <definedName name="LTM">#REF!</definedName>
    <definedName name="LTMCapEx">#REF!</definedName>
    <definedName name="LTMCashFlow">#REF!</definedName>
    <definedName name="LTMEBIT">#REF!</definedName>
    <definedName name="LTMEBITDA">#REF!</definedName>
    <definedName name="LTMGrossProfit">#REF!</definedName>
    <definedName name="LTMNetInc">#REF!</definedName>
    <definedName name="LTMOther1">#REF!</definedName>
    <definedName name="LTMOther2">#REF!</definedName>
    <definedName name="LTMOther3">#REF!</definedName>
    <definedName name="LTMRevenues">#REF!</definedName>
    <definedName name="LTMShares">#REF!</definedName>
    <definedName name="M">#REF!</definedName>
    <definedName name="m_2">#REF!</definedName>
    <definedName name="M_PlaceofPath" hidden="1">"F:\GCAPPELL\VDF_Model_Backups\Education\STRA_VDF.xls"</definedName>
    <definedName name="MarketCap">#REF!</definedName>
    <definedName name="Marketing_Advertising_Services">#REF!</definedName>
    <definedName name="MATrig">#REF!</definedName>
    <definedName name="MDC_Analysis_Medical_Range" hidden="1">#REF!</definedName>
    <definedName name="MDC_CD_00" hidden="1">#REF!</definedName>
    <definedName name="MDC_CD_01" hidden="1">#REF!</definedName>
    <definedName name="MDC_CD_02" hidden="1">#REF!</definedName>
    <definedName name="MDC_CD_03" hidden="1">#REF!</definedName>
    <definedName name="MDC_CD_04" hidden="1">#REF!</definedName>
    <definedName name="MDC_CD_05" hidden="1">#REF!</definedName>
    <definedName name="MDC_CD_06" hidden="1">#REF!</definedName>
    <definedName name="MDC_CD_07" hidden="1">#REF!</definedName>
    <definedName name="MDC_CD_08" hidden="1">#REF!</definedName>
    <definedName name="MDC_CD_09" hidden="1">#REF!</definedName>
    <definedName name="MDC_CD_10" hidden="1">#REF!</definedName>
    <definedName name="MDC_CD_11" hidden="1">#REF!</definedName>
    <definedName name="MDC_CD_12" hidden="1">#REF!</definedName>
    <definedName name="MDC_CD_13" hidden="1">#REF!</definedName>
    <definedName name="MDC_CD_14" hidden="1">#REF!</definedName>
    <definedName name="MDC_CD_15" hidden="1">#REF!</definedName>
    <definedName name="MDC_CD_16" hidden="1">#REF!</definedName>
    <definedName name="MDC_CD_17" hidden="1">#REF!</definedName>
    <definedName name="MDC_CD_18" hidden="1">#REF!</definedName>
    <definedName name="MDC_CD_19" hidden="1">#REF!</definedName>
    <definedName name="MDC_CD_20" hidden="1">#REF!</definedName>
    <definedName name="MDC_CD_21" hidden="1">#REF!</definedName>
    <definedName name="MDC_CD_22" hidden="1">#REF!</definedName>
    <definedName name="MDC_CD_23" hidden="1">#REF!</definedName>
    <definedName name="MDC_MDC_Label" hidden="1">#REF!</definedName>
    <definedName name="MDC_MDC_Label_Paste" hidden="1">#REF!</definedName>
    <definedName name="mdc_na_bob_column1" hidden="1">#REF!</definedName>
    <definedName name="mdc_na_bob_column2" hidden="1">#REF!</definedName>
    <definedName name="mdc_na_bob_column3" hidden="1">#REF!</definedName>
    <definedName name="MDC_Range_C7_G8" hidden="1">#REF!</definedName>
    <definedName name="MDC_Range_I7" hidden="1">#REF!</definedName>
    <definedName name="MDC_Range_I7_S8" hidden="1">#REF!</definedName>
    <definedName name="MDC_Range_I8" hidden="1">#REF!</definedName>
    <definedName name="MDC_Range_J9_K33" hidden="1">#REF!</definedName>
    <definedName name="MDC_Range_L9_M33" hidden="1">#REF!</definedName>
    <definedName name="MDC_Range_N9_O33" hidden="1">#REF!</definedName>
    <definedName name="MDC_Range_Row8" hidden="1">#REF!</definedName>
    <definedName name="MDC_Row9_Range" hidden="1">#REF!</definedName>
    <definedName name="Med_admin_savings_amt_curr" hidden="1">#REF!</definedName>
    <definedName name="Med_admin_savings_amt_prior" hidden="1">#REF!</definedName>
    <definedName name="Med_admit_count_curr" hidden="1">#REF!</definedName>
    <definedName name="Med_admit_count_prior" hidden="1">#REF!</definedName>
    <definedName name="Med_allowed_amt_curr" hidden="1">#REF!</definedName>
    <definedName name="Med_allowed_amt_prior" hidden="1">#REF!</definedName>
    <definedName name="Med_amb_billed_amt_curr" hidden="1">#REF!</definedName>
    <definedName name="Med_amb_billed_amt_prior" hidden="1">#REF!</definedName>
    <definedName name="Med_amb_billed_network_curr" hidden="1">#REF!</definedName>
    <definedName name="Med_amb_billed_network_prior" hidden="1">#REF!</definedName>
    <definedName name="Med_amb_network_discount_curr" hidden="1">#REF!</definedName>
    <definedName name="Med_amb_network_discount_prior" hidden="1">#REF!</definedName>
    <definedName name="Med_amb_paid_amt_above_threshold_curr" hidden="1">#REF!</definedName>
    <definedName name="Med_amb_paid_amt_above_threshold_prior" hidden="1">#REF!</definedName>
    <definedName name="Med_amb_paid_amt_curr" hidden="1">#REF!</definedName>
    <definedName name="Med_amb_paid_amt_prior" hidden="1">#REF!</definedName>
    <definedName name="Med_amb_surgery_count_curr" hidden="1">#REF!</definedName>
    <definedName name="Med_amb_surgery_count_prior" hidden="1">#REF!</definedName>
    <definedName name="Med_avg_age_members_curr" hidden="1">#REF!</definedName>
    <definedName name="Med_avg_age_members_prior" hidden="1">#REF!</definedName>
    <definedName name="Med_billed_amt_amb_surgeries_curr" hidden="1">#REF!</definedName>
    <definedName name="Med_billed_amt_amb_surgeries_prior" hidden="1">#REF!</definedName>
    <definedName name="Med_billed_amt_amb_visits_curr" hidden="1">#REF!</definedName>
    <definedName name="Med_billed_amt_amb_visits_prior" hidden="1">#REF!</definedName>
    <definedName name="Med_billed_amt_curr" hidden="1">#REF!</definedName>
    <definedName name="Med_billed_amt_er_visits_curr" hidden="1">#REF!</definedName>
    <definedName name="Med_billed_amt_er_visits_prior" hidden="1">#REF!</definedName>
    <definedName name="Med_billed_amt_female_0_19_curr" hidden="1">#REF!</definedName>
    <definedName name="Med_billed_amt_female_0_19_prior" hidden="1">#REF!</definedName>
    <definedName name="Med_billed_amt_female_20_44_curr" hidden="1">#REF!</definedName>
    <definedName name="Med_billed_amt_female_20_44_prior" hidden="1">#REF!</definedName>
    <definedName name="Med_billed_amt_female_45_64_curr" hidden="1">#REF!</definedName>
    <definedName name="Med_billed_amt_female_45_64_prior" hidden="1">#REF!</definedName>
    <definedName name="Med_billed_amt_female_65_over_curr" hidden="1">#REF!</definedName>
    <definedName name="Med_billed_amt_female_65_over_prior" hidden="1">#REF!</definedName>
    <definedName name="Med_billed_amt_home_health_curr" hidden="1">#REF!</definedName>
    <definedName name="Med_billed_amt_home_health_prior" hidden="1">#REF!</definedName>
    <definedName name="Med_billed_amt_inp_days_curr" hidden="1">#REF!</definedName>
    <definedName name="Med_billed_amt_inp_days_prior" hidden="1">#REF!</definedName>
    <definedName name="Med_billed_amt_inp_surgeries_curr" hidden="1">#REF!</definedName>
    <definedName name="Med_billed_amt_inp_surgeries_prior" hidden="1">#REF!</definedName>
    <definedName name="Med_billed_amt_lab_serv_curr" hidden="1">#REF!</definedName>
    <definedName name="Med_billed_amt_lab_serv_prior" hidden="1">#REF!</definedName>
    <definedName name="Med_billed_amt_male_0_19_curr" hidden="1">#REF!</definedName>
    <definedName name="Med_billed_amt_male_0_19_prior" hidden="1">#REF!</definedName>
    <definedName name="Med_billed_amt_male_20_44_curr" hidden="1">#REF!</definedName>
    <definedName name="Med_billed_amt_male_20_44_prior" hidden="1">#REF!</definedName>
    <definedName name="Med_billed_amt_male_45_64_curr" hidden="1">#REF!</definedName>
    <definedName name="Med_billed_amt_male_45_64_prior" hidden="1">#REF!</definedName>
    <definedName name="Med_billed_amt_male_65_over_curr" hidden="1">#REF!</definedName>
    <definedName name="Med_billed_amt_male_65_over_prior" hidden="1">#REF!</definedName>
    <definedName name="Med_billed_amt_med_rx_curr" hidden="1">#REF!</definedName>
    <definedName name="Med_billed_amt_med_rx_prior" hidden="1">#REF!</definedName>
    <definedName name="Med_billed_amt_med_visits_curr" hidden="1">#REF!</definedName>
    <definedName name="Med_billed_amt_med_visits_prior" hidden="1">#REF!</definedName>
    <definedName name="Med_billed_amt_mental_health_curr" hidden="1">#REF!</definedName>
    <definedName name="Med_billed_amt_mental_health_prior" hidden="1">#REF!</definedName>
    <definedName name="Med_billed_amt_misc_med_curr" hidden="1">#REF!</definedName>
    <definedName name="Med_billed_amt_misc_med_prior" hidden="1">#REF!</definedName>
    <definedName name="Med_billed_amt_office_surgeries_curr" hidden="1">#REF!</definedName>
    <definedName name="Med_billed_amt_office_surgeries_prior" hidden="1">#REF!</definedName>
    <definedName name="Med_billed_amt_prim_off_visits_curr" hidden="1">#REF!</definedName>
    <definedName name="Med_billed_amt_prim_off_visits_prior" hidden="1">#REF!</definedName>
    <definedName name="Med_billed_amt_prior" hidden="1">#REF!</definedName>
    <definedName name="Med_billed_amt_rad_serv_curr" hidden="1">#REF!</definedName>
    <definedName name="Med_billed_amt_rad_serv_prior" hidden="1">#REF!</definedName>
    <definedName name="Med_billed_amt_spec_office_visits_curr" hidden="1">#REF!</definedName>
    <definedName name="Med_billed_amt_spec_office_visits_prior" hidden="1">#REF!</definedName>
    <definedName name="Med_billed_amt_unknown_0_19_curr" hidden="1">#REF!</definedName>
    <definedName name="Med_billed_amt_unknown_0_19_prior" hidden="1">#REF!</definedName>
    <definedName name="Med_billed_amt_unknown_20_44_curr" hidden="1">#REF!</definedName>
    <definedName name="Med_billed_amt_unknown_20_44_prior" hidden="1">#REF!</definedName>
    <definedName name="Med_billed_amt_unknown_45_64_curr" hidden="1">#REF!</definedName>
    <definedName name="Med_billed_amt_unknown_45_64_prior" hidden="1">#REF!</definedName>
    <definedName name="Med_billed_amt_unknown_65_over_curr" hidden="1">#REF!</definedName>
    <definedName name="Med_billed_amt_unknown_65_over_prior" hidden="1">#REF!</definedName>
    <definedName name="Med_billed_encounter_lab_rad_curr" hidden="1">#REF!</definedName>
    <definedName name="Med_billed_encounter_lab_rad_prior" hidden="1">#REF!</definedName>
    <definedName name="Med_billed_encounter_other_curr" hidden="1">#REF!</definedName>
    <definedName name="Med_billed_encounter_other_prior" hidden="1">#REF!</definedName>
    <definedName name="Med_billed_encounter_prim_phys_curr" hidden="1">#REF!</definedName>
    <definedName name="Med_billed_encounter_prim_phys_prior" hidden="1">#REF!</definedName>
    <definedName name="Med_billed_encounter_spec_phys_curr" hidden="1">#REF!</definedName>
    <definedName name="Med_billed_encounter_spec_phys_prior" hidden="1">#REF!</definedName>
    <definedName name="Med_billed_other_curr" hidden="1">#REF!</definedName>
    <definedName name="Med_billed_other_prior" hidden="1">#REF!</definedName>
    <definedName name="Med_Catastrophic_Current_Home" hidden="1">#REF!</definedName>
    <definedName name="Med_Catastrophic_Prior_Home" hidden="1">#REF!</definedName>
    <definedName name="Med_claim_count_above_threshold_curr" hidden="1">#REF!</definedName>
    <definedName name="Med_claim_count_above_threshold_prior" hidden="1">#REF!</definedName>
    <definedName name="Med_claim_count_curr" hidden="1">#REF!</definedName>
    <definedName name="Med_claim_count_female_0_19_curr" hidden="1">#REF!</definedName>
    <definedName name="Med_claim_count_female_0_19_prior" hidden="1">#REF!</definedName>
    <definedName name="Med_claim_count_female_20_44_curr" hidden="1">#REF!</definedName>
    <definedName name="Med_claim_count_female_20_44_prior" hidden="1">#REF!</definedName>
    <definedName name="Med_claim_count_female_45_64_curr" hidden="1">#REF!</definedName>
    <definedName name="Med_claim_count_female_45_64_prior" hidden="1">#REF!</definedName>
    <definedName name="Med_claim_count_female_65_over_curr" hidden="1">#REF!</definedName>
    <definedName name="Med_claim_count_female_65_over_prior" hidden="1">#REF!</definedName>
    <definedName name="Med_claim_count_male_0_19_curr" hidden="1">#REF!</definedName>
    <definedName name="Med_claim_count_male_0_19_prior" hidden="1">#REF!</definedName>
    <definedName name="Med_claim_count_male_20_44_curr" hidden="1">#REF!</definedName>
    <definedName name="Med_claim_count_male_20_44_prior" hidden="1">#REF!</definedName>
    <definedName name="Med_claim_count_male_45_64_curr" hidden="1">#REF!</definedName>
    <definedName name="Med_claim_count_male_45_64_prior" hidden="1">#REF!</definedName>
    <definedName name="Med_claim_count_male_65_over_curr" hidden="1">#REF!</definedName>
    <definedName name="Med_claim_count_male_65_over_prior" hidden="1">#REF!</definedName>
    <definedName name="Med_claim_count_prior" hidden="1">#REF!</definedName>
    <definedName name="Med_claim_count_unknown_0_19_curr" hidden="1">#REF!</definedName>
    <definedName name="Med_claim_count_unknown_0_19_prior" hidden="1">#REF!</definedName>
    <definedName name="Med_claim_count_unknown_20_44_curr" hidden="1">#REF!</definedName>
    <definedName name="Med_claim_count_unknown_20_44_prior" hidden="1">#REF!</definedName>
    <definedName name="Med_claim_count_unknown_45_64_curr" hidden="1">#REF!</definedName>
    <definedName name="Med_claim_count_unknown_45_64_prior" hidden="1">#REF!</definedName>
    <definedName name="Med_claim_count_unknown_65_over_curr" hidden="1">#REF!</definedName>
    <definedName name="Med_claim_count_unknown_65_over_prior" hidden="1">#REF!</definedName>
    <definedName name="Med_cob_amt_curr" hidden="1">#REF!</definedName>
    <definedName name="Med_cob_amt_prior" hidden="1">#REF!</definedName>
    <definedName name="Med_coinsurance_amt_curr" hidden="1">#REF!</definedName>
    <definedName name="Med_coinsurance_amt_prior" hidden="1">#REF!</definedName>
    <definedName name="Med_copay_amt_curr" hidden="1">#REF!</definedName>
    <definedName name="Med_copay_amt_prior" hidden="1">#REF!</definedName>
    <definedName name="Med_Cost_Rows8_19_Range" hidden="1">#REF!</definedName>
    <definedName name="Med_Cost_Sharing_Medical_Range" hidden="1">#REF!</definedName>
    <definedName name="med_cost_space_range1" hidden="1">#REF!</definedName>
    <definedName name="med_cost_space_range2" hidden="1">#REF!</definedName>
    <definedName name="Med_count_amb_surgeries_curr" hidden="1">#REF!</definedName>
    <definedName name="Med_count_amb_surgeries_prior" hidden="1">#REF!</definedName>
    <definedName name="Med_count_amb_visits_curr" hidden="1">#REF!</definedName>
    <definedName name="Med_count_amb_visits_prior" hidden="1">#REF!</definedName>
    <definedName name="Med_count_encounter_lab_rad_curr" hidden="1">#REF!</definedName>
    <definedName name="Med_count_encounter_lab_rad_prior" hidden="1">#REF!</definedName>
    <definedName name="Med_count_encounter_other_curr" hidden="1">#REF!</definedName>
    <definedName name="Med_count_encounter_other_prior" hidden="1">#REF!</definedName>
    <definedName name="Med_count_encounter_prim_phys_curr" hidden="1">#REF!</definedName>
    <definedName name="Med_count_encounter_prim_phys_prior" hidden="1">#REF!</definedName>
    <definedName name="Med_count_encounter_spec_phys_curr" hidden="1">#REF!</definedName>
    <definedName name="Med_count_encounter_spec_phys_prior" hidden="1">#REF!</definedName>
    <definedName name="Med_count_er_visits_curr" hidden="1">#REF!</definedName>
    <definedName name="Med_count_er_visits_prior" hidden="1">#REF!</definedName>
    <definedName name="Med_count_home_health_curr" hidden="1">#REF!</definedName>
    <definedName name="Med_count_home_health_prior" hidden="1">#REF!</definedName>
    <definedName name="Med_count_inp_days_curr" hidden="1">#REF!</definedName>
    <definedName name="Med_count_inp_days_prior" hidden="1">#REF!</definedName>
    <definedName name="Med_count_inp_surgeries_curr" hidden="1">#REF!</definedName>
    <definedName name="Med_count_inp_surgeries_prior" hidden="1">#REF!</definedName>
    <definedName name="Med_count_lab_serv_curr" hidden="1">#REF!</definedName>
    <definedName name="Med_count_lab_serv_prior" hidden="1">#REF!</definedName>
    <definedName name="Med_count_med_rx_curr" hidden="1">#REF!</definedName>
    <definedName name="Med_count_med_rx_prior" hidden="1">#REF!</definedName>
    <definedName name="Med_count_med_visits_curr" hidden="1">#REF!</definedName>
    <definedName name="Med_count_med_visits_prior" hidden="1">#REF!</definedName>
    <definedName name="Med_count_mental_health_curr" hidden="1">#REF!</definedName>
    <definedName name="Med_count_mental_health_prior" hidden="1">#REF!</definedName>
    <definedName name="Med_count_misc_med_curr" hidden="1">#REF!</definedName>
    <definedName name="Med_count_misc_med_prior" hidden="1">#REF!</definedName>
    <definedName name="Med_count_office_surgeries_curr" hidden="1">#REF!</definedName>
    <definedName name="Med_count_office_surgeries_prior" hidden="1">#REF!</definedName>
    <definedName name="Med_count_other_curr" hidden="1">#REF!</definedName>
    <definedName name="Med_count_other_prior" hidden="1">#REF!</definedName>
    <definedName name="Med_count_prim_off_visits_curr" hidden="1">#REF!</definedName>
    <definedName name="Med_count_prim_off_visits_prior" hidden="1">#REF!</definedName>
    <definedName name="Med_count_rad_serv_curr" hidden="1">#REF!</definedName>
    <definedName name="Med_count_rad_serv_prior" hidden="1">#REF!</definedName>
    <definedName name="Med_count_spec_office_visits_curr" hidden="1">#REF!</definedName>
    <definedName name="Med_count_spec_office_visits_prior" hidden="1">#REF!</definedName>
    <definedName name="Med_days_count_curr" hidden="1">#REF!</definedName>
    <definedName name="Med_days_count_prior" hidden="1">#REF!</definedName>
    <definedName name="Med_deductible_amt_curr" hidden="1">#REF!</definedName>
    <definedName name="Med_deductible_amt_prior" hidden="1">#REF!</definedName>
    <definedName name="Med_er_visits_count_curr" hidden="1">#REF!</definedName>
    <definedName name="Med_er_visits_count_prior" hidden="1">#REF!</definedName>
    <definedName name="Med_female_mem_0_19_curr" hidden="1">#REF!</definedName>
    <definedName name="Med_female_mem_0_19_prior" hidden="1">#REF!</definedName>
    <definedName name="Med_female_mem_20_44_curr" hidden="1">#REF!</definedName>
    <definedName name="Med_female_mem_20_44_prior" hidden="1">#REF!</definedName>
    <definedName name="Med_female_mem_45_64_curr" hidden="1">#REF!</definedName>
    <definedName name="Med_female_mem_45_64_prior" hidden="1">#REF!</definedName>
    <definedName name="Med_female_mem_65_over_curr" hidden="1">#REF!</definedName>
    <definedName name="Med_female_mem_65_over_prior" hidden="1">#REF!</definedName>
    <definedName name="Med_female_members_curr" hidden="1">#REF!</definedName>
    <definedName name="Med_female_members_prior" hidden="1">#REF!</definedName>
    <definedName name="Med_hospital_amb_paid_amt_curr" hidden="1">#REF!</definedName>
    <definedName name="Med_hospital_amb_paid_amt_prior" hidden="1">#REF!</definedName>
    <definedName name="Med_hospital_inp_paid_amt_curr" hidden="1">#REF!</definedName>
    <definedName name="Med_hospital_inp_paid_amt_prior" hidden="1">#REF!</definedName>
    <definedName name="Med_hospital_paid_amt_curr" hidden="1">#REF!</definedName>
    <definedName name="Med_hospital_paid_amt_prior" hidden="1">#REF!</definedName>
    <definedName name="Med_inp_billed_amt_curr" hidden="1">#REF!</definedName>
    <definedName name="Med_inp_billed_amt_prior" hidden="1">#REF!</definedName>
    <definedName name="Med_inp_billed_network_curr" hidden="1">#REF!</definedName>
    <definedName name="Med_inp_billed_network_prior" hidden="1">#REF!</definedName>
    <definedName name="Med_inp_network_discount_curr" hidden="1">#REF!</definedName>
    <definedName name="Med_inp_network_discount_prior" hidden="1">#REF!</definedName>
    <definedName name="Med_inp_paid_amt_above_threshold_curr" hidden="1">#REF!</definedName>
    <definedName name="Med_inp_paid_amt_above_threshold_prior" hidden="1">#REF!</definedName>
    <definedName name="Med_inp_paid_amt_curr" hidden="1">#REF!</definedName>
    <definedName name="Med_inp_paid_amt_prior" hidden="1">#REF!</definedName>
    <definedName name="Med_inp_surgery_count_curr" hidden="1">#REF!</definedName>
    <definedName name="Med_inp_surgery_count_prior" hidden="1">#REF!</definedName>
    <definedName name="Med_male_mem_0_19_curr" hidden="1">#REF!</definedName>
    <definedName name="Med_male_mem_0_19_prior" hidden="1">#REF!</definedName>
    <definedName name="Med_male_mem_20_44_curr" hidden="1">#REF!</definedName>
    <definedName name="Med_male_mem_20_44_prior" hidden="1">#REF!</definedName>
    <definedName name="Med_male_mem_45_64_curr" hidden="1">#REF!</definedName>
    <definedName name="Med_male_mem_45_64_prior" hidden="1">#REF!</definedName>
    <definedName name="Med_male_mem_65_over_curr" hidden="1">#REF!</definedName>
    <definedName name="Med_male_mem_65_over_prior" hidden="1">#REF!</definedName>
    <definedName name="Med_male_members_curr" hidden="1">#REF!</definedName>
    <definedName name="Med_male_members_prior" hidden="1">#REF!</definedName>
    <definedName name="Med_MDC_admits_00_curr" hidden="1">#REF!</definedName>
    <definedName name="Med_MDC_admits_00_prior" hidden="1">#REF!</definedName>
    <definedName name="Med_MDC_admits_01_curr" hidden="1">#REF!</definedName>
    <definedName name="Med_MDC_admits_01_prior" hidden="1">#REF!</definedName>
    <definedName name="Med_MDC_admits_02_curr" hidden="1">#REF!</definedName>
    <definedName name="Med_MDC_admits_02_prior" hidden="1">#REF!</definedName>
    <definedName name="Med_MDC_admits_03_curr" hidden="1">#REF!</definedName>
    <definedName name="Med_MDC_admits_03_prior" hidden="1">#REF!</definedName>
    <definedName name="Med_MDC_admits_04_curr" hidden="1">#REF!</definedName>
    <definedName name="Med_MDC_admits_04_prior" hidden="1">#REF!</definedName>
    <definedName name="Med_MDC_admits_05_curr" hidden="1">#REF!</definedName>
    <definedName name="Med_MDC_admits_05_prior" hidden="1">#REF!</definedName>
    <definedName name="Med_MDC_admits_06_curr" hidden="1">#REF!</definedName>
    <definedName name="Med_MDC_admits_06_prior" hidden="1">#REF!</definedName>
    <definedName name="Med_MDC_admits_07_curr" hidden="1">#REF!</definedName>
    <definedName name="Med_MDC_admits_07_prior" hidden="1">#REF!</definedName>
    <definedName name="Med_MDC_admits_08_curr" hidden="1">#REF!</definedName>
    <definedName name="Med_MDC_admits_08_prior" hidden="1">#REF!</definedName>
    <definedName name="Med_MDC_admits_09_curr" hidden="1">#REF!</definedName>
    <definedName name="Med_MDC_admits_09_prior" hidden="1">#REF!</definedName>
    <definedName name="Med_MDC_admits_10_curr" hidden="1">#REF!</definedName>
    <definedName name="Med_MDC_admits_10_prior" hidden="1">#REF!</definedName>
    <definedName name="Med_MDC_admits_11_curr" hidden="1">#REF!</definedName>
    <definedName name="Med_MDC_admits_11_prior" hidden="1">#REF!</definedName>
    <definedName name="Med_MDC_admits_12_curr" hidden="1">#REF!</definedName>
    <definedName name="Med_MDC_admits_12_prior" hidden="1">#REF!</definedName>
    <definedName name="Med_MDC_admits_13_curr" hidden="1">#REF!</definedName>
    <definedName name="Med_MDC_admits_13_prior" hidden="1">#REF!</definedName>
    <definedName name="Med_MDC_admits_14_curr" hidden="1">#REF!</definedName>
    <definedName name="Med_MDC_admits_14_prior" hidden="1">#REF!</definedName>
    <definedName name="Med_MDC_admits_15_curr" hidden="1">#REF!</definedName>
    <definedName name="Med_MDC_admits_15_prior" hidden="1">#REF!</definedName>
    <definedName name="Med_MDC_admits_16_curr" hidden="1">#REF!</definedName>
    <definedName name="Med_MDC_admits_16_prior" hidden="1">#REF!</definedName>
    <definedName name="Med_MDC_admits_17_curr" hidden="1">#REF!</definedName>
    <definedName name="Med_MDC_admits_17_prior" hidden="1">#REF!</definedName>
    <definedName name="Med_MDC_admits_18_curr" hidden="1">#REF!</definedName>
    <definedName name="Med_MDC_admits_18_prior" hidden="1">#REF!</definedName>
    <definedName name="Med_MDC_admits_19_curr" hidden="1">#REF!</definedName>
    <definedName name="Med_MDC_admits_19_prior" hidden="1">#REF!</definedName>
    <definedName name="Med_MDC_admits_20_curr" hidden="1">#REF!</definedName>
    <definedName name="Med_MDC_admits_20_prior" hidden="1">#REF!</definedName>
    <definedName name="Med_MDC_admits_21_curr" hidden="1">#REF!</definedName>
    <definedName name="Med_MDC_admits_21_prior" hidden="1">#REF!</definedName>
    <definedName name="Med_MDC_admits_22_curr" hidden="1">#REF!</definedName>
    <definedName name="Med_MDC_admits_22_prior" hidden="1">#REF!</definedName>
    <definedName name="Med_MDC_admits_23_curr" hidden="1">#REF!</definedName>
    <definedName name="Med_MDC_admits_23_prior" hidden="1">#REF!</definedName>
    <definedName name="Med_MDC_admits_999_curr" hidden="1">#REF!</definedName>
    <definedName name="Med_MDC_admits_999_prior" hidden="1">#REF!</definedName>
    <definedName name="Med_MDC_amb_billed_00_curr" hidden="1">#REF!</definedName>
    <definedName name="Med_MDC_amb_billed_00_prior" hidden="1">#REF!</definedName>
    <definedName name="Med_MDC_amb_billed_01_curr" hidden="1">#REF!</definedName>
    <definedName name="Med_MDC_amb_billed_01_prior" hidden="1">#REF!</definedName>
    <definedName name="Med_MDC_amb_billed_02_curr" hidden="1">#REF!</definedName>
    <definedName name="Med_MDC_amb_billed_02_prior" hidden="1">#REF!</definedName>
    <definedName name="Med_MDC_amb_billed_03_curr" hidden="1">#REF!</definedName>
    <definedName name="Med_MDC_amb_billed_03_prior" hidden="1">#REF!</definedName>
    <definedName name="Med_MDC_amb_billed_04_curr" hidden="1">#REF!</definedName>
    <definedName name="Med_MDC_amb_billed_04_prior" hidden="1">#REF!</definedName>
    <definedName name="Med_MDC_amb_billed_05_curr" hidden="1">#REF!</definedName>
    <definedName name="Med_MDC_amb_billed_05_prior" hidden="1">#REF!</definedName>
    <definedName name="Med_MDC_amb_billed_06_curr" hidden="1">#REF!</definedName>
    <definedName name="Med_MDC_amb_billed_06_prior" hidden="1">#REF!</definedName>
    <definedName name="Med_MDC_amb_billed_07_curr" hidden="1">#REF!</definedName>
    <definedName name="Med_MDC_amb_billed_07_prior" hidden="1">#REF!</definedName>
    <definedName name="Med_MDC_amb_billed_08_curr" hidden="1">#REF!</definedName>
    <definedName name="Med_MDC_amb_billed_08_prior" hidden="1">#REF!</definedName>
    <definedName name="Med_MDC_amb_billed_09_curr" hidden="1">#REF!</definedName>
    <definedName name="Med_MDC_amb_billed_09_prior" hidden="1">#REF!</definedName>
    <definedName name="Med_MDC_amb_billed_10_curr" hidden="1">#REF!</definedName>
    <definedName name="Med_MDC_amb_billed_10_prior" hidden="1">#REF!</definedName>
    <definedName name="Med_MDC_amb_billed_11_curr" hidden="1">#REF!</definedName>
    <definedName name="Med_MDC_amb_billed_11_prior" hidden="1">#REF!</definedName>
    <definedName name="Med_MDC_amb_billed_12_curr" hidden="1">#REF!</definedName>
    <definedName name="Med_MDC_amb_billed_12_prior" hidden="1">#REF!</definedName>
    <definedName name="Med_MDC_amb_billed_13_curr" hidden="1">#REF!</definedName>
    <definedName name="Med_MDC_amb_billed_13_prior" hidden="1">#REF!</definedName>
    <definedName name="Med_MDC_amb_billed_14_curr" hidden="1">#REF!</definedName>
    <definedName name="Med_MDC_amb_billed_14_prior" hidden="1">#REF!</definedName>
    <definedName name="Med_MDC_amb_billed_15_curr" hidden="1">#REF!</definedName>
    <definedName name="Med_MDC_amb_billed_15_prior" hidden="1">#REF!</definedName>
    <definedName name="Med_MDC_amb_billed_16_curr" hidden="1">#REF!</definedName>
    <definedName name="Med_MDC_amb_billed_16_prior" hidden="1">#REF!</definedName>
    <definedName name="Med_MDC_amb_billed_17_curr" hidden="1">#REF!</definedName>
    <definedName name="Med_MDC_amb_billed_17_prior" hidden="1">#REF!</definedName>
    <definedName name="Med_MDC_amb_billed_18_curr" hidden="1">#REF!</definedName>
    <definedName name="Med_MDC_amb_billed_18_prior" hidden="1">#REF!</definedName>
    <definedName name="Med_MDC_amb_billed_19_curr" hidden="1">#REF!</definedName>
    <definedName name="Med_MDC_amb_billed_19_prior" hidden="1">#REF!</definedName>
    <definedName name="Med_MDC_amb_billed_20_curr" hidden="1">#REF!</definedName>
    <definedName name="Med_MDC_amb_billed_20_prior" hidden="1">#REF!</definedName>
    <definedName name="Med_MDC_amb_billed_21_curr" hidden="1">#REF!</definedName>
    <definedName name="Med_MDC_amb_billed_21_prior" hidden="1">#REF!</definedName>
    <definedName name="Med_MDC_amb_billed_22_curr" hidden="1">#REF!</definedName>
    <definedName name="Med_MDC_amb_billed_22_prior" hidden="1">#REF!</definedName>
    <definedName name="Med_MDC_amb_billed_23_curr" hidden="1">#REF!</definedName>
    <definedName name="Med_MDC_amb_billed_23_prior" hidden="1">#REF!</definedName>
    <definedName name="Med_MDC_amb_billed_999_curr" hidden="1">#REF!</definedName>
    <definedName name="Med_MDC_amb_billed_999_prior" hidden="1">#REF!</definedName>
    <definedName name="Med_MDC_amb_paid_00_curr" hidden="1">#REF!</definedName>
    <definedName name="Med_MDC_amb_paid_00_prior" hidden="1">#REF!</definedName>
    <definedName name="Med_MDC_amb_paid_01_curr" hidden="1">#REF!</definedName>
    <definedName name="Med_MDC_amb_paid_01_prior" hidden="1">#REF!</definedName>
    <definedName name="Med_MDC_amb_paid_02_curr" hidden="1">#REF!</definedName>
    <definedName name="Med_MDC_amb_paid_02_prior" hidden="1">#REF!</definedName>
    <definedName name="Med_MDC_amb_paid_03_curr" hidden="1">#REF!</definedName>
    <definedName name="Med_MDC_amb_paid_03_prior" hidden="1">#REF!</definedName>
    <definedName name="Med_MDC_amb_paid_04_curr" hidden="1">#REF!</definedName>
    <definedName name="Med_MDC_amb_paid_04_prior" hidden="1">#REF!</definedName>
    <definedName name="Med_MDC_amb_paid_05_curr" hidden="1">#REF!</definedName>
    <definedName name="Med_MDC_amb_paid_05_prior" hidden="1">#REF!</definedName>
    <definedName name="Med_MDC_amb_paid_06_curr" hidden="1">#REF!</definedName>
    <definedName name="Med_MDC_amb_paid_06_prior" hidden="1">#REF!</definedName>
    <definedName name="Med_MDC_amb_paid_07_curr" hidden="1">#REF!</definedName>
    <definedName name="Med_MDC_amb_paid_07_prior" hidden="1">#REF!</definedName>
    <definedName name="Med_MDC_amb_paid_08_curr" hidden="1">#REF!</definedName>
    <definedName name="Med_MDC_amb_paid_08_prior" hidden="1">#REF!</definedName>
    <definedName name="Med_MDC_amb_paid_09_curr" hidden="1">#REF!</definedName>
    <definedName name="Med_MDC_amb_paid_09_prior" hidden="1">#REF!</definedName>
    <definedName name="Med_MDC_amb_paid_10_curr" hidden="1">#REF!</definedName>
    <definedName name="Med_MDC_amb_paid_10_prior" hidden="1">#REF!</definedName>
    <definedName name="Med_MDC_amb_paid_11_curr" hidden="1">#REF!</definedName>
    <definedName name="Med_MDC_amb_paid_11_prior" hidden="1">#REF!</definedName>
    <definedName name="Med_MDC_amb_paid_12_curr" hidden="1">#REF!</definedName>
    <definedName name="Med_MDC_amb_paid_12_prior" hidden="1">#REF!</definedName>
    <definedName name="Med_MDC_amb_paid_13_curr" hidden="1">#REF!</definedName>
    <definedName name="Med_MDC_amb_paid_13_prior" hidden="1">#REF!</definedName>
    <definedName name="Med_MDC_amb_paid_14_curr" hidden="1">#REF!</definedName>
    <definedName name="Med_MDC_amb_paid_14_prior" hidden="1">#REF!</definedName>
    <definedName name="Med_MDC_amb_paid_15_curr" hidden="1">#REF!</definedName>
    <definedName name="Med_MDC_amb_paid_15_prior" hidden="1">#REF!</definedName>
    <definedName name="Med_MDC_amb_paid_16_curr" hidden="1">#REF!</definedName>
    <definedName name="Med_MDC_amb_paid_16_prior" hidden="1">#REF!</definedName>
    <definedName name="Med_MDC_amb_paid_17_curr" hidden="1">#REF!</definedName>
    <definedName name="Med_MDC_amb_paid_17_prior" hidden="1">#REF!</definedName>
    <definedName name="Med_MDC_amb_paid_18_curr" hidden="1">#REF!</definedName>
    <definedName name="Med_MDC_amb_paid_18_prior" hidden="1">#REF!</definedName>
    <definedName name="Med_MDC_amb_paid_19_curr" hidden="1">#REF!</definedName>
    <definedName name="Med_MDC_amb_paid_19_prior" hidden="1">#REF!</definedName>
    <definedName name="Med_MDC_amb_paid_20_curr" hidden="1">#REF!</definedName>
    <definedName name="Med_MDC_amb_paid_20_prior" hidden="1">#REF!</definedName>
    <definedName name="Med_MDC_amb_paid_21_curr" hidden="1">#REF!</definedName>
    <definedName name="Med_MDC_amb_paid_21_prior" hidden="1">#REF!</definedName>
    <definedName name="Med_MDC_amb_paid_22_curr" hidden="1">#REF!</definedName>
    <definedName name="Med_MDC_amb_paid_22_prior" hidden="1">#REF!</definedName>
    <definedName name="Med_MDC_amb_paid_23_curr" hidden="1">#REF!</definedName>
    <definedName name="Med_MDC_amb_paid_23_prior" hidden="1">#REF!</definedName>
    <definedName name="Med_MDC_amb_paid_999_curr" hidden="1">#REF!</definedName>
    <definedName name="Med_MDC_amb_paid_999_prior" hidden="1">#REF!</definedName>
    <definedName name="Med_MDC_billed_00_curr" hidden="1">#REF!</definedName>
    <definedName name="Med_MDC_billed_00_prior" hidden="1">#REF!</definedName>
    <definedName name="Med_MDC_billed_01_curr" hidden="1">#REF!</definedName>
    <definedName name="Med_MDC_billed_01_prior" hidden="1">#REF!</definedName>
    <definedName name="Med_MDC_billed_02_curr" hidden="1">#REF!</definedName>
    <definedName name="Med_MDC_billed_02_prior" hidden="1">#REF!</definedName>
    <definedName name="Med_MDC_billed_03_curr" hidden="1">#REF!</definedName>
    <definedName name="Med_MDC_billed_03_prior" hidden="1">#REF!</definedName>
    <definedName name="Med_MDC_billed_04_curr" hidden="1">#REF!</definedName>
    <definedName name="Med_MDC_billed_04_prior" hidden="1">#REF!</definedName>
    <definedName name="Med_MDC_billed_05_curr" hidden="1">#REF!</definedName>
    <definedName name="Med_MDC_billed_05_prior" hidden="1">#REF!</definedName>
    <definedName name="Med_MDC_billed_06_curr" hidden="1">#REF!</definedName>
    <definedName name="Med_MDC_billed_06_prior" hidden="1">#REF!</definedName>
    <definedName name="Med_MDC_billed_07_curr" hidden="1">#REF!</definedName>
    <definedName name="Med_MDC_billed_07_prior" hidden="1">#REF!</definedName>
    <definedName name="Med_MDC_billed_08_curr" hidden="1">#REF!</definedName>
    <definedName name="Med_MDC_billed_08_prior" hidden="1">#REF!</definedName>
    <definedName name="Med_MDC_billed_09_curr" hidden="1">#REF!</definedName>
    <definedName name="Med_MDC_billed_09_prior" hidden="1">#REF!</definedName>
    <definedName name="Med_MDC_billed_10_curr" hidden="1">#REF!</definedName>
    <definedName name="Med_MDC_billed_10_prior" hidden="1">#REF!</definedName>
    <definedName name="Med_MDC_billed_11_curr" hidden="1">#REF!</definedName>
    <definedName name="Med_MDC_billed_11_prior" hidden="1">#REF!</definedName>
    <definedName name="Med_MDC_billed_12_curr" hidden="1">#REF!</definedName>
    <definedName name="Med_MDC_billed_12_prior" hidden="1">#REF!</definedName>
    <definedName name="Med_MDC_billed_13_curr" hidden="1">#REF!</definedName>
    <definedName name="Med_MDC_billed_13_prior" hidden="1">#REF!</definedName>
    <definedName name="Med_MDC_billed_14_curr" hidden="1">#REF!</definedName>
    <definedName name="Med_MDC_billed_14_prior" hidden="1">#REF!</definedName>
    <definedName name="Med_MDC_billed_15_curr" hidden="1">#REF!</definedName>
    <definedName name="Med_MDC_billed_15_prior" hidden="1">#REF!</definedName>
    <definedName name="Med_MDC_billed_16_curr" hidden="1">#REF!</definedName>
    <definedName name="Med_MDC_billed_16_prior" hidden="1">#REF!</definedName>
    <definedName name="Med_MDC_billed_17_curr" hidden="1">#REF!</definedName>
    <definedName name="Med_MDC_billed_17_prior" hidden="1">#REF!</definedName>
    <definedName name="Med_MDC_billed_18_curr" hidden="1">#REF!</definedName>
    <definedName name="Med_MDC_billed_18_prior" hidden="1">#REF!</definedName>
    <definedName name="Med_MDC_billed_19_curr" hidden="1">#REF!</definedName>
    <definedName name="Med_MDC_billed_19_prior" hidden="1">#REF!</definedName>
    <definedName name="Med_MDC_billed_20_curr" hidden="1">#REF!</definedName>
    <definedName name="Med_MDC_billed_20_prior" hidden="1">#REF!</definedName>
    <definedName name="Med_MDC_billed_21_curr" hidden="1">#REF!</definedName>
    <definedName name="Med_MDC_billed_21_prior" hidden="1">#REF!</definedName>
    <definedName name="Med_MDC_billed_22_curr" hidden="1">#REF!</definedName>
    <definedName name="Med_MDC_billed_22_prior" hidden="1">#REF!</definedName>
    <definedName name="Med_MDC_billed_23_curr" hidden="1">#REF!</definedName>
    <definedName name="Med_MDC_billed_23_prior" hidden="1">#REF!</definedName>
    <definedName name="Med_MDC_billed_999_curr" hidden="1">#REF!</definedName>
    <definedName name="Med_MDC_billed_999_prior" hidden="1">#REF!</definedName>
    <definedName name="Med_MDC_cd_00_curr" hidden="1">#REF!</definedName>
    <definedName name="Med_MDC_cd_00_prior" hidden="1">#REF!</definedName>
    <definedName name="Med_MDC_cd_01_curr" hidden="1">#REF!</definedName>
    <definedName name="Med_MDC_cd_01_prior" hidden="1">#REF!</definedName>
    <definedName name="Med_MDC_cd_02_curr" hidden="1">#REF!</definedName>
    <definedName name="Med_MDC_cd_02_prior" hidden="1">#REF!</definedName>
    <definedName name="Med_MDC_cd_03_curr" hidden="1">#REF!</definedName>
    <definedName name="Med_MDC_cd_03_prior" hidden="1">#REF!</definedName>
    <definedName name="Med_MDC_cd_04_curr" hidden="1">#REF!</definedName>
    <definedName name="Med_MDC_cd_04_prior" hidden="1">#REF!</definedName>
    <definedName name="Med_MDC_cd_05_curr" hidden="1">#REF!</definedName>
    <definedName name="Med_MDC_cd_05_prior" hidden="1">#REF!</definedName>
    <definedName name="Med_MDC_cd_06_curr" hidden="1">#REF!</definedName>
    <definedName name="Med_MDC_cd_06_prior" hidden="1">#REF!</definedName>
    <definedName name="Med_MDC_cd_07_curr" hidden="1">#REF!</definedName>
    <definedName name="Med_MDC_cd_07_prior" hidden="1">#REF!</definedName>
    <definedName name="Med_MDC_cd_08_curr" hidden="1">#REF!</definedName>
    <definedName name="Med_MDC_cd_08_prior" hidden="1">#REF!</definedName>
    <definedName name="Med_MDC_cd_09_curr" hidden="1">#REF!</definedName>
    <definedName name="Med_MDC_cd_09_prior" hidden="1">#REF!</definedName>
    <definedName name="Med_MDC_cd_10_curr" hidden="1">#REF!</definedName>
    <definedName name="Med_MDC_cd_10_prior" hidden="1">#REF!</definedName>
    <definedName name="Med_MDC_cd_11_curr" hidden="1">#REF!</definedName>
    <definedName name="Med_MDC_cd_11_prior" hidden="1">#REF!</definedName>
    <definedName name="Med_MDC_cd_12_curr" hidden="1">#REF!</definedName>
    <definedName name="Med_MDC_cd_12_prior" hidden="1">#REF!</definedName>
    <definedName name="Med_MDC_cd_13_curr" hidden="1">#REF!</definedName>
    <definedName name="Med_MDC_cd_13_prior" hidden="1">#REF!</definedName>
    <definedName name="Med_MDC_cd_14_curr" hidden="1">#REF!</definedName>
    <definedName name="Med_MDC_cd_14_prior" hidden="1">#REF!</definedName>
    <definedName name="Med_MDC_cd_15_curr" hidden="1">#REF!</definedName>
    <definedName name="Med_MDC_cd_15_prior" hidden="1">#REF!</definedName>
    <definedName name="Med_MDC_cd_16_curr" hidden="1">#REF!</definedName>
    <definedName name="Med_MDC_cd_16_prior" hidden="1">#REF!</definedName>
    <definedName name="Med_MDC_cd_17_curr" hidden="1">#REF!</definedName>
    <definedName name="Med_MDC_cd_17_prior" hidden="1">#REF!</definedName>
    <definedName name="Med_MDC_cd_18_curr" hidden="1">#REF!</definedName>
    <definedName name="Med_MDC_cd_18_prior" hidden="1">#REF!</definedName>
    <definedName name="Med_MDC_cd_19_curr" hidden="1">#REF!</definedName>
    <definedName name="Med_MDC_cd_19_prior" hidden="1">#REF!</definedName>
    <definedName name="Med_MDC_cd_20_curr" hidden="1">#REF!</definedName>
    <definedName name="Med_MDC_cd_20_prior" hidden="1">#REF!</definedName>
    <definedName name="Med_MDC_cd_21_curr" hidden="1">#REF!</definedName>
    <definedName name="Med_MDC_cd_21_prior" hidden="1">#REF!</definedName>
    <definedName name="Med_MDC_cd_22_curr" hidden="1">#REF!</definedName>
    <definedName name="Med_MDC_cd_22_prior" hidden="1">#REF!</definedName>
    <definedName name="Med_MDC_cd_23_curr" hidden="1">#REF!</definedName>
    <definedName name="Med_MDC_cd_23_prior" hidden="1">#REF!</definedName>
    <definedName name="Med_MDC_cd_999_curr" hidden="1">#REF!</definedName>
    <definedName name="Med_MDC_cd_999_prior" hidden="1">#REF!</definedName>
    <definedName name="Med_MDC_claimants_00_curr" hidden="1">#REF!</definedName>
    <definedName name="Med_MDC_claimants_00_prior" hidden="1">#REF!</definedName>
    <definedName name="Med_MDC_claimants_01_curr" hidden="1">#REF!</definedName>
    <definedName name="Med_MDC_claimants_01_prior" hidden="1">#REF!</definedName>
    <definedName name="Med_MDC_claimants_02_curr" hidden="1">#REF!</definedName>
    <definedName name="Med_MDC_claimants_02_prior" hidden="1">#REF!</definedName>
    <definedName name="Med_MDC_claimants_03_curr" hidden="1">#REF!</definedName>
    <definedName name="Med_MDC_claimants_03_prior" hidden="1">#REF!</definedName>
    <definedName name="Med_MDC_claimants_04_curr" hidden="1">#REF!</definedName>
    <definedName name="Med_MDC_claimants_04_prior" hidden="1">#REF!</definedName>
    <definedName name="Med_MDC_claimants_05_curr" hidden="1">#REF!</definedName>
    <definedName name="Med_MDC_claimants_05_prior" hidden="1">#REF!</definedName>
    <definedName name="Med_MDC_claimants_06_curr" hidden="1">#REF!</definedName>
    <definedName name="Med_MDC_claimants_06_prior" hidden="1">#REF!</definedName>
    <definedName name="Med_MDC_claimants_07_curr" hidden="1">#REF!</definedName>
    <definedName name="Med_MDC_claimants_07_prior" hidden="1">#REF!</definedName>
    <definedName name="Med_MDC_claimants_08_curr" hidden="1">#REF!</definedName>
    <definedName name="Med_MDC_claimants_08_prior" hidden="1">#REF!</definedName>
    <definedName name="Med_MDC_claimants_09_curr" hidden="1">#REF!</definedName>
    <definedName name="Med_MDC_claimants_09_prior" hidden="1">#REF!</definedName>
    <definedName name="Med_MDC_claimants_10_curr" hidden="1">#REF!</definedName>
    <definedName name="Med_MDC_claimants_10_prior" hidden="1">#REF!</definedName>
    <definedName name="Med_MDC_claimants_11_curr" hidden="1">#REF!</definedName>
    <definedName name="Med_MDC_claimants_11_prior" hidden="1">#REF!</definedName>
    <definedName name="Med_MDC_claimants_12_curr" hidden="1">#REF!</definedName>
    <definedName name="Med_MDC_claimants_12_prior" hidden="1">#REF!</definedName>
    <definedName name="Med_MDC_claimants_13_curr" hidden="1">#REF!</definedName>
    <definedName name="Med_MDC_claimants_13_prior" hidden="1">#REF!</definedName>
    <definedName name="Med_MDC_claimants_14_curr" hidden="1">#REF!</definedName>
    <definedName name="Med_MDC_claimants_14_prior" hidden="1">#REF!</definedName>
    <definedName name="Med_MDC_claimants_15_curr" hidden="1">#REF!</definedName>
    <definedName name="Med_MDC_claimants_15_prior" hidden="1">#REF!</definedName>
    <definedName name="Med_MDC_claimants_16_curr" hidden="1">#REF!</definedName>
    <definedName name="Med_MDC_claimants_16_prior" hidden="1">#REF!</definedName>
    <definedName name="Med_MDC_claimants_17_curr" hidden="1">#REF!</definedName>
    <definedName name="Med_MDC_claimants_17_prior" hidden="1">#REF!</definedName>
    <definedName name="Med_MDC_claimants_18_curr" hidden="1">#REF!</definedName>
    <definedName name="Med_MDC_claimants_18_prior" hidden="1">#REF!</definedName>
    <definedName name="Med_MDC_claimants_19_curr" hidden="1">#REF!</definedName>
    <definedName name="Med_MDC_claimants_19_prior" hidden="1">#REF!</definedName>
    <definedName name="Med_MDC_claimants_20_curr" hidden="1">#REF!</definedName>
    <definedName name="Med_MDC_claimants_20_prior" hidden="1">#REF!</definedName>
    <definedName name="Med_MDC_claimants_21_curr" hidden="1">#REF!</definedName>
    <definedName name="Med_MDC_claimants_21_prior" hidden="1">#REF!</definedName>
    <definedName name="Med_MDC_claimants_22_curr" hidden="1">#REF!</definedName>
    <definedName name="Med_MDC_claimants_22_prior" hidden="1">#REF!</definedName>
    <definedName name="Med_MDC_claimants_23_curr" hidden="1">#REF!</definedName>
    <definedName name="Med_MDC_claimants_23_prior" hidden="1">#REF!</definedName>
    <definedName name="Med_MDC_claimants_999_curr" hidden="1">#REF!</definedName>
    <definedName name="Med_MDC_claimants_999_prior" hidden="1">#REF!</definedName>
    <definedName name="Med_MDC_days_00_curr" hidden="1">#REF!</definedName>
    <definedName name="Med_MDC_days_00_prior" hidden="1">#REF!</definedName>
    <definedName name="Med_MDC_days_01_curr" hidden="1">#REF!</definedName>
    <definedName name="Med_MDC_days_01_prior" hidden="1">#REF!</definedName>
    <definedName name="Med_MDC_days_02_curr" hidden="1">#REF!</definedName>
    <definedName name="Med_MDC_days_02_prior" hidden="1">#REF!</definedName>
    <definedName name="Med_MDC_days_03_curr" hidden="1">#REF!</definedName>
    <definedName name="Med_MDC_days_03_prior" hidden="1">#REF!</definedName>
    <definedName name="Med_MDC_days_04_curr" hidden="1">#REF!</definedName>
    <definedName name="Med_MDC_days_04_prior" hidden="1">#REF!</definedName>
    <definedName name="Med_MDC_days_05_curr" hidden="1">#REF!</definedName>
    <definedName name="Med_MDC_days_05_prior" hidden="1">#REF!</definedName>
    <definedName name="Med_MDC_days_06_curr" hidden="1">#REF!</definedName>
    <definedName name="Med_MDC_days_06_prior" hidden="1">#REF!</definedName>
    <definedName name="Med_MDC_days_07_curr" hidden="1">#REF!</definedName>
    <definedName name="Med_MDC_days_07_prior" hidden="1">#REF!</definedName>
    <definedName name="Med_MDC_days_08_curr" hidden="1">#REF!</definedName>
    <definedName name="Med_MDC_days_08_prior" hidden="1">#REF!</definedName>
    <definedName name="Med_MDC_days_09_curr" hidden="1">#REF!</definedName>
    <definedName name="Med_MDC_days_09_prior" hidden="1">#REF!</definedName>
    <definedName name="Med_MDC_days_10_curr" hidden="1">#REF!</definedName>
    <definedName name="Med_MDC_days_10_prior" hidden="1">#REF!</definedName>
    <definedName name="Med_MDC_days_11_curr" hidden="1">#REF!</definedName>
    <definedName name="Med_MDC_days_11_prior" hidden="1">#REF!</definedName>
    <definedName name="Med_MDC_days_12_curr" hidden="1">#REF!</definedName>
    <definedName name="Med_MDC_days_12_prior" hidden="1">#REF!</definedName>
    <definedName name="Med_MDC_days_13_curr" hidden="1">#REF!</definedName>
    <definedName name="Med_MDC_days_13_prior" hidden="1">#REF!</definedName>
    <definedName name="Med_MDC_days_14_curr" hidden="1">#REF!</definedName>
    <definedName name="Med_MDC_days_14_prior" hidden="1">#REF!</definedName>
    <definedName name="Med_MDC_days_15_curr" hidden="1">#REF!</definedName>
    <definedName name="Med_MDC_days_15_prior" hidden="1">#REF!</definedName>
    <definedName name="Med_MDC_days_16_curr" hidden="1">#REF!</definedName>
    <definedName name="Med_MDC_days_16_prior" hidden="1">#REF!</definedName>
    <definedName name="Med_MDC_days_17_curr" hidden="1">#REF!</definedName>
    <definedName name="Med_MDC_days_17_prior" hidden="1">#REF!</definedName>
    <definedName name="Med_MDC_days_18_curr" hidden="1">#REF!</definedName>
    <definedName name="Med_MDC_days_18_prior" hidden="1">#REF!</definedName>
    <definedName name="Med_MDC_days_19_curr" hidden="1">#REF!</definedName>
    <definedName name="Med_MDC_days_19_prior" hidden="1">#REF!</definedName>
    <definedName name="Med_MDC_days_20_curr" hidden="1">#REF!</definedName>
    <definedName name="Med_MDC_days_20_prior" hidden="1">#REF!</definedName>
    <definedName name="Med_MDC_days_21_curr" hidden="1">#REF!</definedName>
    <definedName name="Med_MDC_days_21_prior" hidden="1">#REF!</definedName>
    <definedName name="Med_MDC_days_22_curr" hidden="1">#REF!</definedName>
    <definedName name="Med_MDC_days_22_prior" hidden="1">#REF!</definedName>
    <definedName name="Med_MDC_days_23_curr" hidden="1">#REF!</definedName>
    <definedName name="Med_MDC_days_23_prior" hidden="1">#REF!</definedName>
    <definedName name="Med_MDC_days_999_curr" hidden="1">#REF!</definedName>
    <definedName name="Med_MDC_days_999_prior" hidden="1">#REF!</definedName>
    <definedName name="Med_MDC_inp_billed_00_curr" hidden="1">#REF!</definedName>
    <definedName name="Med_MDC_inp_billed_00_prior" hidden="1">#REF!</definedName>
    <definedName name="Med_MDC_inp_billed_01_curr" hidden="1">#REF!</definedName>
    <definedName name="Med_MDC_inp_billed_01_prior" hidden="1">#REF!</definedName>
    <definedName name="Med_MDC_inp_billed_02_curr" hidden="1">#REF!</definedName>
    <definedName name="Med_MDC_inp_billed_02_prior" hidden="1">#REF!</definedName>
    <definedName name="Med_MDC_inp_billed_03_curr" hidden="1">#REF!</definedName>
    <definedName name="Med_MDC_inp_billed_03_prior" hidden="1">#REF!</definedName>
    <definedName name="Med_MDC_inp_billed_04_curr" hidden="1">#REF!</definedName>
    <definedName name="Med_MDC_inp_billed_04_prior" hidden="1">#REF!</definedName>
    <definedName name="Med_MDC_inp_billed_05_curr" hidden="1">#REF!</definedName>
    <definedName name="Med_MDC_inp_billed_05_prior" hidden="1">#REF!</definedName>
    <definedName name="Med_MDC_inp_billed_06_curr" hidden="1">#REF!</definedName>
    <definedName name="Med_MDC_inp_billed_06_prior" hidden="1">#REF!</definedName>
    <definedName name="Med_MDC_inp_billed_07_curr" hidden="1">#REF!</definedName>
    <definedName name="Med_MDC_inp_billed_07_prior" hidden="1">#REF!</definedName>
    <definedName name="Med_MDC_inp_billed_08_curr" hidden="1">#REF!</definedName>
    <definedName name="Med_MDC_inp_billed_08_prior" hidden="1">#REF!</definedName>
    <definedName name="Med_MDC_inp_billed_09_curr" hidden="1">#REF!</definedName>
    <definedName name="Med_MDC_inp_billed_09_prior" hidden="1">#REF!</definedName>
    <definedName name="Med_MDC_inp_billed_10_curr" hidden="1">#REF!</definedName>
    <definedName name="Med_MDC_inp_billed_10_prior" hidden="1">#REF!</definedName>
    <definedName name="Med_MDC_inp_billed_11_curr" hidden="1">#REF!</definedName>
    <definedName name="Med_MDC_inp_billed_11_prior" hidden="1">#REF!</definedName>
    <definedName name="Med_MDC_inp_billed_12_curr" hidden="1">#REF!</definedName>
    <definedName name="Med_MDC_inp_billed_12_prior" hidden="1">#REF!</definedName>
    <definedName name="Med_MDC_inp_billed_13_curr" hidden="1">#REF!</definedName>
    <definedName name="Med_MDC_inp_billed_13_prior" hidden="1">#REF!</definedName>
    <definedName name="Med_MDC_inp_billed_14_curr" hidden="1">#REF!</definedName>
    <definedName name="Med_MDC_inp_billed_14_prior" hidden="1">#REF!</definedName>
    <definedName name="Med_MDC_inp_billed_15_curr" hidden="1">#REF!</definedName>
    <definedName name="Med_MDC_inp_billed_15_prior" hidden="1">#REF!</definedName>
    <definedName name="Med_MDC_inp_billed_16_curr" hidden="1">#REF!</definedName>
    <definedName name="Med_MDC_inp_billed_16_prior" hidden="1">#REF!</definedName>
    <definedName name="Med_MDC_inp_billed_17_curr" hidden="1">#REF!</definedName>
    <definedName name="Med_MDC_inp_billed_17_prior" hidden="1">#REF!</definedName>
    <definedName name="Med_MDC_inp_billed_18_curr" hidden="1">#REF!</definedName>
    <definedName name="Med_MDC_inp_billed_18_prior" hidden="1">#REF!</definedName>
    <definedName name="Med_MDC_inp_billed_19_curr" hidden="1">#REF!</definedName>
    <definedName name="Med_MDC_inp_billed_19_prior" hidden="1">#REF!</definedName>
    <definedName name="Med_MDC_inp_billed_20_curr" hidden="1">#REF!</definedName>
    <definedName name="Med_MDC_inp_billed_20_prior" hidden="1">#REF!</definedName>
    <definedName name="Med_MDC_inp_billed_21_curr" hidden="1">#REF!</definedName>
    <definedName name="Med_MDC_inp_billed_21_prior" hidden="1">#REF!</definedName>
    <definedName name="Med_MDC_inp_billed_22_curr" hidden="1">#REF!</definedName>
    <definedName name="Med_MDC_inp_billed_22_prior" hidden="1">#REF!</definedName>
    <definedName name="Med_MDC_inp_billed_23_curr" hidden="1">#REF!</definedName>
    <definedName name="Med_MDC_inp_billed_23_prior" hidden="1">#REF!</definedName>
    <definedName name="Med_MDC_inp_billed_999_curr" hidden="1">#REF!</definedName>
    <definedName name="Med_MDC_inp_billed_999_prior" hidden="1">#REF!</definedName>
    <definedName name="Med_MDC_inp_paid_00_curr" hidden="1">#REF!</definedName>
    <definedName name="Med_MDC_inp_paid_00_prior" hidden="1">#REF!</definedName>
    <definedName name="Med_MDC_inp_paid_01_curr" hidden="1">#REF!</definedName>
    <definedName name="Med_MDC_inp_paid_01_prior" hidden="1">#REF!</definedName>
    <definedName name="Med_MDC_inp_paid_02_curr" hidden="1">#REF!</definedName>
    <definedName name="Med_MDC_inp_paid_02_prior" hidden="1">#REF!</definedName>
    <definedName name="Med_MDC_inp_paid_03_curr" hidden="1">#REF!</definedName>
    <definedName name="Med_MDC_inp_paid_03_prior" hidden="1">#REF!</definedName>
    <definedName name="Med_MDC_inp_paid_04_curr" hidden="1">#REF!</definedName>
    <definedName name="Med_MDC_inp_paid_04_prior" hidden="1">#REF!</definedName>
    <definedName name="Med_MDC_inp_paid_05_curr" hidden="1">#REF!</definedName>
    <definedName name="Med_MDC_inp_paid_05_prior" hidden="1">#REF!</definedName>
    <definedName name="Med_MDC_inp_paid_06_curr" hidden="1">#REF!</definedName>
    <definedName name="Med_MDC_inp_paid_06_prior" hidden="1">#REF!</definedName>
    <definedName name="Med_MDC_inp_paid_07_curr" hidden="1">#REF!</definedName>
    <definedName name="Med_MDC_inp_paid_07_prior" hidden="1">#REF!</definedName>
    <definedName name="Med_MDC_inp_paid_08_curr" hidden="1">#REF!</definedName>
    <definedName name="Med_MDC_inp_paid_08_prior" hidden="1">#REF!</definedName>
    <definedName name="Med_MDC_inp_paid_09_curr" hidden="1">#REF!</definedName>
    <definedName name="Med_MDC_inp_paid_09_prior" hidden="1">#REF!</definedName>
    <definedName name="Med_MDC_inp_paid_10_curr" hidden="1">#REF!</definedName>
    <definedName name="Med_MDC_inp_paid_10_prior" hidden="1">#REF!</definedName>
    <definedName name="Med_MDC_inp_paid_11_curr" hidden="1">#REF!</definedName>
    <definedName name="Med_MDC_inp_paid_11_prior" hidden="1">#REF!</definedName>
    <definedName name="Med_MDC_inp_paid_12_curr" hidden="1">#REF!</definedName>
    <definedName name="Med_MDC_inp_paid_12_prior" hidden="1">#REF!</definedName>
    <definedName name="Med_MDC_inp_paid_13_curr" hidden="1">#REF!</definedName>
    <definedName name="Med_MDC_inp_paid_13_prior" hidden="1">#REF!</definedName>
    <definedName name="Med_MDC_inp_paid_14_curr" hidden="1">#REF!</definedName>
    <definedName name="Med_MDC_inp_paid_14_prior" hidden="1">#REF!</definedName>
    <definedName name="Med_MDC_inp_paid_15_curr" hidden="1">#REF!</definedName>
    <definedName name="Med_MDC_inp_paid_15_prior" hidden="1">#REF!</definedName>
    <definedName name="Med_MDC_inp_paid_16_curr" hidden="1">#REF!</definedName>
    <definedName name="Med_MDC_inp_paid_16_prior" hidden="1">#REF!</definedName>
    <definedName name="Med_MDC_inp_paid_17_curr" hidden="1">#REF!</definedName>
    <definedName name="Med_MDC_inp_paid_17_prior" hidden="1">#REF!</definedName>
    <definedName name="Med_MDC_inp_paid_18_curr" hidden="1">#REF!</definedName>
    <definedName name="Med_MDC_inp_paid_18_prior" hidden="1">#REF!</definedName>
    <definedName name="Med_MDC_inp_paid_19_curr" hidden="1">#REF!</definedName>
    <definedName name="Med_MDC_inp_paid_19_prior" hidden="1">#REF!</definedName>
    <definedName name="Med_MDC_inp_paid_20_curr" hidden="1">#REF!</definedName>
    <definedName name="Med_MDC_inp_paid_20_prior" hidden="1">#REF!</definedName>
    <definedName name="Med_MDC_inp_paid_21_curr" hidden="1">#REF!</definedName>
    <definedName name="Med_MDC_inp_paid_21_prior" hidden="1">#REF!</definedName>
    <definedName name="Med_MDC_inp_paid_22_curr" hidden="1">#REF!</definedName>
    <definedName name="Med_MDC_inp_paid_22_prior" hidden="1">#REF!</definedName>
    <definedName name="Med_MDC_inp_paid_23_curr" hidden="1">#REF!</definedName>
    <definedName name="Med_MDC_inp_paid_23_prior" hidden="1">#REF!</definedName>
    <definedName name="Med_MDC_inp_paid_999_curr" hidden="1">#REF!</definedName>
    <definedName name="Med_MDC_inp_paid_999_prior" hidden="1">#REF!</definedName>
    <definedName name="Med_MDC_paid_00_curr" hidden="1">#REF!</definedName>
    <definedName name="Med_MDC_paid_00_prior" hidden="1">#REF!</definedName>
    <definedName name="Med_MDC_paid_01_curr" hidden="1">#REF!</definedName>
    <definedName name="Med_MDC_paid_01_prior" hidden="1">#REF!</definedName>
    <definedName name="Med_MDC_paid_02_curr" hidden="1">#REF!</definedName>
    <definedName name="Med_MDC_paid_02_prior" hidden="1">#REF!</definedName>
    <definedName name="Med_MDC_paid_03_curr" hidden="1">#REF!</definedName>
    <definedName name="Med_MDC_paid_03_prior" hidden="1">#REF!</definedName>
    <definedName name="Med_MDC_paid_04_curr" hidden="1">#REF!</definedName>
    <definedName name="Med_MDC_paid_04_prior" hidden="1">#REF!</definedName>
    <definedName name="Med_MDC_paid_05_curr" hidden="1">#REF!</definedName>
    <definedName name="Med_MDC_paid_05_prior" hidden="1">#REF!</definedName>
    <definedName name="Med_MDC_paid_06_curr" hidden="1">#REF!</definedName>
    <definedName name="Med_MDC_paid_06_prior" hidden="1">#REF!</definedName>
    <definedName name="Med_MDC_paid_07_curr" hidden="1">#REF!</definedName>
    <definedName name="Med_MDC_paid_07_prior" hidden="1">#REF!</definedName>
    <definedName name="Med_MDC_paid_08_curr" hidden="1">#REF!</definedName>
    <definedName name="Med_MDC_paid_08_prior" hidden="1">#REF!</definedName>
    <definedName name="Med_MDC_paid_09_curr" hidden="1">#REF!</definedName>
    <definedName name="Med_MDC_paid_09_prior" hidden="1">#REF!</definedName>
    <definedName name="Med_MDC_paid_10_curr" hidden="1">#REF!</definedName>
    <definedName name="Med_MDC_paid_10_prior" hidden="1">#REF!</definedName>
    <definedName name="Med_MDC_paid_11_curr" hidden="1">#REF!</definedName>
    <definedName name="Med_MDC_paid_11_prior" hidden="1">#REF!</definedName>
    <definedName name="Med_MDC_paid_12_curr" hidden="1">#REF!</definedName>
    <definedName name="Med_MDC_paid_12_prior" hidden="1">#REF!</definedName>
    <definedName name="Med_MDC_paid_13_curr" hidden="1">#REF!</definedName>
    <definedName name="Med_MDC_paid_13_prior" hidden="1">#REF!</definedName>
    <definedName name="Med_MDC_paid_14_curr" hidden="1">#REF!</definedName>
    <definedName name="Med_MDC_paid_14_prior" hidden="1">#REF!</definedName>
    <definedName name="Med_MDC_paid_15_curr" hidden="1">#REF!</definedName>
    <definedName name="Med_MDC_paid_15_prior" hidden="1">#REF!</definedName>
    <definedName name="Med_MDC_paid_16_curr" hidden="1">#REF!</definedName>
    <definedName name="Med_MDC_paid_16_prior" hidden="1">#REF!</definedName>
    <definedName name="Med_MDC_paid_17_curr" hidden="1">#REF!</definedName>
    <definedName name="Med_MDC_paid_17_prior" hidden="1">#REF!</definedName>
    <definedName name="Med_MDC_paid_18_curr" hidden="1">#REF!</definedName>
    <definedName name="Med_MDC_paid_18_prior" hidden="1">#REF!</definedName>
    <definedName name="Med_MDC_paid_19_curr" hidden="1">#REF!</definedName>
    <definedName name="Med_MDC_paid_19_prior" hidden="1">#REF!</definedName>
    <definedName name="Med_MDC_paid_20_curr" hidden="1">#REF!</definedName>
    <definedName name="Med_MDC_paid_20_prior" hidden="1">#REF!</definedName>
    <definedName name="Med_MDC_paid_21_curr" hidden="1">#REF!</definedName>
    <definedName name="Med_MDC_paid_21_prior" hidden="1">#REF!</definedName>
    <definedName name="Med_MDC_paid_22_curr" hidden="1">#REF!</definedName>
    <definedName name="Med_MDC_paid_22_prior" hidden="1">#REF!</definedName>
    <definedName name="Med_MDC_paid_23_curr" hidden="1">#REF!</definedName>
    <definedName name="Med_MDC_paid_23_prior" hidden="1">#REF!</definedName>
    <definedName name="Med_MDC_paid_999_curr" hidden="1">#REF!</definedName>
    <definedName name="Med_MDC_paid_999_prior" hidden="1">#REF!</definedName>
    <definedName name="Med_months_curr" hidden="1">#REF!</definedName>
    <definedName name="Med_months_prior" hidden="1">#REF!</definedName>
    <definedName name="Med_non_facility_billed_network_curr" hidden="1">#REF!</definedName>
    <definedName name="Med_non_facility_billed_network_prior" hidden="1">#REF!</definedName>
    <definedName name="Med_non_facility_network_discount_curr" hidden="1">#REF!</definedName>
    <definedName name="Med_non_facility_network_discount_prior" hidden="1">#REF!</definedName>
    <definedName name="Med_num_employees_curr" hidden="1">#REF!</definedName>
    <definedName name="Med_num_employees_prior" hidden="1">#REF!</definedName>
    <definedName name="Med_num_members_curr" hidden="1">#REF!</definedName>
    <definedName name="Med_num_members_prior" hidden="1">#REF!</definedName>
    <definedName name="Med_office_visits_count_curr" hidden="1">#REF!</definedName>
    <definedName name="Med_office_visits_count_prior" hidden="1">#REF!</definedName>
    <definedName name="Med_other_discount_admin_savings_amt_curr" hidden="1">#REF!</definedName>
    <definedName name="Med_other_discount_admin_savings_amt_prior" hidden="1">#REF!</definedName>
    <definedName name="Med_other_discount_billed_amt_curr" hidden="1">#REF!</definedName>
    <definedName name="Med_other_discount_billed_amt_prior" hidden="1">#REF!</definedName>
    <definedName name="Med_paid_amt_above_threshold_curr" hidden="1">#REF!</definedName>
    <definedName name="Med_paid_amt_above_threshold_prior" hidden="1">#REF!</definedName>
    <definedName name="Med_paid_amt_amb_surgeries_curr" hidden="1">#REF!</definedName>
    <definedName name="Med_paid_amt_amb_surgeries_prior" hidden="1">#REF!</definedName>
    <definedName name="Med_paid_amt_amb_visits_curr" hidden="1">#REF!</definedName>
    <definedName name="Med_paid_amt_amb_visits_prior" hidden="1">#REF!</definedName>
    <definedName name="Med_paid_amt_curr" hidden="1">#REF!</definedName>
    <definedName name="Med_paid_amt_er_visits_curr" hidden="1">#REF!</definedName>
    <definedName name="Med_paid_amt_er_visits_prior" hidden="1">#REF!</definedName>
    <definedName name="Med_paid_amt_female_0_19_curr" hidden="1">#REF!</definedName>
    <definedName name="Med_paid_amt_female_0_19_prior" hidden="1">#REF!</definedName>
    <definedName name="Med_paid_amt_female_20_44_curr" hidden="1">#REF!</definedName>
    <definedName name="Med_paid_amt_female_20_44_prior" hidden="1">#REF!</definedName>
    <definedName name="Med_paid_amt_female_45_64_curr" hidden="1">#REF!</definedName>
    <definedName name="Med_paid_amt_female_45_64_prior" hidden="1">#REF!</definedName>
    <definedName name="Med_paid_amt_female_65_over_curr" hidden="1">#REF!</definedName>
    <definedName name="Med_paid_amt_female_65_over_prior" hidden="1">#REF!</definedName>
    <definedName name="Med_paid_amt_home_health_curr" hidden="1">#REF!</definedName>
    <definedName name="Med_paid_amt_home_health_prior" hidden="1">#REF!</definedName>
    <definedName name="Med_paid_amt_inp_days_curr" hidden="1">#REF!</definedName>
    <definedName name="Med_paid_amt_inp_days_prior" hidden="1">#REF!</definedName>
    <definedName name="Med_paid_amt_inp_surgeries_curr" hidden="1">#REF!</definedName>
    <definedName name="Med_paid_amt_inp_surgeries_prior" hidden="1">#REF!</definedName>
    <definedName name="Med_paid_amt_lab_serv_curr" hidden="1">#REF!</definedName>
    <definedName name="Med_paid_amt_lab_serv_prior" hidden="1">#REF!</definedName>
    <definedName name="Med_paid_amt_male_0_19_curr" hidden="1">#REF!</definedName>
    <definedName name="Med_paid_amt_male_0_19_prior" hidden="1">#REF!</definedName>
    <definedName name="Med_paid_amt_male_20_44_curr" hidden="1">#REF!</definedName>
    <definedName name="Med_paid_amt_male_20_44_prior" hidden="1">#REF!</definedName>
    <definedName name="Med_paid_amt_male_45_64_curr" hidden="1">#REF!</definedName>
    <definedName name="Med_paid_amt_male_45_64_prior" hidden="1">#REF!</definedName>
    <definedName name="Med_paid_amt_male_65_over_curr" hidden="1">#REF!</definedName>
    <definedName name="Med_paid_amt_male_65_over_prior" hidden="1">#REF!</definedName>
    <definedName name="Med_paid_amt_med_rx_curr" hidden="1">#REF!</definedName>
    <definedName name="Med_paid_amt_med_rx_prior" hidden="1">#REF!</definedName>
    <definedName name="Med_paid_amt_med_visits_curr" hidden="1">#REF!</definedName>
    <definedName name="Med_paid_amt_med_visits_prior" hidden="1">#REF!</definedName>
    <definedName name="Med_paid_amt_mental_health_curr" hidden="1">#REF!</definedName>
    <definedName name="Med_paid_amt_mental_health_prior" hidden="1">#REF!</definedName>
    <definedName name="Med_paid_amt_misc_med_curr" hidden="1">#REF!</definedName>
    <definedName name="Med_paid_amt_misc_med_prior" hidden="1">#REF!</definedName>
    <definedName name="Med_paid_amt_office_surgeries_curr" hidden="1">#REF!</definedName>
    <definedName name="Med_paid_amt_office_surgeries_prior" hidden="1">#REF!</definedName>
    <definedName name="Med_paid_amt_prim_off_visits_curr" hidden="1">#REF!</definedName>
    <definedName name="Med_paid_amt_prim_off_visits_prior" hidden="1">#REF!</definedName>
    <definedName name="Med_paid_amt_prior" hidden="1">#REF!</definedName>
    <definedName name="Med_paid_amt_rad_serv_curr" hidden="1">#REF!</definedName>
    <definedName name="Med_paid_amt_rad_serv_prior" hidden="1">#REF!</definedName>
    <definedName name="Med_paid_amt_spec_office_visits_curr" hidden="1">#REF!</definedName>
    <definedName name="Med_paid_amt_spec_office_visits_prior" hidden="1">#REF!</definedName>
    <definedName name="Med_paid_amt_unknown_0_19_curr" hidden="1">#REF!</definedName>
    <definedName name="Med_paid_amt_unknown_0_19_prior" hidden="1">#REF!</definedName>
    <definedName name="Med_paid_amt_unknown_20_44_curr" hidden="1">#REF!</definedName>
    <definedName name="Med_paid_amt_unknown_20_44_prior" hidden="1">#REF!</definedName>
    <definedName name="Med_paid_amt_unknown_45_64_curr" hidden="1">#REF!</definedName>
    <definedName name="Med_paid_amt_unknown_45_64_prior" hidden="1">#REF!</definedName>
    <definedName name="Med_paid_amt_unknown_65_over_curr" hidden="1">#REF!</definedName>
    <definedName name="Med_paid_amt_unknown_65_over_prior" hidden="1">#REF!</definedName>
    <definedName name="Med_paid_encounter_lab_rad_curr" hidden="1">#REF!</definedName>
    <definedName name="Med_paid_encounter_lab_rad_prior" hidden="1">#REF!</definedName>
    <definedName name="Med_paid_encounter_other_curr" hidden="1">#REF!</definedName>
    <definedName name="Med_paid_encounter_other_prior" hidden="1">#REF!</definedName>
    <definedName name="Med_paid_encounter_prim_phys_curr" hidden="1">#REF!</definedName>
    <definedName name="Med_paid_encounter_prim_phys_prior" hidden="1">#REF!</definedName>
    <definedName name="Med_paid_encounter_spec_phys_curr" hidden="1">#REF!</definedName>
    <definedName name="Med_paid_encounter_spec_phys_prior" hidden="1">#REF!</definedName>
    <definedName name="Med_paid_other_curr" hidden="1">#REF!</definedName>
    <definedName name="Med_paid_other_prior" hidden="1">#REF!</definedName>
    <definedName name="Med_par_admit_count_curr" hidden="1">#REF!</definedName>
    <definedName name="Med_par_admit_count_prior" hidden="1">#REF!</definedName>
    <definedName name="Med_par_paid_amt_curr" hidden="1">#REF!</definedName>
    <definedName name="Med_par_paid_amt_prior" hidden="1">#REF!</definedName>
    <definedName name="Med_par_phys_office_visits_count_curr" hidden="1">#REF!</definedName>
    <definedName name="Med_par_phys_office_visits_count_prior" hidden="1">#REF!</definedName>
    <definedName name="Med_phys_discount_admin_savings_amt_curr" hidden="1">#REF!</definedName>
    <definedName name="Med_phys_discount_admin_savings_amt_prior" hidden="1">#REF!</definedName>
    <definedName name="Med_phys_discount_billed_amt_curr" hidden="1">#REF!</definedName>
    <definedName name="Med_phys_discount_billed_amt_prior" hidden="1">#REF!</definedName>
    <definedName name="Med_phys_office_visits_count_curr" hidden="1">#REF!</definedName>
    <definedName name="Med_phys_office_visits_count_prior" hidden="1">#REF!</definedName>
    <definedName name="Med_phys_par_negot_savings_amt_curr" hidden="1">#REF!</definedName>
    <definedName name="Med_phys_par_negot_savings_amt_prior" hidden="1">#REF!</definedName>
    <definedName name="Med_phys_par_r_c_savings_amt_curr" hidden="1">#REF!</definedName>
    <definedName name="Med_phys_par_r_c_savings_amt_prior" hidden="1">#REF!</definedName>
    <definedName name="Med_prior_employees" hidden="1">#REF!</definedName>
    <definedName name="Med_prod" hidden="1">{#N/A,#N/A,FALSE,"Prem_Sum";#N/A,#N/A,FALSE,"Prem"}</definedName>
    <definedName name="Med_prod.xls" hidden="1">{#N/A,#N/A,FALSE,"FACTSHEETS";#N/A,#N/A,FALSE,"pump";#N/A,#N/A,FALSE,"filter"}</definedName>
    <definedName name="Med_products" hidden="1">{#N/A,#N/A,FALSE,"FACTSHEETS";#N/A,#N/A,FALSE,"pump";#N/A,#N/A,FALSE,"filter"}</definedName>
    <definedName name="Med_surgery_count_curr" hidden="1">#REF!</definedName>
    <definedName name="Med_surgery_count_prior" hidden="1">#REF!</definedName>
    <definedName name="Med_total_billed_network_curr" hidden="1">#REF!</definedName>
    <definedName name="Med_total_billed_network_prior" hidden="1">#REF!</definedName>
    <definedName name="Med_total_network_discount_curr" hidden="1">#REF!</definedName>
    <definedName name="Med_total_network_discount_prior" hidden="1">#REF!</definedName>
    <definedName name="Med_total_par_negot_savings_amt_curr" hidden="1">#REF!</definedName>
    <definedName name="Med_total_par_negot_savings_amt_prior" hidden="1">#REF!</definedName>
    <definedName name="Med_total_par_r_c_savings_amt_curr" hidden="1">#REF!</definedName>
    <definedName name="Med_total_par_r_c_savings_amt_prior" hidden="1">#REF!</definedName>
    <definedName name="Med_unknown_mem_0_19_curr" hidden="1">#REF!</definedName>
    <definedName name="Med_unknown_mem_0_19_prior" hidden="1">#REF!</definedName>
    <definedName name="Med_unknown_mem_20_44_curr" hidden="1">#REF!</definedName>
    <definedName name="Med_unknown_mem_20_44_prior" hidden="1">#REF!</definedName>
    <definedName name="Med_unknown_mem_45_64_curr" hidden="1">#REF!</definedName>
    <definedName name="Med_unknown_mem_45_64_prior" hidden="1">#REF!</definedName>
    <definedName name="Med_unknown_mem_65_over_curr" hidden="1">#REF!</definedName>
    <definedName name="Med_unknown_mem_65_over_prior" hidden="1">#REF!</definedName>
    <definedName name="Med_unknown_members_curr" hidden="1">#REF!</definedName>
    <definedName name="Med_unknown_members_prior" hidden="1">#REF!</definedName>
    <definedName name="Median1">#REF!</definedName>
    <definedName name="Median2">#REF!</definedName>
    <definedName name="Median3">#REF!</definedName>
    <definedName name="Median4">#REF!</definedName>
    <definedName name="Median5">#REF!</definedName>
    <definedName name="Median6">#REF!</definedName>
    <definedName name="Median7">#REF!</definedName>
    <definedName name="Median8">#REF!</definedName>
    <definedName name="Median9">#REF!</definedName>
    <definedName name="Medic_female_mem_0_64_curr" hidden="1">#REF!</definedName>
    <definedName name="Medic_female_mem_0_64_prior" hidden="1">#REF!</definedName>
    <definedName name="Medic_female_mem_65_69_curr" hidden="1">#REF!</definedName>
    <definedName name="Medic_female_mem_65_69_prior" hidden="1">#REF!</definedName>
    <definedName name="Medic_female_mem_70_74_curr" hidden="1">#REF!</definedName>
    <definedName name="Medic_female_mem_70_74_prior" hidden="1">#REF!</definedName>
    <definedName name="Medic_female_mem_75_79_curr" hidden="1">#REF!</definedName>
    <definedName name="Medic_female_mem_75_79_prior" hidden="1">#REF!</definedName>
    <definedName name="Medic_female_mem_80_84_curr" hidden="1">#REF!</definedName>
    <definedName name="Medic_female_mem_80_84_prior" hidden="1">#REF!</definedName>
    <definedName name="Medic_female_mem_85_over_curr" hidden="1">#REF!</definedName>
    <definedName name="Medic_female_mem_85_over_prior" hidden="1">#REF!</definedName>
    <definedName name="Medic_male_mem_0_64_curr" hidden="1">#REF!</definedName>
    <definedName name="Medic_male_mem_0_64_prior" hidden="1">#REF!</definedName>
    <definedName name="Medic_male_mem_65_69_curr" hidden="1">#REF!</definedName>
    <definedName name="Medic_male_mem_65_69_prior" hidden="1">#REF!</definedName>
    <definedName name="Medic_male_mem_70_74_curr" hidden="1">#REF!</definedName>
    <definedName name="Medic_male_mem_70_74_prior" hidden="1">#REF!</definedName>
    <definedName name="Medic_male_mem_75_79_curr" hidden="1">#REF!</definedName>
    <definedName name="Medic_male_mem_75_79_prior" hidden="1">#REF!</definedName>
    <definedName name="Medic_male_mem_80_84_curr" hidden="1">#REF!</definedName>
    <definedName name="Medic_male_mem_80_84_prior" hidden="1">#REF!</definedName>
    <definedName name="Medic_male_mem_85_over_curr" hidden="1">#REF!</definedName>
    <definedName name="Medic_male_mem_85_over_prior" hidden="1">#REF!</definedName>
    <definedName name="Medical_Catastrophic_Current_Range" hidden="1">#REF!</definedName>
    <definedName name="Medical_Catastrophic_Prior_Range" hidden="1">#REF!</definedName>
    <definedName name="medical_sort1" hidden="1">#REF!</definedName>
    <definedName name="medical_sort2" hidden="1">#REF!</definedName>
    <definedName name="medical_sort3" hidden="1">#REF!</definedName>
    <definedName name="medical_sort4" hidden="1">#REF!</definedName>
    <definedName name="medical_sort5" hidden="1">#REF!</definedName>
    <definedName name="medical_sorta" hidden="1">#REF!</definedName>
    <definedName name="medical_sortb" hidden="1">#REF!</definedName>
    <definedName name="medical_sortc" hidden="1">#REF!</definedName>
    <definedName name="medical_sortd" hidden="1">#REF!</definedName>
    <definedName name="medical_sorte" hidden="1">#REF!</definedName>
    <definedName name="MedicalIndemnityProduct" hidden="1">#REF!</definedName>
    <definedName name="Medicare_Billed_female_mem_0_64_curr" hidden="1">#REF!</definedName>
    <definedName name="Medicare_Billed_female_mem_0_64_prior" hidden="1">#REF!</definedName>
    <definedName name="Medicare_Billed_female_mem_65_69_curr" hidden="1">#REF!</definedName>
    <definedName name="Medicare_Billed_female_mem_65_69_prior" hidden="1">#REF!</definedName>
    <definedName name="Medicare_Billed_female_mem_70_74_curr" hidden="1">#REF!</definedName>
    <definedName name="Medicare_Billed_female_mem_70_74_prior" hidden="1">#REF!</definedName>
    <definedName name="Medicare_Billed_female_mem_75_79_curr" hidden="1">#REF!</definedName>
    <definedName name="Medicare_Billed_female_mem_75_79_prior" hidden="1">#REF!</definedName>
    <definedName name="Medicare_Billed_female_mem_80_84_curr" hidden="1">#REF!</definedName>
    <definedName name="Medicare_Billed_female_mem_80_84_prior" hidden="1">#REF!</definedName>
    <definedName name="Medicare_Billed_female_mem_85_over_curr" hidden="1">#REF!</definedName>
    <definedName name="Medicare_Billed_female_mem_85_over_prior" hidden="1">#REF!</definedName>
    <definedName name="Medicare_Billed_male_mem_0_64_curr" hidden="1">#REF!</definedName>
    <definedName name="Medicare_Billed_male_mem_0_64_prior" hidden="1">#REF!</definedName>
    <definedName name="Medicare_Billed_male_mem_65_69_curr" hidden="1">#REF!</definedName>
    <definedName name="Medicare_Billed_male_mem_65_69_prior" hidden="1">#REF!</definedName>
    <definedName name="Medicare_Billed_male_mem_70_74_curr" hidden="1">#REF!</definedName>
    <definedName name="Medicare_Billed_male_mem_70_74_prior" hidden="1">#REF!</definedName>
    <definedName name="Medicare_Billed_male_mem_75_79_curr" hidden="1">#REF!</definedName>
    <definedName name="Medicare_Billed_male_mem_75_79_prior" hidden="1">#REF!</definedName>
    <definedName name="Medicare_Billed_male_mem_80_84_curr" hidden="1">#REF!</definedName>
    <definedName name="Medicare_Billed_male_mem_80_84_prior" hidden="1">#REF!</definedName>
    <definedName name="Medicare_Billed_male_mem_85_over_curr" hidden="1">#REF!</definedName>
    <definedName name="Medicare_Billed_male_mem_85_over_prior" hidden="1">#REF!</definedName>
    <definedName name="MEWarning" hidden="1">1</definedName>
    <definedName name="mi">#REF!</definedName>
    <definedName name="MIA">#REF!</definedName>
    <definedName name="MinInt">#REF!</definedName>
    <definedName name="MinIntInc">#REF!</definedName>
    <definedName name="MinIntMarket">#REF!</definedName>
    <definedName name="MIT">#REF!</definedName>
    <definedName name="mj" hidden="1">{#N/A,#N/A,FALSE,"Heat";#N/A,#N/A,FALSE,"DCF";#N/A,#N/A,FALSE,"LBO";#N/A,#N/A,FALSE,"A";#N/A,#N/A,FALSE,"C";#N/A,#N/A,FALSE,"impd";#N/A,#N/A,FALSE,"Accr-Dilu"}</definedName>
    <definedName name="mmjj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m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mod_claims_curr" hidden="1">#REF!</definedName>
    <definedName name="mod_claims_prior" hidden="1">#REF!</definedName>
    <definedName name="mod_copay_amt_curr" hidden="1">#REF!</definedName>
    <definedName name="mod_copay_amt_prior" hidden="1">#REF!</definedName>
    <definedName name="mod_paid_amt_curr" hidden="1">#REF!</definedName>
    <definedName name="mod_paid_amt_prior" hidden="1">#REF!</definedName>
    <definedName name="mod_plan_paid_amt_curr" hidden="1">#REF!</definedName>
    <definedName name="mod_plan_paid_amt_prior" hidden="1">#REF!</definedName>
    <definedName name="Moses" hidden="1">{"FCB_ALL",#N/A,FALSE,"FCB"}</definedName>
    <definedName name="mt">#REF!</definedName>
    <definedName name="multisource_util_curr" hidden="1">#REF!</definedName>
    <definedName name="multisource_util_prior" hidden="1">#REF!</definedName>
    <definedName name="Mults02" hidden="1">{#N/A,#N/A,FALSE,"Projections";#N/A,#N/A,FALSE,"Multiples Valuation";#N/A,#N/A,FALSE,"LBO";#N/A,#N/A,FALSE,"Multiples_Sensitivity";#N/A,#N/A,FALSE,"Summary"}</definedName>
    <definedName name="n\" hidden="1">{#N/A,#N/A,FALSE,"Projections";#N/A,#N/A,FALSE,"Multiples Valuation";#N/A,#N/A,FALSE,"LBO";#N/A,#N/A,FALSE,"Multiples_Sensitivity";#N/A,#N/A,FALSE,"Summary"}</definedName>
    <definedName name="NA_Range_Med" hidden="1">#REF!</definedName>
    <definedName name="NA_Range_Mem" hidden="1">#REF!</definedName>
    <definedName name="NA_Range_Rx" hidden="1">#REF!</definedName>
    <definedName name="NARROWBAND">#REF!</definedName>
    <definedName name="ne">#REF!</definedName>
    <definedName name="NetDebtBook">#REF!</definedName>
    <definedName name="NetDebtEBITDA">#REF!</definedName>
    <definedName name="NetDebtEnt">#REF!</definedName>
    <definedName name="NetInc">#REF!</definedName>
    <definedName name="NetIncGrowth">#REF!</definedName>
    <definedName name="NetIncMargin">#REF!</definedName>
    <definedName name="New" hidden="1">{"Outflow 1",#N/A,FALSE,"Outflows-Inflows";"Outflow 2",#N/A,FALSE,"Outflows-Inflows";"Inflow 1",#N/A,FALSE,"Outflows-Inflows";"Inflow 2",#N/A,FALSE,"Outflows-Inflows"}</definedName>
    <definedName name="new.network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_name" hidden="1">#REF!</definedName>
    <definedName name="newa" hidden="1">{"COM1996",#N/A,FALSE,"ANNUAL COMMISSIONS";"COM1997",#N/A,FALSE,"ANNUAL COMMISSIONS"}</definedName>
    <definedName name="newb" hidden="1">{"COM1996",#N/A,FALSE,"ANNUAL COMMISSIONS";"COM1997",#N/A,FALSE,"ANNUAL COMMISSIONS"}</definedName>
    <definedName name="newd" hidden="1">{"COM1996",#N/A,FALSE,"ANNUAL COMMISSIONS";"COM1997",#N/A,FALSE,"ANNUAL COMMISSIONS"}</definedName>
    <definedName name="newe" hidden="1">{"COM1996",#N/A,FALSE,"ANNUAL COMMISSIONS";"COM1997",#N/A,FALSE,"ANNUAL COMMISSIONS"}</definedName>
    <definedName name="newnewnew" hidden="1">{"COM1996",#N/A,FALSE,"ANNUAL COMMISSIONS";"COM1997",#N/A,FALSE,"ANNUAL COMMISSIONS"}</definedName>
    <definedName name="newnewnewnew" hidden="1">{"COM1996",#N/A,FALSE,"ANNUAL COMMISSIONS";"COM1997",#N/A,FALSE,"ANNUAL COMMISSIONS"}</definedName>
    <definedName name="newview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a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z" hidden="1">{"COM1996",#N/A,FALSE,"ANNUAL COMMISSIONS";"COM1997",#N/A,FALSE,"ANNUAL COMMISSIONS"}</definedName>
    <definedName name="NIC">#REF!</definedName>
    <definedName name="NILTMA">#REF!</definedName>
    <definedName name="NILTMT">#REF!</definedName>
    <definedName name="NIYear1A">#REF!</definedName>
    <definedName name="NIYear1T">#REF!</definedName>
    <definedName name="NIYear2A">#REF!</definedName>
    <definedName name="NIYear2T">#REF!</definedName>
    <definedName name="nnnnnnn" hidden="1">{#N/A,#N/A,TRUE,"TS";#N/A,#N/A,TRUE,"Combo";#N/A,#N/A,TRUE,"FAIR";#N/A,#N/A,TRUE,"RBC";#N/A,#N/A,TRUE,"xxxx"}</definedName>
    <definedName name="NO" hidden="1">{"'Sheet1'!$A$1:$J$121"}</definedName>
    <definedName name="NO_AEXCEL_BOB_DATA" hidden="1">#REF!</definedName>
    <definedName name="NO_AEXCEL_Member_Data" hidden="1">#REF!</definedName>
    <definedName name="NO_BH_BOB_Data" hidden="1">#REF!</definedName>
    <definedName name="NO_BOB_Data" hidden="1">#REF!</definedName>
    <definedName name="NO_Member_Data" hidden="1">#REF!</definedName>
    <definedName name="NO_Member_Dental_Data" hidden="1">#REF!</definedName>
    <definedName name="NONAexcelMedicalProduct" hidden="1">#REF!</definedName>
    <definedName name="NONAHFMedicalProduct" hidden="1">#REF!</definedName>
    <definedName name="NONAHFRxMedicalProduct" hidden="1">#REF!</definedName>
    <definedName name="noname" hidden="1">{"TOP",#N/A,TRUE,"TRIPLE OPTION EXPERIENCE";"actives",#N/A,TRUE,"TRIPLE OPTION EXPERIENCE";"experience",#N/A,TRUE,"TRIPLE OPTION EXPERIENCE";"Outacomp",#N/A,TRUE,"FEE FOR SERVICE EXPERIENCE ";"Outacomp",#N/A,TRUE,"FEE FOR SERVICE EXPERIENCE ";"Outret",#N/A,TRUE,"FEE FOR SERVICE EXPERIENCE ";"Outact",#N/A,TRUE,"FEE FOR SERVICE EXPERIENCE ";"OutRcomp",#N/A,TRUE,"FEE FOR SERVICE EXPERIENCE ";"Outact",#N/A,TRUE,"FEE FOR SERVICE EXPERIENCE ";"OutRcomp",#N/A,TRUE,"FEE FOR SERVICE EXPERIENCE ";"Outret",#N/A,TRUE,"FEE FOR SERVICE EXPERIENCE ";"actives",#N/A,TRUE,"TRIPLE OPTION EXPERIENCE";"TOP",#N/A,TRUE,"TRIPLE OPTION EXPERIENCE"}</definedName>
    <definedName name="noname2" hidden="1">{"TOP",#N/A,TRUE,"TRIPLE OPTION EXPERIENCE";"actives",#N/A,TRUE,"TRIPLE OPTION EXPERIENCE";"experience",#N/A,TRUE,"TRIPLE OPTION EXPERIENCE";"Outacomp",#N/A,TRUE,"FEE FOR SERVICE EXPERIENCE ";"Outacomp",#N/A,TRUE,"FEE FOR SERVICE EXPERIENCE ";"Outret",#N/A,TRUE,"FEE FOR SERVICE EXPERIENCE ";"Outact",#N/A,TRUE,"FEE FOR SERVICE EXPERIENCE ";"OutRcomp",#N/A,TRUE,"FEE FOR SERVICE EXPERIENCE ";"Outact",#N/A,TRUE,"FEE FOR SERVICE EXPERIENCE ";"OutRcomp",#N/A,TRUE,"FEE FOR SERVICE EXPERIENCE ";"Outret",#N/A,TRUE,"FEE FOR SERVICE EXPERIENCE ";"actives",#N/A,TRUE,"TRIPLE OPTION EXPERIENCE";"TOP",#N/A,TRUE,"TRIPLE OPTION EXPERIENCE"}</definedName>
    <definedName name="noname3" hidden="1">{"TOP",#N/A,TRUE,"TRIPLE OPTION EXPERIENCE";"actives",#N/A,TRUE,"TRIPLE OPTION EXPERIENCE";"experience",#N/A,TRUE,"TRIPLE OPTION EXPERIENCE";"Outacomp",#N/A,TRUE,"FEE FOR SERVICE EXPERIENCE ";"Outacomp",#N/A,TRUE,"FEE FOR SERVICE EXPERIENCE ";"Outret",#N/A,TRUE,"FEE FOR SERVICE EXPERIENCE ";"Outact",#N/A,TRUE,"FEE FOR SERVICE EXPERIENCE ";"OutRcomp",#N/A,TRUE,"FEE FOR SERVICE EXPERIENCE ";"Outact",#N/A,TRUE,"FEE FOR SERVICE EXPERIENCE ";"OutRcomp",#N/A,TRUE,"FEE FOR SERVICE EXPERIENCE ";"Outret",#N/A,TRUE,"FEE FOR SERVICE EXPERIENCE ";"actives",#N/A,TRUE,"TRIPLE OPTION EXPERIENCE";"TOP",#N/A,TRUE,"TRIPLE OPTION EXPERIENCE"}</definedName>
    <definedName name="NonOpExp">#REF!</definedName>
    <definedName name="NoteTextNames" hidden="1">{"Text 9";"Text 10";"Text 11";"Text 12"}</definedName>
    <definedName name="num_brand_claims_curr" hidden="1">#REF!</definedName>
    <definedName name="num_brand_claims_prior" hidden="1">#REF!</definedName>
    <definedName name="num_brand_multisource_claims_curr" hidden="1">#REF!</definedName>
    <definedName name="num_brand_multisource_claims_prior" hidden="1">#REF!</definedName>
    <definedName name="num_brand_singlesource_claims_curr" hidden="1">#REF!</definedName>
    <definedName name="num_brand_singlesource_claims_prior" hidden="1">#REF!</definedName>
    <definedName name="num_claims_class_A_curr" hidden="1">#REF!</definedName>
    <definedName name="num_claims_class_A_prior" hidden="1">#REF!</definedName>
    <definedName name="num_claims_class_B_curr" hidden="1">#REF!</definedName>
    <definedName name="num_claims_class_B_prior" hidden="1">#REF!</definedName>
    <definedName name="num_claims_class_C_curr" hidden="1">#REF!</definedName>
    <definedName name="num_claims_class_C_prior" hidden="1">#REF!</definedName>
    <definedName name="num_claims_class_D_curr" hidden="1">#REF!</definedName>
    <definedName name="num_claims_class_D_prior" hidden="1">#REF!</definedName>
    <definedName name="num_claims_class_E_curr" hidden="1">#REF!</definedName>
    <definedName name="num_claims_class_E_prior" hidden="1">#REF!</definedName>
    <definedName name="num_claims_class_F_curr" hidden="1">#REF!</definedName>
    <definedName name="num_claims_class_F_prior" hidden="1">#REF!</definedName>
    <definedName name="num_claims_class_G_curr" hidden="1">#REF!</definedName>
    <definedName name="num_claims_class_G_prior" hidden="1">#REF!</definedName>
    <definedName name="num_claims_class_H_curr" hidden="1">#REF!</definedName>
    <definedName name="num_claims_class_H_prior" hidden="1">#REF!</definedName>
    <definedName name="num_claims_class_I_curr" hidden="1">#REF!</definedName>
    <definedName name="num_claims_class_I_prior" hidden="1">#REF!</definedName>
    <definedName name="num_claims_class_J_curr" hidden="1">#REF!</definedName>
    <definedName name="num_claims_class_J_prior" hidden="1">#REF!</definedName>
    <definedName name="num_claims_class_K_curr" hidden="1">#REF!</definedName>
    <definedName name="num_claims_class_K_prior" hidden="1">#REF!</definedName>
    <definedName name="num_claims_class_L_curr" hidden="1">#REF!</definedName>
    <definedName name="num_claims_class_L_prior" hidden="1">#REF!</definedName>
    <definedName name="num_claims_class_M_curr" hidden="1">#REF!</definedName>
    <definedName name="num_claims_class_M_prior" hidden="1">#REF!</definedName>
    <definedName name="num_claims_class_N_curr" hidden="1">#REF!</definedName>
    <definedName name="num_claims_class_N_prior" hidden="1">#REF!</definedName>
    <definedName name="num_claims_class_O_curr" hidden="1">#REF!</definedName>
    <definedName name="num_claims_class_O_prior" hidden="1">#REF!</definedName>
    <definedName name="num_claims_class_OTHER_curr" hidden="1">#REF!</definedName>
    <definedName name="num_claims_class_OTHER_prior" hidden="1">#REF!</definedName>
    <definedName name="num_claims_class_P_curr" hidden="1">#REF!</definedName>
    <definedName name="num_claims_class_P_prior" hidden="1">#REF!</definedName>
    <definedName name="num_claims_class_Q_curr" hidden="1">#REF!</definedName>
    <definedName name="num_claims_class_Q_prior" hidden="1">#REF!</definedName>
    <definedName name="num_claims_class_R_curr" hidden="1">#REF!</definedName>
    <definedName name="num_claims_class_R_prior" hidden="1">#REF!</definedName>
    <definedName name="num_claims_curr" hidden="1">#REF!</definedName>
    <definedName name="num_claims_prior" hidden="1">#REF!</definedName>
    <definedName name="num_formulary_claims_curr" hidden="1">#REF!</definedName>
    <definedName name="num_formulary_claims_prior" hidden="1">#REF!</definedName>
    <definedName name="num_gen_subst_claims_curr" hidden="1">#REF!</definedName>
    <definedName name="num_gen_subst_claims_prior" hidden="1">#REF!</definedName>
    <definedName name="num_generic_claims_curr" hidden="1">#REF!</definedName>
    <definedName name="num_generic_claims_prior" hidden="1">#REF!</definedName>
    <definedName name="num_mod_brand_formulary_claims_curr" hidden="1">#REF!</definedName>
    <definedName name="num_mod_brand_formulary_claims_prior" hidden="1">#REF!</definedName>
    <definedName name="num_mod_generic_claims_curr" hidden="1">#REF!</definedName>
    <definedName name="num_mod_generic_claims_prior" hidden="1">#REF!</definedName>
    <definedName name="num_mod_non_brand_formulary_claims_curr" hidden="1">#REF!</definedName>
    <definedName name="num_mod_non_brand_formulary_claims_prior" hidden="1">#REF!</definedName>
    <definedName name="Num_Pmt_Per_Year">#REF!</definedName>
    <definedName name="num_retail_brand_formulary_claims_curr" hidden="1">#REF!</definedName>
    <definedName name="num_retail_brand_formulary_claims_prior" hidden="1">#REF!</definedName>
    <definedName name="num_retail_generic_claims_curr" hidden="1">#REF!</definedName>
    <definedName name="num_retail_generic_claims_prior" hidden="1">#REF!</definedName>
    <definedName name="num_retail_non_brand_formulary_claims_curr" hidden="1">#REF!</definedName>
    <definedName name="num_retail_non_brand_formulary_claims_prior" hidden="1">#REF!</definedName>
    <definedName name="num_rx_claims_brand_mod_curr" hidden="1">#REF!</definedName>
    <definedName name="num_rx_claims_brand_mod_prior" hidden="1">#REF!</definedName>
    <definedName name="num_rx_claims_brand_retail_curr" hidden="1">#REF!</definedName>
    <definedName name="num_rx_claims_brand_retail_prior" hidden="1">#REF!</definedName>
    <definedName name="num_rx_claims_brand_specialty_curr" hidden="1">#REF!</definedName>
    <definedName name="num_rx_claims_brand_specialty_prior" hidden="1">#REF!</definedName>
    <definedName name="num_rx_claims_mac_mod_curr" hidden="1">#REF!</definedName>
    <definedName name="num_rx_claims_mac_mod_prior" hidden="1">#REF!</definedName>
    <definedName name="num_rx_claims_mac_retail_curr" hidden="1">#REF!</definedName>
    <definedName name="num_rx_claims_mac_retail_prior" hidden="1">#REF!</definedName>
    <definedName name="num_rx_claims_mac_specialty_curr" hidden="1">#REF!</definedName>
    <definedName name="num_rx_claims_mac_specialty_prior" hidden="1">#REF!</definedName>
    <definedName name="num_rx_claims_non_mac_mod_curr" hidden="1">#REF!</definedName>
    <definedName name="num_rx_claims_non_mac_mod_prior" hidden="1">#REF!</definedName>
    <definedName name="num_rx_claims_non_mac_retail_curr" hidden="1">#REF!</definedName>
    <definedName name="num_rx_claims_non_mac_retail_prior" hidden="1">#REF!</definedName>
    <definedName name="num_rx_claims_non_mac_specialty_curr" hidden="1">#REF!</definedName>
    <definedName name="num_rx_claims_non_mac_specialty_prior" hidden="1">#REF!</definedName>
    <definedName name="num_specialty_brand_formulary_claims_curr" hidden="1">#REF!</definedName>
    <definedName name="num_specialty_brand_formulary_claims_prior" hidden="1">#REF!</definedName>
    <definedName name="num_specialty_generic_claims_curr" hidden="1">#REF!</definedName>
    <definedName name="num_specialty_generic_claims_prior" hidden="1">#REF!</definedName>
    <definedName name="num_specialty_non_brand_formulary_claims_curr" hidden="1">#REF!</definedName>
    <definedName name="num_specialty_non_brand_formulary_claims_prior" hidden="1">#REF!</definedName>
    <definedName name="num_util_members_class_A_curr" hidden="1">#REF!</definedName>
    <definedName name="num_util_members_class_A_prior" hidden="1">#REF!</definedName>
    <definedName name="num_util_members_class_B_curr" hidden="1">#REF!</definedName>
    <definedName name="num_util_members_class_B_prior" hidden="1">#REF!</definedName>
    <definedName name="num_util_members_class_C_curr" hidden="1">#REF!</definedName>
    <definedName name="num_util_members_class_C_prior" hidden="1">#REF!</definedName>
    <definedName name="num_util_members_class_D_curr" hidden="1">#REF!</definedName>
    <definedName name="num_util_members_class_D_prior" hidden="1">#REF!</definedName>
    <definedName name="num_util_members_class_E_curr" hidden="1">#REF!</definedName>
    <definedName name="num_util_members_class_E_prior" hidden="1">#REF!</definedName>
    <definedName name="num_util_members_class_F_curr" hidden="1">#REF!</definedName>
    <definedName name="num_util_members_class_F_prior" hidden="1">#REF!</definedName>
    <definedName name="num_util_members_class_G_curr" hidden="1">#REF!</definedName>
    <definedName name="num_util_members_class_G_prior" hidden="1">#REF!</definedName>
    <definedName name="num_util_members_class_H_curr" hidden="1">#REF!</definedName>
    <definedName name="num_util_members_class_H_prior" hidden="1">#REF!</definedName>
    <definedName name="num_util_members_class_I_curr" hidden="1">#REF!</definedName>
    <definedName name="num_util_members_class_I_prior" hidden="1">#REF!</definedName>
    <definedName name="num_util_members_class_J_curr" hidden="1">#REF!</definedName>
    <definedName name="num_util_members_class_J_prior" hidden="1">#REF!</definedName>
    <definedName name="num_util_members_class_K_curr" hidden="1">#REF!</definedName>
    <definedName name="num_util_members_class_K_prior" hidden="1">#REF!</definedName>
    <definedName name="num_util_members_class_L_curr" hidden="1">#REF!</definedName>
    <definedName name="num_util_members_class_L_prior" hidden="1">#REF!</definedName>
    <definedName name="num_util_members_class_M_curr" hidden="1">#REF!</definedName>
    <definedName name="num_util_members_class_M_prior" hidden="1">#REF!</definedName>
    <definedName name="num_util_members_class_N_curr" hidden="1">#REF!</definedName>
    <definedName name="num_util_members_class_N_prior" hidden="1">#REF!</definedName>
    <definedName name="num_util_members_class_O_curr" hidden="1">#REF!</definedName>
    <definedName name="num_util_members_class_O_prior" hidden="1">#REF!</definedName>
    <definedName name="num_util_members_class_OTHER_curr" hidden="1">#REF!</definedName>
    <definedName name="num_util_members_class_OTHER_prior" hidden="1">#REF!</definedName>
    <definedName name="num_util_members_class_P_curr" hidden="1">#REF!</definedName>
    <definedName name="num_util_members_class_P_prior" hidden="1">#REF!</definedName>
    <definedName name="num_util_members_class_Q_curr" hidden="1">#REF!</definedName>
    <definedName name="num_util_members_class_Q_prior" hidden="1">#REF!</definedName>
    <definedName name="num_util_members_class_R_curr" hidden="1">#REF!</definedName>
    <definedName name="num_util_members_class_R_prior" hidden="1">#REF!</definedName>
    <definedName name="num_util_members_curr" hidden="1">#REF!</definedName>
    <definedName name="num_util_members_prior" hidden="1">#REF!</definedName>
    <definedName name="Number">#REF!</definedName>
    <definedName name="Number_of_Current_Subscribers" hidden="1">#REF!</definedName>
    <definedName name="Number_of_Payments">#REF!</definedName>
    <definedName name="Number_of_Prior_FI_Products" hidden="1">#REF!</definedName>
    <definedName name="Number_of_Prior_SI_Products" hidden="1">#REF!</definedName>
    <definedName name="NumberOfAccountsSelected" hidden="1">#REF!</definedName>
    <definedName name="NumberOfNetworksSelected" hidden="1">#REF!</definedName>
    <definedName name="NumberOfPlansSelected" hidden="1">#REF!</definedName>
    <definedName name="NumberofProducts" hidden="1">#REF!</definedName>
    <definedName name="NumberOfSubGroupsSelected" hidden="1">#REF!</definedName>
    <definedName name="NumEntries">#REF!</definedName>
    <definedName name="NWC">#REF!</definedName>
    <definedName name="NWCMargin">#REF!</definedName>
    <definedName name="o">#REF!</definedName>
    <definedName name="old" hidden="1">{"Period 5 Income Statements",#N/A,FALSE,"Income Statement";"Period 5 Balance Sheets",#N/A,FALSE,"Balance Sheet";"Period 5 Cashflow Statements",#N/A,FALSE,"Cashflow Statement";"Period 5 Financial Ratios",#N/A,FALSE,"Financial Ratios"}</definedName>
    <definedName name="one">#REF!</definedName>
    <definedName name="ONYX19970501222055" hidden="1">#REF!</definedName>
    <definedName name="ONYX19970501222155" hidden="1">#REF!</definedName>
    <definedName name="OO_Book_Settings_AllowResize" hidden="1">"0"</definedName>
    <definedName name="OO_Book_Settings_BGColor" hidden="1">""</definedName>
    <definedName name="OO_Book_Settings_CellBGColor" hidden="1">""</definedName>
    <definedName name="OO_Book_Settings_Destination" hidden="1">"\\cdsrv3\TM1\TM1WebFolder\Reports\Mfg Income Statement by Cost Center.xml"</definedName>
    <definedName name="OO_Book_Settings_Footer" hidden="1">""</definedName>
    <definedName name="OO_Book_Settings_Header" hidden="1">""</definedName>
    <definedName name="OO_Book_Settings_HorizontalCenter" hidden="1">"0"</definedName>
    <definedName name="OO_Book_Settings_IgnoreNoPublishWarning" hidden="1">"0"</definedName>
    <definedName name="OO_Book_Settings_Menu" hidden="1">"Menu:All.dim"</definedName>
    <definedName name="OO_Book_Settings_MenuType" hidden="1">"Dim"</definedName>
    <definedName name="OO_Book_Settings_RecalOnDropDownChange" hidden="1">"1"</definedName>
    <definedName name="OO_Book_Settings_RecalOnInputCellChange" hidden="1">"0"</definedName>
    <definedName name="OO_Book_Settings_SynchDestination" hidden="1">"1"</definedName>
    <definedName name="OO_Book_Settings_TBExport" hidden="1">"1"</definedName>
    <definedName name="OO_Book_Settings_TBPaste" hidden="1">"1"</definedName>
    <definedName name="OO_Book_Settings_TBUpdate" hidden="1">"1"</definedName>
    <definedName name="OO_Book_Settings_TBWorksheets" hidden="1">"0"</definedName>
    <definedName name="OO_Book_Settings_TBZoomIn" hidden="1">"1"</definedName>
    <definedName name="OO_Book_Settings_TBZoomOut" hidden="1">"1"</definedName>
    <definedName name="OO_Book_Settings_Toolbar" hidden="1">"1"</definedName>
    <definedName name="OO_Book_Settings_UpdateButton" hidden="1">""</definedName>
    <definedName name="OO_Book_Settings_UseNamedRanges" hidden="1">"1"</definedName>
    <definedName name="OO_Book_Settings_UseWorkbookSettings" hidden="1">"0"</definedName>
    <definedName name="OO_Book_Settings_WorksheetTabs" hidden="1">"0"</definedName>
    <definedName name="OO_Book_Settings_XCDestination" hidden="1">"Y:\TM1WebFolder\Production Workbooks\Mfg Income Statement_xCelsius.xls"</definedName>
    <definedName name="ooo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OptionPrice">#REF!</definedName>
    <definedName name="Options">#REF!</definedName>
    <definedName name="OptionsTrig">#REF!</definedName>
    <definedName name="OtherA">#REF!</definedName>
    <definedName name="otherb" hidden="1">{"COM1996",#N/A,FALSE,"ANNUAL COMMISSIONS";"COM1997",#N/A,FALSE,"ANNUAL COMMISSIONS"}</definedName>
    <definedName name="OtherLabel1">#REF!</definedName>
    <definedName name="OtherLabel2">#REF!</definedName>
    <definedName name="OtherLabel3">#REF!</definedName>
    <definedName name="OtherOpExp">#REF!</definedName>
    <definedName name="OtherRiskPremium">#REF!</definedName>
    <definedName name="OtherT">#REF!</definedName>
    <definedName name="output">#REF!</definedName>
    <definedName name="Over">#REF!</definedName>
    <definedName name="OWNER" hidden="1">#REF!</definedName>
    <definedName name="p" hidden="1">#REF!</definedName>
    <definedName name="p.IRR" hidden="1">#REF!</definedName>
    <definedName name="p.IRR_Titles" hidden="1">#REF!</definedName>
    <definedName name="p.kh" hidden="1">{#N/A,#N/A,FALSE,"Heat";#N/A,#N/A,FALSE,"DCF";#N/A,#N/A,FALSE,"LBO";#N/A,#N/A,FALSE,"A";#N/A,#N/A,FALSE,"C";#N/A,#N/A,FALSE,"impd";#N/A,#N/A,FALSE,"Accr-Dilu"}</definedName>
    <definedName name="p_1">#REF!</definedName>
    <definedName name="P4P_claim_paid_curr" hidden="1">#REF!</definedName>
    <definedName name="Page1">#REF!</definedName>
    <definedName name="Page2">#REF!</definedName>
    <definedName name="page9">#REF!</definedName>
    <definedName name="PageNum">#REF!</definedName>
    <definedName name="PageNumbers" hidden="1">#REF!</definedName>
    <definedName name="paid_female_0_19_curr" hidden="1">#REF!</definedName>
    <definedName name="paid_female_0_19_prior" hidden="1">#REF!</definedName>
    <definedName name="paid_female_20_44_curr" hidden="1">#REF!</definedName>
    <definedName name="paid_female_20_44_prior" hidden="1">#REF!</definedName>
    <definedName name="paid_female_45_64_curr" hidden="1">#REF!</definedName>
    <definedName name="paid_female_45_64_prior" hidden="1">#REF!</definedName>
    <definedName name="paid_female_65_over_curr" hidden="1">#REF!</definedName>
    <definedName name="paid_female_65_over_prior" hidden="1">#REF!</definedName>
    <definedName name="paid_male_0_19_curr" hidden="1">#REF!</definedName>
    <definedName name="paid_male_0_19_prior" hidden="1">#REF!</definedName>
    <definedName name="paid_male_20_44_curr" hidden="1">#REF!</definedName>
    <definedName name="paid_male_20_44_prior" hidden="1">#REF!</definedName>
    <definedName name="paid_male_45_64_curr" hidden="1">#REF!</definedName>
    <definedName name="paid_male_45_64_prior" hidden="1">#REF!</definedName>
    <definedName name="paid_male_65_over_curr" hidden="1">#REF!</definedName>
    <definedName name="paid_male_65_over_prior" hidden="1">#REF!</definedName>
    <definedName name="Pay_Date">#REF!</definedName>
    <definedName name="Pay_Num">#REF!</definedName>
    <definedName name="Payment_Date">#REF!</definedName>
    <definedName name="PB">#REF!</definedName>
    <definedName name="PBV">#REF!</definedName>
    <definedName name="pe">#REF!</definedName>
    <definedName name="PELTM">#REF!</definedName>
    <definedName name="PERIODIC">#REF!</definedName>
    <definedName name="PFQ">#REF!</definedName>
    <definedName name="PL5YRP" hidden="1">{"ebitda",#N/A,FALSE,"EBITDA";"consolidated",#N/A,FALSE,"CCC PL";"divisions",#N/A,FALSE,"Divisions"}</definedName>
    <definedName name="ploi" hidden="1">{#N/A,#N/A,FALSE,"Assump2";#N/A,#N/A,FALSE,"Income2";#N/A,#N/A,FALSE,"Balance2";#N/A,#N/A,FALSE,"DCF Filter";#N/A,#N/A,FALSE,"Trans Assump2";#N/A,#N/A,FALSE,"Combined Income2";#N/A,#N/A,FALSE,"Combined Balance2"}</definedName>
    <definedName name="PoliticalRiskPremium">#REF!</definedName>
    <definedName name="PoolingPt" hidden="1">#REF!</definedName>
    <definedName name="pp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Pr_all">#REF!</definedName>
    <definedName name="Pr_summary">#REF!</definedName>
    <definedName name="PrefA">#REF!</definedName>
    <definedName name="PrefDivPaid">#REF!</definedName>
    <definedName name="Preferred">#REF!</definedName>
    <definedName name="PrefPrice1">#REF!</definedName>
    <definedName name="PrefPrice2">#REF!</definedName>
    <definedName name="PrefShares1">#REF!</definedName>
    <definedName name="PrefShares2">#REF!</definedName>
    <definedName name="PrefT">#REF!</definedName>
    <definedName name="Prem1">#REF!</definedName>
    <definedName name="Prem2">#REF!</definedName>
    <definedName name="Prem3">#REF!</definedName>
    <definedName name="Prem4">#REF!</definedName>
    <definedName name="Prem5">#REF!</definedName>
    <definedName name="Premium">#REF!</definedName>
    <definedName name="PremiumPaidSUmmary" hidden="1">{#N/A,#N/A,FALSE,"Projections";#N/A,#N/A,FALSE,"Multiples Valuation";#N/A,#N/A,FALSE,"LBO";#N/A,#N/A,FALSE,"Multiples_Sensitivity";#N/A,#N/A,FALSE,"Summary"}</definedName>
    <definedName name="PremTrig">#REF!</definedName>
    <definedName name="PretaxInc">#REF!</definedName>
    <definedName name="PretaxIncMargin">#REF!</definedName>
    <definedName name="PretaxItems1">#REF!</definedName>
    <definedName name="PretaxItems2">#REF!</definedName>
    <definedName name="PretaxItems3">#REF!</definedName>
    <definedName name="PretaxItems4">#REF!</definedName>
    <definedName name="Price">#REF!</definedName>
    <definedName name="PriceA">#REF!</definedName>
    <definedName name="PriceDate">#REF!</definedName>
    <definedName name="PriceM">#REF!</definedName>
    <definedName name="Prices">#REF!</definedName>
    <definedName name="PriceT">#REF!</definedName>
    <definedName name="primary_payor_ind" hidden="1">#REF!</definedName>
    <definedName name="PRIN">#REF!</definedName>
    <definedName name="Princ">#REF!</definedName>
    <definedName name="Print_Area_Reset">#REF!</definedName>
    <definedName name="Print_summary">#REF!</definedName>
    <definedName name="Prior_Claims_Above_50K_Check" hidden="1">#REF!</definedName>
    <definedName name="prior_yyyymmdd_incurred_end_date" hidden="1">#REF!</definedName>
    <definedName name="prior_yyyymmdd_processed_end_date" hidden="1">#REF!</definedName>
    <definedName name="ProcEndDateCurr" hidden="1">#REF!</definedName>
    <definedName name="ProcEndDatePrior" hidden="1">#REF!</definedName>
    <definedName name="ProcStartDateCurr" hidden="1">#REF!</definedName>
    <definedName name="ProcStartDatePrior" hidden="1">#REF!</definedName>
    <definedName name="Product" hidden="1">#REF!</definedName>
    <definedName name="Product_01_delete_prior" hidden="1">#REF!</definedName>
    <definedName name="Product_01_members" hidden="1">#REF!</definedName>
    <definedName name="Product_02_delete_prior" hidden="1">#REF!</definedName>
    <definedName name="Product_02_members" hidden="1">#REF!</definedName>
    <definedName name="Product_03_delete_prior" hidden="1">#REF!</definedName>
    <definedName name="Product_03_members" hidden="1">#REF!</definedName>
    <definedName name="Product_04_delete_prior" hidden="1">#REF!</definedName>
    <definedName name="Product_04_members" hidden="1">#REF!</definedName>
    <definedName name="Product_05_delete_prior" hidden="1">#REF!</definedName>
    <definedName name="Product_05_members" hidden="1">#REF!</definedName>
    <definedName name="Product_06_delete_prior" hidden="1">#REF!</definedName>
    <definedName name="Product_06_members" hidden="1">#REF!</definedName>
    <definedName name="Product_07_delete_prior" hidden="1">#REF!</definedName>
    <definedName name="Product_07_members" hidden="1">#REF!</definedName>
    <definedName name="Product_08_delete_prior" hidden="1">#REF!</definedName>
    <definedName name="Product_08_members" hidden="1">#REF!</definedName>
    <definedName name="Product_09_delete_prior" hidden="1">#REF!</definedName>
    <definedName name="Product_09_members" hidden="1">#REF!</definedName>
    <definedName name="Product_10_delete_prior" hidden="1">#REF!</definedName>
    <definedName name="Product_10_members" hidden="1">#REF!</definedName>
    <definedName name="Product_11_delete_prior" hidden="1">#REF!</definedName>
    <definedName name="Product_11_members" hidden="1">#REF!</definedName>
    <definedName name="Product_12_delete_prior" hidden="1">#REF!</definedName>
    <definedName name="Product_12_members" hidden="1">#REF!</definedName>
    <definedName name="Product_13_delete_prior" hidden="1">#REF!</definedName>
    <definedName name="Product_13_members" hidden="1">#REF!</definedName>
    <definedName name="Product_14_delete_prior" hidden="1">#REF!</definedName>
    <definedName name="Product_14_members" hidden="1">#REF!</definedName>
    <definedName name="Product_15_delete_prior" hidden="1">#REF!</definedName>
    <definedName name="Product_15_members" hidden="1">#REF!</definedName>
    <definedName name="Product_30_delete_prior" hidden="1">#REF!</definedName>
    <definedName name="Product_30_members" hidden="1">#REF!</definedName>
    <definedName name="Product_40_delete_prior" hidden="1">#REF!</definedName>
    <definedName name="Product_40_members" hidden="1">#REF!</definedName>
    <definedName name="Product_41_delete_prior" hidden="1">#REF!</definedName>
    <definedName name="Product_41_members" hidden="1">#REF!</definedName>
    <definedName name="Product_42_delete_prior" hidden="1">#REF!</definedName>
    <definedName name="Product_42_members" hidden="1">#REF!</definedName>
    <definedName name="Product_43_delete_prior" hidden="1">#REF!</definedName>
    <definedName name="Product_43_members" hidden="1">#REF!</definedName>
    <definedName name="Product_44_delete_prior" hidden="1">#REF!</definedName>
    <definedName name="Product_44_members" hidden="1">#REF!</definedName>
    <definedName name="Product_45_delete_prior" hidden="1">#REF!</definedName>
    <definedName name="Product_45_members" hidden="1">#REF!</definedName>
    <definedName name="Product_46_delete_prior" hidden="1">#REF!</definedName>
    <definedName name="Product_46_members" hidden="1">#REF!</definedName>
    <definedName name="Product_47_delete_prior" hidden="1">#REF!</definedName>
    <definedName name="Product_47_members" hidden="1">#REF!</definedName>
    <definedName name="Product_48_delete_prior" hidden="1">#REF!</definedName>
    <definedName name="Product_48_members" hidden="1">#REF!</definedName>
    <definedName name="Product_49_delete_prior" hidden="1">#REF!</definedName>
    <definedName name="Product_49_members" hidden="1">#REF!</definedName>
    <definedName name="Product_50_delete_prior" hidden="1">#REF!</definedName>
    <definedName name="Product_50_members" hidden="1">#REF!</definedName>
    <definedName name="Product_51_delete_prior" hidden="1">#REF!</definedName>
    <definedName name="Product_51_members" hidden="1">#REF!</definedName>
    <definedName name="Product_52_delete_prior" hidden="1">#REF!</definedName>
    <definedName name="Product_52_members" hidden="1">#REF!</definedName>
    <definedName name="Product_53_delete_prior" hidden="1">#REF!</definedName>
    <definedName name="Product_53_members" hidden="1">#REF!</definedName>
    <definedName name="Product_54_delete_prior" hidden="1">#REF!</definedName>
    <definedName name="Product_54_members" hidden="1">#REF!</definedName>
    <definedName name="Product_55_delete_prior" hidden="1">#REF!</definedName>
    <definedName name="Product_55_members" hidden="1">#REF!</definedName>
    <definedName name="Product_56_delete_prior" hidden="1">#REF!</definedName>
    <definedName name="Product_56_members" hidden="1">#REF!</definedName>
    <definedName name="Product_57_delete_prior" hidden="1">#REF!</definedName>
    <definedName name="Product_57_members" hidden="1">#REF!</definedName>
    <definedName name="Product_58_delete_prior" hidden="1">#REF!</definedName>
    <definedName name="Product_58_members" hidden="1">#REF!</definedName>
    <definedName name="Product_59_delete_prior" hidden="1">#REF!</definedName>
    <definedName name="Product_59_members" hidden="1">#REF!</definedName>
    <definedName name="Product_68_delete_prior" hidden="1">#REF!</definedName>
    <definedName name="Product_68_members" hidden="1">#REF!</definedName>
    <definedName name="Product_69_delete_prior" hidden="1">#REF!</definedName>
    <definedName name="Product_69_members" hidden="1">#REF!</definedName>
    <definedName name="Product_70_delete_prior" hidden="1">#REF!</definedName>
    <definedName name="Product_70_members" hidden="1">#REF!</definedName>
    <definedName name="Product_71_delete_prior" hidden="1">#REF!</definedName>
    <definedName name="Product_71_members" hidden="1">#REF!</definedName>
    <definedName name="Product_72_delete_prior" hidden="1">#REF!</definedName>
    <definedName name="Product_72_members" hidden="1">#REF!</definedName>
    <definedName name="Product_73_delete_prior" hidden="1">#REF!</definedName>
    <definedName name="Product_73_members" hidden="1">#REF!</definedName>
    <definedName name="Product_74_delete_prior" hidden="1">#REF!</definedName>
    <definedName name="Product_74_members" hidden="1">#REF!</definedName>
    <definedName name="Product_75_delete_prior" hidden="1">#REF!</definedName>
    <definedName name="Product_75_members" hidden="1">#REF!</definedName>
    <definedName name="Product_76_delete_prior" hidden="1">#REF!</definedName>
    <definedName name="Product_76_members" hidden="1">#REF!</definedName>
    <definedName name="Product_99_delete_prior" hidden="1">#REF!</definedName>
    <definedName name="Product_99_members" hidden="1">#REF!</definedName>
    <definedName name="Product_Check" hidden="1">#REF!</definedName>
    <definedName name="Product_DN_delete_prior" hidden="1">#REF!</definedName>
    <definedName name="Product_DN_members" hidden="1">#REF!</definedName>
    <definedName name="Product_RX_delete_prior" hidden="1">#REF!</definedName>
    <definedName name="Product_RX_members" hidden="1">#REF!</definedName>
    <definedName name="Product18_or_22" hidden="1">#REF!</definedName>
    <definedName name="Product22" hidden="1">#REF!</definedName>
    <definedName name="Prov_net_total_admits_curr" hidden="1">#REF!</definedName>
    <definedName name="Prov_net_total_admits_prior" hidden="1">#REF!</definedName>
    <definedName name="Prov_Network_Physician_Other_Footnote" hidden="1">#REF!</definedName>
    <definedName name="Provider_Network_Exp_Dental_Range" hidden="1">#REF!</definedName>
    <definedName name="Provider_Network_Exp_Medical_Range" hidden="1">#REF!</definedName>
    <definedName name="PSUName" hidden="1">#REF!</definedName>
    <definedName name="PSUNumber" hidden="1">#REF!</definedName>
    <definedName name="PTBV">#REF!</definedName>
    <definedName name="PurchTrig">#REF!</definedName>
    <definedName name="PVOther">#REF!</definedName>
    <definedName name="q" hidden="1">{#N/A,#N/A,FALSE,"Projections";#N/A,#N/A,FALSE,"Multiples Valuation";#N/A,#N/A,FALSE,"LBO";#N/A,#N/A,FALSE,"Multiples_Sensitivity";#N/A,#N/A,FALSE,"Summary"}</definedName>
    <definedName name="qe5yh" hidden="1">{#N/A,#N/A,FALSE,"Summary";#N/A,#N/A,FALSE,"Projections";#N/A,#N/A,FALSE,"Mkt Mults";#N/A,#N/A,FALSE,"DCF";#N/A,#N/A,FALSE,"Accr Dil";#N/A,#N/A,FALSE,"PIC LBO";#N/A,#N/A,FALSE,"MULT10_4";#N/A,#N/A,FALSE,"CBI LBO"}</definedName>
    <definedName name="Quarter2End">#REF!</definedName>
    <definedName name="QueryResults">#REF!</definedName>
    <definedName name="QuickRatio">#REF!</definedName>
    <definedName name="qw" hidden="1">{#N/A,#N/A,FALSE,"Pooling";#N/A,#N/A,FALSE,"income";#N/A,#N/A,FALSE,"valuation"}</definedName>
    <definedName name="qwe" hidden="1">{#N/A,#N/A,FALSE,"Projections";#N/A,#N/A,FALSE,"Multiples Valuation";#N/A,#N/A,FALSE,"LBO";#N/A,#N/A,FALSE,"Multiples_Sensitivity";#N/A,#N/A,FALSE,"Summary"}</definedName>
    <definedName name="qwq" hidden="1">"c4444"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angeChange" hidden="1">#N/A</definedName>
    <definedName name="ra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D">#REF!</definedName>
    <definedName name="RDMargin">#REF!</definedName>
    <definedName name="Recap" hidden="1">{#N/A,#N/A,FALSE,"IPO";#N/A,#N/A,FALSE,"DCF";#N/A,#N/A,FALSE,"LBO";#N/A,#N/A,FALSE,"MULT_VAL";#N/A,#N/A,FALSE,"Status Quo";#N/A,#N/A,FALSE,"Recap"}</definedName>
    <definedName name="RefinTrig">#REF!</definedName>
    <definedName name="Remove_Aetna_PPO_II_Ntwk" hidden="1">#REF!</definedName>
    <definedName name="Remove_Aetna_PPO_Ntwk" hidden="1">#REF!</definedName>
    <definedName name="Remove_Aetna_Spec_Ntwk" hidden="1">#REF!</definedName>
    <definedName name="Remove_Cust_Spec_Ntwk" hidden="1">#REF!</definedName>
    <definedName name="Remove_Dental_Combined_Section_Check" hidden="1">#REF!</definedName>
    <definedName name="Remove_Dental_PPO_Max_Section_Check" hidden="1">#REF!</definedName>
    <definedName name="Remove_Dental_PPO_Section_Check" hidden="1">#REF!</definedName>
    <definedName name="Rent">#REF!</definedName>
    <definedName name="Report_Criteria_Home" hidden="1">#REF!</definedName>
    <definedName name="Report_Criteria_Range" hidden="1">#REF!</definedName>
    <definedName name="report_id" hidden="1">#REF!</definedName>
    <definedName name="report_type" hidden="1">#REF!</definedName>
    <definedName name="ReportEPS">#REF!</definedName>
    <definedName name="ReportEPSLTM">#REF!</definedName>
    <definedName name="ReportGroup" hidden="1">0</definedName>
    <definedName name="ReportNetInc">#REF!</definedName>
    <definedName name="ReportPELTM">#REF!</definedName>
    <definedName name="RepurchShares">#REF!</definedName>
    <definedName name="Request_ID" hidden="1">#REF!</definedName>
    <definedName name="ResearchSource">#REF!</definedName>
    <definedName name="resources" hidden="1">{#N/A,#N/A,FALSE,"Assessment";#N/A,#N/A,FALSE,"Staffing";#N/A,#N/A,FALSE,"Hires";#N/A,#N/A,FALSE,"Assumptions"}</definedName>
    <definedName name="Retail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claims_curr" hidden="1">#REF!</definedName>
    <definedName name="retail_claims_prior" hidden="1">#REF!</definedName>
    <definedName name="retail_copay_amt_curr" hidden="1">#REF!</definedName>
    <definedName name="retail_copay_amt_prior" hidden="1">#REF!</definedName>
    <definedName name="retail_paid_amt_curr" hidden="1">#REF!</definedName>
    <definedName name="retail_paid_amt_prior" hidden="1">#REF!</definedName>
    <definedName name="retail_plan_paid_amt_curr" hidden="1">#REF!</definedName>
    <definedName name="retail_plan_paid_amt_prior" hidden="1">#REF!</definedName>
    <definedName name="retyu" hidden="1">{#N/A,#N/A,FALSE,"AD_Purchase";#N/A,#N/A,FALSE,"Credit";#N/A,#N/A,FALSE,"PF Acquisition";#N/A,#N/A,FALSE,"PF Offering"}</definedName>
    <definedName name="RevA">#REF!</definedName>
    <definedName name="RevenueGrowth">#REF!</definedName>
    <definedName name="Revenues">#REF!</definedName>
    <definedName name="RevT">#REF!</definedName>
    <definedName name="rfgg" hidden="1">{#N/A,#N/A,FALSE,"sum-don";#N/A,#N/A,FALSE,"inc-don"}</definedName>
    <definedName name="RiskFreeRate">#REF!</definedName>
    <definedName name="rngComments" hidden="1">#REF!</definedName>
    <definedName name="rngDialogType" hidden="1">#REF!</definedName>
    <definedName name="rngEndDate" hidden="1">#REF!</definedName>
    <definedName name="rngLastQuery" hidden="1">#REF!</definedName>
    <definedName name="rngLastRefreshOffline" hidden="1">#REF!</definedName>
    <definedName name="rngPassword" hidden="1">#REF!</definedName>
    <definedName name="rngPivotLocation" hidden="1">#REF!</definedName>
    <definedName name="rngProtected" hidden="1">#REF!</definedName>
    <definedName name="rngPWD" hidden="1">#REF!</definedName>
    <definedName name="rngQuery" hidden="1">#REF!</definedName>
    <definedName name="rngQueryType" hidden="1">#REF!</definedName>
    <definedName name="rngRangeName" hidden="1">#REF!</definedName>
    <definedName name="rngRefreshedDate" hidden="1">#REF!</definedName>
    <definedName name="rngScenarios" hidden="1">#REF!</definedName>
    <definedName name="rngShow" hidden="1">#REF!</definedName>
    <definedName name="rngStartDate" hidden="1">#REF!</definedName>
    <definedName name="rngStoredProcedure" hidden="1">#REF!</definedName>
    <definedName name="rngUID" hidden="1">#REF!</definedName>
    <definedName name="rngUnplugged" hidden="1">#REF!</definedName>
    <definedName name="rngVersion" hidden="1">#REF!</definedName>
    <definedName name="ROA">#REF!</definedName>
    <definedName name="ROE">#REF!</definedName>
    <definedName name="row_height_current" hidden="1">#REF!</definedName>
    <definedName name="rt" hidden="1">{#N/A,#N/A,FALSE,"Second";#N/A,#N/A,FALSE,"ownership";#N/A,#N/A,FALSE,"Valuation";#N/A,#N/A,FALSE,"Eqiv";#N/A,#N/A,FALSE,"Mults";#N/A,#N/A,FALSE,"ISCG Graphics"}</definedName>
    <definedName name="Run_Date" hidden="1">#REF!</definedName>
    <definedName name="Run_TOC_Switch" hidden="1">#REF!</definedName>
    <definedName name="Rwvu.Final._.Day._.1." hidden="1">#REF!,#REF!,#REF!</definedName>
    <definedName name="Rwvu.Full." hidden="1">#REF!,#REF!</definedName>
    <definedName name="Rx_AHF_avg_age_members_curr" hidden="1">#REF!</definedName>
    <definedName name="Rx_AHF_avg_age_members_prior" hidden="1">#REF!</definedName>
    <definedName name="Rx_AHF_female_mem_0_19_curr" hidden="1">#REF!</definedName>
    <definedName name="Rx_AHF_female_mem_0_19_prior" hidden="1">#REF!</definedName>
    <definedName name="Rx_AHF_female_mem_20_44_curr" hidden="1">#REF!</definedName>
    <definedName name="Rx_AHF_female_mem_20_44_prior" hidden="1">#REF!</definedName>
    <definedName name="Rx_AHF_female_mem_45_64_curr" hidden="1">#REF!</definedName>
    <definedName name="Rx_AHF_female_mem_45_64_prior" hidden="1">#REF!</definedName>
    <definedName name="Rx_AHF_female_mem_65_over_curr" hidden="1">#REF!</definedName>
    <definedName name="Rx_AHF_female_mem_65_over_prior" hidden="1">#REF!</definedName>
    <definedName name="Rx_AHF_female_members_curr" hidden="1">#REF!</definedName>
    <definedName name="Rx_AHF_female_members_prior" hidden="1">#REF!</definedName>
    <definedName name="Rx_AHF_Ind" hidden="1">#REF!</definedName>
    <definedName name="Rx_AHF_male_mem_0_19_curr" hidden="1">#REF!</definedName>
    <definedName name="Rx_AHF_male_mem_0_19_prior" hidden="1">#REF!</definedName>
    <definedName name="Rx_AHF_male_mem_20_44_curr" hidden="1">#REF!</definedName>
    <definedName name="Rx_AHF_male_mem_20_44_prior" hidden="1">#REF!</definedName>
    <definedName name="Rx_AHF_male_mem_45_64_curr" hidden="1">#REF!</definedName>
    <definedName name="Rx_AHF_male_mem_45_64_prior" hidden="1">#REF!</definedName>
    <definedName name="Rx_AHF_male_mem_65_over_curr" hidden="1">#REF!</definedName>
    <definedName name="Rx_AHF_male_mem_65_over_prior" hidden="1">#REF!</definedName>
    <definedName name="Rx_AHF_male_members_curr" hidden="1">#REF!</definedName>
    <definedName name="Rx_AHF_male_members_prior" hidden="1">#REF!</definedName>
    <definedName name="Rx_AHF_months_curr" hidden="1">#REF!</definedName>
    <definedName name="Rx_AHF_months_prior" hidden="1">#REF!</definedName>
    <definedName name="Rx_AHF_num_employees_curr" hidden="1">#REF!</definedName>
    <definedName name="Rx_AHF_num_employees_prior" hidden="1">#REF!</definedName>
    <definedName name="Rx_AHF_num_members_curr" hidden="1">#REF!</definedName>
    <definedName name="Rx_AHF_num_members_prior" hidden="1">#REF!</definedName>
    <definedName name="Rx_AHF_unknown_mem_0_19_curr" hidden="1">#REF!</definedName>
    <definedName name="Rx_AHF_unknown_mem_0_19_prior" hidden="1">#REF!</definedName>
    <definedName name="Rx_AHF_unknown_mem_20_44_curr" hidden="1">#REF!</definedName>
    <definedName name="Rx_AHF_unknown_mem_20_44_prior" hidden="1">#REF!</definedName>
    <definedName name="Rx_AHF_unknown_mem_45_64_curr" hidden="1">#REF!</definedName>
    <definedName name="Rx_AHF_unknown_mem_45_64_prior" hidden="1">#REF!</definedName>
    <definedName name="Rx_AHF_unknown_mem_65_over_curr" hidden="1">#REF!</definedName>
    <definedName name="Rx_AHF_unknown_mem_65_over_prior" hidden="1">#REF!</definedName>
    <definedName name="Rx_AHF_unknown_members_curr" hidden="1">#REF!</definedName>
    <definedName name="Rx_AHF_unknown_members_prior" hidden="1">#REF!</definedName>
    <definedName name="Rx_avg_age_members_curr" hidden="1">#REF!</definedName>
    <definedName name="Rx_avg_age_members_prior" hidden="1">#REF!</definedName>
    <definedName name="Rx_data_check" hidden="1">#REF!</definedName>
    <definedName name="Rx_Demographics_Range" hidden="1">#REF!</definedName>
    <definedName name="Rx_female_mem_0_19_curr" hidden="1">#REF!</definedName>
    <definedName name="Rx_female_mem_0_19_prior" hidden="1">#REF!</definedName>
    <definedName name="Rx_female_mem_20_44_curr" hidden="1">#REF!</definedName>
    <definedName name="Rx_female_mem_20_44_prior" hidden="1">#REF!</definedName>
    <definedName name="Rx_female_mem_45_64_curr" hidden="1">#REF!</definedName>
    <definedName name="Rx_female_mem_45_64_prior" hidden="1">#REF!</definedName>
    <definedName name="Rx_female_mem_65_over_curr" hidden="1">#REF!</definedName>
    <definedName name="Rx_female_mem_65_over_prior" hidden="1">#REF!</definedName>
    <definedName name="Rx_female_members_curr" hidden="1">#REF!</definedName>
    <definedName name="Rx_female_members_prior" hidden="1">#REF!</definedName>
    <definedName name="Rx_Formulary_Analysis_Range" hidden="1">#REF!</definedName>
    <definedName name="Rx_GPI_Roll_Up_Categories_Range" hidden="1">#REF!</definedName>
    <definedName name="Rx_Key_Statistics_by_Generic_Range" hidden="1">#REF!</definedName>
    <definedName name="Rx_Key_Statistics_Range" hidden="1">#REF!</definedName>
    <definedName name="Rx_male_mem_0_19_curr" hidden="1">#REF!</definedName>
    <definedName name="Rx_male_mem_0_19_prior" hidden="1">#REF!</definedName>
    <definedName name="Rx_male_mem_20_44_curr" hidden="1">#REF!</definedName>
    <definedName name="Rx_male_mem_20_44_prior" hidden="1">#REF!</definedName>
    <definedName name="Rx_male_mem_45_64_curr" hidden="1">#REF!</definedName>
    <definedName name="Rx_male_mem_45_64_prior" hidden="1">#REF!</definedName>
    <definedName name="Rx_male_mem_65_over_curr" hidden="1">#REF!</definedName>
    <definedName name="Rx_male_mem_65_over_prior" hidden="1">#REF!</definedName>
    <definedName name="Rx_male_members_curr" hidden="1">#REF!</definedName>
    <definedName name="Rx_male_members_prior" hidden="1">#REF!</definedName>
    <definedName name="Rx_months_curr" hidden="1">#REF!</definedName>
    <definedName name="Rx_months_prior" hidden="1">#REF!</definedName>
    <definedName name="Rx_Network_Analysis_Savings_Range" hidden="1">#REF!</definedName>
    <definedName name="Rx_num_employees_curr" hidden="1">#REF!</definedName>
    <definedName name="Rx_num_employees_prior" hidden="1">#REF!</definedName>
    <definedName name="Rx_num_members_curr" hidden="1">#REF!</definedName>
    <definedName name="Rx_num_members_prior" hidden="1">#REF!</definedName>
    <definedName name="Rx_paid_amt_prior" hidden="1">#REF!</definedName>
    <definedName name="Rx_Retail_vs_MOD_Impact_Range" hidden="1">#REF!</definedName>
    <definedName name="Rx_Top_30_Drugs_by_Claims_Range" hidden="1">#REF!</definedName>
    <definedName name="Rx_Top_30_Drugs_by_Paid_Range" hidden="1">#REF!</definedName>
    <definedName name="Rx_unknown_mem_0_19_curr" hidden="1">#REF!</definedName>
    <definedName name="Rx_unknown_mem_0_19_prior" hidden="1">#REF!</definedName>
    <definedName name="Rx_unknown_mem_20_44_curr" hidden="1">#REF!</definedName>
    <definedName name="Rx_unknown_mem_20_44_prior" hidden="1">#REF!</definedName>
    <definedName name="Rx_unknown_mem_45_64_curr" hidden="1">#REF!</definedName>
    <definedName name="Rx_unknown_mem_45_64_prior" hidden="1">#REF!</definedName>
    <definedName name="Rx_unknown_mem_65_over_curr" hidden="1">#REF!</definedName>
    <definedName name="Rx_unknown_mem_65_over_prior" hidden="1">#REF!</definedName>
    <definedName name="Rx_unknown_members_curr" hidden="1">#REF!</definedName>
    <definedName name="Rx_unknown_members_prior" hidden="1">#REF!</definedName>
    <definedName name="RxKeyStats_Footnote_BOB" hidden="1">#REF!</definedName>
    <definedName name="r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s" hidden="1">{"page1",#N/A,FALSE,"GIRLBO";"page2",#N/A,FALSE,"GIRLBO";"page3",#N/A,FALSE,"GIRLBO";"page4",#N/A,FALSE,"GIRLBO";"page5",#N/A,FALSE,"GIRLBO"}</definedName>
    <definedName name="s_2">#REF!</definedName>
    <definedName name="s_3">#REF!</definedName>
    <definedName name="sa" hidden="1">{#N/A,#N/A,FALSE,"IPO";#N/A,#N/A,FALSE,"DCF";#N/A,#N/A,FALSE,"LBO";#N/A,#N/A,FALSE,"MULT_VAL";#N/A,#N/A,FALSE,"Status Quo";#N/A,#N/A,FALSE,"Recap"}</definedName>
    <definedName name="saa" hidden="1">{"rtn",#N/A,FALSE,"RTN";"tables",#N/A,FALSE,"RTN";"cf",#N/A,FALSE,"CF";"stats",#N/A,FALSE,"Stats";"prop",#N/A,FALSE,"Prop"}</definedName>
    <definedName name="saf" hidden="1">{#N/A,#N/A,FALSE,"Projections";#N/A,#N/A,FALSE,"Contribution_Stock";#N/A,#N/A,FALSE,"PF_Combo_Stock";#N/A,#N/A,FALSE,"Projections";#N/A,#N/A,FALSE,"Contribution_Cash";#N/A,#N/A,FALSE,"PF_Combo_Cash";#N/A,#N/A,FALSE,"IPO_Cash"}</definedName>
    <definedName name="salaries">#REF!</definedName>
    <definedName name="Salaries2">#REF!</definedName>
    <definedName name="SalaryInflation">#REF!</definedName>
    <definedName name="salarys">#REF!</definedName>
    <definedName name="SAPBEXhrIndnt" hidden="1">"Wide"</definedName>
    <definedName name="SAPsysID" hidden="1">"708C5W7SBKP804JT78WJ0JNKI"</definedName>
    <definedName name="SAPwbID" hidden="1">"ARS"</definedName>
    <definedName name="SARPrice">#REF!</definedName>
    <definedName name="SARs">#REF!</definedName>
    <definedName name="sas" hidden="1">{"Outflow 1",#N/A,FALSE,"Outflows-Inflows";"Outflow 2",#N/A,FALSE,"Outflows-Inflows";"Inflow 1",#N/A,FALSE,"Outflows-Inflows";"Inflow 2",#N/A,FALSE,"Outflows-Inflows"}</definedName>
    <definedName name="Sav_Benefit_Dental_Range" hidden="1">#REF!</definedName>
    <definedName name="sbp_allowed_amt" hidden="1">#REF!</definedName>
    <definedName name="SBP_Network_Discount_Savings_Percent" hidden="1">#REF!</definedName>
    <definedName name="SBP_Percent_Allowed_Amount" hidden="1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ot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sd" hidden="1">{#N/A,#N/A,FALSE,"IPO";#N/A,#N/A,FALSE,"DCF";#N/A,#N/A,FALSE,"LBO";#N/A,#N/A,FALSE,"MULT_VAL";#N/A,#N/A,FALSE,"Status Quo";#N/A,#N/A,FALSE,"Recap"}</definedName>
    <definedName name="sda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s" hidden="1">{"Outflow 1",#N/A,FALSE,"Outflows-Inflows";"Outflow 2",#N/A,FALSE,"Outflows-Inflows";"Inflow 1",#N/A,FALSE,"Outflows-Inflows";"Inflow 2",#N/A,FALSE,"Outflows-Inflows"}</definedName>
    <definedName name="sdf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sd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sdfs" hidden="1">{#N/A,#N/A,FALSE,"Projections";#N/A,#N/A,FALSE,"Multiples Valuation";#N/A,#N/A,FALSE,"LBO";#N/A,#N/A,FALSE,"Multiples_Sensitivity";#N/A,#N/A,FALSE,"Summary"}</definedName>
    <definedName name="sdfs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sdhdhfdfhh" hidden="1">{#N/A,#N/A,FALSE,"Balance Sheet";#N/A,#N/A,FALSE,"Income Statement";#N/A,#N/A,FALSE,"Changes in Financial Position"}</definedName>
    <definedName name="se">#REF!</definedName>
    <definedName name="sencount" hidden="1">1</definedName>
    <definedName name="ServRevF01">#REF!</definedName>
    <definedName name="sfr" hidden="1">#REF!</definedName>
    <definedName name="sg" hidden="1">#REF!</definedName>
    <definedName name="SGA">#REF!</definedName>
    <definedName name="SGAMargin">#REF!</definedName>
    <definedName name="sgf" hidden="1">#REF!</definedName>
    <definedName name="Shares">#REF!</definedName>
    <definedName name="SharesConv">#REF!</definedName>
    <definedName name="SharesCurrentA">#REF!</definedName>
    <definedName name="SharesCurrentT">#REF!</definedName>
    <definedName name="SharesLTMA">#REF!</definedName>
    <definedName name="SharesLTMT">#REF!</definedName>
    <definedName name="SharesOptions">#REF!</definedName>
    <definedName name="SharesYear1A">#REF!</definedName>
    <definedName name="SharesYear1T">#REF!</definedName>
    <definedName name="SharesYear2A">#REF!</definedName>
    <definedName name="SharesYear2T">#REF!</definedName>
    <definedName name="Sheet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3" hidden="1">{#N/A,#N/A,FALSE,"Projections";#N/A,#N/A,FALSE,"Multiples Valuation";#N/A,#N/A,FALSE,"LBO";#N/A,#N/A,FALSE,"Multiples_Sensitivity";#N/A,#N/A,FALSE,"Summary"}</definedName>
    <definedName name="Sheet4" hidden="1">{#N/A,#N/A,FALSE,"Projections";#N/A,#N/A,FALSE,"Multiples Valuation";#N/A,#N/A,FALSE,"LBO";#N/A,#N/A,FALSE,"Multiples_Sensitivity";#N/A,#N/A,FALSE,"Summary"}</definedName>
    <definedName name="Sheet6" hidden="1">{#N/A,#N/A,FALSE,"Projections";#N/A,#N/A,FALSE,"Multiples Valuation";#N/A,#N/A,FALSE,"LBO";#N/A,#N/A,FALSE,"Multiples_Sensitivity";#N/A,#N/A,FALSE,"Summary"}</definedName>
    <definedName name="SI_ER_VISITS_FOOTNOTE_DESCRIPTION" hidden="1">#REF!</definedName>
    <definedName name="SI_EXEC_SUMMARY_RANGE_ROW7_ROW83" hidden="1">#REF!</definedName>
    <definedName name="SI_EXEC_SUMMARY_RANGE_ROW71_ROW82" hidden="1">#REF!</definedName>
    <definedName name="si_exec_summary_row44" hidden="1">#REF!</definedName>
    <definedName name="si_exec_summary_rows12_rows13" hidden="1">#REF!</definedName>
    <definedName name="si_exec_summary_rows56_rows65" hidden="1">#REF!</definedName>
    <definedName name="si_exec_summary_rows7_rows82" hidden="1">#REF!</definedName>
    <definedName name="si_exec_summary_rows7_rows84" hidden="1">#REF!</definedName>
    <definedName name="si_exec_summary_rows71_rows83" hidden="1">#REF!</definedName>
    <definedName name="SI_Executive_Summary_Home" hidden="1">#REF!</definedName>
    <definedName name="SI_Executive_Summary_Page" hidden="1">#REF!</definedName>
    <definedName name="SI_Executive_Summary_Page_NoData_Text" hidden="1">#REF!</definedName>
    <definedName name="SI_Executive_Summary_Range" hidden="1">#REF!</definedName>
    <definedName name="SI_FI_SBP_product_count" hidden="1">#REF!</definedName>
    <definedName name="SI_Rx_Key_Stats_Demographics_Header_June_08" hidden="1">#REF!</definedName>
    <definedName name="SI_Rx_Paid_Current" hidden="1">#REF!</definedName>
    <definedName name="SI_SBP_product_count" hidden="1">#REF!</definedName>
    <definedName name="SI_SBP_Total_Prior_Members" hidden="1">#REF!</definedName>
    <definedName name="SIC">#REF!</definedName>
    <definedName name="sic1high">#REF!</definedName>
    <definedName name="sic1low">#REF!</definedName>
    <definedName name="sic1ok">#REF!</definedName>
    <definedName name="sic2high">#REF!</definedName>
    <definedName name="sic2low">#REF!</definedName>
    <definedName name="sic2ok">#REF!</definedName>
    <definedName name="sic3high">#REF!</definedName>
    <definedName name="sic3low">#REF!</definedName>
    <definedName name="sic3ok">#REF!</definedName>
    <definedName name="singlesource_util_curr" hidden="1">#REF!</definedName>
    <definedName name="singlesource_util_prior" hidden="1">#REF!</definedName>
    <definedName name="SizePremia">#REF!</definedName>
    <definedName name="SizePremiaRange">#REF!</definedName>
    <definedName name="SleepmasterIncom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MPS" hidden="1">{#N/A,#N/A,FALSE,"AD_Purchase";#N/A,#N/A,FALSE,"Credit";#N/A,#N/A,FALSE,"PF Acquisition";#N/A,#N/A,FALSE,"PF Offering"}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0.6</definedName>
    <definedName name="sort_product" hidden="1">#REF!</definedName>
    <definedName name="source">#REF!</definedName>
    <definedName name="source1">#REF!</definedName>
    <definedName name="Special">#REF!</definedName>
    <definedName name="specialty_paid_amt_curr" hidden="1">#REF!</definedName>
    <definedName name="specialty_paid_amt_prior" hidden="1">#REF!</definedName>
    <definedName name="Sponsor_Saturation2">#REF!</definedName>
    <definedName name="SrRate">#REF!</definedName>
    <definedName name="ss" hidden="1">{#N/A,#N/A,FALSE,"Debt Accr";#N/A,#N/A,FALSE,"Stock Accr";#N/A,#N/A,FALSE,"Debt Stock Accr"}</definedName>
    <definedName name="sss">#REF!</definedName>
    <definedName name="ssss" hidden="1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staffing2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rtMonth">#REF!</definedName>
    <definedName name="Stat1">#REF!</definedName>
    <definedName name="Stat10">#REF!</definedName>
    <definedName name="Stat2">#REF!</definedName>
    <definedName name="Stat3">#REF!</definedName>
    <definedName name="Stat4">#REF!</definedName>
    <definedName name="Stat5">#REF!</definedName>
    <definedName name="Stat6">#REF!</definedName>
    <definedName name="Stat7">#REF!</definedName>
    <definedName name="Stat8">#REF!</definedName>
    <definedName name="Stat9">#REF!</definedName>
    <definedName name="StatLabel1">#REF!</definedName>
    <definedName name="StatLabel10">#REF!</definedName>
    <definedName name="StatLabel2">#REF!</definedName>
    <definedName name="StatLabel3">#REF!</definedName>
    <definedName name="StatLabel4">#REF!</definedName>
    <definedName name="StatLabel5">#REF!</definedName>
    <definedName name="StatLabel6">#REF!</definedName>
    <definedName name="StatLabel7">#REF!</definedName>
    <definedName name="StatLabel8">#REF!</definedName>
    <definedName name="StatLabel9">#REF!</definedName>
    <definedName name="STDebt">#REF!</definedName>
    <definedName name="StockExch">#REF!</definedName>
    <definedName name="StopLightingCostShare" hidden="1">#REF!</definedName>
    <definedName name="StopLightingImpactCat" hidden="1">#REF!</definedName>
    <definedName name="StopLightingKeyStats" hidden="1">#REF!</definedName>
    <definedName name="StopLightingProviderNetwork" hidden="1">#REF!</definedName>
    <definedName name="StopLightStart" hidden="1">#REF!</definedName>
    <definedName name="StrLTDebt">#REF!</definedName>
    <definedName name="StrPref">#REF!</definedName>
    <definedName name="StrPrefLiq">#REF!</definedName>
    <definedName name="Stub" hidden="1">#REF!</definedName>
    <definedName name="SubRate">#REF!</definedName>
    <definedName name="sum_awp_amt_brand_mod_curr" hidden="1">#REF!</definedName>
    <definedName name="sum_awp_amt_brand_mod_prior" hidden="1">#REF!</definedName>
    <definedName name="sum_awp_amt_brand_retail_curr" hidden="1">#REF!</definedName>
    <definedName name="sum_awp_amt_brand_retail_prior" hidden="1">#REF!</definedName>
    <definedName name="sum_awp_amt_brand_specialty_curr" hidden="1">#REF!</definedName>
    <definedName name="sum_awp_amt_brand_specialty_prior" hidden="1">#REF!</definedName>
    <definedName name="sum_awp_amt_mac_mod_curr" hidden="1">#REF!</definedName>
    <definedName name="sum_awp_amt_mac_mod_prior" hidden="1">#REF!</definedName>
    <definedName name="sum_awp_amt_mac_retail_curr" hidden="1">#REF!</definedName>
    <definedName name="sum_awp_amt_mac_retail_prior" hidden="1">#REF!</definedName>
    <definedName name="sum_awp_amt_mac_specialty_curr" hidden="1">#REF!</definedName>
    <definedName name="sum_awp_amt_mac_specialty_prior" hidden="1">#REF!</definedName>
    <definedName name="sum_awp_amt_non_mac_mod_curr" hidden="1">#REF!</definedName>
    <definedName name="sum_awp_amt_non_mac_mod_prior" hidden="1">#REF!</definedName>
    <definedName name="sum_awp_amt_non_mac_retail_curr" hidden="1">#REF!</definedName>
    <definedName name="sum_awp_amt_non_mac_retail_prior" hidden="1">#REF!</definedName>
    <definedName name="sum_awp_amt_non_mac_specialty_curr" hidden="1">#REF!</definedName>
    <definedName name="sum_awp_amt_non_mac_specialty_prior" hidden="1">#REF!</definedName>
    <definedName name="sum_brand_multisource_avg_paid_claim_curr" hidden="1">#REF!</definedName>
    <definedName name="sum_brand_multisource_avg_paid_claim_prior" hidden="1">#REF!</definedName>
    <definedName name="sum_brand_multisource_calc_ing_curr" hidden="1">#REF!</definedName>
    <definedName name="sum_brand_multisource_calc_ing_prior" hidden="1">#REF!</definedName>
    <definedName name="sum_brand_multisource_copay_curr" hidden="1">#REF!</definedName>
    <definedName name="sum_brand_multisource_copay_prior" hidden="1">#REF!</definedName>
    <definedName name="sum_brand_multisource_paid_amt_curr" hidden="1">#REF!</definedName>
    <definedName name="sum_brand_multisource_paid_amt_prior" hidden="1">#REF!</definedName>
    <definedName name="sum_brand_singlesource_avg_paid_claim_curr" hidden="1">#REF!</definedName>
    <definedName name="sum_brand_singlesource_avg_paid_claim_prior" hidden="1">#REF!</definedName>
    <definedName name="sum_brand_singlesource_calc_ing_curr" hidden="1">#REF!</definedName>
    <definedName name="sum_brand_singlesource_calc_ing_prior" hidden="1">#REF!</definedName>
    <definedName name="sum_brand_singlesource_copay_curr" hidden="1">#REF!</definedName>
    <definedName name="sum_brand_singlesource_copay_prior" hidden="1">#REF!</definedName>
    <definedName name="sum_brand_singlesource_paid_amt_curr" hidden="1">#REF!</definedName>
    <definedName name="sum_brand_singlesource_paid_amt_prior" hidden="1">#REF!</definedName>
    <definedName name="sum_calc_ing_cost_curr" hidden="1">#REF!</definedName>
    <definedName name="sum_calc_ing_cost_prior" hidden="1">#REF!</definedName>
    <definedName name="sum_calcing_cost_amt_brand_mod_curr" hidden="1">#REF!</definedName>
    <definedName name="sum_calcing_cost_amt_brand_mod_prior" hidden="1">#REF!</definedName>
    <definedName name="sum_calcing_cost_amt_brand_retail_curr" hidden="1">#REF!</definedName>
    <definedName name="sum_calcing_cost_amt_brand_retail_prior" hidden="1">#REF!</definedName>
    <definedName name="sum_calcing_cost_amt_brand_specialty_curr" hidden="1">#REF!</definedName>
    <definedName name="sum_calcing_cost_amt_brand_specialty_prior" hidden="1">#REF!</definedName>
    <definedName name="sum_calcing_cost_amt_mac_mod_curr" hidden="1">#REF!</definedName>
    <definedName name="sum_calcing_cost_amt_mac_mod_prior" hidden="1">#REF!</definedName>
    <definedName name="sum_calcing_cost_amt_mac_retail_curr" hidden="1">#REF!</definedName>
    <definedName name="sum_calcing_cost_amt_mac_retail_prior" hidden="1">#REF!</definedName>
    <definedName name="sum_calcing_cost_amt_mac_specialty_curr" hidden="1">#REF!</definedName>
    <definedName name="sum_calcing_cost_amt_mac_specialty_prior" hidden="1">#REF!</definedName>
    <definedName name="sum_calcing_cost_amt_non_mac_mod_curr" hidden="1">#REF!</definedName>
    <definedName name="sum_calcing_cost_amt_non_mac_mod_prior" hidden="1">#REF!</definedName>
    <definedName name="sum_calcing_cost_amt_non_mac_retail_curr" hidden="1">#REF!</definedName>
    <definedName name="sum_calcing_cost_amt_non_mac_retail_prior" hidden="1">#REF!</definedName>
    <definedName name="sum_calcing_cost_amt_non_mac_specialty_curr" hidden="1">#REF!</definedName>
    <definedName name="sum_calcing_cost_amt_non_mac_specialty_prior" hidden="1">#REF!</definedName>
    <definedName name="sum_copay_curr" hidden="1">#REF!</definedName>
    <definedName name="sum_copay_prior" hidden="1">#REF!</definedName>
    <definedName name="sum_generic_avg_paid_claim_curr" hidden="1">#REF!</definedName>
    <definedName name="sum_generic_avg_paid_claim_prior" hidden="1">#REF!</definedName>
    <definedName name="sum_generic_calc_ing_curr" hidden="1">#REF!</definedName>
    <definedName name="sum_generic_calc_ing_prior" hidden="1">#REF!</definedName>
    <definedName name="sum_generic_copay_curr" hidden="1">#REF!</definedName>
    <definedName name="sum_generic_copay_prior" hidden="1">#REF!</definedName>
    <definedName name="sum_generic_paid_amt_curr" hidden="1">#REF!</definedName>
    <definedName name="sum_generic_paid_amt_prior" hidden="1">#REF!</definedName>
    <definedName name="sum_mod_brand_formulary_copay_amt_curr" hidden="1">#REF!</definedName>
    <definedName name="sum_mod_brand_formulary_copay_amt_prior" hidden="1">#REF!</definedName>
    <definedName name="sum_mod_brand_formulary_paid_amt_curr" hidden="1">#REF!</definedName>
    <definedName name="sum_mod_brand_formulary_paid_amt_prior" hidden="1">#REF!</definedName>
    <definedName name="sum_mod_brand_formulary_plan_paid_amt_curr" hidden="1">#REF!</definedName>
    <definedName name="sum_mod_brand_formulary_plan_paid_amt_prior" hidden="1">#REF!</definedName>
    <definedName name="sum_mod_calc_ing_cost_amt_curr" hidden="1">#REF!</definedName>
    <definedName name="sum_mod_calc_ing_cost_amt_prior" hidden="1">#REF!</definedName>
    <definedName name="sum_mod_generic_copay_amt_curr" hidden="1">#REF!</definedName>
    <definedName name="sum_mod_generic_copay_amt_prior" hidden="1">#REF!</definedName>
    <definedName name="sum_mod_generic_paid_amt_curr" hidden="1">#REF!</definedName>
    <definedName name="sum_mod_generic_paid_amt_prior" hidden="1">#REF!</definedName>
    <definedName name="sum_mod_generic_plan_paid_amt_curr" hidden="1">#REF!</definedName>
    <definedName name="sum_mod_generic_plan_paid_amt_prior" hidden="1">#REF!</definedName>
    <definedName name="sum_mod_non_brand_formulary_copay_amt_curr" hidden="1">#REF!</definedName>
    <definedName name="sum_mod_non_brand_formulary_copay_amt_prior" hidden="1">#REF!</definedName>
    <definedName name="sum_mod_non_brand_formulary_paid_amt_curr" hidden="1">#REF!</definedName>
    <definedName name="sum_mod_non_brand_formulary_paid_amt_prior" hidden="1">#REF!</definedName>
    <definedName name="sum_mod_non_brand_formulary_plan_paid_amt_curr" hidden="1">#REF!</definedName>
    <definedName name="sum_mod_non_brand_formulary_plan_paid_amt_prior" hidden="1">#REF!</definedName>
    <definedName name="sum_mod_prof_fee_amt_curr" hidden="1">#REF!</definedName>
    <definedName name="sum_mod_prof_fee_amt_prior" hidden="1">#REF!</definedName>
    <definedName name="Sum_of_Sponsors">#REF!</definedName>
    <definedName name="sum_paid_class_A_curr" hidden="1">#REF!</definedName>
    <definedName name="sum_paid_class_A_prior" hidden="1">#REF!</definedName>
    <definedName name="sum_paid_class_B_curr" hidden="1">#REF!</definedName>
    <definedName name="sum_paid_class_B_prior" hidden="1">#REF!</definedName>
    <definedName name="sum_paid_class_C_curr" hidden="1">#REF!</definedName>
    <definedName name="sum_paid_class_C_prior" hidden="1">#REF!</definedName>
    <definedName name="sum_paid_class_D_curr" hidden="1">#REF!</definedName>
    <definedName name="sum_paid_class_D_prior" hidden="1">#REF!</definedName>
    <definedName name="sum_paid_class_E_curr" hidden="1">#REF!</definedName>
    <definedName name="sum_paid_class_E_prior" hidden="1">#REF!</definedName>
    <definedName name="sum_paid_class_F_curr" hidden="1">#REF!</definedName>
    <definedName name="sum_paid_class_F_prior" hidden="1">#REF!</definedName>
    <definedName name="sum_paid_class_G_curr" hidden="1">#REF!</definedName>
    <definedName name="sum_paid_class_G_prior" hidden="1">#REF!</definedName>
    <definedName name="sum_paid_class_H_curr" hidden="1">#REF!</definedName>
    <definedName name="sum_paid_class_H_prior" hidden="1">#REF!</definedName>
    <definedName name="sum_paid_class_I_curr" hidden="1">#REF!</definedName>
    <definedName name="sum_paid_class_I_prior" hidden="1">#REF!</definedName>
    <definedName name="sum_paid_class_J_curr" hidden="1">#REF!</definedName>
    <definedName name="sum_paid_class_J_prior" hidden="1">#REF!</definedName>
    <definedName name="sum_paid_class_K_curr" hidden="1">#REF!</definedName>
    <definedName name="sum_paid_class_K_prior" hidden="1">#REF!</definedName>
    <definedName name="sum_paid_class_L_curr" hidden="1">#REF!</definedName>
    <definedName name="sum_paid_class_L_prior" hidden="1">#REF!</definedName>
    <definedName name="sum_paid_class_M_curr" hidden="1">#REF!</definedName>
    <definedName name="sum_paid_class_M_prior" hidden="1">#REF!</definedName>
    <definedName name="sum_paid_class_N_curr" hidden="1">#REF!</definedName>
    <definedName name="sum_paid_class_N_prior" hidden="1">#REF!</definedName>
    <definedName name="sum_paid_class_O_curr" hidden="1">#REF!</definedName>
    <definedName name="sum_paid_class_O_prior" hidden="1">#REF!</definedName>
    <definedName name="sum_paid_class_OTHER_curr" hidden="1">#REF!</definedName>
    <definedName name="sum_paid_class_OTHER_prior" hidden="1">#REF!</definedName>
    <definedName name="sum_paid_class_P_curr" hidden="1">#REF!</definedName>
    <definedName name="sum_paid_class_P_prior" hidden="1">#REF!</definedName>
    <definedName name="sum_paid_class_Q_curr" hidden="1">#REF!</definedName>
    <definedName name="sum_paid_class_Q_prior" hidden="1">#REF!</definedName>
    <definedName name="sum_paid_class_R_curr" hidden="1">#REF!</definedName>
    <definedName name="sum_paid_class_R_prior" hidden="1">#REF!</definedName>
    <definedName name="sum_paid_curr" hidden="1">#REF!</definedName>
    <definedName name="sum_paid_prior" hidden="1">#REF!</definedName>
    <definedName name="sum_prof_fee_amt_brand_mod_curr" hidden="1">#REF!</definedName>
    <definedName name="sum_prof_fee_amt_brand_mod_prior" hidden="1">#REF!</definedName>
    <definedName name="sum_prof_fee_amt_brand_retail_curr" hidden="1">#REF!</definedName>
    <definedName name="sum_prof_fee_amt_brand_retail_prior" hidden="1">#REF!</definedName>
    <definedName name="sum_prof_fee_amt_brand_specialty_curr" hidden="1">#REF!</definedName>
    <definedName name="sum_prof_fee_amt_brand_specialty_prior" hidden="1">#REF!</definedName>
    <definedName name="sum_prof_fee_amt_mac_mod_curr" hidden="1">#REF!</definedName>
    <definedName name="sum_prof_fee_amt_mac_mod_prior" hidden="1">#REF!</definedName>
    <definedName name="sum_prof_fee_amt_mac_retail_curr" hidden="1">#REF!</definedName>
    <definedName name="sum_prof_fee_amt_mac_retail_prior" hidden="1">#REF!</definedName>
    <definedName name="sum_prof_fee_amt_mac_specialty_curr" hidden="1">#REF!</definedName>
    <definedName name="sum_prof_fee_amt_mac_specialty_prior" hidden="1">#REF!</definedName>
    <definedName name="sum_prof_fee_amt_non_mac_mod_curr" hidden="1">#REF!</definedName>
    <definedName name="sum_prof_fee_amt_non_mac_mod_prior" hidden="1">#REF!</definedName>
    <definedName name="sum_prof_fee_amt_non_mac_retail_curr" hidden="1">#REF!</definedName>
    <definedName name="sum_prof_fee_amt_non_mac_retail_prior" hidden="1">#REF!</definedName>
    <definedName name="sum_prof_fee_amt_non_mac_specialty_curr" hidden="1">#REF!</definedName>
    <definedName name="sum_prof_fee_amt_non_mac_specialty_prior" hidden="1">#REF!</definedName>
    <definedName name="sum_retail_brand_formulary_copay_amt_curr" hidden="1">#REF!</definedName>
    <definedName name="sum_retail_brand_formulary_copay_amt_prior" hidden="1">#REF!</definedName>
    <definedName name="sum_retail_brand_formulary_paid_amt_curr" hidden="1">#REF!</definedName>
    <definedName name="sum_retail_brand_formulary_paid_amt_prior" hidden="1">#REF!</definedName>
    <definedName name="sum_retail_brand_formulary_plan_paid_amt_curr" hidden="1">#REF!</definedName>
    <definedName name="sum_retail_brand_formulary_plan_paid_amt_prior" hidden="1">#REF!</definedName>
    <definedName name="sum_retail_calc_ing_cost_amt_curr" hidden="1">#REF!</definedName>
    <definedName name="sum_retail_calc_ing_cost_amt_prior" hidden="1">#REF!</definedName>
    <definedName name="sum_retail_generic_copay_amt_curr" hidden="1">#REF!</definedName>
    <definedName name="sum_retail_generic_copay_amt_prior" hidden="1">#REF!</definedName>
    <definedName name="sum_retail_generic_paid_amt_curr" hidden="1">#REF!</definedName>
    <definedName name="sum_retail_generic_paid_amt_prior" hidden="1">#REF!</definedName>
    <definedName name="sum_retail_generic_plan_paid_amt_curr" hidden="1">#REF!</definedName>
    <definedName name="sum_retail_generic_plan_paid_amt_prior" hidden="1">#REF!</definedName>
    <definedName name="sum_retail_non_brand_formulary_copay_amt_curr" hidden="1">#REF!</definedName>
    <definedName name="sum_retail_non_brand_formulary_copay_amt_prior" hidden="1">#REF!</definedName>
    <definedName name="sum_retail_non_brand_formulary_paid_amt_curr" hidden="1">#REF!</definedName>
    <definedName name="sum_retail_non_brand_formulary_paid_amt_prior" hidden="1">#REF!</definedName>
    <definedName name="sum_retail_non_brand_formulary_plan_paid_amt_curr" hidden="1">#REF!</definedName>
    <definedName name="sum_retail_non_brand_formulary_plan_paid_amt_prior" hidden="1">#REF!</definedName>
    <definedName name="sum_retail_prof_fee_amt_curr" hidden="1">#REF!</definedName>
    <definedName name="sum_retail_prof_fee_amt_prior" hidden="1">#REF!</definedName>
    <definedName name="sum_salestax_amt_brand_mod_curr" hidden="1">#REF!</definedName>
    <definedName name="sum_salestax_amt_brand_mod_prior" hidden="1">#REF!</definedName>
    <definedName name="sum_salestax_amt_brand_retail_curr" hidden="1">#REF!</definedName>
    <definedName name="sum_salestax_amt_brand_retail_prior" hidden="1">#REF!</definedName>
    <definedName name="sum_salestax_amt_brand_specialty_curr" hidden="1">#REF!</definedName>
    <definedName name="sum_salestax_amt_brand_specialty_prior" hidden="1">#REF!</definedName>
    <definedName name="sum_salestax_amt_mac_mod_curr" hidden="1">#REF!</definedName>
    <definedName name="sum_salestax_amt_mac_mod_prior" hidden="1">#REF!</definedName>
    <definedName name="sum_salestax_amt_mac_retail_curr" hidden="1">#REF!</definedName>
    <definedName name="sum_salestax_amt_mac_retail_prior" hidden="1">#REF!</definedName>
    <definedName name="sum_salestax_amt_mac_specialty_curr" hidden="1">#REF!</definedName>
    <definedName name="sum_salestax_amt_mac_specialty_prior" hidden="1">#REF!</definedName>
    <definedName name="sum_salestax_amt_non_mac_mod_curr" hidden="1">#REF!</definedName>
    <definedName name="sum_salestax_amt_non_mac_mod_prior" hidden="1">#REF!</definedName>
    <definedName name="sum_salestax_amt_non_mac_retail_curr" hidden="1">#REF!</definedName>
    <definedName name="sum_salestax_amt_non_mac_retail_prior" hidden="1">#REF!</definedName>
    <definedName name="sum_salestax_amt_non_mac_specialty_curr" hidden="1">#REF!</definedName>
    <definedName name="sum_salestax_amt_non_mac_specialty_prior" hidden="1">#REF!</definedName>
    <definedName name="sum_specialty_brand_formulary_copay_amt_curr" hidden="1">#REF!</definedName>
    <definedName name="sum_specialty_brand_formulary_copay_amt_prior" hidden="1">#REF!</definedName>
    <definedName name="sum_specialty_brand_formulary_paid_amt_curr" hidden="1">#REF!</definedName>
    <definedName name="sum_specialty_brand_formulary_paid_amt_prior" hidden="1">#REF!</definedName>
    <definedName name="sum_specialty_brand_formulary_plan_paid_amt_curr" hidden="1">#REF!</definedName>
    <definedName name="sum_specialty_brand_formulary_plan_paid_amt_prior" hidden="1">#REF!</definedName>
    <definedName name="sum_specialty_calc_ing_cost_amt_curr" hidden="1">#REF!</definedName>
    <definedName name="sum_specialty_calc_ing_cost_amt_prior" hidden="1">#REF!</definedName>
    <definedName name="sum_specialty_claims_curr" hidden="1">#REF!</definedName>
    <definedName name="sum_specialty_claims_prior" hidden="1">#REF!</definedName>
    <definedName name="sum_specialty_copay_amt_curr" hidden="1">#REF!</definedName>
    <definedName name="sum_specialty_copay_amt_prior" hidden="1">#REF!</definedName>
    <definedName name="sum_specialty_generic_copay_amt_curr" hidden="1">#REF!</definedName>
    <definedName name="sum_specialty_generic_copay_amt_prior" hidden="1">#REF!</definedName>
    <definedName name="sum_specialty_generic_paid_amt_curr" hidden="1">#REF!</definedName>
    <definedName name="sum_specialty_generic_paid_amt_prior" hidden="1">#REF!</definedName>
    <definedName name="sum_specialty_generic_plan_paid_amt_curr" hidden="1">#REF!</definedName>
    <definedName name="sum_specialty_generic_plan_paid_amt_prior" hidden="1">#REF!</definedName>
    <definedName name="sum_specialty_non_brand_formulary_copay_amt_curr" hidden="1">#REF!</definedName>
    <definedName name="sum_specialty_non_brand_formulary_copay_amt_prior" hidden="1">#REF!</definedName>
    <definedName name="sum_specialty_non_brand_formulary_paid_amt_curr" hidden="1">#REF!</definedName>
    <definedName name="sum_specialty_non_brand_formulary_paid_amt_prior" hidden="1">#REF!</definedName>
    <definedName name="sum_specialty_non_brand_formulary_plan_paid_amt_curr" hidden="1">#REF!</definedName>
    <definedName name="sum_specialty_non_brand_formulary_plan_paid_amt_prior" hidden="1">#REF!</definedName>
    <definedName name="sum_specialty_plan_paid_amt_curr" hidden="1">#REF!</definedName>
    <definedName name="sum_specialty_plan_paid_amt_prior" hidden="1">#REF!</definedName>
    <definedName name="sum_specialty_prof_fee_amt_curr" hidden="1">#REF!</definedName>
    <definedName name="sum_specialty_prof_fee_amt_prior" hidden="1">#REF!</definedName>
    <definedName name="sum_svc_copay_amt_brand_mod_curr" hidden="1">#REF!</definedName>
    <definedName name="sum_svc_copay_amt_brand_mod_prior" hidden="1">#REF!</definedName>
    <definedName name="sum_svc_copay_amt_brand_retail_curr" hidden="1">#REF!</definedName>
    <definedName name="sum_svc_copay_amt_brand_retail_prior" hidden="1">#REF!</definedName>
    <definedName name="sum_svc_copay_amt_brand_specialty_curr" hidden="1">#REF!</definedName>
    <definedName name="sum_svc_copay_amt_brand_specialty_prior" hidden="1">#REF!</definedName>
    <definedName name="sum_svc_copay_amt_mac_mod_curr" hidden="1">#REF!</definedName>
    <definedName name="sum_svc_copay_amt_mac_mod_prior" hidden="1">#REF!</definedName>
    <definedName name="sum_svc_copay_amt_mac_retail_curr" hidden="1">#REF!</definedName>
    <definedName name="sum_svc_copay_amt_mac_retail_prior" hidden="1">#REF!</definedName>
    <definedName name="sum_svc_copay_amt_mac_specialty_curr" hidden="1">#REF!</definedName>
    <definedName name="sum_svc_copay_amt_mac_specialty_prior" hidden="1">#REF!</definedName>
    <definedName name="sum_svc_copay_amt_non_mac_mod_curr" hidden="1">#REF!</definedName>
    <definedName name="sum_svc_copay_amt_non_mac_mod_prior" hidden="1">#REF!</definedName>
    <definedName name="sum_svc_copay_amt_non_mac_retail_curr" hidden="1">#REF!</definedName>
    <definedName name="sum_svc_copay_amt_non_mac_retail_prior" hidden="1">#REF!</definedName>
    <definedName name="sum_svc_copay_amt_non_mac_specialty_curr" hidden="1">#REF!</definedName>
    <definedName name="sum_svc_copay_amt_non_mac_specialty_prior" hidden="1">#REF!</definedName>
    <definedName name="sum_total_days_curr" hidden="1">#REF!</definedName>
    <definedName name="sum_total_days_prior" hidden="1">#REF!</definedName>
    <definedName name="Summary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SUMMARY_BOOK" hidden="1">{"page1",#N/A,FALSE,"GIRLBO";"page2",#N/A,FALSE,"GIRLBO";"page3",#N/A,FALSE,"GIRLBO";"page4",#N/A,FALSE,"GIRLBO";"page5",#N/A,FALSE,"GIRLBO"}</definedName>
    <definedName name="Summary_by_Product_Range" hidden="1">#REF!</definedName>
    <definedName name="Summary2" hidden="1">{#N/A,#N/A,FALSE,"FACTSHEETS";#N/A,#N/A,FALSE,"pump";#N/A,#N/A,FALSE,"filter"}</definedName>
    <definedName name="Symbol">#REF!</definedName>
    <definedName name="Syn">#REF!</definedName>
    <definedName name="SynLTM">#REF!</definedName>
    <definedName name="SynYear1">#REF!</definedName>
    <definedName name="SynYear2">#REF!</definedName>
    <definedName name="t">#REF!</definedName>
    <definedName name="tab_report_name" hidden="1">#REF!</definedName>
    <definedName name="tabc_report_name" hidden="1">#REF!</definedName>
    <definedName name="Targ">#REF!</definedName>
    <definedName name="Target">#REF!</definedName>
    <definedName name="TargetDCF2" hidden="1">{#N/A,#N/A,FALSE,"Sheet1"}</definedName>
    <definedName name="Targets">#REF!</definedName>
    <definedName name="TargetTaxRate">#REF!</definedName>
    <definedName name="TargNum">#REF!</definedName>
    <definedName name="TargPrem">#REF!</definedName>
    <definedName name="TargTrig">#REF!</definedName>
    <definedName name="tax">#REF!</definedName>
    <definedName name="Taxes">#REF!</definedName>
    <definedName name="TaxRate">#REF!</definedName>
    <definedName name="TaxRate1">#REF!</definedName>
    <definedName name="TaxRate2">#REF!</definedName>
    <definedName name="TaxRate3">#REF!</definedName>
    <definedName name="TaxRate4">#REF!</definedName>
    <definedName name="TBV">#REF!</definedName>
    <definedName name="te">#REF!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_2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late" hidden="1">#REF!</definedName>
    <definedName name="Template_File_Name" hidden="1">#REF!</definedName>
    <definedName name="Template_Name" hidden="1">#REF!</definedName>
    <definedName name="template_nm" hidden="1">#REF!</definedName>
    <definedName name="Template_Type" hidden="1">#REF!</definedName>
    <definedName name="Template2" hidden="1">#REF!</definedName>
    <definedName name="Template3" hidden="1">#REF!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st1" hidden="1">{#N/A,#N/A,TRUE,"MAIN FT TERM";#N/A,#N/A,TRUE,"MCI  FT TERM ";#N/A,#N/A,TRUE,"OC12 EQV"}</definedName>
    <definedName name="TextRefCopyRangeCount" hidden="1">1</definedName>
    <definedName name="Tick1">#REF!</definedName>
    <definedName name="Tick2">#REF!</definedName>
    <definedName name="TIME_ON_SITE">#REF!</definedName>
    <definedName name="TK">#REF!</definedName>
    <definedName name="toc_correct_report_name" hidden="1">#REF!</definedName>
    <definedName name="toc_report_name" hidden="1">#REF!</definedName>
    <definedName name="Top25_Services_by_Dollar_Dental_Range" hidden="1">#REF!</definedName>
    <definedName name="Total_Interest">#REF!</definedName>
    <definedName name="Total_Market_Size_Calculations">#REF!</definedName>
    <definedName name="Total_Pay">#REF!</definedName>
    <definedName name="Total_Payment">Scheduled_Payment+Extra_Payment</definedName>
    <definedName name="TotalAssets">#REF!</definedName>
    <definedName name="TotalDebt">#REF!</definedName>
    <definedName name="TotalPref">#REF!</definedName>
    <definedName name="tou" hidden="1">{#N/A,#N/A,TRUE,"TransPrcd 1";#N/A,#N/A,TRUE,"TransPrcd 2";#N/A,#N/A,TRUE,"TransPrcd 3"}</definedName>
    <definedName name="TransExp">#REF!</definedName>
    <definedName name="TransferDate">#REF!</definedName>
    <definedName name="TransferEmpID">#REF!</definedName>
    <definedName name="TransferTo">#REF!</definedName>
    <definedName name="TransTrig">#REF!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rend_Analysis_Dental_Range" hidden="1">#REF!</definedName>
    <definedName name="Trend_Analysis_Medical_Range" hidden="1">#REF!</definedName>
    <definedName name="trial" hidden="1">{"Outflow 1",#N/A,FALSE,"Outflows-Inflows";"Outflow 2",#N/A,FALSE,"Outflows-Inflows";"Inflow 1",#N/A,FALSE,"Outflows-Inflows";"Inflow 2",#N/A,FALSE,"Outflows-Inflows"}</definedName>
    <definedName name="TSLow">#REF!</definedName>
    <definedName name="TSynLTM">#REF!</definedName>
    <definedName name="TSynYear1">#REF!</definedName>
    <definedName name="TSynYear2">#REF!</definedName>
    <definedName name="tttoo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we">#REF!</definedName>
    <definedName name="ty" hidden="1">{"Assumptions",#N/A,TRUE,"Assumptions";"Income",#N/A,TRUE,"Income";"Balance",#N/A,TRUE,"Balance"}</definedName>
    <definedName name="tyr" hidden="1">{#N/A,#N/A,FALSE,"AD_Purch";#N/A,#N/A,FALSE,"Projections";#N/A,#N/A,FALSE,"DCF";#N/A,#N/A,FALSE,"Mkt Val"}</definedName>
    <definedName name="tyryu" hidden="1">{#N/A,#N/A,FALSE,"Sheet1";#N/A,#N/A,FALSE,"Summary";#N/A,#N/A,FALSE,"proj1";#N/A,#N/A,FALSE,"proj2"}</definedName>
    <definedName name="uiknu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nleveredBetas">#REF!</definedName>
    <definedName name="UPDATESUMMARY" hidden="1">{#N/A,#N/A,FALSE,"FACTSHEETS";#N/A,#N/A,FALSE,"pump";#N/A,#N/A,FALSE,"filter"}</definedName>
    <definedName name="User">#REF!</definedName>
    <definedName name="User_Growth">#REF!</definedName>
    <definedName name="UserEnteredText1" hidden="1">#REF!</definedName>
    <definedName name="UserEnteredText2" hidden="1">#REF!</definedName>
    <definedName name="UserReportName" hidden="1">#REF!</definedName>
    <definedName name="util_mem_female_0_19_curr" hidden="1">#REF!</definedName>
    <definedName name="util_mem_female_0_19_prior" hidden="1">#REF!</definedName>
    <definedName name="util_mem_female_20_44_curr" hidden="1">#REF!</definedName>
    <definedName name="util_mem_female_20_44_prior" hidden="1">#REF!</definedName>
    <definedName name="util_mem_female_45_64_curr" hidden="1">#REF!</definedName>
    <definedName name="util_mem_female_45_64_prior" hidden="1">#REF!</definedName>
    <definedName name="util_mem_female_65_over_curr" hidden="1">#REF!</definedName>
    <definedName name="util_mem_female_65_over_prior" hidden="1">#REF!</definedName>
    <definedName name="util_mem_male_0_19_curr" hidden="1">#REF!</definedName>
    <definedName name="util_mem_male_0_19_prior" hidden="1">#REF!</definedName>
    <definedName name="util_mem_male_20_44_curr" hidden="1">#REF!</definedName>
    <definedName name="util_mem_male_20_44_prior" hidden="1">#REF!</definedName>
    <definedName name="util_mem_male_45_64_curr" hidden="1">#REF!</definedName>
    <definedName name="util_mem_male_45_64_prior" hidden="1">#REF!</definedName>
    <definedName name="util_mem_male_65_over_curr" hidden="1">#REF!</definedName>
    <definedName name="util_mem_male_65_over_prior" hidden="1">#REF!</definedName>
    <definedName name="Util_Proc_Dental_Range" hidden="1">#REF!</definedName>
    <definedName name="Utilization_and_Unit_Cost_Med_Range" hidden="1">#REF!</definedName>
    <definedName name="uu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v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Values_Entered">#REF!</definedName>
    <definedName name="vcvc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rr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wew32" hidden="1">{"Assumptions",#N/A,TRUE,"Assumptions";"Income",#N/A,TRUE,"Income";"Balance",#N/A,TRUE,"Balance"}</definedName>
    <definedName name="vzssw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w5y2367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adas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WarrantPrice">#REF!</definedName>
    <definedName name="Warrants">#REF!</definedName>
    <definedName name="werrr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we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stburne" hidden="1">{#N/A,#N/A,FALSE,"Projections";#N/A,#N/A,FALSE,"Multiples Valuation";#N/A,#N/A,FALSE,"LBO";#N/A,#N/A,FALSE,"Multiples_Sensitivity";#N/A,#N/A,FALSE,"Summary"}</definedName>
    <definedName name="what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HATEVE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hole_Market_Revenue">#REF!</definedName>
    <definedName name="wqwt" hidden="1">{#N/A,#N/A,FALSE,"Projections";#N/A,#N/A,FALSE,"Contribution_Stock";#N/A,#N/A,FALSE,"PF_Combo_Stock";#N/A,#N/A,FALSE,"Projections";#N/A,#N/A,FALSE,"Contribution_Cash";#N/A,#N/A,FALSE,"PF_Combo_Cash";#N/A,#N/A,FALSE,"IPO_Cash"}</definedName>
    <definedName name="WriteOff">#REF!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8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9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Salaries";#N/A,#N/A,FALSE,"Parker sal.";#N/A,#N/A,FALSE,"Sheets sal.";#N/A,#N/A,FALSE,"Muntean sal.";#N/A,#N/A,FALSE,"G &amp; A Salaries";#N/A,#N/A,FALSE,"P&amp;L Consol.";#N/A,#N/A,FALSE,"P&amp;L Consol. (2)";#N/A,#N/A,FALSE,"P&amp;L Consol. (3)"}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B_workpapers." hidden="1">{"field_exam_cover_page",#N/A,FALSE,"Input";"workpaper_contents",#N/A,FALSE,"Input";"ar_stats_B_1",#N/A,FALSE,"AR";"ar_aging_trends",#N/A,FALSE,"AR";"availability_comparison",#N/A,FALSE,"AR";"ineligible_summary",#N/A,FALSE,"AR";"ineligible_breakdown",#N/A,FALSE,"AR";"reconciliations",#N/A,FALSE,"AR";"ar_concentrations",#N/A,FALSE,"AR";"bbr_B_13",#N/A,FALSE,"AR";"bbr_questionnair",#N/A,FALSE,"AR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quisition_matrix." hidden="1">{"Acq_matrix",#N/A,FALSE,"Acquisition Matrix"}</definedName>
    <definedName name="wrn.Active._.Stores." hidden="1">{#N/A,#N/A,FALSE,"RH";#N/A,#N/A,FALSE,"SP";#N/A,#N/A,FALSE,"MB";#N/A,#N/A,FALSE,"WV";#N/A,#N/A,FALSE,"LB";#N/A,#N/A,FALSE,"NB";#N/A,#N/A,FALSE,"MV"}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EA." hidden="1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ging._.and._.Trend._.Analysis." hidden="1">{#N/A,#N/A,FALSE,"Aging Summary";#N/A,#N/A,FALSE,"Ratio Analysis";#N/A,#N/A,FALSE,"Test 120 Day Accts";#N/A,#N/A,FALSE,"Tickmarks"}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 hidden="1">{"Matrix",#N/A,FALSE,"ACQMTRX";"Fees",#N/A,FALSE,"ACQMTRX"}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_charts." hidden="1">{"chart_ar_stats",#N/A,FALSE,"AR Chart1";"chart_percent_AR_past_due",#N/A,FALSE,"AR Chart2";"chart_ap_trends_only",#N/A,FALSE,"AP Chart"}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Models2" hidden="1">{#N/A,#N/A,FALSE,"Projections";#N/A,#N/A,FALSE,"Multiples Valuation";#N/A,#N/A,FALSE,"LBO";#N/A,#N/A,FALSE,"Multiples_Sensitivity";#N/A,#N/A,FALSE,"Summary"}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 hidden="1">{#N/A,#N/A,FALSE,"Balance Sheet";#N/A,#N/A,FALSE,"Income Statement";#N/A,#N/A,FALSE,"Changes in Financial Position"}</definedName>
    <definedName name="wrn.AllModels." hidden="1">{#N/A,#N/A,FALSE,"AD_Purchase";#N/A,#N/A,FALSE,"Credit";#N/A,#N/A,FALSE,"PF Acquisition";#N/A,#N/A,FALSE,"PF Offering"}</definedName>
    <definedName name="wrn.Analytic." hidden="1">{#N/A,#N/A,FALSE,"Fisons_Sci_Instr";#N/A,#N/A,FALSE,"Fisons_Lab_Supplies";#N/A,#N/A,FALSE,"Nunc";#N/A,#N/A,FALSE,"Sorvall";#N/A,#N/A,FALSE,"Dynatech";#N/A,#N/A,FALSE,"Hach"}</definedName>
    <definedName name="wrn.AnnualRentRoll." hidden="1">{"AnnualRentRoll",#N/A,FALSE,"RentRoll"}</definedName>
    <definedName name="wrn.AQUIROR._.DCF." hidden="1">{"AQUIRORDCF",#N/A,FALSE,"Merger consequences";"Acquirorassns",#N/A,FALSE,"Merger consequences"}</definedName>
    <definedName name="wrn.Assumptions._.and._.Results." hidden="1">{"CV_1",#N/A,TRUE,"Assumptions and Results"}</definedName>
    <definedName name="wrn.Auto._.Comp." hidden="1">{#N/A,#N/A,FALSE,"Sheet1"}</definedName>
    <definedName name="wrn.Auto._.Comp.1" hidden="1">{#N/A,#N/A,FALSE,"Sheet1"}</definedName>
    <definedName name="wrn.balance._.sheet." hidden="1">{"bs",#N/A,FALSE,"SCF"}</definedName>
    <definedName name="wrn.Bank._.Report.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sics." hidden="1">{#N/A,#N/A,FALSE,"TSUM";#N/A,#N/A,FALSE,"shares";#N/A,#N/A,FALSE,"earnout";#N/A,#N/A,FALSE,"Heaty";#N/A,#N/A,FALSE,"self-tend";#N/A,#N/A,FALSE,"self-sum"}</definedName>
    <definedName name="wrn.BidCo." hidden="1">{#N/A,#N/A,FALSE,"BidCo Assumptions";#N/A,#N/A,FALSE,"Credit Stats";#N/A,#N/A,FALSE,"Bidco Summary";#N/A,#N/A,FALSE,"BIDCO Consolidated"}</definedName>
    <definedName name="wrn.BROKER._.COMMISSIONS." hidden="1">{"COM1996",#N/A,FALSE,"ANNUAL COMMISSIONS";"COM1997",#N/A,FALSE,"ANNUAL COMMISSIONS"}</definedName>
    <definedName name="wrn.BSAnnualModel." hidden="1">{"BSAnnualModel",#N/A,FALSE,"BS"}</definedName>
    <definedName name="wrn.Budget." hidden="1">{#N/A,#N/A,FALSE,"QSum";#N/A,#N/A,FALSE,"1Q";#N/A,#N/A,FALSE,"2Q";#N/A,#N/A,FALSE,"3Q";#N/A,#N/A,FALSE,"4Q";#N/A,#N/A,FALSE,"Mthly";#N/A,#N/A,FALSE,"Cur.vs.Prior"}</definedName>
    <definedName name="wrn.Budget._.Detail." hidden="1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llshit1." hidden="1">{#N/A,#N/A,FALSE,"Sheet1";#N/A,#N/A,FALSE,"Summary";#N/A,#N/A,FALSE,"proj1";#N/A,#N/A,FALSE,"proj2"}</definedName>
    <definedName name="wrn.C_D_E_O_workpapers." hidden="1">{"cash_1",#N/A,FALSE,"Cash";"cash_1.1",#N/A,FALSE,"Cash";"ap_aging_trends",#N/A,FALSE,"AP";"ap_concentrations",#N/A,FALSE,"AP";"payroll_tax_E_1",#N/A,FALSE,"Tax";"property_tax",#N/A,FALSE,"Tax";"sales_tax",#N/A,FALSE,"Tax";"sign off sheet",#N/A,FALSE,"O-14"}</definedName>
    <definedName name="wrn.CASHFLOW._.WP." hidden="1">{#N/A,#N/A,FALSE,"CASHFLOW BS";#N/A,#N/A,FALSE,"CASHFLOW DETAIL"}</definedName>
    <definedName name="wrn.CFSModel." hidden="1">{"CFSModel",#N/A,FALSE,"CFS"}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CO." hidden="1">{"Page1",#N/A,FALSE,"CompCo";"Page2",#N/A,FALSE,"CompCo"}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NSENTRY." hidden="1">{#N/A,#N/A,FALSE,"CONENTRY"}</definedName>
    <definedName name="wrn.cotop." hidden="1">{"ReportTop",#N/A,FALSE,"report top"}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backup." hidden="1">{"dcf_rev",#N/A,FALSE,"Assumptions";"dcf_rev_growth",#N/A,FALSE,"Assumptions";"dcf_exp",#N/A,FALSE,"Assumptions";"dcf_exp_growth",#N/A,FALSE,"Assumptions";"headcount",#N/A,FALSE,"Assumptions";"dcf_capx_breakdown",#N/A,FALSE,"Assumptions";"dcf_capacity",#N/A,FALSE,"Assumptions";"dcf_capacity_toCapx",#N/A,FALSE,"Assumptions";"dcf_D&amp;A",#N/A,FALSE,"Assumptions";"dcf_workingcap",#N/A,FALSE,"Assumptions"}</definedName>
    <definedName name="wrn.DCF._.Valuation." hidden="1">{"value box",#N/A,TRUE,"DPL Inc. Fin Statements";"unlevered free cash flows",#N/A,TRUE,"DPL Inc. Fin Statements"}</definedName>
    <definedName name="wrn.DCF_Terminal_Value_qchm." hidden="1">{"qchm_dcf",#N/A,FALSE,"QCHMDCF2";"qchm_terminal",#N/A,FALSE,"QCHMDCF2"}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B." hidden="1">{"BSDEB",#N/A,FALSE,"Jun 98";"ISDEB",#N/A,FALSE,"Jun 98";"CFDEB",#N/A,FALSE,"Jun 98";"WP1DEB",#N/A,FALSE,"Jun 98";"WP2DEB",#N/A,FALSE,"Jun 98";"WP3EB",#N/A,FALSE,"Jun 98";"EQUITYDEB",#N/A,FALSE,"Jun 98"}</definedName>
    <definedName name="wrn.debt.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wrn.Development._.Hours." hidden="1">{#N/A,#N/A,FALSE,"July 95";#N/A,#N/A,FALSE,"Aug 95";#N/A,#N/A,FALSE,"Sep 95";#N/A,#N/A,FALSE,"October 95"}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_.TEMP." hidden="1">{#N/A,#N/A,FALSE,"TOTAL";#N/A,#N/A,FALSE,"DEPT20";#N/A,#N/A,FALSE,"DEPT21";#N/A,#N/A,FALSE,"DEPT22";#N/A,#N/A,FALSE,"DEPT23";#N/A,#N/A,FALSE,"DEPT24";#N/A,#N/A,FALSE,"DEPT25"}</definedName>
    <definedName name="wrn.Draft." hidden="1">{"Draft",#N/A,FALSE,"Feb-96"}</definedName>
    <definedName name="wrn.ebitda." hidden="1">{#N/A,#N/A,FALSE,"2003_Input - P&amp;L"}</definedName>
    <definedName name="wrn.Economic._.Value._.Added._.Analysis." hidden="1">{"EVA",#N/A,FALSE,"EVA";"WACC",#N/A,FALSE,"WACC"}</definedName>
    <definedName name="wrn.Entire._.Model.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Model." hidden="1">{"cvr",#N/A,FALSE,"CVR";"sum",#N/A,FALSE,"SUM";"obal",#N/A,FALSE,"OBAL";#N/A,#N/A,FALSE,"INC1";#N/A,#N/A,FALSE,"INC2";"bal1",#N/A,FALSE,"BAL1";"inc",#N/A,FALSE,"INC";"bal",#N/A,FALSE,"BAL";"cash",#N/A,FALSE,"CASH";"debt",#N/A,FALSE,"DEBT";"eqty",#N/A,FALSE,"EQTY";"tax",#N/A,FALSE,"TAX";"depr",#N/A,FALSE,"DEPR";#N/A,#N/A,FALSE,"IRR";"strip1",#N/A,FALSE,"STRP";"fee",#N/A,FALSE,"FEE"}</definedName>
    <definedName name="wrn.ENTRYDET." hidden="1">{#N/A,#N/A,FALSE,"ENTRYDET"}</definedName>
    <definedName name="wrn.EPS." hidden="1">{#N/A,#N/A,FALSE,"EPS"}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hibits." hidden="1">{#N/A,#N/A,TRUE,"Contents";#N/A,#N/A,TRUE,"Current Plans";#N/A,#N/A,TRUE," EE State";#N/A,#N/A,TRUE,"EE Age";#N/A,#N/A,TRUE,"HPHC HMO";#N/A,#N/A,TRUE,"Tufts HMO";#N/A,#N/A,TRUE,"Tufts POS";#N/A,#N/A,TRUE,"UHC OOA";#N/A,#N/A,TRUE,"UHC CAT";#N/A,#N/A,TRUE,"UHC POS";#N/A,#N/A,TRUE,"UHC Retiree";#N/A,#N/A,TRUE,"Coventry POS";#N/A,#N/A,TRUE,"Coventry HMO";#N/A,#N/A,TRUE,"UHC Princeton POS 1";#N/A,#N/A,TRUE,"UHC Princeton POS 2";#N/A,#N/A,TRUE,"UHC Princeton PPO 1";#N/A,#N/A,TRUE,"UHC Princeton PPO 2";#N/A,#N/A,TRUE,"PacifiCare HMO";#N/A,#N/A,TRUE,"Rate History";#N/A,#N/A,TRUE,"Large Claims"}</definedName>
    <definedName name="wrn.ExitAndSalesAssumptions." hidden="1">{#N/A,#N/A,FALSE,"ExitStratigy"}</definedName>
    <definedName name="wrn.FCB." hidden="1">{"FCB_ALL",#N/A,FALSE,"FCB"}</definedName>
    <definedName name="wrn.fcb2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l." hidden="1">{"Final",#N/A,FALSE,"Feb-96"}</definedName>
    <definedName name="wrn.Financial.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wrn.Financial._.Statements._.Wrk." hidden="1">{#N/A,#N/A,FALSE,"Sep 98";"Bal Sheet CY - Legal",#N/A,FALSE,"Sep 98";"Bal Sheet PY - Legal",#N/A,FALSE,"Sep 98";"Inc Stmt - Legal",#N/A,FALSE,"Sep 98";"Cash Flow - Legal",#N/A,FALSE,"Sep 98"}</definedName>
    <definedName name="wrn.Financials." hidden="1">{#N/A,#N/A,TRUE,"Income Statement";#N/A,#N/A,TRUE,"Balance Sheet";#N/A,#N/A,TRUE,"Cash Flow"}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ive._.Year._.Model.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 hidden="1">{"FIVEYEAR",#N/A,TRUE,"SUMMARY";"FIVEYEAR",#N/A,TRUE,"Ratios";"FIVEYEAR",#N/A,TRUE,"Revenue";"FIVEYEAR",#N/A,TRUE,"DETAIL";"FIVEYEAR",#N/A,TRUE,"Payroll"}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ormula._.pages." hidden="1">{"field_exam_formula_summary",#N/A,FALSE,"Input";"multi_co_formula",#N/A,FALSE,"Input";"availability_comparison",#N/A,FALSE,"AR";"general_input_area",#N/A,FALSE,"Input";"ineligible_summary",#N/A,FALSE,"AR"}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Report." hidden="1">{#N/A,#N/A,TRUE,"Income Statement";#N/A,#N/A,TRUE,"Gas Assumptions";#N/A,#N/A,TRUE,"DCF";#N/A,#N/A,TRUE,"Depreciation Matrix";#N/A,#N/A,TRUE,"Matrix";#N/A,#N/A,TRUE,"Matrix_Perpetuity"}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Y97SBP." hidden="1">{#N/A,#N/A,FALSE,"FY97";#N/A,#N/A,FALSE,"FY98";#N/A,#N/A,FALSE,"FY99";#N/A,#N/A,FALSE,"FY00";#N/A,#N/A,FALSE,"FY01"}</definedName>
    <definedName name="wrn.FY97SBP.1" hidden="1">{#N/A,#N/A,FALSE,"FY97";#N/A,#N/A,FALSE,"FY98";#N/A,#N/A,FALSE,"FY99";#N/A,#N/A,FALSE,"FY00";#N/A,#N/A,FALSE,"FY01"}</definedName>
    <definedName name="wrn.graphs." hidden="1">{"mkt cap",#N/A,FALSE,"Graph-market-cap";"price",#N/A,FALSE,"Graph-Price";"ebit",#N/A,FALSE,"Graph-EBIT-DA";"ebitda",#N/A,FALSE,"Graph-EBIT-DA"}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is";"historical_ratios_1",#N/A,FALSE,"historical is";"historical_ratios_2",#N/A,FALSE,"historical is";"historical_ratios_3",#N/A,FALSE,"historical is"}</definedName>
    <definedName name="wrn.historical._.backup." hidden="1">{"hist_rev",#N/A,FALSE,"Revenue buildup-hist";"hist_rev_growth",#N/A,FALSE,"Revenue buildup-hist";"hist_exp",#N/A,FALSE,"Revenue buildup-hist";"hist_exp_growth",#N/A,FALSE,"Revenue buildup-hist";"historical_workcap",#N/A,FALSE,"Assumptions"}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_1._.thru._.I_6._.workpapers." hidden="1">{"inventory detail I_1",#N/A,FALSE,"I-01";"inventory detail I_1.1",#N/A,FALSE,"I-01";"inventory detail I_1.2",#N/A,FALSE,"I-01";"Source Comparison I_2",#N/A,FALSE,"I-02";"source comparison I_2.1",#N/A,FALSE,"I-02";"source comparison I_2.2",#N/A,FALSE,"I-02";"reporting analysis I_3",#N/A,FALSE,"I-03";"test count I_4",#N/A,FALSE,"I-04";"test count I_4.1",#N/A,FALSE,"I-04";"costing test I_5",#N/A,FALSE,"I-05";"costing test I_5.1",#N/A,FALSE,"I-05";"turns I_6",#N/A,FALSE,"I-06";"turns I_6.1",#N/A,FALSE,"I-06"}</definedName>
    <definedName name="wrn.I_7._.thru._.I_21._.workpapers." hidden="1">{"inventory mix I_11",#N/A,FALSE,"I-11";"inventory mix I_11.1",#N/A,FALSE,"I-11";"physical results I_12",#N/A,FALSE,"I-12";"questionnaire I_14",#N/A,FALSE,"I-14";"questionnaire I_14.1",#N/A,FALSE,"I-14";"questionnaire I_14.2",#N/A,FALSE,"I-14";"risk analysis I_15",#N/A,FALSE,"I-15";"risk analysis I_15.1",#N/A,FALSE,"I-15";"risk analysis I_15.2",#N/A,FALSE,"I-15";"liquidation alternatives I_18",#N/A,FALSE,"I-18"}</definedName>
    <definedName name="wrn.icem." hidden="1">{#N/A,#N/A,FALSE,"Exb 2";#N/A,#N/A,FALSE,"Exb 3(a)";#N/A,#N/A,FALSE,"WACC";#N/A,#N/A,FALSE,"Exh 4(a)";#N/A,#N/A,FALSE,"Exh 4(b)";#N/A,#N/A,FALSE,"Exb 5(a)";#N/A,#N/A,FALSE,"Exb 5(b)"}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nfo.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TERNAL._.COV._.PG." hidden="1">{#N/A,#N/A,FALSE,"YE INT COV";#N/A,#N/A,FALSE,"YE INT COV B"}</definedName>
    <definedName name="wrn.Internal._.Report._.for._.Martha.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vestor._.Cash._.Flows." hidden="1">{"CV_2",#N/A,TRUE,"Investor Cash Flows"}</definedName>
    <definedName name="wrn.ipovalue." hidden="1">{#N/A,#N/A,FALSE,"puboff";#N/A,#N/A,FALSE,"valuation";#N/A,#N/A,FALSE,"finanalsis";#N/A,#N/A,FALSE,"split";#N/A,#N/A,FALSE,"ownership"}</definedName>
    <definedName name="wrn.ISAnnualModel." hidden="1">{"AnnModel",#N/A,FALSE,"IS"}</definedName>
    <definedName name="wrn.ISCG._.model." hidden="1">{#N/A,#N/A,FALSE,"Second";#N/A,#N/A,FALSE,"ownership";#N/A,#N/A,FALSE,"Valuation";#N/A,#N/A,FALSE,"Eqiv";#N/A,#N/A,FALSE,"Mults";#N/A,#N/A,FALSE,"ISCG Graphics"}</definedName>
    <definedName name="wrn.ISQtrModel." hidden="1">{"QtrModel",#N/A,FALSE,"IS"}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kairen." hidden="1">{#N/A,#N/A,FALSE,"Non Medicare Results UC";#N/A,#N/A,FALSE,"Non Medicare Projection UC";#N/A,#N/A,FALSE,"Non Medicare Results BOB";#N/A,#N/A,FALSE,"Non Medicare Projection BOB";#N/A,#N/A,FALSE,"Medicare Risk Results UC";#N/A,#N/A,FALSE,"Medicare Risk Projection UC";#N/A,#N/A,FALSE,"Medicare Risk Results BOB";#N/A,#N/A,FALSE,"Medicare Risk Projection BOB";#N/A,#N/A,FALSE,"Medicare Cost Results UC";#N/A,#N/A,FALSE,"Medicare Cost Projection UC";#N/A,#N/A,FALSE,"Medicare Cost Results BOB";#N/A,#N/A,FALSE,"Medicare Cost Projection BOB";#N/A,#N/A,FALSE,"pmpm";#N/A,#N/A,FALSE,"Enrollment by Tier";#N/A,#N/A,FALSE,"Mnthly Mmbershp UC Actives";#N/A,#N/A,FALSE,"Mnthly Mmbershp UC Medicare";#N/A,#N/A,FALSE,"Mnthly Mmbershp BOB Actives";#N/A,#N/A,FALSE,"out_drug";#N/A,#N/A,FALSE,"area_adj";#N/A,#N/A,FALSE,"util_s";#N/A,#N/A,FALSE,"util_p";#N/A,#N/A,FALSE,"Care_Mg";#N/A,#N/A,FALSE,"Large Claims Non Medicare";#N/A,#N/A,FALSE,"Large Claims Medicare";#N/A,#N/A,FALSE,"rx_nmed_uc";#N/A,#N/A,FALSE,"mo_nmed";#N/A,#N/A,FALSE,"rx_med_uc";#N/A,#N/A,FALSE,"mo_med_uc";#N/A,#N/A,FALSE,"rx_diag_uc";#N/A,#N/A,FALSE,"rx_diag_med_uc";#N/A,#N/A,FALSE,"HEDIS";#N/A,#N/A,FALSE,"GHAA"}</definedName>
    <definedName name="wrn.LBO._.Summary." hidden="1">{"LBO Summary",#N/A,FALSE,"Summary"}</definedName>
    <definedName name="wrn.LoanInformation." hidden="1">{#N/A,#N/A,FALSE,"LoanAssumptions"}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M_File_Print_Out.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hidden="1">{#N/A,#N/A,FALSE,"IPO";#N/A,#N/A,FALSE,"DCF";#N/A,#N/A,FALSE,"LBO";#N/A,#N/A,FALSE,"MULT_VAL";#N/A,#N/A,FALSE,"Status Quo";#N/A,#N/A,FALSE,"Recap"}</definedName>
    <definedName name="wrn.model." hidden="1">{"page1",#N/A,FALSE,"GIRLBO";"page2",#N/A,FALSE,"GIRLBO";"page3",#N/A,FALSE,"GIRLBO";"page4",#N/A,FALSE,"GIRLBO";"page5",#N/A,FALSE,"GIRLBO"}</definedName>
    <definedName name="wrn.Monica." hidden="1">{#N/A,#N/A,FALSE,"Revolver";#N/A,#N/A,FALSE,"Term Loan";#N/A,#N/A,FALSE,"Unused Line Fee Term";#N/A,#N/A,FALSE,"Unused Line Fee Revolver"}</definedName>
    <definedName name="wrn.MONTHLY." hidden="1">{"1999MONTHLY",#N/A,FALSE,"MONTHLY";"2000MONTHLY",#N/A,FALSE,"MONTHLY";"2001MONTHLY",#N/A,FALSE,"MONTHLY"}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1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Reports." hidden="1">{"Nil","Nil",FALSE,"Detail P&amp;L-M";"Nil","Nil",FALSE,"Dep &amp; Amort-M";"Nil","Nil",FALSE,"Equity-M";"Nil","Nil",FALSE,"Debt &amp; Cash Flow-M";"Nil","Nil",FALSE,"Interest-M"}</definedName>
    <definedName name="wrn.MonthlyRentRoll." hidden="1">{"MonthlyRentRoll",#N/A,FALSE,"RentRoll"}</definedName>
    <definedName name="wrn.nema." hidden="1">{#N/A,#N/A,FALSE,"Distbn Ntwrk";#N/A,#N/A,FALSE,"Workforce";#N/A,#N/A,FALSE,"cur-prod1";#N/A,#N/A,FALSE,"in-proc"}</definedName>
    <definedName name="wrn.network.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w." hidden="1">{"new1",#N/A,FALSE,"FLEXPAC2";"new2",#N/A,FALSE,"FLEXPAC2"}</definedName>
    <definedName name="wrn.New._.Client._.Report." hidden="1">{#N/A,#N/A,TRUE,"Cover";#N/A,#N/A,TRUE,"Table of Contents";#N/A,#N/A,TRUE,"Summary";#N/A,#N/A,TRUE,"Detailed Summary";#N/A,#N/A,TRUE,"Value";#N/A,#N/A,TRUE,"Rebates";#N/A,#N/A,TRUE,"Perf. Guar.";#N/A,#N/A,TRUE,"Other Guar.";#N/A,#N/A,TRUE,"Margin";#N/A,#N/A,TRUE,"Savings";#N/A,#N/A,TRUE,"Costs";#N/A,#N/A,TRUE,"PDN";#N/A,#N/A,TRUE,"Drivers"}</definedName>
    <definedName name="wrn.newest." hidden="1">{#N/A,#N/A,TRUE,"TS";#N/A,#N/A,TRUE,"Combo";#N/A,#N/A,TRUE,"FAIR";#N/A,#N/A,TRUE,"RBC";#N/A,#N/A,TRUE,"xxxx"}</definedName>
    <definedName name="wrn.ntfinance." hidden="1">{"Rate",#N/A,TRUE,"SUMMARY";"Ratios",#N/A,TRUE,"Ratios";"BUDGETREVENUE",#N/A,TRUE,"Revenue";"TOTALS",#N/A,TRUE,"DETAIL"}</definedName>
    <definedName name="wrn.OperatingAssumtions." hidden="1">{#N/A,#N/A,FALSE,"OperatingAssumptions"}</definedName>
    <definedName name="wrn.ORIGINALS." hidden="1">{#N/A,#N/A,FALSE,"BS";#N/A,#N/A,FALSE,"IS";#N/A,#N/A,FALSE,"PI";#N/A,#N/A,FALSE,"CF"}</definedName>
    <definedName name="wrn.OUTPUT." hidden="1">{"DCF","UPSIDE CASE",FALSE,"Sheet1";"DCF","BASE CASE",FALSE,"Sheet1";"DCF","DOWNSIDE CASE",FALSE,"Sheet1"}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eriod._.1._.Financial._.Statements." hidden="1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0._.Financial._.Statements." hidden="1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1._.Financial._.Statements." hidden="1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2._.Financial._.Statements." hidden="1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2._.Financial._.Statements." hidden="1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3._.Financial._.Statements." hidden="1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4._.Financial._.Statements." hidden="1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5._.Financial._.Statements." hidden="1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6._.Financial._.Statements." hidden="1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7._.Financial._.Statements." hidden="1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8._.Financial._.Statements." hidden="1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9._.Financial._.Statements." hidden="1">{"Period 9 Income Statements",#N/A,FALSE,"Income Statement";"Period 9 Balance Sheets",#N/A,FALSE,"Balance Sheet";"Period 9 Cashflow Statements",#N/A,FALSE,"Cashflow Statement";"Period 9 Financial Ratios",#N/A,FALSE,"Financial Ratios"}</definedName>
    <definedName name="wrn.PLAN." hidden="1">{#N/A,#N/A,FALSE,"5YRPL";#N/A,#N/A,FALSE,"3YRPL"}</definedName>
    <definedName name="wrn.Plan._.Sheets." hidden="1">{#N/A,#N/A,TRUE,"95 Consolidated Forecast";#N/A,#N/A,TRUE,"95 Consolidated Frcst per Gal";#N/A,#N/A,TRUE,"96 Consolidated Plan";#N/A,#N/A,TRUE,"96 Consolidated per Gallon"}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esentation." hidden="1">{#N/A,#N/A,TRUE,"Summary";"AnnualRentRoll",#N/A,TRUE,"RentRoll";#N/A,#N/A,TRUE,"ExitStratigy";#N/A,#N/A,TRUE,"OperatingAssumptions"}</definedName>
    <definedName name="wrn.print.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eport.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1." hidden="1">{"cf1.xls",#N/A,FALSE,"CF";"cfseg1.xls",#N/A,FALSE,"CF";"REV1.xls",#N/A,FALSE,"Rev";"REVANA1.XLS",#N/A,FALSE,"Rev";"IS1.xls",#N/A,FALSE,"IS";"ISQ1.xls",#N/A,FALSE,"IS"}</definedName>
    <definedName name="wrn.PrintAll." hidden="1">{"PA1",#N/A,TRUE,"BORDMW";"pa2",#N/A,TRUE,"BORDMW";"PA3",#N/A,TRUE,"BORDMW";"PA4",#N/A,TRUE,"BORDMW"}</definedName>
    <definedName name="wrn.PrintExhibits." hidden="1">{#N/A,#N/A,TRUE,"Exhibit A1";#N/A,#N/A,TRUE,"Exhibit A2";#N/A,#N/A,TRUE,"Exhibit A3";#N/A,#N/A,TRUE,"Exhibit B - ASO";#N/A,#N/A,TRUE,"Exhibit C - Stop Loss";#N/A,#N/A,TRUE,"Exhibit D - Addl Services"}</definedName>
    <definedName name="wrn.PROFIT_LOSS." hidden="1">{"רווה_מסכם",#N/A,FALSE,"p&amp;l";"באור_תפעול",#N/A,FALSE,"operation";"באור_מופ",#N/A,FALSE,"R&amp;D";"באור_שיווק",#N/A,FALSE,"M&amp;S";"באור_הנהלה",#N/A,FALSE,"g&amp;a"}</definedName>
    <definedName name="wrn.Projections." hidden="1">{"Volume",#N/A,FALSE,"volume";"revenue",#N/A,FALSE,"revenue"}</definedName>
    <definedName name="wrn.PropertyInformation." hidden="1">{#N/A,#N/A,FALSE,"PropertyInfo"}</definedName>
    <definedName name="wrn.PRUD._.QTR._.3." hidden="1">{#N/A,#N/A,FALSE,"FBS-ASSETS";#N/A,#N/A,FALSE,"FBS-LIAB&amp;SE";#N/A,#N/A,FALSE,"FIS-QTR";#N/A,#N/A,FALSE,"FIS-YTD";#N/A,#N/A,FALSE,"FCF-QTR";#N/A,#N/A,FALSE,"FCF-YTD";#N/A,#N/A,FALSE,"FSE-QTR";#N/A,#N/A,FALSE,"FSE-YTD";#N/A,#N/A,FALSE,"CONSOLIDATING PGS 1";#N/A,#N/A,FALSE,"CONSOLIDATING PGS 2";#N/A,#N/A,FALSE,"ELIMINATIONS"}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TRLY." hidden="1">{"QTRLY1999",#N/A,FALSE,"QTRLY";"QTRLY2000",#N/A,FALSE,"QTRLY";"QTRLY2001",#N/A,FALSE,"QTRLY"}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1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Reports." hidden="1">{"Nil","Pass1",FALSE,"Rev&amp;OI-Q";"Nil","Pass2",FALSE,"Rev&amp;OI-Q";"Nil","Pass3",FALSE,"Rev&amp;OI-Q";"Nil","Pass1",FALSE,"Summary P&amp;L-Q";"Nil","Pass2",FALSE,"Summary P&amp;L-Q";"Nil","Pass3",FALSE,"Summary P&amp;L-Q";"Nil","Pass1",FALSE,"Bus Seg Summary-Q";"Nil","Pass2",FALSE,"Bus Seg Summary-Q";"Nil","Pass3",FALSE,"Bus Seg Summary-Q";"Nil","Pass1",FALSE,"Bus Seg Detail-Q";"Nil","Pass2",FALSE,"Bus Seg Detail-Q";"Nil","Pass3",FALSE,"Bus Seg Detail-Q";"Nil","Pass1Rev",FALSE,"Unit Detail-Q";"Nil","Pass1OI",FALSE,"Unit Detail-Q";"Nil","Pass2Rev",FALSE,"Unit Detail-Q";"Nil","Pass2OI",FALSE,"Unit Detail-Q";"Nil","Pass3Rev",FALSE,"Unit Detail-Q";"Nil","Pass3OI",FALSE,"Unit Detail-Q"}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hidden="1">{#N/A,#N/A,FALSE,"AD_Purch";#N/A,#N/A,FALSE,"Projections";#N/A,#N/A,FALSE,"DCF";#N/A,#N/A,FALSE,"Mkt Val"}</definedName>
    <definedName name="wrn.renewal." hidden="1">{#N/A,#N/A,FALSE,"Non Medicare Results UC";#N/A,#N/A,FALSE,"Non Medicare Projection UC";#N/A,#N/A,FALSE,"Non Medicare Results BOB";#N/A,#N/A,FALSE,"Non Medicare Projection BOB";#N/A,#N/A,FALSE,"Medicare Risk Results UC";#N/A,#N/A,FALSE,"Medicare Risk Projection UC";#N/A,#N/A,FALSE,"Medicare Risk Results BOB";#N/A,#N/A,FALSE,"Medicare Risk Projection BOB";#N/A,#N/A,FALSE,"Medicare Cost Results UC";#N/A,#N/A,FALSE,"Medicare Cost Projection UC";#N/A,#N/A,FALSE,"Medicare Cost Results BOB";#N/A,#N/A,FALSE,"Medicare Cost Projection BOB";#N/A,#N/A,FALSE,"pmpm";#N/A,#N/A,FALSE,"Trend";#N/A,#N/A,FALSE,"Enrollment by Tier";#N/A,#N/A,FALSE,"Mnthly Mmbershp UC Actives";#N/A,#N/A,FALSE,"Mnthly Mmbershp UC Medicare";#N/A,#N/A,FALSE,"Mnthly Mmbershp BOB Actives";#N/A,#N/A,FALSE,"out_drug";#N/A,#N/A,FALSE,"area_adj";#N/A,#N/A,FALSE,"util_s";#N/A,#N/A,FALSE,"util_p";#N/A,#N/A,FALSE,"Care_Mg";#N/A,#N/A,FALSE,"Large Claims Non Medicare";#N/A,#N/A,FALSE,"Large Claims Medicare";#N/A,#N/A,FALSE,"UC med ctr";#N/A,#N/A,FALSE,"other phys";#N/A,#N/A,FALSE,"util_admit nmed";#N/A,#N/A,FALSE,"util_admit medr";#N/A,#N/A,FALSE,"util_admit_medc";#N/A,#N/A,FALSE,"util_clms nmed";#N/A,#N/A,FALSE,"util_clms medr";#N/A,#N/A,FALSE,"util_clms_medc";#N/A,#N/A,FALSE,"cap_nmed";#N/A,#N/A,FALSE,"cap_med";#N/A,#N/A,FALSE,"cap_medc";#N/A,#N/A,FALSE,"rx_nmed_uc";#N/A,#N/A,FALSE,"mo_nmed";#N/A,#N/A,FALSE,"rx_med_uc";#N/A,#N/A,FALSE,"mo_med_uc";#N/A,#N/A,FALSE,"rx_diag_uc";#N/A,#N/A,FALSE,"rx_diag_med_uc";#N/A,#N/A,FALSE,"GHAA";#N/A,#N/A,FALSE,"HEDIS"}</definedName>
    <definedName name="wrn.report." hidden="1">{#N/A,#N/A,FALSE,"ValSum";#N/A,#N/A,FALSE,"Market Multiple";#N/A,#N/A,FALSE,"Multiple Analysis";#N/A,#N/A,FALSE,"Representative Levels";#N/A,#N/A,FALSE,"SCF - BS";#N/A,#N/A,FALSE,"SCF - IS";#N/A,#N/A,FALSE,"SCF - CFA";#N/A,#N/A,FALSE,"Market Info1";#N/A,#N/A,FALSE,"Market Info2";#N/A,#N/A,FALSE,"Operating Data";#N/A,#N/A,FALSE,"Balance Sheet Ratios";#N/A,#N/A,FALSE,"Financial";#N/A,#N/A,FALSE,"Trend";#N/A,#N/A,FALSE,"Rankings"}</definedName>
    <definedName name="wrn.Report1." hidden="1">{#N/A,#N/A,FALSE,"July 95";#N/A,#N/A,FALSE,"Aug 95";#N/A,#N/A,FALSE,"Sep 95";#N/A,#N/A,FALSE,"October 95";#N/A,#N/A,FALSE,"November 95";#N/A,#N/A,FALSE,"December 95";#N/A,#N/A,FALSE,"February 96";#N/A,#N/A,FALSE,"March 96"}</definedName>
    <definedName name="wrn.Restricted._.Rpts." hidden="1">{"RptRY",#N/A,FALSE,"CDGy";"RptRQ",#N/A,FALSE,"CDGq";"RptRM",#N/A,FALSE,"CDGm"}</definedName>
    <definedName name="wrn.ReviewPack." hidden="1">{#N/A,#N/A,FALSE,"PCS";#N/A,#N/A,FALSE,"Market Info1";#N/A,#N/A,FALSE,"Market Info2";#N/A,#N/A,FALSE,"Operating Data";#N/A,#N/A,FALSE,"Balance Sheet Ratios";#N/A,#N/A,FALSE,"Financial";#N/A,#N/A,FALSE,"Trend";#N/A,#N/A,FALSE,"Rankings";#N/A,#N/A,FALSE,"Wage Analysis";#N/A,#N/A,FALSE,"SCF - BS";#N/A,#N/A,FALSE,"SCF - IS";#N/A,#N/A,FALSE,"SCF - CFA";#N/A,#N/A,FALSE,"Volatility";#N/A,#N/A,FALSE,"Option Analysis";#N/A,#N/A,FALSE,"Representative Levels";#N/A,#N/A,FALSE,"ValSum";#N/A,#N/A,FALSE,"Market Multiple";#N/A,#N/A,FALSE,"Multiple Analysis";#N/A,#N/A,FALSE,"Market Changes"}</definedName>
    <definedName name="wrn.ReviewPackBrief." hidden="1">{#N/A,#N/A,FALSE,"Market Info1";#N/A,#N/A,FALSE,"Market Info2";#N/A,#N/A,FALSE,"PCS";#N/A,#N/A,FALSE,"Operating Data";#N/A,#N/A,FALSE,"Balance Sheet Ratios";#N/A,#N/A,FALSE,"Financial";#N/A,#N/A,FALSE,"Trend";#N/A,#N/A,FALSE,"Rankings";#N/A,#N/A,FALSE,"Market Changes";#N/A,#N/A,FALSE,"Other Analysis"}</definedName>
    <definedName name="wrn.Revs." hidden="1">{"Base_rev",#N/A,FALSE,"Proj_IS_Base";"Projrev",#N/A,FALSE,"Proj_IS_wOTLC";"Delta",#N/A,FALSE,"Delta Rev_PV"}</definedName>
    <definedName name="wrn.sales." hidden="1">{"sales",#N/A,FALSE,"Sales";"sales existing",#N/A,FALSE,"Sales";"sales rd1",#N/A,FALSE,"Sales";"sales rd2",#N/A,FALSE,"Sales"}</definedName>
    <definedName name="wrn.Sales._.Pres." hidden="1">{#N/A,#N/A,TRUE,"Cost Comparison";#N/A,#N/A,TRUE,"Plan Design"}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1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NDSQUARTERLY.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CIOH." hidden="1">{#N/A,#N/A,FALSE,"TOTOH";#N/A,#N/A,FALSE,"TOTMFG";#N/A,#N/A,FALSE,"DEPT31";#N/A,#N/A,FALSE,"DEPT35";#N/A,#N/A,FALSE,"DEPT55";#N/A,#N/A,FALSE,"DEPT62";#N/A,#N/A,FALSE,"DEPT95"}</definedName>
    <definedName name="wrn.sdi." hidden="1">{#N/A,#N/A,FALSE,"Customer Base";#N/A,#N/A,FALSE,"Workforce";#N/A,#N/A,FALSE,"cur prod";#N/A,#N/A,FALSE,"in-proc";#N/A,#N/A,FALSE,"Trademark"}</definedName>
    <definedName name="wrn.SEGSCH." hidden="1">{#N/A,#N/A,FALSE,"SEGINC";#N/A,#N/A,FALSE,"INTINCEXP";#N/A,#N/A,FALSE,"SEGSALE";#N/A,#N/A,FALSE,"IDENTASSETS"}</definedName>
    <definedName name="wrn.SHORT." hidden="1">{"CREDIT STATISTICS",#N/A,FALSE,"STATS";"CF_AND_IS",#N/A,FALSE,"PLAN";"BALSHEET",#N/A,FALSE,"BALANCE SHEET"}</definedName>
    <definedName name="wrn.Short._.Print." hidden="1">{#N/A,#N/A,FALSE,"Cover";#N/A,#N/A,FALSE,"Stack";#N/A,#N/A,FALSE,"Cost S";#N/A,#N/A,FALSE," CF";#N/A,#N/A,FALSE,"Investor"}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taffing.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ND_ALONE_BOTH." hidden="1">{"FCB_ALL",#N/A,FALSE,"FCB";"GREY_ALL",#N/A,FALSE,"GREY"}</definedName>
    <definedName name="wrn.Stanford._.Experience." hidden="1">{"TOP",#N/A,TRUE,"TRIPLE OPTION EXPERIENCE";"actives",#N/A,TRUE,"TRIPLE OPTION EXPERIENCE";"experience",#N/A,TRUE,"TRIPLE OPTION EXPERIENCE";"Outacomp",#N/A,TRUE,"FEE FOR SERVICE EXPERIENCE ";"Outacomp",#N/A,TRUE,"FEE FOR SERVICE EXPERIENCE ";"Outret",#N/A,TRUE,"FEE FOR SERVICE EXPERIENCE ";"Outact",#N/A,TRUE,"FEE FOR SERVICE EXPERIENCE ";"OutRcomp",#N/A,TRUE,"FEE FOR SERVICE EXPERIENCE ";"Outact",#N/A,TRUE,"FEE FOR SERVICE EXPERIENCE ";"OutRcomp",#N/A,TRUE,"FEE FOR SERVICE EXPERIENCE ";"Outret",#N/A,TRUE,"FEE FOR SERVICE EXPERIENCE ";"actives",#N/A,TRUE,"TRIPLE OPTION EXPERIENCE";"TOP",#N/A,TRUE,"TRIPLE OPTION EXPERIENCE"}</definedName>
    <definedName name="wrn.sum." hidden="1">{"Opsys",#N/A,FALSE,"NPV_OPsys";"NT",#N/A,FALSE,"NPV_NT";"DevP",#N/A,FALSE,"NPV_DevPdt";"Office",#N/A,FALSE,"NPV_Office"}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.Presentation." hidden="1">{#N/A,#N/A,FALSE,"Financial Statements";#N/A,#N/A,FALSE,"MM FA &amp; Multiples";#N/A,#N/A,FALSE,"Preliminary Valuation";#N/A,#N/A,FALSE,"WACC"}</definedName>
    <definedName name="wrn.summaryANDbackup." hidden="1">{#N/A,#N/A,FALSE,"Prem_Sum";#N/A,#N/A,FALSE,"Prem"}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TARGET._.DCF." hidden="1">{"targetdcf",#N/A,FALSE,"Merger consequences";"TARGETASSU",#N/A,FALSE,"Merger consequences";"TERMINAL VALUE",#N/A,FALSE,"Merger consequences"}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est." hidden="1">{"Cash Flow",#N/A,FALSE,"Cash Flow"}</definedName>
    <definedName name="wrn.todo.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esentation." hidden="1">{#N/A,#N/A,TRUE,"Financial Statements";#N/A,#N/A,TRUE,"Normalized Salaries";#N/A,#N/A,TRUE,"Valuation";#N/A,#N/A,TRUE,"Beta, Wd, We and Excess WC";#N/A,#N/A,TRUE,"WACC";#N/A,#N/A,TRUE,"MM FA &amp; Multiples"}</definedName>
    <definedName name="wrn.total._.year." hidden="1">{#N/A,#N/A,FALSE,"2003_Input - P&amp;L"}</definedName>
    <definedName name="wrn.TransPrcd_123." hidden="1">{#N/A,#N/A,TRUE,"TransPrcd 1";#N/A,#N/A,TRUE,"TransPrcd 2";#N/A,#N/A,TRUE,"TransPrcd 3"}</definedName>
    <definedName name="wrn.Tweety." hidden="1">{#N/A,#N/A,FALSE,"A&amp;E";#N/A,#N/A,FALSE,"HighTop";#N/A,#N/A,FALSE,"JG";#N/A,#N/A,FALSE,"RI";#N/A,#N/A,FALSE,"woHT";#N/A,#N/A,FALSE,"woHT&amp;JG"}</definedName>
    <definedName name="wrn.Tycon._.Model." hidden="1">{"rtn",#N/A,FALSE,"RTN";"tables",#N/A,FALSE,"RTN";"cf",#N/A,FALSE,"CF";"stats",#N/A,FALSE,"Stats";"prop",#N/A,FALSE,"Prop"}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upstairs." hidden="1">{"histincome",#N/A,FALSE,"hyfins";"closing balance",#N/A,FALSE,"hyfins"}</definedName>
    <definedName name="wrn.VALUATION." hidden="1">{#N/A,#N/A,FALSE,"Pooling";#N/A,#N/A,FALSE,"income";#N/A,#N/A,FALSE,"valuation"}</definedName>
    <definedName name="wrn.Valuation._.Worksheets.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Wacc." hidden="1">{"Area1",#N/A,FALSE,"OREWACC";"Area2",#N/A,FALSE,"OREWACC"}</definedName>
    <definedName name="wrn.WACHOVIA._.QTR._.5." hidden="1">{#N/A,#N/A,FALSE,"FBS-ASSETS";#N/A,#N/A,FALSE,"FBS-LIAB&amp;SE";#N/A,#N/A,FALSE,"FIS-QTR";#N/A,#N/A,FALSE,"FIS-YTD";#N/A,#N/A,FALSE,"FCF-QTR";#N/A,#N/A,FALSE,"FCF-YTD";#N/A,#N/A,FALSE,"FSE-QTR";#N/A,#N/A,FALSE,"FSE-YTD"}</definedName>
    <definedName name="wrn.WARCO._.ALPHA." hidden="1">{#N/A,#N/A,FALSE,"WARCO";#N/A,#N/A,FALSE,"ALPHA"}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HOLE." hidden="1">{#N/A,#N/A,FALSE,"assumptions";#N/A,#N/A,FALSE,"contrib_annual";#N/A,#N/A,FALSE,"historic";#N/A,#N/A,FALSE,"Proforma";#N/A,#N/A,FALSE,"CALENDARIZED";#N/A,#N/A,FALSE,"Has_gets";#N/A,#N/A,FALSE,"DILUTION"}</definedName>
    <definedName name="wrn.wicor." hidden="1">{#N/A,#N/A,FALSE,"FACTSHEETS";#N/A,#N/A,FALSE,"pump";#N/A,#N/A,FALSE,"filter"}</definedName>
    <definedName name="wrn.Workpapers." hidden="1">{"Cash Flow Input - Legal",#N/A,FALSE,"Sep 98";"Net Income Adj - Legal",#N/A,FALSE,"Sep 98";"Working Cap Adj - Legal",#N/A,FALSE,"Sep 98";"Equity - Legal",#N/A,FALSE,"Sep 98"}</definedName>
    <definedName name="wrn.YE._.ADDITIONAL._.INFO." hidden="1">{#N/A,#N/A,FALSE,"FBS-ASSETS";#N/A,#N/A,FALSE,"FBS-LIAB&amp;SE";#N/A,#N/A,FALSE,"FIS-YTD";#N/A,#N/A,FALSE,"FCF-YTD";#N/A,#N/A,FALSE,"FSE-YTD";#N/A,#N/A,FALSE,"CONSOLIDATING PGS 1";#N/A,#N/A,FALSE,"CONSOLIDATING PGS 2";#N/A,#N/A,FALSE,"ELIMINATIONS"}</definedName>
    <definedName name="wrn.YE._.BANK._.COV._.PG." hidden="1">{#N/A,#N/A,FALSE,"YE BK COV PG"}</definedName>
    <definedName name="wrn.YE._.FINANCIAL._.STAT." hidden="1">{#N/A,#N/A,FALSE,"FBS-ASSETS";#N/A,#N/A,FALSE,"FBS-LIAB&amp;SE";#N/A,#N/A,FALSE,"FIS-YTD";#N/A,#N/A,FALSE,"FCF-YTD";#N/A,#N/A,FALSE,"FSE-YTD"}</definedName>
    <definedName name="wrn.Yearly._.Reports." hidden="1">{"CashFlow","Nil",FALSE,"Yearly Reports-Y";"Revenue_OI","Nil",FALSE,"Yearly Reports-Y";"MTVNChannelComp","Nil",FALSE,"Yearly Reports-Y"}</definedName>
    <definedName name="wrn.דוח_מרכז." hidden="1">{"רווח והפסד",#N/A,FALSE,"תכנית לבנק (2)";"באור_ראשון",#N/A,FALSE,"תכנית לבנק (2)";"באור_שני",#N/A,FALSE,"תכנית לבנק (2)";"מכירות",#N/A,FALSE,"SALES"}</definedName>
    <definedName name="wrn.הערות._.רבעון._.3." hidden="1">{"הערות",#N/A,FALSE,"תקציב מול ביצוע (2)"}</definedName>
    <definedName name="wrn.השקעות." hidden="1">{"השקעות",#N/A,FALSE,"investments";"מפעל חדש",#N/A,FALSE,"nf"}</definedName>
    <definedName name="wrn.טבלאות_עזר." hidden="1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מאזן." hidden="1">{"מאזן",#N/A,FALSE,"מאזן בוחן"}</definedName>
    <definedName name="wrn.מאזן_בוחן_כללי." hidden="1">{#N/A,#N/A,FALSE,"מאזן בוחן";"כל_מאזן_בוחן",#N/A,FALSE,"מאזן בוחן"}</definedName>
    <definedName name="wrn.מופ." hidden="1">{"באור_מופ",#N/A,FALSE,"R&amp;D";"מופ_לפי_מוצרים",#N/A,FALSE,"R&amp;D"}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רווה." hidden="1">{"רווה",#N/A,FALSE,"מאזן בוחן"}</definedName>
    <definedName name="wrn.רווה_לפי_מוצרים." hidden="1">{"ossix",#N/A,FALSE,"ossix";"דרמיקול",#N/A,FALSE,"dermicol";"reflux",#N/A,FALSE,"reflux";"מופ_לפי_מוצרים",#N/A,FALSE,"R&amp;D"}</definedName>
    <definedName name="wrn.שכר_כולל." hidden="1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תזרים." hidden="1">{"תזרים",#N/A,FALSE,"cf"}</definedName>
    <definedName name="wrn_eva" hidden="1">{"EVA",#N/A,FALSE,"EVA";"WACC",#N/A,FALSE,"WACC"}</definedName>
    <definedName name="wrn_otpt" hidden="1">{"DCF","UPSIDE CASE",FALSE,"Sheet1";"DCF","BASE CASE",FALSE,"Sheet1";"DCF","DOWNSIDE CASE",FALSE,"Sheet1"}</definedName>
    <definedName name="WRN1.ALL" hidden="1">{#N/A,#N/A,FALSE,"RH1";#N/A,#N/A,FALSE,"SP2";#N/A,#N/A,FALSE,"MB3";#N/A,#N/A,FALSE,"WV5";#N/A,#N/A,FALSE,"LB6";#N/A,#N/A,FALSE,"NB7";#N/A,#N/A,FALSE,"MV8";#N/A,#N/A,FALSE,"ALL STORES (7)";#N/A,#N/A,FALSE,"MATURE STORES (3)";#N/A,#N/A,FALSE,"BASE STORES (5)";#N/A,#N/A,FALSE,"NEW STORES (2)"}</definedName>
    <definedName name="wvu.Final._.Day._.1." hidden="1">{TRUE,TRUE,-1.25,-15.5,604.5,369.75,FALSE,TRUE,TRUE,TRUE,0,1,5,1,7,4,6,4,TRUE,TRUE,3,TRUE,1,TRUE,100,"Swvu.Final._.Day._.1.","ACwvu.Final._.Day._.1.",#N/A,FALSE,FALSE,0,0,0.65,0,2,"&amp;C&amp;""Arial Rounded MT Bold,Bold""&amp;16Simon and Schuster
Consumer Group
Daily Sales Summary","",TRUE,FALSE,FALSE,FALSE,1,#N/A,1,1,"=R1C1:R46C26",FALSE,"Rwvu.Final._.Day._.1.",#N/A,FALSE,FALSE,FALSE,1,#N/A,#N/A,FALSE,FALSE,TRUE,TRUE,TRUE}</definedName>
    <definedName name="wvu.Final._.Day._.2." hidden="1">{TRUE,TRUE,-1.25,-15.5,604.5,369.75,FALSE,TRUE,TRUE,TRUE,0,1,5,1,7,4,6,4,TRUE,TRUE,3,TRUE,1,TRUE,100,"Swvu.Final._.Day._.1.","ACwvu.Final._.Day._.1.",#N/A,FALSE,FALSE,0,0,0.65,0,2,"&amp;C&amp;""Arial Rounded MT Bold,Bold""&amp;16Simon and Schuster
Consumer Group
Daily Sales Summary","",TRUE,FALSE,FALSE,FALSE,1,#N/A,1,1,"=R1C1:R46C26",FALSE,"Rwvu.Final._.Day._.1.",#N/A,FALSE,FALSE,FALSE,1,#N/A,#N/A,FALSE,FALSE,TRUE,TRUE,TRUE}</definedName>
    <definedName name="wvu.Full." hidden="1">{TRUE,TRUE,-1.25,-15.5,604.5,369.75,FALSE,TRUE,TRUE,TRUE,0,1,5,1,7,4,6,4,TRUE,TRUE,3,TRUE,1,TRUE,100,"Swvu.Full.","ACwvu.Full.",#N/A,FALSE,FALSE,0,0,0.65,0,2,"&amp;C&amp;""Arial Rounded MT Bold,Bold""&amp;16Simon and Schuster
Consumer Group
Daily Sales Summary","",TRUE,FALSE,FALSE,FALSE,1,#N/A,1,1,"=R1C1:R46C26",FALSE,"Rwvu.Full.",#N/A,FALSE,FALSE,FALSE,1,#N/A,#N/A,FALSE,FALSE,TRUE,TRUE,TRUE}</definedName>
    <definedName name="wvu.Full2." hidden="1">{TRUE,TRUE,-1.25,-15.5,604.5,369.75,FALSE,TRUE,TRUE,TRUE,0,1,5,1,7,4,6,4,TRUE,TRUE,3,TRUE,1,TRUE,100,"Swvu.Full.","ACwvu.Full.",#N/A,FALSE,FALSE,0,0,0.65,0,2,"&amp;C&amp;""Arial Rounded MT Bold,Bold""&amp;16Simon and Schuster
Consumer Group
Daily Sales Summary","",TRUE,FALSE,FALSE,FALSE,1,#N/A,1,1,"=R1C1:R46C26",FALSE,"Rwvu.Full.",#N/A,FALSE,FALSE,FALSE,1,#N/A,#N/A,FALSE,FALSE,TRUE,TRUE,TRUE}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x" hidden="1">{#N/A,#N/A,FALSE,"FY97";#N/A,#N/A,FALSE,"FY98";#N/A,#N/A,FALSE,"FY99";#N/A,#N/A,FALSE,"FY00";#N/A,#N/A,FALSE,"FY01"}</definedName>
    <definedName name="xcxzc" hidden="1">{#N/A,#N/A,FALSE,"AD_Purchase";#N/A,#N/A,FALSE,"Credit";#N/A,#N/A,FALSE,"PF Acquisition";#N/A,#N/A,FALSE,"PF Offering"}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5" hidden="1">#REF!</definedName>
    <definedName name="XREF_COLUMN_5" hidden="1">#REF!</definedName>
    <definedName name="XREF_COLUMN_9" hidden="1">#REF!</definedName>
    <definedName name="XRefColumnsCount" hidden="1">15</definedName>
    <definedName name="XRefCopy1" hidden="1">#REF!</definedName>
    <definedName name="XRefCopy1Row" hidden="1">#REF!</definedName>
    <definedName name="XRefCopy3" hidden="1">#REF!</definedName>
    <definedName name="XRefCopy3Row" hidden="1">#REF!</definedName>
    <definedName name="XRefCopy5" hidden="1">#REF!</definedName>
    <definedName name="XRefCopy5Row" hidden="1">#REF!</definedName>
    <definedName name="XRefCopyRangeCount" hidden="1">10</definedName>
    <definedName name="XRefPaste13" hidden="1">#REF!</definedName>
    <definedName name="XRefPaste13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RangeCount" hidden="1">14</definedName>
    <definedName name="xx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xxx" hidden="1">{#N/A,#N/A,FALSE,"2003_Input - P&amp;L"}</definedName>
    <definedName name="xxxx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YEAH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r1">#REF!</definedName>
    <definedName name="Year2">#REF!</definedName>
    <definedName name="Year3">#REF!</definedName>
    <definedName name="yh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ouh" hidden="1">{#N/A,#N/A,FALSE,"AD_Purchase";#N/A,#N/A,FALSE,"Credit";#N/A,#N/A,FALSE,"PF Acquisition";#N/A,#N/A,FALSE,"PF Offering"}</definedName>
    <definedName name="yu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yyy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z" hidden="1">{#N/A,#N/A,FALSE,"Projections";#N/A,#N/A,FALSE,"Multiples Valuation";#N/A,#N/A,FALSE,"LBO";#N/A,#N/A,FALSE,"Multiples_Sensitivity";#N/A,#N/A,FALSE,"Summary"}</definedName>
    <definedName name="Z_75377209_DBB4_11D2_9AEC_0060B0EF0290_.wvu.Cols" hidden="1">#REF!,#REF!</definedName>
    <definedName name="Z_7537720D_DBB4_11D2_9AEC_0060B0EF0290_.wvu.Cols" hidden="1">#REF!,#REF!</definedName>
    <definedName name="Z_9118CF73_A0E0_408F_82FC_D7B84F445576_.wvu.Cols" hidden="1">#REF!</definedName>
    <definedName name="Z_9118CF73_A0E0_408F_82FC_D7B84F445576_.wvu.PrintArea" hidden="1">#REF!</definedName>
    <definedName name="Z_9118CF73_A0E0_408F_82FC_D7B84F445576_.wvu.Rows" hidden="1">#REF!,#REF!</definedName>
    <definedName name="Z_A34462A5_C2B0_11D2_9AD9_0060B0EF0290_.wvu.Cols" hidden="1">#REF!,#REF!</definedName>
    <definedName name="Z_A34462AD_C2B0_11D2_9AD9_0060B0EF0290_.wvu.Cols" hidden="1">#REF!,#REF!</definedName>
    <definedName name="Z_A34462B6_C2B0_11D2_9AD9_0060B0EF0290_.wvu.Cols" hidden="1">#REF!,#REF!</definedName>
    <definedName name="Z_A34462BE_C2B0_11D2_9AD9_0060B0EF0290_.wvu.Cols" hidden="1">#REF!,#REF!</definedName>
    <definedName name="Z_A34462C7_C2B0_11D2_9AD9_0060B0EF0290_.wvu.Cols" hidden="1">#REF!,#REF!</definedName>
    <definedName name="Z_A34462CF_C2B0_11D2_9AD9_0060B0EF0290_.wvu.Cols" hidden="1">#REF!,#REF!</definedName>
    <definedName name="zcvqa" hidden="1">{#N/A,#N/A,FALSE,"AD_Purchase";#N/A,#N/A,FALSE,"Credit";#N/A,#N/A,FALSE,"PF Acquisition";#N/A,#N/A,FALSE,"PF Offering"}</definedName>
    <definedName name="zcvzaa" hidden="1">{#N/A,#N/A,FALSE,"Debt Accr";#N/A,#N/A,FALSE,"Stock Accr";#N/A,#N/A,FALSE,"Debt Stock Accr"}</definedName>
    <definedName name="zcxzxva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scz" hidden="1">{#N/A,#N/A,FALSE,"Pooling";#N/A,#N/A,FALSE,"income";#N/A,#N/A,FALSE,"valuation"}</definedName>
    <definedName name="zx" hidden="1">{#N/A,#N/A,FALSE,"AD_Purchase";#N/A,#N/A,FALSE,"Credit";#N/A,#N/A,FALSE,"PF Acquisition";#N/A,#N/A,FALSE,"PF Offering"}</definedName>
    <definedName name="zxcc" hidden="1">{#N/A,#N/A,FALSE,"Projections";#N/A,#N/A,FALSE,"Contribution_Stock";#N/A,#N/A,FALSE,"PF_Combo_Stock";#N/A,#N/A,FALSE,"Projections";#N/A,#N/A,FALSE,"Contribution_Cash";#N/A,#N/A,FALSE,"PF_Combo_Cash";#N/A,#N/A,FALSE,"IPO_Cash"}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אאא" hidden="1">{#N/A,#N/A,FALSE,"מאזן בוחן";"כל_מאזן_בוחן",#N/A,FALSE,"מאזן בוחן"}</definedName>
    <definedName name="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69" i="1" l="1"/>
  <c r="Z66" i="1"/>
  <c r="Z65" i="1"/>
  <c r="X73" i="1"/>
  <c r="Z73" i="1" s="1"/>
  <c r="W73" i="1"/>
  <c r="V73" i="1"/>
  <c r="L73" i="1"/>
  <c r="K73" i="1"/>
  <c r="J73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P67" i="1"/>
  <c r="O67" i="1"/>
  <c r="N67" i="1"/>
  <c r="J67" i="1"/>
  <c r="X66" i="1"/>
  <c r="W66" i="1"/>
  <c r="V66" i="1"/>
  <c r="U66" i="1"/>
  <c r="T66" i="1"/>
  <c r="S66" i="1"/>
  <c r="R66" i="1"/>
  <c r="Q66" i="1"/>
  <c r="P66" i="1"/>
  <c r="O66" i="1"/>
  <c r="N66" i="1"/>
  <c r="N73" i="1" s="1"/>
  <c r="M66" i="1"/>
  <c r="L66" i="1"/>
  <c r="K66" i="1"/>
  <c r="J66" i="1"/>
  <c r="X65" i="1"/>
  <c r="W65" i="1"/>
  <c r="V65" i="1"/>
  <c r="U65" i="1"/>
  <c r="U73" i="1" s="1"/>
  <c r="T65" i="1"/>
  <c r="T73" i="1" s="1"/>
  <c r="S65" i="1"/>
  <c r="S73" i="1" s="1"/>
  <c r="R65" i="1"/>
  <c r="Q65" i="1"/>
  <c r="P65" i="1"/>
  <c r="P73" i="1" s="1"/>
  <c r="O65" i="1"/>
  <c r="N65" i="1"/>
  <c r="M65" i="1"/>
  <c r="L65" i="1"/>
  <c r="K65" i="1"/>
  <c r="J65" i="1"/>
  <c r="I73" i="1"/>
  <c r="I69" i="1"/>
  <c r="I66" i="1"/>
  <c r="I65" i="1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AB24" i="5" s="1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AB23" i="5" s="1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AB22" i="5" s="1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AB21" i="5" s="1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AB20" i="5" s="1"/>
  <c r="X27" i="4"/>
  <c r="W27" i="4"/>
  <c r="V27" i="4"/>
  <c r="U27" i="4"/>
  <c r="T27" i="4"/>
  <c r="S27" i="4"/>
  <c r="R27" i="4"/>
  <c r="Q27" i="4"/>
  <c r="P27" i="4"/>
  <c r="O27" i="4"/>
  <c r="N27" i="4"/>
  <c r="M27" i="4"/>
  <c r="Z27" i="4" s="1"/>
  <c r="L27" i="4"/>
  <c r="K27" i="4"/>
  <c r="J27" i="4"/>
  <c r="I27" i="4"/>
  <c r="H27" i="4"/>
  <c r="AB27" i="4" s="1"/>
  <c r="X26" i="4"/>
  <c r="W26" i="4"/>
  <c r="V26" i="4"/>
  <c r="U26" i="4"/>
  <c r="T26" i="4"/>
  <c r="S26" i="4"/>
  <c r="R26" i="4"/>
  <c r="Q26" i="4"/>
  <c r="P26" i="4"/>
  <c r="O26" i="4"/>
  <c r="N26" i="4"/>
  <c r="M26" i="4"/>
  <c r="Z26" i="4" s="1"/>
  <c r="L26" i="4"/>
  <c r="K26" i="4"/>
  <c r="J26" i="4"/>
  <c r="I26" i="4"/>
  <c r="H26" i="4"/>
  <c r="AB26" i="4" s="1"/>
  <c r="X25" i="4"/>
  <c r="W25" i="4"/>
  <c r="V25" i="4"/>
  <c r="U25" i="4"/>
  <c r="T25" i="4"/>
  <c r="S25" i="4"/>
  <c r="R25" i="4"/>
  <c r="Q25" i="4"/>
  <c r="P25" i="4"/>
  <c r="O25" i="4"/>
  <c r="N25" i="4"/>
  <c r="M25" i="4"/>
  <c r="Z25" i="4" s="1"/>
  <c r="L25" i="4"/>
  <c r="K25" i="4"/>
  <c r="J25" i="4"/>
  <c r="I25" i="4"/>
  <c r="H25" i="4"/>
  <c r="AB25" i="4" s="1"/>
  <c r="X24" i="4"/>
  <c r="W24" i="4"/>
  <c r="V24" i="4"/>
  <c r="U24" i="4"/>
  <c r="T24" i="4"/>
  <c r="S24" i="4"/>
  <c r="R24" i="4"/>
  <c r="Q24" i="4"/>
  <c r="P24" i="4"/>
  <c r="O24" i="4"/>
  <c r="N24" i="4"/>
  <c r="M24" i="4"/>
  <c r="Z24" i="4" s="1"/>
  <c r="L24" i="4"/>
  <c r="K24" i="4"/>
  <c r="J24" i="4"/>
  <c r="I24" i="4"/>
  <c r="H24" i="4"/>
  <c r="AB24" i="4" s="1"/>
  <c r="X23" i="4"/>
  <c r="W23" i="4"/>
  <c r="V23" i="4"/>
  <c r="U23" i="4"/>
  <c r="T23" i="4"/>
  <c r="S23" i="4"/>
  <c r="R23" i="4"/>
  <c r="Q23" i="4"/>
  <c r="P23" i="4"/>
  <c r="O23" i="4"/>
  <c r="N23" i="4"/>
  <c r="M23" i="4"/>
  <c r="Z23" i="4" s="1"/>
  <c r="L23" i="4"/>
  <c r="K23" i="4"/>
  <c r="J23" i="4"/>
  <c r="I23" i="4"/>
  <c r="H23" i="4"/>
  <c r="AB23" i="4" s="1"/>
  <c r="X22" i="4"/>
  <c r="W22" i="4"/>
  <c r="V22" i="4"/>
  <c r="U22" i="4"/>
  <c r="T22" i="4"/>
  <c r="S22" i="4"/>
  <c r="R22" i="4"/>
  <c r="Q22" i="4"/>
  <c r="P22" i="4"/>
  <c r="O22" i="4"/>
  <c r="N22" i="4"/>
  <c r="M22" i="4"/>
  <c r="Z22" i="4" s="1"/>
  <c r="L22" i="4"/>
  <c r="K22" i="4"/>
  <c r="J22" i="4"/>
  <c r="I22" i="4"/>
  <c r="H22" i="4"/>
  <c r="AB22" i="4" s="1"/>
  <c r="X24" i="6"/>
  <c r="W24" i="6"/>
  <c r="V24" i="6"/>
  <c r="U24" i="6"/>
  <c r="T24" i="6"/>
  <c r="S24" i="6"/>
  <c r="R24" i="6"/>
  <c r="Q24" i="6"/>
  <c r="P24" i="6"/>
  <c r="O24" i="6"/>
  <c r="N24" i="6"/>
  <c r="M24" i="6"/>
  <c r="Z24" i="6" s="1"/>
  <c r="L24" i="6"/>
  <c r="K24" i="6"/>
  <c r="J24" i="6"/>
  <c r="I24" i="6"/>
  <c r="H24" i="6"/>
  <c r="AB24" i="6" s="1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AB23" i="6" s="1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AB22" i="6" s="1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AB21" i="6" s="1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AB20" i="6" s="1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AB19" i="6" s="1"/>
  <c r="X24" i="2"/>
  <c r="W24" i="2"/>
  <c r="V24" i="2"/>
  <c r="U24" i="2"/>
  <c r="T24" i="2"/>
  <c r="S24" i="2"/>
  <c r="R24" i="2"/>
  <c r="Q24" i="2"/>
  <c r="P24" i="2"/>
  <c r="O24" i="2"/>
  <c r="N24" i="2"/>
  <c r="M24" i="2"/>
  <c r="Z24" i="2" s="1"/>
  <c r="L24" i="2"/>
  <c r="K24" i="2"/>
  <c r="J24" i="2"/>
  <c r="I24" i="2"/>
  <c r="H24" i="2"/>
  <c r="AB24" i="2" s="1"/>
  <c r="X25" i="2"/>
  <c r="W25" i="2"/>
  <c r="V25" i="2"/>
  <c r="U25" i="2"/>
  <c r="T25" i="2"/>
  <c r="S25" i="2"/>
  <c r="R25" i="2"/>
  <c r="Q25" i="2"/>
  <c r="P25" i="2"/>
  <c r="O25" i="2"/>
  <c r="N25" i="2"/>
  <c r="M25" i="2"/>
  <c r="Z25" i="2" s="1"/>
  <c r="L25" i="2"/>
  <c r="K25" i="2"/>
  <c r="J25" i="2"/>
  <c r="I25" i="2"/>
  <c r="H25" i="2"/>
  <c r="AB25" i="2" s="1"/>
  <c r="X26" i="2"/>
  <c r="W26" i="2"/>
  <c r="V26" i="2"/>
  <c r="U26" i="2"/>
  <c r="T26" i="2"/>
  <c r="S26" i="2"/>
  <c r="R26" i="2"/>
  <c r="Q26" i="2"/>
  <c r="P26" i="2"/>
  <c r="O26" i="2"/>
  <c r="N26" i="2"/>
  <c r="M26" i="2"/>
  <c r="Z26" i="2" s="1"/>
  <c r="L26" i="2"/>
  <c r="K26" i="2"/>
  <c r="J26" i="2"/>
  <c r="I26" i="2"/>
  <c r="H26" i="2"/>
  <c r="AB26" i="2" s="1"/>
  <c r="X27" i="2"/>
  <c r="W27" i="2"/>
  <c r="V27" i="2"/>
  <c r="U27" i="2"/>
  <c r="T27" i="2"/>
  <c r="S27" i="2"/>
  <c r="R27" i="2"/>
  <c r="Q27" i="2"/>
  <c r="P27" i="2"/>
  <c r="O27" i="2"/>
  <c r="N27" i="2"/>
  <c r="M27" i="2"/>
  <c r="Z27" i="2" s="1"/>
  <c r="L27" i="2"/>
  <c r="K27" i="2"/>
  <c r="J27" i="2"/>
  <c r="I27" i="2"/>
  <c r="H27" i="2"/>
  <c r="AB27" i="2" s="1"/>
  <c r="X28" i="2"/>
  <c r="W28" i="2"/>
  <c r="V28" i="2"/>
  <c r="U28" i="2"/>
  <c r="T28" i="2"/>
  <c r="S28" i="2"/>
  <c r="R28" i="2"/>
  <c r="Q28" i="2"/>
  <c r="P28" i="2"/>
  <c r="O28" i="2"/>
  <c r="N28" i="2"/>
  <c r="M28" i="2"/>
  <c r="Z28" i="2" s="1"/>
  <c r="L28" i="2"/>
  <c r="K28" i="2"/>
  <c r="J28" i="2"/>
  <c r="I28" i="2"/>
  <c r="H28" i="2"/>
  <c r="AB28" i="2" s="1"/>
  <c r="X26" i="3"/>
  <c r="W26" i="3"/>
  <c r="V26" i="3"/>
  <c r="U26" i="3"/>
  <c r="T26" i="3"/>
  <c r="S26" i="3"/>
  <c r="R26" i="3"/>
  <c r="Q26" i="3"/>
  <c r="P26" i="3"/>
  <c r="O26" i="3"/>
  <c r="N26" i="3"/>
  <c r="M26" i="3"/>
  <c r="Z26" i="3" s="1"/>
  <c r="L26" i="3"/>
  <c r="K26" i="3"/>
  <c r="J26" i="3"/>
  <c r="I26" i="3"/>
  <c r="H26" i="3"/>
  <c r="AB26" i="3" s="1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AB25" i="3" s="1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AB24" i="3" s="1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AB23" i="3" s="1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AB22" i="3" s="1"/>
  <c r="J93" i="20"/>
  <c r="K93" i="20"/>
  <c r="L93" i="20"/>
  <c r="M93" i="20"/>
  <c r="J94" i="20"/>
  <c r="K94" i="20"/>
  <c r="L94" i="20"/>
  <c r="M94" i="20"/>
  <c r="J95" i="20"/>
  <c r="K95" i="20"/>
  <c r="L95" i="20"/>
  <c r="M95" i="20"/>
  <c r="J96" i="20"/>
  <c r="K96" i="20"/>
  <c r="L96" i="20"/>
  <c r="M96" i="20"/>
  <c r="J97" i="20"/>
  <c r="K97" i="20"/>
  <c r="L97" i="20"/>
  <c r="M97" i="20"/>
  <c r="J98" i="20"/>
  <c r="K98" i="20"/>
  <c r="L98" i="20"/>
  <c r="M98" i="20"/>
  <c r="J99" i="20"/>
  <c r="K99" i="20"/>
  <c r="L99" i="20"/>
  <c r="M99" i="20"/>
  <c r="J100" i="20"/>
  <c r="K100" i="20"/>
  <c r="L100" i="20"/>
  <c r="M100" i="20"/>
  <c r="J101" i="20"/>
  <c r="K101" i="20"/>
  <c r="L101" i="20"/>
  <c r="M101" i="20"/>
  <c r="J102" i="20"/>
  <c r="K102" i="20"/>
  <c r="L102" i="20"/>
  <c r="M102" i="20"/>
  <c r="J103" i="20"/>
  <c r="K103" i="20"/>
  <c r="L103" i="20"/>
  <c r="M103" i="20"/>
  <c r="J104" i="20"/>
  <c r="K104" i="20"/>
  <c r="L104" i="20"/>
  <c r="M104" i="20"/>
  <c r="J105" i="20"/>
  <c r="K105" i="20"/>
  <c r="L105" i="20"/>
  <c r="M105" i="20"/>
  <c r="J106" i="20"/>
  <c r="K106" i="20"/>
  <c r="L106" i="20"/>
  <c r="M106" i="20"/>
  <c r="J107" i="20"/>
  <c r="K107" i="20"/>
  <c r="L107" i="20"/>
  <c r="M107" i="20"/>
  <c r="J108" i="20"/>
  <c r="K108" i="20"/>
  <c r="L108" i="20"/>
  <c r="M108" i="20"/>
  <c r="J109" i="20"/>
  <c r="K109" i="20"/>
  <c r="L109" i="20"/>
  <c r="M109" i="20"/>
  <c r="J110" i="20"/>
  <c r="K110" i="20"/>
  <c r="L110" i="20"/>
  <c r="M110" i="20"/>
  <c r="J111" i="20"/>
  <c r="K111" i="20"/>
  <c r="L111" i="20"/>
  <c r="M111" i="20"/>
  <c r="J112" i="20"/>
  <c r="K112" i="20"/>
  <c r="L112" i="20"/>
  <c r="M112" i="20"/>
  <c r="J113" i="20"/>
  <c r="K113" i="20"/>
  <c r="L113" i="20"/>
  <c r="M113" i="20"/>
  <c r="J114" i="20"/>
  <c r="K114" i="20"/>
  <c r="L114" i="20"/>
  <c r="M114" i="20"/>
  <c r="J115" i="20"/>
  <c r="K115" i="20"/>
  <c r="L115" i="20"/>
  <c r="M115" i="20"/>
  <c r="J120" i="20"/>
  <c r="K120" i="20"/>
  <c r="L120" i="20"/>
  <c r="M120" i="20"/>
  <c r="J121" i="20"/>
  <c r="K121" i="20"/>
  <c r="L121" i="20"/>
  <c r="M121" i="20"/>
  <c r="AG124" i="20"/>
  <c r="AJ124" i="20" s="1"/>
  <c r="J125" i="20"/>
  <c r="K125" i="20"/>
  <c r="L125" i="20"/>
  <c r="M125" i="20"/>
  <c r="J126" i="20"/>
  <c r="K126" i="20"/>
  <c r="L126" i="20"/>
  <c r="M126" i="20"/>
  <c r="J128" i="20"/>
  <c r="K128" i="20"/>
  <c r="L128" i="20"/>
  <c r="M128" i="20"/>
  <c r="J129" i="20"/>
  <c r="K129" i="20"/>
  <c r="L129" i="20"/>
  <c r="M129" i="20"/>
  <c r="P133" i="20"/>
  <c r="S133" i="20"/>
  <c r="T133" i="20"/>
  <c r="J52" i="20"/>
  <c r="K52" i="20"/>
  <c r="L52" i="20"/>
  <c r="M52" i="20"/>
  <c r="J53" i="20"/>
  <c r="K53" i="20"/>
  <c r="L53" i="20"/>
  <c r="M53" i="20"/>
  <c r="J54" i="20"/>
  <c r="K54" i="20"/>
  <c r="L54" i="20"/>
  <c r="M54" i="20"/>
  <c r="J58" i="20"/>
  <c r="K58" i="20"/>
  <c r="L58" i="20"/>
  <c r="M58" i="20"/>
  <c r="J59" i="20"/>
  <c r="K59" i="20"/>
  <c r="L59" i="20"/>
  <c r="M59" i="20"/>
  <c r="J60" i="20"/>
  <c r="K60" i="20"/>
  <c r="L60" i="20"/>
  <c r="M60" i="20"/>
  <c r="J62" i="20"/>
  <c r="K62" i="20"/>
  <c r="L62" i="20"/>
  <c r="M62" i="20"/>
  <c r="J67" i="20"/>
  <c r="K67" i="20"/>
  <c r="L67" i="20"/>
  <c r="M67" i="20"/>
  <c r="J68" i="20"/>
  <c r="K68" i="20"/>
  <c r="L68" i="20"/>
  <c r="M68" i="20"/>
  <c r="J69" i="20"/>
  <c r="K69" i="20"/>
  <c r="L69" i="20"/>
  <c r="M69" i="20"/>
  <c r="J70" i="20"/>
  <c r="J138" i="20" s="1"/>
  <c r="K70" i="20"/>
  <c r="K138" i="20" s="1"/>
  <c r="L70" i="20"/>
  <c r="L138" i="20" s="1"/>
  <c r="M70" i="20"/>
  <c r="M138" i="20" s="1"/>
  <c r="J71" i="20"/>
  <c r="K71" i="20"/>
  <c r="L71" i="20"/>
  <c r="M71" i="20"/>
  <c r="J72" i="20"/>
  <c r="K72" i="20"/>
  <c r="L72" i="20"/>
  <c r="M72" i="20"/>
  <c r="J74" i="20"/>
  <c r="K74" i="20"/>
  <c r="L74" i="20"/>
  <c r="M74" i="20"/>
  <c r="J75" i="20"/>
  <c r="K75" i="20"/>
  <c r="L75" i="20"/>
  <c r="M75" i="20"/>
  <c r="J76" i="20"/>
  <c r="K76" i="20"/>
  <c r="L76" i="20"/>
  <c r="M76" i="20"/>
  <c r="J77" i="20"/>
  <c r="K77" i="20"/>
  <c r="L77" i="20"/>
  <c r="M77" i="20"/>
  <c r="J78" i="20"/>
  <c r="K78" i="20"/>
  <c r="L78" i="20"/>
  <c r="M78" i="20"/>
  <c r="J79" i="20"/>
  <c r="K79" i="20"/>
  <c r="L79" i="20"/>
  <c r="M79" i="20"/>
  <c r="J80" i="20"/>
  <c r="K80" i="20"/>
  <c r="L80" i="20"/>
  <c r="M80" i="20"/>
  <c r="J82" i="20"/>
  <c r="K82" i="20"/>
  <c r="L82" i="20"/>
  <c r="M82" i="20"/>
  <c r="J83" i="20"/>
  <c r="K83" i="20"/>
  <c r="L83" i="20"/>
  <c r="M83" i="20"/>
  <c r="J84" i="20"/>
  <c r="K84" i="20"/>
  <c r="L84" i="20"/>
  <c r="M84" i="20"/>
  <c r="J85" i="20"/>
  <c r="K85" i="20"/>
  <c r="L85" i="20"/>
  <c r="M85" i="20"/>
  <c r="J86" i="20"/>
  <c r="K86" i="20"/>
  <c r="L86" i="20"/>
  <c r="M86" i="20"/>
  <c r="J88" i="20"/>
  <c r="K88" i="20"/>
  <c r="L88" i="20"/>
  <c r="M88" i="20"/>
  <c r="J89" i="20"/>
  <c r="K89" i="20"/>
  <c r="L89" i="20"/>
  <c r="M89" i="20"/>
  <c r="J90" i="20"/>
  <c r="K90" i="20"/>
  <c r="L90" i="20"/>
  <c r="M90" i="20"/>
  <c r="J91" i="20"/>
  <c r="K91" i="20"/>
  <c r="L91" i="20"/>
  <c r="M91" i="20"/>
  <c r="J92" i="20"/>
  <c r="K92" i="20"/>
  <c r="L92" i="20"/>
  <c r="M92" i="20"/>
  <c r="J12" i="20"/>
  <c r="K12" i="20"/>
  <c r="L12" i="20"/>
  <c r="M12" i="20"/>
  <c r="J13" i="20"/>
  <c r="K13" i="20"/>
  <c r="L13" i="20"/>
  <c r="M13" i="20"/>
  <c r="J19" i="20"/>
  <c r="K19" i="20"/>
  <c r="L19" i="20"/>
  <c r="M19" i="20"/>
  <c r="J20" i="20"/>
  <c r="K20" i="20"/>
  <c r="L20" i="20"/>
  <c r="M20" i="20"/>
  <c r="J21" i="20"/>
  <c r="K21" i="20"/>
  <c r="L21" i="20"/>
  <c r="M21" i="20"/>
  <c r="J22" i="20"/>
  <c r="K22" i="20"/>
  <c r="L22" i="20"/>
  <c r="M22" i="20"/>
  <c r="J24" i="20"/>
  <c r="K24" i="20"/>
  <c r="L24" i="20"/>
  <c r="M24" i="20"/>
  <c r="J25" i="20"/>
  <c r="K25" i="20"/>
  <c r="L25" i="20"/>
  <c r="M25" i="20"/>
  <c r="J26" i="20"/>
  <c r="K26" i="20"/>
  <c r="L26" i="20"/>
  <c r="M26" i="20"/>
  <c r="J28" i="20"/>
  <c r="K28" i="20"/>
  <c r="L28" i="20"/>
  <c r="M28" i="20"/>
  <c r="J29" i="20"/>
  <c r="K29" i="20"/>
  <c r="L29" i="20"/>
  <c r="M29" i="20"/>
  <c r="J30" i="20"/>
  <c r="K30" i="20"/>
  <c r="L30" i="20"/>
  <c r="M30" i="20"/>
  <c r="J31" i="20"/>
  <c r="K31" i="20"/>
  <c r="L31" i="20"/>
  <c r="M31" i="20"/>
  <c r="J33" i="20"/>
  <c r="K33" i="20"/>
  <c r="L33" i="20"/>
  <c r="M33" i="20"/>
  <c r="J34" i="20"/>
  <c r="K34" i="20"/>
  <c r="L34" i="20"/>
  <c r="M34" i="20"/>
  <c r="J35" i="20"/>
  <c r="K35" i="20"/>
  <c r="L35" i="20"/>
  <c r="M35" i="20"/>
  <c r="J38" i="20"/>
  <c r="K38" i="20"/>
  <c r="L38" i="20"/>
  <c r="M38" i="20"/>
  <c r="J39" i="20"/>
  <c r="K39" i="20"/>
  <c r="L39" i="20"/>
  <c r="M39" i="20"/>
  <c r="J40" i="20"/>
  <c r="K40" i="20"/>
  <c r="L40" i="20"/>
  <c r="M40" i="20"/>
  <c r="J41" i="20"/>
  <c r="K41" i="20"/>
  <c r="L41" i="20"/>
  <c r="M41" i="20"/>
  <c r="J42" i="20"/>
  <c r="K42" i="20"/>
  <c r="L42" i="20"/>
  <c r="M42" i="20"/>
  <c r="J44" i="20"/>
  <c r="K44" i="20"/>
  <c r="L44" i="20"/>
  <c r="M44" i="20"/>
  <c r="J45" i="20"/>
  <c r="K45" i="20"/>
  <c r="L45" i="20"/>
  <c r="M45" i="20"/>
  <c r="J46" i="20"/>
  <c r="K46" i="20"/>
  <c r="L46" i="20"/>
  <c r="M46" i="20"/>
  <c r="J47" i="20"/>
  <c r="K47" i="20"/>
  <c r="L47" i="20"/>
  <c r="M47" i="20"/>
  <c r="J48" i="20"/>
  <c r="K48" i="20"/>
  <c r="L48" i="20"/>
  <c r="M48" i="20"/>
  <c r="J49" i="20"/>
  <c r="K49" i="20"/>
  <c r="L49" i="20"/>
  <c r="M49" i="20"/>
  <c r="J50" i="20"/>
  <c r="K50" i="20"/>
  <c r="L50" i="20"/>
  <c r="M50" i="20"/>
  <c r="M140" i="19"/>
  <c r="L140" i="19"/>
  <c r="K140" i="19"/>
  <c r="J140" i="19"/>
  <c r="M139" i="19"/>
  <c r="L139" i="19"/>
  <c r="K139" i="19"/>
  <c r="J139" i="19"/>
  <c r="M138" i="19"/>
  <c r="L138" i="19"/>
  <c r="K138" i="19"/>
  <c r="J138" i="19"/>
  <c r="M137" i="19"/>
  <c r="L137" i="19"/>
  <c r="K137" i="19"/>
  <c r="J137" i="19"/>
  <c r="AF129" i="19"/>
  <c r="AE129" i="19"/>
  <c r="AD129" i="19"/>
  <c r="AC129" i="19"/>
  <c r="AB129" i="19"/>
  <c r="AA129" i="19"/>
  <c r="Z129" i="19"/>
  <c r="Y129" i="19"/>
  <c r="X129" i="19"/>
  <c r="W129" i="19"/>
  <c r="V129" i="19"/>
  <c r="U129" i="19"/>
  <c r="I129" i="19"/>
  <c r="H129" i="19"/>
  <c r="G129" i="19"/>
  <c r="F129" i="19"/>
  <c r="E129" i="19"/>
  <c r="D129" i="19"/>
  <c r="C129" i="19"/>
  <c r="B129" i="19"/>
  <c r="AF128" i="19"/>
  <c r="AE128" i="19"/>
  <c r="AD128" i="19"/>
  <c r="AC128" i="19"/>
  <c r="AB128" i="19"/>
  <c r="AA128" i="19"/>
  <c r="Z128" i="19"/>
  <c r="Y128" i="19"/>
  <c r="X128" i="19"/>
  <c r="W128" i="19"/>
  <c r="V128" i="19"/>
  <c r="U128" i="19"/>
  <c r="I128" i="19"/>
  <c r="H128" i="19"/>
  <c r="G128" i="19"/>
  <c r="F128" i="19"/>
  <c r="E128" i="19"/>
  <c r="D128" i="19"/>
  <c r="C128" i="19"/>
  <c r="B128" i="19"/>
  <c r="AF127" i="19"/>
  <c r="AE127" i="19"/>
  <c r="AD127" i="19"/>
  <c r="AC127" i="19"/>
  <c r="AB127" i="19"/>
  <c r="AA127" i="19"/>
  <c r="Z127" i="19"/>
  <c r="Y127" i="19"/>
  <c r="X127" i="19"/>
  <c r="W127" i="19"/>
  <c r="V127" i="19"/>
  <c r="U127" i="19"/>
  <c r="M127" i="19"/>
  <c r="M127" i="20" s="1"/>
  <c r="L127" i="19"/>
  <c r="K127" i="19"/>
  <c r="J127" i="19"/>
  <c r="I127" i="19"/>
  <c r="H127" i="19"/>
  <c r="G127" i="19"/>
  <c r="F127" i="19"/>
  <c r="E127" i="19"/>
  <c r="D127" i="19"/>
  <c r="C127" i="19"/>
  <c r="B127" i="19"/>
  <c r="AF126" i="19"/>
  <c r="AE126" i="19"/>
  <c r="AD126" i="19"/>
  <c r="AC126" i="19"/>
  <c r="AB126" i="19"/>
  <c r="AA126" i="19"/>
  <c r="Z126" i="19"/>
  <c r="Y126" i="19"/>
  <c r="X126" i="19"/>
  <c r="W126" i="19"/>
  <c r="V126" i="19"/>
  <c r="U126" i="19"/>
  <c r="I126" i="19"/>
  <c r="H126" i="19"/>
  <c r="G126" i="19"/>
  <c r="F126" i="19"/>
  <c r="E126" i="19"/>
  <c r="D126" i="19"/>
  <c r="C126" i="19"/>
  <c r="B126" i="19"/>
  <c r="AF125" i="19"/>
  <c r="AE125" i="19"/>
  <c r="AD125" i="19"/>
  <c r="AC125" i="19"/>
  <c r="AB125" i="19"/>
  <c r="AA125" i="19"/>
  <c r="Z125" i="19"/>
  <c r="Y125" i="19"/>
  <c r="X125" i="19"/>
  <c r="W125" i="19"/>
  <c r="V125" i="19"/>
  <c r="U125" i="19"/>
  <c r="I125" i="19"/>
  <c r="H125" i="19"/>
  <c r="G125" i="19"/>
  <c r="F125" i="19"/>
  <c r="E125" i="19"/>
  <c r="D125" i="19"/>
  <c r="C125" i="19"/>
  <c r="B125" i="19"/>
  <c r="AF124" i="19"/>
  <c r="AE124" i="19"/>
  <c r="AD124" i="19"/>
  <c r="AC124" i="19"/>
  <c r="AB124" i="19"/>
  <c r="AA124" i="19"/>
  <c r="Z124" i="19"/>
  <c r="Y124" i="19"/>
  <c r="X124" i="19"/>
  <c r="W124" i="19"/>
  <c r="V124" i="19"/>
  <c r="U124" i="19"/>
  <c r="I124" i="19"/>
  <c r="H124" i="19"/>
  <c r="G124" i="19"/>
  <c r="F124" i="19"/>
  <c r="E124" i="19"/>
  <c r="D124" i="19"/>
  <c r="C124" i="19"/>
  <c r="B124" i="19"/>
  <c r="M122" i="19"/>
  <c r="L122" i="19"/>
  <c r="K122" i="19"/>
  <c r="J122" i="19"/>
  <c r="AF121" i="19"/>
  <c r="AE121" i="19"/>
  <c r="AD121" i="19"/>
  <c r="AC121" i="19"/>
  <c r="AB121" i="19"/>
  <c r="AA121" i="19"/>
  <c r="Z121" i="19"/>
  <c r="Y121" i="19"/>
  <c r="X121" i="19"/>
  <c r="W121" i="19"/>
  <c r="V121" i="19"/>
  <c r="U121" i="19"/>
  <c r="I121" i="19"/>
  <c r="H121" i="19"/>
  <c r="G121" i="19"/>
  <c r="F121" i="19"/>
  <c r="E121" i="19"/>
  <c r="D121" i="19"/>
  <c r="C121" i="19"/>
  <c r="B121" i="19"/>
  <c r="AF120" i="19"/>
  <c r="AE120" i="19"/>
  <c r="AD120" i="19"/>
  <c r="AC120" i="19"/>
  <c r="AB120" i="19"/>
  <c r="AA120" i="19"/>
  <c r="Z120" i="19"/>
  <c r="Y120" i="19"/>
  <c r="X120" i="19"/>
  <c r="W120" i="19"/>
  <c r="V120" i="19"/>
  <c r="U120" i="19"/>
  <c r="I120" i="19"/>
  <c r="H120" i="19"/>
  <c r="G120" i="19"/>
  <c r="F120" i="19"/>
  <c r="E120" i="19"/>
  <c r="D120" i="19"/>
  <c r="C120" i="19"/>
  <c r="B120" i="19"/>
  <c r="AF115" i="19"/>
  <c r="AE115" i="19"/>
  <c r="AD115" i="19"/>
  <c r="AC115" i="19"/>
  <c r="AB115" i="19"/>
  <c r="AA115" i="19"/>
  <c r="Z115" i="19"/>
  <c r="Y115" i="19"/>
  <c r="X115" i="19"/>
  <c r="W115" i="19"/>
  <c r="V115" i="19"/>
  <c r="U115" i="19"/>
  <c r="I115" i="19"/>
  <c r="H115" i="19"/>
  <c r="G115" i="19"/>
  <c r="F115" i="19"/>
  <c r="E115" i="19"/>
  <c r="D115" i="19"/>
  <c r="C115" i="19"/>
  <c r="B115" i="19"/>
  <c r="AF114" i="19"/>
  <c r="AE114" i="19"/>
  <c r="AD114" i="19"/>
  <c r="AC114" i="19"/>
  <c r="AB114" i="19"/>
  <c r="AA114" i="19"/>
  <c r="Z114" i="19"/>
  <c r="Y114" i="19"/>
  <c r="X114" i="19"/>
  <c r="W114" i="19"/>
  <c r="V114" i="19"/>
  <c r="U114" i="19"/>
  <c r="I114" i="19"/>
  <c r="H114" i="19"/>
  <c r="G114" i="19"/>
  <c r="F114" i="19"/>
  <c r="E114" i="19"/>
  <c r="D114" i="19"/>
  <c r="C114" i="19"/>
  <c r="B114" i="19"/>
  <c r="AF113" i="19"/>
  <c r="AE113" i="19"/>
  <c r="AD113" i="19"/>
  <c r="AC113" i="19"/>
  <c r="AB113" i="19"/>
  <c r="AA113" i="19"/>
  <c r="Z113" i="19"/>
  <c r="Y113" i="19"/>
  <c r="X113" i="19"/>
  <c r="W113" i="19"/>
  <c r="V113" i="19"/>
  <c r="U113" i="19"/>
  <c r="I113" i="19"/>
  <c r="H113" i="19"/>
  <c r="G113" i="19"/>
  <c r="F113" i="19"/>
  <c r="E113" i="19"/>
  <c r="D113" i="19"/>
  <c r="C113" i="19"/>
  <c r="B113" i="19"/>
  <c r="AF112" i="19"/>
  <c r="AE112" i="19"/>
  <c r="AD112" i="19"/>
  <c r="AC112" i="19"/>
  <c r="AB112" i="19"/>
  <c r="AA112" i="19"/>
  <c r="Z112" i="19"/>
  <c r="Y112" i="19"/>
  <c r="X112" i="19"/>
  <c r="W112" i="19"/>
  <c r="V112" i="19"/>
  <c r="U112" i="19"/>
  <c r="I112" i="19"/>
  <c r="H112" i="19"/>
  <c r="G112" i="19"/>
  <c r="F112" i="19"/>
  <c r="E112" i="19"/>
  <c r="D112" i="19"/>
  <c r="C112" i="19"/>
  <c r="B112" i="19"/>
  <c r="AF111" i="19"/>
  <c r="AE111" i="19"/>
  <c r="AD111" i="19"/>
  <c r="AC111" i="19"/>
  <c r="AB111" i="19"/>
  <c r="AA111" i="19"/>
  <c r="Z111" i="19"/>
  <c r="Y111" i="19"/>
  <c r="X111" i="19"/>
  <c r="W111" i="19"/>
  <c r="V111" i="19"/>
  <c r="U111" i="19"/>
  <c r="I111" i="19"/>
  <c r="H111" i="19"/>
  <c r="G111" i="19"/>
  <c r="F111" i="19"/>
  <c r="E111" i="19"/>
  <c r="D111" i="19"/>
  <c r="C111" i="19"/>
  <c r="B111" i="19"/>
  <c r="AF110" i="19"/>
  <c r="AE110" i="19"/>
  <c r="AD110" i="19"/>
  <c r="AC110" i="19"/>
  <c r="AB110" i="19"/>
  <c r="AA110" i="19"/>
  <c r="Z110" i="19"/>
  <c r="Y110" i="19"/>
  <c r="X110" i="19"/>
  <c r="W110" i="19"/>
  <c r="V110" i="19"/>
  <c r="U110" i="19"/>
  <c r="I110" i="19"/>
  <c r="H110" i="19"/>
  <c r="G110" i="19"/>
  <c r="F110" i="19"/>
  <c r="E110" i="19"/>
  <c r="D110" i="19"/>
  <c r="C110" i="19"/>
  <c r="B110" i="19"/>
  <c r="AF109" i="19"/>
  <c r="AE109" i="19"/>
  <c r="AD109" i="19"/>
  <c r="AC109" i="19"/>
  <c r="AB109" i="19"/>
  <c r="AA109" i="19"/>
  <c r="Z109" i="19"/>
  <c r="Y109" i="19"/>
  <c r="X109" i="19"/>
  <c r="W109" i="19"/>
  <c r="V109" i="19"/>
  <c r="U109" i="19"/>
  <c r="I109" i="19"/>
  <c r="H109" i="19"/>
  <c r="G109" i="19"/>
  <c r="F109" i="19"/>
  <c r="E109" i="19"/>
  <c r="D109" i="19"/>
  <c r="C109" i="19"/>
  <c r="B109" i="19"/>
  <c r="AF108" i="19"/>
  <c r="AE108" i="19"/>
  <c r="AD108" i="19"/>
  <c r="AC108" i="19"/>
  <c r="AB108" i="19"/>
  <c r="AA108" i="19"/>
  <c r="Z108" i="19"/>
  <c r="Y108" i="19"/>
  <c r="X108" i="19"/>
  <c r="W108" i="19"/>
  <c r="V108" i="19"/>
  <c r="U108" i="19"/>
  <c r="I108" i="19"/>
  <c r="H108" i="19"/>
  <c r="G108" i="19"/>
  <c r="F108" i="19"/>
  <c r="E108" i="19"/>
  <c r="D108" i="19"/>
  <c r="C108" i="19"/>
  <c r="B108" i="19"/>
  <c r="AF107" i="19"/>
  <c r="AE107" i="19"/>
  <c r="AD107" i="19"/>
  <c r="AC107" i="19"/>
  <c r="AB107" i="19"/>
  <c r="AA107" i="19"/>
  <c r="Z107" i="19"/>
  <c r="Y107" i="19"/>
  <c r="X107" i="19"/>
  <c r="W107" i="19"/>
  <c r="V107" i="19"/>
  <c r="U107" i="19"/>
  <c r="I107" i="19"/>
  <c r="H107" i="19"/>
  <c r="G107" i="19"/>
  <c r="F107" i="19"/>
  <c r="E107" i="19"/>
  <c r="D107" i="19"/>
  <c r="C107" i="19"/>
  <c r="B107" i="19"/>
  <c r="AF106" i="19"/>
  <c r="AE106" i="19"/>
  <c r="AD106" i="19"/>
  <c r="AC106" i="19"/>
  <c r="AB106" i="19"/>
  <c r="AA106" i="19"/>
  <c r="Z106" i="19"/>
  <c r="Y106" i="19"/>
  <c r="X106" i="19"/>
  <c r="W106" i="19"/>
  <c r="V106" i="19"/>
  <c r="U106" i="19"/>
  <c r="I106" i="19"/>
  <c r="H106" i="19"/>
  <c r="G106" i="19"/>
  <c r="F106" i="19"/>
  <c r="E106" i="19"/>
  <c r="D106" i="19"/>
  <c r="C106" i="19"/>
  <c r="B106" i="19"/>
  <c r="AF105" i="19"/>
  <c r="AE105" i="19"/>
  <c r="AD105" i="19"/>
  <c r="AC105" i="19"/>
  <c r="AB105" i="19"/>
  <c r="AA105" i="19"/>
  <c r="Z105" i="19"/>
  <c r="Y105" i="19"/>
  <c r="X105" i="19"/>
  <c r="W105" i="19"/>
  <c r="V105" i="19"/>
  <c r="U105" i="19"/>
  <c r="I105" i="19"/>
  <c r="H105" i="19"/>
  <c r="G105" i="19"/>
  <c r="F105" i="19"/>
  <c r="E105" i="19"/>
  <c r="D105" i="19"/>
  <c r="C105" i="19"/>
  <c r="B105" i="19"/>
  <c r="AF104" i="19"/>
  <c r="AE104" i="19"/>
  <c r="AD104" i="19"/>
  <c r="AC104" i="19"/>
  <c r="AB104" i="19"/>
  <c r="AA104" i="19"/>
  <c r="Z104" i="19"/>
  <c r="Y104" i="19"/>
  <c r="X104" i="19"/>
  <c r="W104" i="19"/>
  <c r="V104" i="19"/>
  <c r="U104" i="19"/>
  <c r="I104" i="19"/>
  <c r="H104" i="19"/>
  <c r="G104" i="19"/>
  <c r="F104" i="19"/>
  <c r="E104" i="19"/>
  <c r="D104" i="19"/>
  <c r="C104" i="19"/>
  <c r="B104" i="19"/>
  <c r="AF103" i="19"/>
  <c r="AE103" i="19"/>
  <c r="AD103" i="19"/>
  <c r="AC103" i="19"/>
  <c r="AB103" i="19"/>
  <c r="AA103" i="19"/>
  <c r="Z103" i="19"/>
  <c r="Y103" i="19"/>
  <c r="X103" i="19"/>
  <c r="W103" i="19"/>
  <c r="V103" i="19"/>
  <c r="U103" i="19"/>
  <c r="I103" i="19"/>
  <c r="H103" i="19"/>
  <c r="G103" i="19"/>
  <c r="F103" i="19"/>
  <c r="E103" i="19"/>
  <c r="D103" i="19"/>
  <c r="C103" i="19"/>
  <c r="B103" i="19"/>
  <c r="AF102" i="19"/>
  <c r="AE102" i="19"/>
  <c r="AD102" i="19"/>
  <c r="AC102" i="19"/>
  <c r="AB102" i="19"/>
  <c r="AA102" i="19"/>
  <c r="Z102" i="19"/>
  <c r="Y102" i="19"/>
  <c r="X102" i="19"/>
  <c r="W102" i="19"/>
  <c r="V102" i="19"/>
  <c r="U102" i="19"/>
  <c r="I102" i="19"/>
  <c r="H102" i="19"/>
  <c r="G102" i="19"/>
  <c r="F102" i="19"/>
  <c r="E102" i="19"/>
  <c r="D102" i="19"/>
  <c r="C102" i="19"/>
  <c r="B102" i="19"/>
  <c r="AF101" i="19"/>
  <c r="AE101" i="19"/>
  <c r="AD101" i="19"/>
  <c r="AC101" i="19"/>
  <c r="AB101" i="19"/>
  <c r="AA101" i="19"/>
  <c r="Z101" i="19"/>
  <c r="Y101" i="19"/>
  <c r="X101" i="19"/>
  <c r="W101" i="19"/>
  <c r="V101" i="19"/>
  <c r="U101" i="19"/>
  <c r="I101" i="19"/>
  <c r="H101" i="19"/>
  <c r="G101" i="19"/>
  <c r="F101" i="19"/>
  <c r="E101" i="19"/>
  <c r="D101" i="19"/>
  <c r="C101" i="19"/>
  <c r="B101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I100" i="19"/>
  <c r="H100" i="19"/>
  <c r="G100" i="19"/>
  <c r="F100" i="19"/>
  <c r="E100" i="19"/>
  <c r="D100" i="19"/>
  <c r="C100" i="19"/>
  <c r="B100" i="19"/>
  <c r="AF99" i="19"/>
  <c r="AE99" i="19"/>
  <c r="AD99" i="19"/>
  <c r="AC99" i="19"/>
  <c r="AB99" i="19"/>
  <c r="AA99" i="19"/>
  <c r="Z99" i="19"/>
  <c r="Y99" i="19"/>
  <c r="X99" i="19"/>
  <c r="W99" i="19"/>
  <c r="V99" i="19"/>
  <c r="U99" i="19"/>
  <c r="I99" i="19"/>
  <c r="H99" i="19"/>
  <c r="G99" i="19"/>
  <c r="F99" i="19"/>
  <c r="E99" i="19"/>
  <c r="D99" i="19"/>
  <c r="C99" i="19"/>
  <c r="B99" i="19"/>
  <c r="AF98" i="19"/>
  <c r="AE98" i="19"/>
  <c r="AD98" i="19"/>
  <c r="AC98" i="19"/>
  <c r="AB98" i="19"/>
  <c r="AA98" i="19"/>
  <c r="Z98" i="19"/>
  <c r="Y98" i="19"/>
  <c r="X98" i="19"/>
  <c r="W98" i="19"/>
  <c r="V98" i="19"/>
  <c r="U98" i="19"/>
  <c r="I98" i="19"/>
  <c r="H98" i="19"/>
  <c r="G98" i="19"/>
  <c r="F98" i="19"/>
  <c r="E98" i="19"/>
  <c r="D98" i="19"/>
  <c r="C98" i="19"/>
  <c r="B98" i="19"/>
  <c r="AF97" i="19"/>
  <c r="AE97" i="19"/>
  <c r="AD97" i="19"/>
  <c r="AC97" i="19"/>
  <c r="AB97" i="19"/>
  <c r="AA97" i="19"/>
  <c r="Z97" i="19"/>
  <c r="Y97" i="19"/>
  <c r="X97" i="19"/>
  <c r="W97" i="19"/>
  <c r="V97" i="19"/>
  <c r="U97" i="19"/>
  <c r="I97" i="19"/>
  <c r="H97" i="19"/>
  <c r="G97" i="19"/>
  <c r="F97" i="19"/>
  <c r="E97" i="19"/>
  <c r="D97" i="19"/>
  <c r="C97" i="19"/>
  <c r="B97" i="19"/>
  <c r="AF96" i="19"/>
  <c r="AE96" i="19"/>
  <c r="AD96" i="19"/>
  <c r="AC96" i="19"/>
  <c r="AB96" i="19"/>
  <c r="AA96" i="19"/>
  <c r="Z96" i="19"/>
  <c r="Y96" i="19"/>
  <c r="X96" i="19"/>
  <c r="W96" i="19"/>
  <c r="V96" i="19"/>
  <c r="U96" i="19"/>
  <c r="I96" i="19"/>
  <c r="H96" i="19"/>
  <c r="G96" i="19"/>
  <c r="F96" i="19"/>
  <c r="E96" i="19"/>
  <c r="D96" i="19"/>
  <c r="C96" i="19"/>
  <c r="B96" i="19"/>
  <c r="AF95" i="19"/>
  <c r="AE95" i="19"/>
  <c r="AD95" i="19"/>
  <c r="AC95" i="19"/>
  <c r="AB95" i="19"/>
  <c r="AA95" i="19"/>
  <c r="Z95" i="19"/>
  <c r="Y95" i="19"/>
  <c r="X95" i="19"/>
  <c r="W95" i="19"/>
  <c r="V95" i="19"/>
  <c r="U95" i="19"/>
  <c r="I95" i="19"/>
  <c r="H95" i="19"/>
  <c r="G95" i="19"/>
  <c r="F95" i="19"/>
  <c r="E95" i="19"/>
  <c r="D95" i="19"/>
  <c r="C95" i="19"/>
  <c r="B95" i="19"/>
  <c r="AF94" i="19"/>
  <c r="AE94" i="19"/>
  <c r="AD94" i="19"/>
  <c r="AC94" i="19"/>
  <c r="AB94" i="19"/>
  <c r="AA94" i="19"/>
  <c r="Z94" i="19"/>
  <c r="Y94" i="19"/>
  <c r="X94" i="19"/>
  <c r="W94" i="19"/>
  <c r="V94" i="19"/>
  <c r="U94" i="19"/>
  <c r="I94" i="19"/>
  <c r="H94" i="19"/>
  <c r="G94" i="19"/>
  <c r="F94" i="19"/>
  <c r="E94" i="19"/>
  <c r="D94" i="19"/>
  <c r="C94" i="19"/>
  <c r="B94" i="19"/>
  <c r="AF93" i="19"/>
  <c r="AE93" i="19"/>
  <c r="AD93" i="19"/>
  <c r="AC93" i="19"/>
  <c r="AB93" i="19"/>
  <c r="AA93" i="19"/>
  <c r="Z93" i="19"/>
  <c r="Y93" i="19"/>
  <c r="X93" i="19"/>
  <c r="W93" i="19"/>
  <c r="V93" i="19"/>
  <c r="U93" i="19"/>
  <c r="I93" i="19"/>
  <c r="H93" i="19"/>
  <c r="G93" i="19"/>
  <c r="F93" i="19"/>
  <c r="E93" i="19"/>
  <c r="D93" i="19"/>
  <c r="C93" i="19"/>
  <c r="B93" i="19"/>
  <c r="AF92" i="19"/>
  <c r="AE92" i="19"/>
  <c r="AD92" i="19"/>
  <c r="AC92" i="19"/>
  <c r="AB92" i="19"/>
  <c r="AA92" i="19"/>
  <c r="Z92" i="19"/>
  <c r="Y92" i="19"/>
  <c r="X92" i="19"/>
  <c r="W92" i="19"/>
  <c r="V92" i="19"/>
  <c r="U92" i="19"/>
  <c r="I92" i="19"/>
  <c r="H92" i="19"/>
  <c r="G92" i="19"/>
  <c r="F92" i="19"/>
  <c r="E92" i="19"/>
  <c r="D92" i="19"/>
  <c r="C92" i="19"/>
  <c r="B92" i="19"/>
  <c r="AF91" i="19"/>
  <c r="AE91" i="19"/>
  <c r="AD91" i="19"/>
  <c r="AC91" i="19"/>
  <c r="AB91" i="19"/>
  <c r="AA91" i="19"/>
  <c r="Z91" i="19"/>
  <c r="Y91" i="19"/>
  <c r="X91" i="19"/>
  <c r="W91" i="19"/>
  <c r="V91" i="19"/>
  <c r="U91" i="19"/>
  <c r="I91" i="19"/>
  <c r="H91" i="19"/>
  <c r="G91" i="19"/>
  <c r="F91" i="19"/>
  <c r="E91" i="19"/>
  <c r="D91" i="19"/>
  <c r="C91" i="19"/>
  <c r="B91" i="19"/>
  <c r="AF90" i="19"/>
  <c r="AE90" i="19"/>
  <c r="AD90" i="19"/>
  <c r="AC90" i="19"/>
  <c r="AB90" i="19"/>
  <c r="AA90" i="19"/>
  <c r="Z90" i="19"/>
  <c r="Y90" i="19"/>
  <c r="X90" i="19"/>
  <c r="W90" i="19"/>
  <c r="V90" i="19"/>
  <c r="U90" i="19"/>
  <c r="I90" i="19"/>
  <c r="H90" i="19"/>
  <c r="G90" i="19"/>
  <c r="F90" i="19"/>
  <c r="E90" i="19"/>
  <c r="D90" i="19"/>
  <c r="C90" i="19"/>
  <c r="B90" i="19"/>
  <c r="AF89" i="19"/>
  <c r="AE89" i="19"/>
  <c r="AD89" i="19"/>
  <c r="AC89" i="19"/>
  <c r="AB89" i="19"/>
  <c r="AA89" i="19"/>
  <c r="Z89" i="19"/>
  <c r="Y89" i="19"/>
  <c r="X89" i="19"/>
  <c r="W89" i="19"/>
  <c r="V89" i="19"/>
  <c r="U89" i="19"/>
  <c r="I89" i="19"/>
  <c r="H89" i="19"/>
  <c r="G89" i="19"/>
  <c r="F89" i="19"/>
  <c r="E89" i="19"/>
  <c r="D89" i="19"/>
  <c r="C89" i="19"/>
  <c r="B89" i="19"/>
  <c r="AF88" i="19"/>
  <c r="AE88" i="19"/>
  <c r="AD88" i="19"/>
  <c r="AC88" i="19"/>
  <c r="AB88" i="19"/>
  <c r="AA88" i="19"/>
  <c r="Z88" i="19"/>
  <c r="Y88" i="19"/>
  <c r="X88" i="19"/>
  <c r="W88" i="19"/>
  <c r="V88" i="19"/>
  <c r="U88" i="19"/>
  <c r="I88" i="19"/>
  <c r="H88" i="19"/>
  <c r="G88" i="19"/>
  <c r="F88" i="19"/>
  <c r="E88" i="19"/>
  <c r="D88" i="19"/>
  <c r="C88" i="19"/>
  <c r="B88" i="19"/>
  <c r="M87" i="19"/>
  <c r="L87" i="19"/>
  <c r="K87" i="19"/>
  <c r="J87" i="19"/>
  <c r="AF86" i="19"/>
  <c r="AE86" i="19"/>
  <c r="AD86" i="19"/>
  <c r="AC86" i="19"/>
  <c r="AB86" i="19"/>
  <c r="AA86" i="19"/>
  <c r="Z86" i="19"/>
  <c r="Y86" i="19"/>
  <c r="X86" i="19"/>
  <c r="W86" i="19"/>
  <c r="V86" i="19"/>
  <c r="U86" i="19"/>
  <c r="I86" i="19"/>
  <c r="H86" i="19"/>
  <c r="G86" i="19"/>
  <c r="F86" i="19"/>
  <c r="E86" i="19"/>
  <c r="D86" i="19"/>
  <c r="C86" i="19"/>
  <c r="B86" i="19"/>
  <c r="AF85" i="19"/>
  <c r="AE85" i="19"/>
  <c r="AD85" i="19"/>
  <c r="AC85" i="19"/>
  <c r="AB85" i="19"/>
  <c r="AA85" i="19"/>
  <c r="Z85" i="19"/>
  <c r="Y85" i="19"/>
  <c r="X85" i="19"/>
  <c r="W85" i="19"/>
  <c r="V85" i="19"/>
  <c r="U85" i="19"/>
  <c r="I85" i="19"/>
  <c r="H85" i="19"/>
  <c r="G85" i="19"/>
  <c r="F85" i="19"/>
  <c r="E85" i="19"/>
  <c r="D85" i="19"/>
  <c r="C85" i="19"/>
  <c r="B85" i="19"/>
  <c r="AF84" i="19"/>
  <c r="AE84" i="19"/>
  <c r="AD84" i="19"/>
  <c r="AC84" i="19"/>
  <c r="AB84" i="19"/>
  <c r="AA84" i="19"/>
  <c r="Z84" i="19"/>
  <c r="Y84" i="19"/>
  <c r="X84" i="19"/>
  <c r="W84" i="19"/>
  <c r="V84" i="19"/>
  <c r="U84" i="19"/>
  <c r="I84" i="19"/>
  <c r="H84" i="19"/>
  <c r="G84" i="19"/>
  <c r="F84" i="19"/>
  <c r="E84" i="19"/>
  <c r="D84" i="19"/>
  <c r="C84" i="19"/>
  <c r="B84" i="19"/>
  <c r="AF83" i="19"/>
  <c r="AE83" i="19"/>
  <c r="AD83" i="19"/>
  <c r="AC83" i="19"/>
  <c r="AB83" i="19"/>
  <c r="AA83" i="19"/>
  <c r="Z83" i="19"/>
  <c r="Y83" i="19"/>
  <c r="X83" i="19"/>
  <c r="W83" i="19"/>
  <c r="V83" i="19"/>
  <c r="U83" i="19"/>
  <c r="I83" i="19"/>
  <c r="H83" i="19"/>
  <c r="G83" i="19"/>
  <c r="F83" i="19"/>
  <c r="E83" i="19"/>
  <c r="D83" i="19"/>
  <c r="C83" i="19"/>
  <c r="B83" i="19"/>
  <c r="AF82" i="19"/>
  <c r="AE82" i="19"/>
  <c r="AD82" i="19"/>
  <c r="AC82" i="19"/>
  <c r="AB82" i="19"/>
  <c r="AA82" i="19"/>
  <c r="Z82" i="19"/>
  <c r="Y82" i="19"/>
  <c r="X82" i="19"/>
  <c r="W82" i="19"/>
  <c r="V82" i="19"/>
  <c r="U82" i="19"/>
  <c r="I82" i="19"/>
  <c r="H82" i="19"/>
  <c r="G82" i="19"/>
  <c r="F82" i="19"/>
  <c r="E82" i="19"/>
  <c r="D82" i="19"/>
  <c r="C82" i="19"/>
  <c r="B82" i="19"/>
  <c r="AF80" i="19"/>
  <c r="AE80" i="19"/>
  <c r="AD80" i="19"/>
  <c r="AC80" i="19"/>
  <c r="AB80" i="19"/>
  <c r="AA80" i="19"/>
  <c r="Z80" i="19"/>
  <c r="Y80" i="19"/>
  <c r="X80" i="19"/>
  <c r="W80" i="19"/>
  <c r="V80" i="19"/>
  <c r="U80" i="19"/>
  <c r="I80" i="19"/>
  <c r="H80" i="19"/>
  <c r="G80" i="19"/>
  <c r="F80" i="19"/>
  <c r="E80" i="19"/>
  <c r="D80" i="19"/>
  <c r="C80" i="19"/>
  <c r="B80" i="19"/>
  <c r="AF79" i="19"/>
  <c r="AE79" i="19"/>
  <c r="AD79" i="19"/>
  <c r="AC79" i="19"/>
  <c r="AB79" i="19"/>
  <c r="AA79" i="19"/>
  <c r="Z79" i="19"/>
  <c r="Y79" i="19"/>
  <c r="X79" i="19"/>
  <c r="W79" i="19"/>
  <c r="V79" i="19"/>
  <c r="U79" i="19"/>
  <c r="I79" i="19"/>
  <c r="H79" i="19"/>
  <c r="G79" i="19"/>
  <c r="F79" i="19"/>
  <c r="E79" i="19"/>
  <c r="D79" i="19"/>
  <c r="C79" i="19"/>
  <c r="B79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I78" i="19"/>
  <c r="H78" i="19"/>
  <c r="G78" i="19"/>
  <c r="F78" i="19"/>
  <c r="E78" i="19"/>
  <c r="D78" i="19"/>
  <c r="C78" i="19"/>
  <c r="B78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I77" i="19"/>
  <c r="H77" i="19"/>
  <c r="G77" i="19"/>
  <c r="F77" i="19"/>
  <c r="E77" i="19"/>
  <c r="D77" i="19"/>
  <c r="C77" i="19"/>
  <c r="B77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I76" i="19"/>
  <c r="H76" i="19"/>
  <c r="G76" i="19"/>
  <c r="F76" i="19"/>
  <c r="E76" i="19"/>
  <c r="D76" i="19"/>
  <c r="C76" i="19"/>
  <c r="B76" i="19"/>
  <c r="AF75" i="19"/>
  <c r="AE75" i="19"/>
  <c r="AD75" i="19"/>
  <c r="AC75" i="19"/>
  <c r="AB75" i="19"/>
  <c r="AA75" i="19"/>
  <c r="Z75" i="19"/>
  <c r="Y75" i="19"/>
  <c r="X75" i="19"/>
  <c r="W75" i="19"/>
  <c r="V75" i="19"/>
  <c r="U75" i="19"/>
  <c r="I75" i="19"/>
  <c r="H75" i="19"/>
  <c r="G75" i="19"/>
  <c r="F75" i="19"/>
  <c r="E75" i="19"/>
  <c r="D75" i="19"/>
  <c r="C75" i="19"/>
  <c r="B75" i="19"/>
  <c r="AF74" i="19"/>
  <c r="AE74" i="19"/>
  <c r="AD74" i="19"/>
  <c r="AC74" i="19"/>
  <c r="AB74" i="19"/>
  <c r="AA74" i="19"/>
  <c r="Z74" i="19"/>
  <c r="Y74" i="19"/>
  <c r="X74" i="19"/>
  <c r="W74" i="19"/>
  <c r="V74" i="19"/>
  <c r="U74" i="19"/>
  <c r="I74" i="19"/>
  <c r="H74" i="19"/>
  <c r="G74" i="19"/>
  <c r="F74" i="19"/>
  <c r="E74" i="19"/>
  <c r="D74" i="19"/>
  <c r="C74" i="19"/>
  <c r="B74" i="19"/>
  <c r="M73" i="19"/>
  <c r="L73" i="19"/>
  <c r="K73" i="19"/>
  <c r="J73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I72" i="19"/>
  <c r="H72" i="19"/>
  <c r="G72" i="19"/>
  <c r="F72" i="19"/>
  <c r="E72" i="19"/>
  <c r="D72" i="19"/>
  <c r="C72" i="19"/>
  <c r="B72" i="19"/>
  <c r="AF71" i="19"/>
  <c r="AE71" i="19"/>
  <c r="AD71" i="19"/>
  <c r="AC71" i="19"/>
  <c r="AB71" i="19"/>
  <c r="AA71" i="19"/>
  <c r="Z71" i="19"/>
  <c r="Y71" i="19"/>
  <c r="X71" i="19"/>
  <c r="W71" i="19"/>
  <c r="V71" i="19"/>
  <c r="U71" i="19"/>
  <c r="I71" i="19"/>
  <c r="H71" i="19"/>
  <c r="G71" i="19"/>
  <c r="F71" i="19"/>
  <c r="E71" i="19"/>
  <c r="D71" i="19"/>
  <c r="C71" i="19"/>
  <c r="B71" i="19"/>
  <c r="AF70" i="19"/>
  <c r="AE70" i="19"/>
  <c r="AE138" i="19" s="1"/>
  <c r="AD70" i="19"/>
  <c r="AD138" i="19" s="1"/>
  <c r="AC70" i="19"/>
  <c r="AB70" i="19"/>
  <c r="AA70" i="19"/>
  <c r="AA138" i="19" s="1"/>
  <c r="Z70" i="19"/>
  <c r="Y70" i="19"/>
  <c r="X70" i="19"/>
  <c r="W70" i="19"/>
  <c r="W138" i="19" s="1"/>
  <c r="V70" i="19"/>
  <c r="U70" i="19"/>
  <c r="I70" i="19"/>
  <c r="I138" i="19" s="1"/>
  <c r="H70" i="19"/>
  <c r="H138" i="19" s="1"/>
  <c r="G70" i="19"/>
  <c r="G138" i="19" s="1"/>
  <c r="F70" i="19"/>
  <c r="F138" i="19" s="1"/>
  <c r="E70" i="19"/>
  <c r="E138" i="19" s="1"/>
  <c r="D70" i="19"/>
  <c r="D138" i="19" s="1"/>
  <c r="C70" i="19"/>
  <c r="B70" i="19"/>
  <c r="B138" i="19" s="1"/>
  <c r="I69" i="19"/>
  <c r="H69" i="19"/>
  <c r="G69" i="19"/>
  <c r="F69" i="19"/>
  <c r="E69" i="19"/>
  <c r="D69" i="19"/>
  <c r="C69" i="19"/>
  <c r="B69" i="19"/>
  <c r="I68" i="19"/>
  <c r="H68" i="19"/>
  <c r="G68" i="19"/>
  <c r="F68" i="19"/>
  <c r="E68" i="19"/>
  <c r="D68" i="19"/>
  <c r="C68" i="19"/>
  <c r="B68" i="19"/>
  <c r="AG67" i="19"/>
  <c r="I67" i="19"/>
  <c r="H67" i="19"/>
  <c r="G67" i="19"/>
  <c r="F67" i="19"/>
  <c r="E67" i="19"/>
  <c r="D67" i="19"/>
  <c r="C67" i="19"/>
  <c r="B67" i="19"/>
  <c r="AF62" i="19"/>
  <c r="AE62" i="19"/>
  <c r="AD62" i="19"/>
  <c r="AC62" i="19"/>
  <c r="AB62" i="19"/>
  <c r="AA62" i="19"/>
  <c r="Z62" i="19"/>
  <c r="Y62" i="19"/>
  <c r="X62" i="19"/>
  <c r="W62" i="19"/>
  <c r="V62" i="19"/>
  <c r="U62" i="19"/>
  <c r="I62" i="19"/>
  <c r="H62" i="19"/>
  <c r="G62" i="19"/>
  <c r="F62" i="19"/>
  <c r="E62" i="19"/>
  <c r="D62" i="19"/>
  <c r="C62" i="19"/>
  <c r="B62" i="19"/>
  <c r="M61" i="19"/>
  <c r="L61" i="19"/>
  <c r="K61" i="19"/>
  <c r="J61" i="19"/>
  <c r="AF60" i="19"/>
  <c r="AE60" i="19"/>
  <c r="AD60" i="19"/>
  <c r="AC60" i="19"/>
  <c r="AB60" i="19"/>
  <c r="AA60" i="19"/>
  <c r="Z60" i="19"/>
  <c r="Y60" i="19"/>
  <c r="X60" i="19"/>
  <c r="W60" i="19"/>
  <c r="V60" i="19"/>
  <c r="U60" i="19"/>
  <c r="I60" i="19"/>
  <c r="H60" i="19"/>
  <c r="G60" i="19"/>
  <c r="F60" i="19"/>
  <c r="E60" i="19"/>
  <c r="D60" i="19"/>
  <c r="C60" i="19"/>
  <c r="B60" i="19"/>
  <c r="AF59" i="19"/>
  <c r="AE59" i="19"/>
  <c r="AD59" i="19"/>
  <c r="AC59" i="19"/>
  <c r="AB59" i="19"/>
  <c r="AA59" i="19"/>
  <c r="Z59" i="19"/>
  <c r="Y59" i="19"/>
  <c r="X59" i="19"/>
  <c r="W59" i="19"/>
  <c r="V59" i="19"/>
  <c r="U59" i="19"/>
  <c r="I59" i="19"/>
  <c r="H59" i="19"/>
  <c r="G59" i="19"/>
  <c r="F59" i="19"/>
  <c r="E59" i="19"/>
  <c r="D59" i="19"/>
  <c r="C59" i="19"/>
  <c r="B59" i="19"/>
  <c r="AF58" i="19"/>
  <c r="AE58" i="19"/>
  <c r="AD58" i="19"/>
  <c r="AC58" i="19"/>
  <c r="AB58" i="19"/>
  <c r="AA58" i="19"/>
  <c r="Z58" i="19"/>
  <c r="Y58" i="19"/>
  <c r="X58" i="19"/>
  <c r="W58" i="19"/>
  <c r="V58" i="19"/>
  <c r="U58" i="19"/>
  <c r="I58" i="19"/>
  <c r="H58" i="19"/>
  <c r="G58" i="19"/>
  <c r="F58" i="19"/>
  <c r="E58" i="19"/>
  <c r="D58" i="19"/>
  <c r="C58" i="19"/>
  <c r="B58" i="19"/>
  <c r="AF55" i="19"/>
  <c r="AE55" i="19"/>
  <c r="AD55" i="19"/>
  <c r="AC55" i="19"/>
  <c r="AB55" i="19"/>
  <c r="AA55" i="19"/>
  <c r="Z55" i="19"/>
  <c r="Y55" i="19"/>
  <c r="X55" i="19"/>
  <c r="W55" i="19"/>
  <c r="V55" i="19"/>
  <c r="U55" i="19"/>
  <c r="M55" i="19"/>
  <c r="M56" i="19" s="1"/>
  <c r="L55" i="19"/>
  <c r="L56" i="19" s="1"/>
  <c r="K55" i="19"/>
  <c r="K56" i="19" s="1"/>
  <c r="J55" i="19"/>
  <c r="J56" i="19" s="1"/>
  <c r="AG54" i="19"/>
  <c r="I54" i="19"/>
  <c r="H54" i="19"/>
  <c r="G54" i="19"/>
  <c r="F54" i="19"/>
  <c r="E54" i="19"/>
  <c r="D54" i="19"/>
  <c r="C54" i="19"/>
  <c r="B54" i="19"/>
  <c r="AG53" i="19"/>
  <c r="I53" i="19"/>
  <c r="H53" i="19"/>
  <c r="G53" i="19"/>
  <c r="F53" i="19"/>
  <c r="E53" i="19"/>
  <c r="D53" i="19"/>
  <c r="C53" i="19"/>
  <c r="B53" i="19"/>
  <c r="AG52" i="19"/>
  <c r="I52" i="19"/>
  <c r="H52" i="19"/>
  <c r="G52" i="19"/>
  <c r="F52" i="19"/>
  <c r="E52" i="19"/>
  <c r="D52" i="19"/>
  <c r="C52" i="19"/>
  <c r="B52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I50" i="19"/>
  <c r="H50" i="19"/>
  <c r="G50" i="19"/>
  <c r="F50" i="19"/>
  <c r="E50" i="19"/>
  <c r="D50" i="19"/>
  <c r="C50" i="19"/>
  <c r="B50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I49" i="19"/>
  <c r="H49" i="19"/>
  <c r="G49" i="19"/>
  <c r="F49" i="19"/>
  <c r="E49" i="19"/>
  <c r="D49" i="19"/>
  <c r="C49" i="19"/>
  <c r="B49" i="19"/>
  <c r="AF48" i="19"/>
  <c r="AE48" i="19"/>
  <c r="AD48" i="19"/>
  <c r="AC48" i="19"/>
  <c r="AB48" i="19"/>
  <c r="AA48" i="19"/>
  <c r="Z48" i="19"/>
  <c r="Y48" i="19"/>
  <c r="X48" i="19"/>
  <c r="W48" i="19"/>
  <c r="V48" i="19"/>
  <c r="U48" i="19"/>
  <c r="I48" i="19"/>
  <c r="H48" i="19"/>
  <c r="G48" i="19"/>
  <c r="F48" i="19"/>
  <c r="E48" i="19"/>
  <c r="D48" i="19"/>
  <c r="C48" i="19"/>
  <c r="B48" i="19"/>
  <c r="AF47" i="19"/>
  <c r="AE47" i="19"/>
  <c r="AD47" i="19"/>
  <c r="AC47" i="19"/>
  <c r="AB47" i="19"/>
  <c r="AA47" i="19"/>
  <c r="Z47" i="19"/>
  <c r="Y47" i="19"/>
  <c r="X47" i="19"/>
  <c r="W47" i="19"/>
  <c r="V47" i="19"/>
  <c r="U47" i="19"/>
  <c r="I47" i="19"/>
  <c r="H47" i="19"/>
  <c r="G47" i="19"/>
  <c r="F47" i="19"/>
  <c r="E47" i="19"/>
  <c r="D47" i="19"/>
  <c r="C47" i="19"/>
  <c r="B47" i="19"/>
  <c r="AF46" i="19"/>
  <c r="AE46" i="19"/>
  <c r="AD46" i="19"/>
  <c r="AC46" i="19"/>
  <c r="AB46" i="19"/>
  <c r="AA46" i="19"/>
  <c r="Z46" i="19"/>
  <c r="Y46" i="19"/>
  <c r="X46" i="19"/>
  <c r="W46" i="19"/>
  <c r="V46" i="19"/>
  <c r="U46" i="19"/>
  <c r="I46" i="19"/>
  <c r="H46" i="19"/>
  <c r="G46" i="19"/>
  <c r="F46" i="19"/>
  <c r="E46" i="19"/>
  <c r="D46" i="19"/>
  <c r="C46" i="19"/>
  <c r="B46" i="19"/>
  <c r="AF45" i="19"/>
  <c r="AE45" i="19"/>
  <c r="AD45" i="19"/>
  <c r="AC45" i="19"/>
  <c r="AB45" i="19"/>
  <c r="AA45" i="19"/>
  <c r="Z45" i="19"/>
  <c r="Y45" i="19"/>
  <c r="X45" i="19"/>
  <c r="W45" i="19"/>
  <c r="V45" i="19"/>
  <c r="U45" i="19"/>
  <c r="I45" i="19"/>
  <c r="H45" i="19"/>
  <c r="G45" i="19"/>
  <c r="F45" i="19"/>
  <c r="E45" i="19"/>
  <c r="D45" i="19"/>
  <c r="C45" i="19"/>
  <c r="B45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I44" i="19"/>
  <c r="H44" i="19"/>
  <c r="G44" i="19"/>
  <c r="F44" i="19"/>
  <c r="E44" i="19"/>
  <c r="D44" i="19"/>
  <c r="C44" i="19"/>
  <c r="B44" i="19"/>
  <c r="AF42" i="19"/>
  <c r="AE42" i="19"/>
  <c r="AD42" i="19"/>
  <c r="AC42" i="19"/>
  <c r="AB42" i="19"/>
  <c r="AA42" i="19"/>
  <c r="Z42" i="19"/>
  <c r="Y42" i="19"/>
  <c r="X42" i="19"/>
  <c r="W42" i="19"/>
  <c r="V42" i="19"/>
  <c r="U42" i="19"/>
  <c r="I42" i="19"/>
  <c r="H42" i="19"/>
  <c r="G42" i="19"/>
  <c r="F42" i="19"/>
  <c r="E42" i="19"/>
  <c r="D42" i="19"/>
  <c r="C42" i="19"/>
  <c r="B42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I41" i="19"/>
  <c r="H41" i="19"/>
  <c r="G41" i="19"/>
  <c r="F41" i="19"/>
  <c r="E41" i="19"/>
  <c r="D41" i="19"/>
  <c r="C41" i="19"/>
  <c r="B41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I40" i="19"/>
  <c r="H40" i="19"/>
  <c r="G40" i="19"/>
  <c r="F40" i="19"/>
  <c r="E40" i="19"/>
  <c r="D40" i="19"/>
  <c r="C40" i="19"/>
  <c r="B40" i="19"/>
  <c r="AF39" i="19"/>
  <c r="AE39" i="19"/>
  <c r="AD39" i="19"/>
  <c r="AC39" i="19"/>
  <c r="AB39" i="19"/>
  <c r="AA39" i="19"/>
  <c r="Z39" i="19"/>
  <c r="Y39" i="19"/>
  <c r="X39" i="19"/>
  <c r="W39" i="19"/>
  <c r="V39" i="19"/>
  <c r="U39" i="19"/>
  <c r="I39" i="19"/>
  <c r="H39" i="19"/>
  <c r="G39" i="19"/>
  <c r="F39" i="19"/>
  <c r="E39" i="19"/>
  <c r="D39" i="19"/>
  <c r="C39" i="19"/>
  <c r="B39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I38" i="19"/>
  <c r="H38" i="19"/>
  <c r="G38" i="19"/>
  <c r="F38" i="19"/>
  <c r="E38" i="19"/>
  <c r="D38" i="19"/>
  <c r="C38" i="19"/>
  <c r="B38" i="19"/>
  <c r="M36" i="19"/>
  <c r="L36" i="19"/>
  <c r="K36" i="19"/>
  <c r="J36" i="19"/>
  <c r="I35" i="19"/>
  <c r="H35" i="19"/>
  <c r="G35" i="19"/>
  <c r="F35" i="19"/>
  <c r="E35" i="19"/>
  <c r="D35" i="19"/>
  <c r="C35" i="19"/>
  <c r="B35" i="19"/>
  <c r="I34" i="19"/>
  <c r="H34" i="19"/>
  <c r="G34" i="19"/>
  <c r="F34" i="19"/>
  <c r="E34" i="19"/>
  <c r="D34" i="19"/>
  <c r="C34" i="19"/>
  <c r="B34" i="19"/>
  <c r="I33" i="19"/>
  <c r="H33" i="19"/>
  <c r="G33" i="19"/>
  <c r="F33" i="19"/>
  <c r="E33" i="19"/>
  <c r="D33" i="19"/>
  <c r="C33" i="19"/>
  <c r="B33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I31" i="19"/>
  <c r="H31" i="19"/>
  <c r="G31" i="19"/>
  <c r="F31" i="19"/>
  <c r="E31" i="19"/>
  <c r="D31" i="19"/>
  <c r="C31" i="19"/>
  <c r="B31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I30" i="19"/>
  <c r="H30" i="19"/>
  <c r="G30" i="19"/>
  <c r="F30" i="19"/>
  <c r="E30" i="19"/>
  <c r="D30" i="19"/>
  <c r="C30" i="19"/>
  <c r="B30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I29" i="19"/>
  <c r="H29" i="19"/>
  <c r="G29" i="19"/>
  <c r="F29" i="19"/>
  <c r="E29" i="19"/>
  <c r="D29" i="19"/>
  <c r="C29" i="19"/>
  <c r="B29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I28" i="19"/>
  <c r="H28" i="19"/>
  <c r="G28" i="19"/>
  <c r="F28" i="19"/>
  <c r="E28" i="19"/>
  <c r="D28" i="19"/>
  <c r="C28" i="19"/>
  <c r="B28" i="19"/>
  <c r="M27" i="19"/>
  <c r="L27" i="19"/>
  <c r="K27" i="19"/>
  <c r="J27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I26" i="19"/>
  <c r="H26" i="19"/>
  <c r="G26" i="19"/>
  <c r="F26" i="19"/>
  <c r="E26" i="19"/>
  <c r="D26" i="19"/>
  <c r="C26" i="19"/>
  <c r="B26" i="19"/>
  <c r="AF25" i="19"/>
  <c r="AE25" i="19"/>
  <c r="AD25" i="19"/>
  <c r="AC25" i="19"/>
  <c r="AB25" i="19"/>
  <c r="AA25" i="19"/>
  <c r="Z25" i="19"/>
  <c r="Y25" i="19"/>
  <c r="X25" i="19"/>
  <c r="W25" i="19"/>
  <c r="V25" i="19"/>
  <c r="U25" i="19"/>
  <c r="I25" i="19"/>
  <c r="H25" i="19"/>
  <c r="G25" i="19"/>
  <c r="F25" i="19"/>
  <c r="E25" i="19"/>
  <c r="D25" i="19"/>
  <c r="C25" i="19"/>
  <c r="B25" i="19"/>
  <c r="AF24" i="19"/>
  <c r="AE24" i="19"/>
  <c r="AD24" i="19"/>
  <c r="AC24" i="19"/>
  <c r="AB24" i="19"/>
  <c r="AA24" i="19"/>
  <c r="Z24" i="19"/>
  <c r="Y24" i="19"/>
  <c r="X24" i="19"/>
  <c r="W24" i="19"/>
  <c r="V24" i="19"/>
  <c r="U24" i="19"/>
  <c r="I24" i="19"/>
  <c r="H24" i="19"/>
  <c r="G24" i="19"/>
  <c r="F24" i="19"/>
  <c r="E24" i="19"/>
  <c r="D24" i="19"/>
  <c r="C24" i="19"/>
  <c r="B24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I22" i="19"/>
  <c r="H22" i="19"/>
  <c r="G22" i="19"/>
  <c r="F22" i="19"/>
  <c r="E22" i="19"/>
  <c r="D22" i="19"/>
  <c r="C22" i="19"/>
  <c r="B22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I21" i="19"/>
  <c r="H21" i="19"/>
  <c r="G21" i="19"/>
  <c r="F21" i="19"/>
  <c r="E21" i="19"/>
  <c r="D21" i="19"/>
  <c r="C21" i="19"/>
  <c r="B21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I20" i="19"/>
  <c r="H20" i="19"/>
  <c r="G20" i="19"/>
  <c r="F20" i="19"/>
  <c r="E20" i="19"/>
  <c r="D20" i="19"/>
  <c r="C20" i="19"/>
  <c r="B20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I19" i="19"/>
  <c r="H19" i="19"/>
  <c r="G19" i="19"/>
  <c r="F19" i="19"/>
  <c r="E19" i="19"/>
  <c r="D19" i="19"/>
  <c r="C19" i="19"/>
  <c r="B19" i="19"/>
  <c r="AF15" i="19"/>
  <c r="AE15" i="19"/>
  <c r="AD15" i="19"/>
  <c r="AC15" i="19"/>
  <c r="AB15" i="19"/>
  <c r="AA15" i="19"/>
  <c r="Z15" i="19"/>
  <c r="Y15" i="19"/>
  <c r="X15" i="19"/>
  <c r="W15" i="19"/>
  <c r="V15" i="19"/>
  <c r="U15" i="19"/>
  <c r="M15" i="19"/>
  <c r="M15" i="20" s="1"/>
  <c r="L15" i="19"/>
  <c r="K15" i="19"/>
  <c r="K15" i="20" s="1"/>
  <c r="J15" i="19"/>
  <c r="J15" i="20" s="1"/>
  <c r="I15" i="19"/>
  <c r="H15" i="19"/>
  <c r="G15" i="19"/>
  <c r="F15" i="19"/>
  <c r="E15" i="19"/>
  <c r="D15" i="19"/>
  <c r="C15" i="19"/>
  <c r="B15" i="19"/>
  <c r="M14" i="19"/>
  <c r="L14" i="19"/>
  <c r="K14" i="19"/>
  <c r="J14" i="19"/>
  <c r="AF13" i="19"/>
  <c r="AE13" i="19"/>
  <c r="AD13" i="19"/>
  <c r="AC13" i="19"/>
  <c r="AB13" i="19"/>
  <c r="AA13" i="19"/>
  <c r="Z13" i="19"/>
  <c r="Y13" i="19"/>
  <c r="X13" i="19"/>
  <c r="W13" i="19"/>
  <c r="V13" i="19"/>
  <c r="U13" i="19"/>
  <c r="I13" i="19"/>
  <c r="H13" i="19"/>
  <c r="G13" i="19"/>
  <c r="F13" i="19"/>
  <c r="E13" i="19"/>
  <c r="D13" i="19"/>
  <c r="C13" i="19"/>
  <c r="B13" i="19"/>
  <c r="AF12" i="19"/>
  <c r="AE12" i="19"/>
  <c r="AD12" i="19"/>
  <c r="AC12" i="19"/>
  <c r="AB12" i="19"/>
  <c r="AA12" i="19"/>
  <c r="Z12" i="19"/>
  <c r="Y12" i="19"/>
  <c r="X12" i="19"/>
  <c r="W12" i="19"/>
  <c r="V12" i="19"/>
  <c r="U12" i="19"/>
  <c r="I12" i="19"/>
  <c r="H12" i="19"/>
  <c r="G12" i="19"/>
  <c r="F12" i="19"/>
  <c r="E12" i="19"/>
  <c r="D12" i="19"/>
  <c r="C12" i="19"/>
  <c r="B12" i="19"/>
  <c r="M140" i="18"/>
  <c r="L140" i="18"/>
  <c r="K140" i="18"/>
  <c r="J140" i="18"/>
  <c r="M139" i="18"/>
  <c r="L139" i="18"/>
  <c r="K139" i="18"/>
  <c r="J139" i="18"/>
  <c r="M138" i="18"/>
  <c r="L138" i="18"/>
  <c r="K138" i="18"/>
  <c r="J138" i="18"/>
  <c r="M137" i="18"/>
  <c r="L137" i="18"/>
  <c r="K137" i="18"/>
  <c r="J137" i="18"/>
  <c r="M130" i="18"/>
  <c r="L130" i="18"/>
  <c r="K130" i="18"/>
  <c r="J130" i="18"/>
  <c r="AF129" i="18"/>
  <c r="AE129" i="18"/>
  <c r="AD129" i="18"/>
  <c r="AC129" i="18"/>
  <c r="AB129" i="18"/>
  <c r="AA129" i="18"/>
  <c r="Z129" i="18"/>
  <c r="Y129" i="18"/>
  <c r="X129" i="18"/>
  <c r="W129" i="18"/>
  <c r="V129" i="18"/>
  <c r="U129" i="18"/>
  <c r="I129" i="18"/>
  <c r="H129" i="18"/>
  <c r="G129" i="18"/>
  <c r="F129" i="18"/>
  <c r="E129" i="18"/>
  <c r="D129" i="18"/>
  <c r="C129" i="18"/>
  <c r="B129" i="18"/>
  <c r="AF128" i="18"/>
  <c r="AE128" i="18"/>
  <c r="AD128" i="18"/>
  <c r="AC128" i="18"/>
  <c r="AB128" i="18"/>
  <c r="AA128" i="18"/>
  <c r="Z128" i="18"/>
  <c r="Y128" i="18"/>
  <c r="X128" i="18"/>
  <c r="W128" i="18"/>
  <c r="V128" i="18"/>
  <c r="U128" i="18"/>
  <c r="I128" i="18"/>
  <c r="H128" i="18"/>
  <c r="G128" i="18"/>
  <c r="F128" i="18"/>
  <c r="E128" i="18"/>
  <c r="D128" i="18"/>
  <c r="C128" i="18"/>
  <c r="B128" i="18"/>
  <c r="AF127" i="18"/>
  <c r="AE127" i="18"/>
  <c r="AD127" i="18"/>
  <c r="AC127" i="18"/>
  <c r="AB127" i="18"/>
  <c r="AA127" i="18"/>
  <c r="Z127" i="18"/>
  <c r="Y127" i="18"/>
  <c r="X127" i="18"/>
  <c r="W127" i="18"/>
  <c r="V127" i="18"/>
  <c r="U127" i="18"/>
  <c r="I127" i="18"/>
  <c r="H127" i="18"/>
  <c r="G127" i="18"/>
  <c r="F127" i="18"/>
  <c r="E127" i="18"/>
  <c r="D127" i="18"/>
  <c r="C127" i="18"/>
  <c r="B127" i="18"/>
  <c r="AF126" i="18"/>
  <c r="AE126" i="18"/>
  <c r="AD126" i="18"/>
  <c r="AC126" i="18"/>
  <c r="AB126" i="18"/>
  <c r="AA126" i="18"/>
  <c r="Z126" i="18"/>
  <c r="Y126" i="18"/>
  <c r="X126" i="18"/>
  <c r="W126" i="18"/>
  <c r="V126" i="18"/>
  <c r="U126" i="18"/>
  <c r="I126" i="18"/>
  <c r="H126" i="18"/>
  <c r="G126" i="18"/>
  <c r="F126" i="18"/>
  <c r="E126" i="18"/>
  <c r="D126" i="18"/>
  <c r="C126" i="18"/>
  <c r="B126" i="18"/>
  <c r="AF125" i="18"/>
  <c r="AE125" i="18"/>
  <c r="AD125" i="18"/>
  <c r="AC125" i="18"/>
  <c r="AB125" i="18"/>
  <c r="AA125" i="18"/>
  <c r="Z125" i="18"/>
  <c r="Y125" i="18"/>
  <c r="X125" i="18"/>
  <c r="W125" i="18"/>
  <c r="V125" i="18"/>
  <c r="U125" i="18"/>
  <c r="I125" i="18"/>
  <c r="H125" i="18"/>
  <c r="G125" i="18"/>
  <c r="F125" i="18"/>
  <c r="E125" i="18"/>
  <c r="D125" i="18"/>
  <c r="C125" i="18"/>
  <c r="B125" i="18"/>
  <c r="AF124" i="18"/>
  <c r="AE124" i="18"/>
  <c r="AD124" i="18"/>
  <c r="AC124" i="18"/>
  <c r="AB124" i="18"/>
  <c r="AA124" i="18"/>
  <c r="Z124" i="18"/>
  <c r="Y124" i="18"/>
  <c r="X124" i="18"/>
  <c r="W124" i="18"/>
  <c r="V124" i="18"/>
  <c r="U124" i="18"/>
  <c r="I124" i="18"/>
  <c r="H124" i="18"/>
  <c r="G124" i="18"/>
  <c r="F124" i="18"/>
  <c r="E124" i="18"/>
  <c r="D124" i="18"/>
  <c r="C124" i="18"/>
  <c r="B124" i="18"/>
  <c r="M122" i="18"/>
  <c r="L122" i="18"/>
  <c r="K122" i="18"/>
  <c r="J122" i="18"/>
  <c r="AF121" i="18"/>
  <c r="AE121" i="18"/>
  <c r="AD121" i="18"/>
  <c r="AC121" i="18"/>
  <c r="AB121" i="18"/>
  <c r="AA121" i="18"/>
  <c r="Z121" i="18"/>
  <c r="Y121" i="18"/>
  <c r="X121" i="18"/>
  <c r="W121" i="18"/>
  <c r="V121" i="18"/>
  <c r="U121" i="18"/>
  <c r="I121" i="18"/>
  <c r="H121" i="18"/>
  <c r="G121" i="18"/>
  <c r="F121" i="18"/>
  <c r="E121" i="18"/>
  <c r="D121" i="18"/>
  <c r="C121" i="18"/>
  <c r="B121" i="18"/>
  <c r="AF120" i="18"/>
  <c r="AE120" i="18"/>
  <c r="AD120" i="18"/>
  <c r="AC120" i="18"/>
  <c r="AB120" i="18"/>
  <c r="AA120" i="18"/>
  <c r="Z120" i="18"/>
  <c r="Y120" i="18"/>
  <c r="X120" i="18"/>
  <c r="W120" i="18"/>
  <c r="V120" i="18"/>
  <c r="U120" i="18"/>
  <c r="I120" i="18"/>
  <c r="H120" i="18"/>
  <c r="G120" i="18"/>
  <c r="F120" i="18"/>
  <c r="E120" i="18"/>
  <c r="D120" i="18"/>
  <c r="C120" i="18"/>
  <c r="B120" i="18"/>
  <c r="AF115" i="18"/>
  <c r="AE115" i="18"/>
  <c r="AD115" i="18"/>
  <c r="AC115" i="18"/>
  <c r="AB115" i="18"/>
  <c r="AA115" i="18"/>
  <c r="Z115" i="18"/>
  <c r="Y115" i="18"/>
  <c r="X115" i="18"/>
  <c r="W115" i="18"/>
  <c r="V115" i="18"/>
  <c r="U115" i="18"/>
  <c r="I115" i="18"/>
  <c r="H115" i="18"/>
  <c r="G115" i="18"/>
  <c r="F115" i="18"/>
  <c r="E115" i="18"/>
  <c r="D115" i="18"/>
  <c r="C115" i="18"/>
  <c r="B115" i="18"/>
  <c r="AF114" i="18"/>
  <c r="AE114" i="18"/>
  <c r="AD114" i="18"/>
  <c r="AC114" i="18"/>
  <c r="AB114" i="18"/>
  <c r="AA114" i="18"/>
  <c r="Z114" i="18"/>
  <c r="Y114" i="18"/>
  <c r="X114" i="18"/>
  <c r="W114" i="18"/>
  <c r="V114" i="18"/>
  <c r="U114" i="18"/>
  <c r="I114" i="18"/>
  <c r="H114" i="18"/>
  <c r="G114" i="18"/>
  <c r="F114" i="18"/>
  <c r="E114" i="18"/>
  <c r="D114" i="18"/>
  <c r="C114" i="18"/>
  <c r="B114" i="18"/>
  <c r="AF113" i="18"/>
  <c r="AE113" i="18"/>
  <c r="AD113" i="18"/>
  <c r="AC113" i="18"/>
  <c r="AB113" i="18"/>
  <c r="AA113" i="18"/>
  <c r="Z113" i="18"/>
  <c r="Y113" i="18"/>
  <c r="X113" i="18"/>
  <c r="W113" i="18"/>
  <c r="V113" i="18"/>
  <c r="U113" i="18"/>
  <c r="I113" i="18"/>
  <c r="H113" i="18"/>
  <c r="G113" i="18"/>
  <c r="F113" i="18"/>
  <c r="E113" i="18"/>
  <c r="D113" i="18"/>
  <c r="C113" i="18"/>
  <c r="B113" i="18"/>
  <c r="AF112" i="18"/>
  <c r="AE112" i="18"/>
  <c r="AD112" i="18"/>
  <c r="AC112" i="18"/>
  <c r="AB112" i="18"/>
  <c r="AA112" i="18"/>
  <c r="Z112" i="18"/>
  <c r="Y112" i="18"/>
  <c r="X112" i="18"/>
  <c r="W112" i="18"/>
  <c r="V112" i="18"/>
  <c r="U112" i="18"/>
  <c r="I112" i="18"/>
  <c r="H112" i="18"/>
  <c r="G112" i="18"/>
  <c r="F112" i="18"/>
  <c r="E112" i="18"/>
  <c r="D112" i="18"/>
  <c r="C112" i="18"/>
  <c r="B112" i="18"/>
  <c r="AF111" i="18"/>
  <c r="AE111" i="18"/>
  <c r="AD111" i="18"/>
  <c r="AC111" i="18"/>
  <c r="AB111" i="18"/>
  <c r="AA111" i="18"/>
  <c r="Z111" i="18"/>
  <c r="Y111" i="18"/>
  <c r="X111" i="18"/>
  <c r="W111" i="18"/>
  <c r="V111" i="18"/>
  <c r="U111" i="18"/>
  <c r="I111" i="18"/>
  <c r="H111" i="18"/>
  <c r="G111" i="18"/>
  <c r="F111" i="18"/>
  <c r="E111" i="18"/>
  <c r="D111" i="18"/>
  <c r="C111" i="18"/>
  <c r="B111" i="18"/>
  <c r="AF110" i="18"/>
  <c r="AE110" i="18"/>
  <c r="AD110" i="18"/>
  <c r="AC110" i="18"/>
  <c r="AB110" i="18"/>
  <c r="AA110" i="18"/>
  <c r="Z110" i="18"/>
  <c r="Y110" i="18"/>
  <c r="X110" i="18"/>
  <c r="W110" i="18"/>
  <c r="V110" i="18"/>
  <c r="U110" i="18"/>
  <c r="I110" i="18"/>
  <c r="H110" i="18"/>
  <c r="G110" i="18"/>
  <c r="F110" i="18"/>
  <c r="E110" i="18"/>
  <c r="D110" i="18"/>
  <c r="C110" i="18"/>
  <c r="B110" i="18"/>
  <c r="AF109" i="18"/>
  <c r="AE109" i="18"/>
  <c r="AD109" i="18"/>
  <c r="AC109" i="18"/>
  <c r="AB109" i="18"/>
  <c r="AA109" i="18"/>
  <c r="Z109" i="18"/>
  <c r="Y109" i="18"/>
  <c r="X109" i="18"/>
  <c r="W109" i="18"/>
  <c r="V109" i="18"/>
  <c r="U109" i="18"/>
  <c r="I109" i="18"/>
  <c r="H109" i="18"/>
  <c r="G109" i="18"/>
  <c r="F109" i="18"/>
  <c r="E109" i="18"/>
  <c r="D109" i="18"/>
  <c r="C109" i="18"/>
  <c r="B109" i="18"/>
  <c r="AF108" i="18"/>
  <c r="AE108" i="18"/>
  <c r="AD108" i="18"/>
  <c r="AC108" i="18"/>
  <c r="AB108" i="18"/>
  <c r="AA108" i="18"/>
  <c r="Z108" i="18"/>
  <c r="Y108" i="18"/>
  <c r="X108" i="18"/>
  <c r="W108" i="18"/>
  <c r="V108" i="18"/>
  <c r="U108" i="18"/>
  <c r="I108" i="18"/>
  <c r="H108" i="18"/>
  <c r="G108" i="18"/>
  <c r="F108" i="18"/>
  <c r="E108" i="18"/>
  <c r="D108" i="18"/>
  <c r="C108" i="18"/>
  <c r="B108" i="18"/>
  <c r="AF107" i="18"/>
  <c r="AE107" i="18"/>
  <c r="AD107" i="18"/>
  <c r="AC107" i="18"/>
  <c r="AB107" i="18"/>
  <c r="AA107" i="18"/>
  <c r="Z107" i="18"/>
  <c r="Y107" i="18"/>
  <c r="X107" i="18"/>
  <c r="W107" i="18"/>
  <c r="V107" i="18"/>
  <c r="U107" i="18"/>
  <c r="I107" i="18"/>
  <c r="H107" i="18"/>
  <c r="G107" i="18"/>
  <c r="F107" i="18"/>
  <c r="E107" i="18"/>
  <c r="D107" i="18"/>
  <c r="C107" i="18"/>
  <c r="B107" i="18"/>
  <c r="AF106" i="18"/>
  <c r="AE106" i="18"/>
  <c r="AD106" i="18"/>
  <c r="AC106" i="18"/>
  <c r="AB106" i="18"/>
  <c r="AA106" i="18"/>
  <c r="Z106" i="18"/>
  <c r="Y106" i="18"/>
  <c r="X106" i="18"/>
  <c r="W106" i="18"/>
  <c r="V106" i="18"/>
  <c r="U106" i="18"/>
  <c r="I106" i="18"/>
  <c r="H106" i="18"/>
  <c r="G106" i="18"/>
  <c r="F106" i="18"/>
  <c r="E106" i="18"/>
  <c r="D106" i="18"/>
  <c r="C106" i="18"/>
  <c r="B106" i="18"/>
  <c r="AF105" i="18"/>
  <c r="AE105" i="18"/>
  <c r="AD105" i="18"/>
  <c r="AC105" i="18"/>
  <c r="AB105" i="18"/>
  <c r="AA105" i="18"/>
  <c r="Z105" i="18"/>
  <c r="Y105" i="18"/>
  <c r="X105" i="18"/>
  <c r="W105" i="18"/>
  <c r="V105" i="18"/>
  <c r="U105" i="18"/>
  <c r="I105" i="18"/>
  <c r="H105" i="18"/>
  <c r="G105" i="18"/>
  <c r="F105" i="18"/>
  <c r="E105" i="18"/>
  <c r="D105" i="18"/>
  <c r="C105" i="18"/>
  <c r="B105" i="18"/>
  <c r="AF104" i="18"/>
  <c r="AE104" i="18"/>
  <c r="AD104" i="18"/>
  <c r="AC104" i="18"/>
  <c r="AB104" i="18"/>
  <c r="AA104" i="18"/>
  <c r="Z104" i="18"/>
  <c r="Y104" i="18"/>
  <c r="X104" i="18"/>
  <c r="W104" i="18"/>
  <c r="V104" i="18"/>
  <c r="U104" i="18"/>
  <c r="I104" i="18"/>
  <c r="H104" i="18"/>
  <c r="G104" i="18"/>
  <c r="F104" i="18"/>
  <c r="E104" i="18"/>
  <c r="D104" i="18"/>
  <c r="C104" i="18"/>
  <c r="B104" i="18"/>
  <c r="AF103" i="18"/>
  <c r="AE103" i="18"/>
  <c r="AD103" i="18"/>
  <c r="AC103" i="18"/>
  <c r="AB103" i="18"/>
  <c r="AA103" i="18"/>
  <c r="Z103" i="18"/>
  <c r="Y103" i="18"/>
  <c r="X103" i="18"/>
  <c r="W103" i="18"/>
  <c r="V103" i="18"/>
  <c r="U103" i="18"/>
  <c r="I103" i="18"/>
  <c r="H103" i="18"/>
  <c r="G103" i="18"/>
  <c r="F103" i="18"/>
  <c r="E103" i="18"/>
  <c r="D103" i="18"/>
  <c r="C103" i="18"/>
  <c r="B103" i="18"/>
  <c r="AF102" i="18"/>
  <c r="AE102" i="18"/>
  <c r="AD102" i="18"/>
  <c r="AC102" i="18"/>
  <c r="AB102" i="18"/>
  <c r="AA102" i="18"/>
  <c r="Z102" i="18"/>
  <c r="Y102" i="18"/>
  <c r="X102" i="18"/>
  <c r="W102" i="18"/>
  <c r="V102" i="18"/>
  <c r="U102" i="18"/>
  <c r="I102" i="18"/>
  <c r="H102" i="18"/>
  <c r="G102" i="18"/>
  <c r="F102" i="18"/>
  <c r="E102" i="18"/>
  <c r="D102" i="18"/>
  <c r="C102" i="18"/>
  <c r="B102" i="18"/>
  <c r="AF101" i="18"/>
  <c r="AE101" i="18"/>
  <c r="AD101" i="18"/>
  <c r="AC101" i="18"/>
  <c r="AB101" i="18"/>
  <c r="AA101" i="18"/>
  <c r="Z101" i="18"/>
  <c r="Y101" i="18"/>
  <c r="X101" i="18"/>
  <c r="W101" i="18"/>
  <c r="V101" i="18"/>
  <c r="U101" i="18"/>
  <c r="I101" i="18"/>
  <c r="H101" i="18"/>
  <c r="G101" i="18"/>
  <c r="F101" i="18"/>
  <c r="E101" i="18"/>
  <c r="D101" i="18"/>
  <c r="C101" i="18"/>
  <c r="B101" i="18"/>
  <c r="AF100" i="18"/>
  <c r="AE100" i="18"/>
  <c r="AD100" i="18"/>
  <c r="AC100" i="18"/>
  <c r="AB100" i="18"/>
  <c r="AA100" i="18"/>
  <c r="Z100" i="18"/>
  <c r="Y100" i="18"/>
  <c r="X100" i="18"/>
  <c r="W100" i="18"/>
  <c r="V100" i="18"/>
  <c r="U100" i="18"/>
  <c r="I100" i="18"/>
  <c r="H100" i="18"/>
  <c r="G100" i="18"/>
  <c r="F100" i="18"/>
  <c r="E100" i="18"/>
  <c r="D100" i="18"/>
  <c r="C100" i="18"/>
  <c r="B100" i="18"/>
  <c r="AF99" i="18"/>
  <c r="AE99" i="18"/>
  <c r="AD99" i="18"/>
  <c r="AC99" i="18"/>
  <c r="AB99" i="18"/>
  <c r="AA99" i="18"/>
  <c r="Z99" i="18"/>
  <c r="Y99" i="18"/>
  <c r="X99" i="18"/>
  <c r="W99" i="18"/>
  <c r="V99" i="18"/>
  <c r="U99" i="18"/>
  <c r="I99" i="18"/>
  <c r="H99" i="18"/>
  <c r="G99" i="18"/>
  <c r="F99" i="18"/>
  <c r="E99" i="18"/>
  <c r="D99" i="18"/>
  <c r="C99" i="18"/>
  <c r="B99" i="18"/>
  <c r="AF98" i="18"/>
  <c r="AE98" i="18"/>
  <c r="AD98" i="18"/>
  <c r="AC98" i="18"/>
  <c r="AB98" i="18"/>
  <c r="AA98" i="18"/>
  <c r="Z98" i="18"/>
  <c r="Y98" i="18"/>
  <c r="X98" i="18"/>
  <c r="W98" i="18"/>
  <c r="V98" i="18"/>
  <c r="U98" i="18"/>
  <c r="I98" i="18"/>
  <c r="H98" i="18"/>
  <c r="G98" i="18"/>
  <c r="F98" i="18"/>
  <c r="E98" i="18"/>
  <c r="D98" i="18"/>
  <c r="C98" i="18"/>
  <c r="B98" i="18"/>
  <c r="AF97" i="18"/>
  <c r="AE97" i="18"/>
  <c r="AD97" i="18"/>
  <c r="AC97" i="18"/>
  <c r="AB97" i="18"/>
  <c r="AA97" i="18"/>
  <c r="Z97" i="18"/>
  <c r="Y97" i="18"/>
  <c r="X97" i="18"/>
  <c r="W97" i="18"/>
  <c r="V97" i="18"/>
  <c r="U97" i="18"/>
  <c r="I97" i="18"/>
  <c r="H97" i="18"/>
  <c r="G97" i="18"/>
  <c r="F97" i="18"/>
  <c r="E97" i="18"/>
  <c r="D97" i="18"/>
  <c r="C97" i="18"/>
  <c r="B97" i="18"/>
  <c r="AF96" i="18"/>
  <c r="AE96" i="18"/>
  <c r="AD96" i="18"/>
  <c r="AC96" i="18"/>
  <c r="AB96" i="18"/>
  <c r="AA96" i="18"/>
  <c r="Z96" i="18"/>
  <c r="Y96" i="18"/>
  <c r="X96" i="18"/>
  <c r="W96" i="18"/>
  <c r="V96" i="18"/>
  <c r="U96" i="18"/>
  <c r="I96" i="18"/>
  <c r="H96" i="18"/>
  <c r="G96" i="18"/>
  <c r="F96" i="18"/>
  <c r="E96" i="18"/>
  <c r="D96" i="18"/>
  <c r="C96" i="18"/>
  <c r="B96" i="18"/>
  <c r="AF95" i="18"/>
  <c r="AE95" i="18"/>
  <c r="AD95" i="18"/>
  <c r="AC95" i="18"/>
  <c r="AB95" i="18"/>
  <c r="AA95" i="18"/>
  <c r="Z95" i="18"/>
  <c r="Y95" i="18"/>
  <c r="X95" i="18"/>
  <c r="W95" i="18"/>
  <c r="V95" i="18"/>
  <c r="U95" i="18"/>
  <c r="I95" i="18"/>
  <c r="H95" i="18"/>
  <c r="G95" i="18"/>
  <c r="F95" i="18"/>
  <c r="E95" i="18"/>
  <c r="D95" i="18"/>
  <c r="C95" i="18"/>
  <c r="B95" i="18"/>
  <c r="AF94" i="18"/>
  <c r="AE94" i="18"/>
  <c r="AD94" i="18"/>
  <c r="AC94" i="18"/>
  <c r="AB94" i="18"/>
  <c r="AA94" i="18"/>
  <c r="Z94" i="18"/>
  <c r="Y94" i="18"/>
  <c r="X94" i="18"/>
  <c r="W94" i="18"/>
  <c r="V94" i="18"/>
  <c r="U94" i="18"/>
  <c r="I94" i="18"/>
  <c r="H94" i="18"/>
  <c r="G94" i="18"/>
  <c r="F94" i="18"/>
  <c r="E94" i="18"/>
  <c r="D94" i="18"/>
  <c r="C94" i="18"/>
  <c r="B94" i="18"/>
  <c r="AF93" i="18"/>
  <c r="AE93" i="18"/>
  <c r="AD93" i="18"/>
  <c r="AC93" i="18"/>
  <c r="AB93" i="18"/>
  <c r="AA93" i="18"/>
  <c r="Z93" i="18"/>
  <c r="Y93" i="18"/>
  <c r="X93" i="18"/>
  <c r="W93" i="18"/>
  <c r="V93" i="18"/>
  <c r="U93" i="18"/>
  <c r="I93" i="18"/>
  <c r="H93" i="18"/>
  <c r="G93" i="18"/>
  <c r="F93" i="18"/>
  <c r="E93" i="18"/>
  <c r="D93" i="18"/>
  <c r="C93" i="18"/>
  <c r="B93" i="18"/>
  <c r="AF92" i="18"/>
  <c r="AE92" i="18"/>
  <c r="AD92" i="18"/>
  <c r="AC92" i="18"/>
  <c r="AB92" i="18"/>
  <c r="AA92" i="18"/>
  <c r="Z92" i="18"/>
  <c r="Y92" i="18"/>
  <c r="X92" i="18"/>
  <c r="W92" i="18"/>
  <c r="V92" i="18"/>
  <c r="U92" i="18"/>
  <c r="I92" i="18"/>
  <c r="H92" i="18"/>
  <c r="G92" i="18"/>
  <c r="F92" i="18"/>
  <c r="E92" i="18"/>
  <c r="D92" i="18"/>
  <c r="C92" i="18"/>
  <c r="B92" i="18"/>
  <c r="AF91" i="18"/>
  <c r="AE91" i="18"/>
  <c r="AD91" i="18"/>
  <c r="AC91" i="18"/>
  <c r="AB91" i="18"/>
  <c r="AA91" i="18"/>
  <c r="Z91" i="18"/>
  <c r="Y91" i="18"/>
  <c r="X91" i="18"/>
  <c r="W91" i="18"/>
  <c r="V91" i="18"/>
  <c r="U91" i="18"/>
  <c r="I91" i="18"/>
  <c r="H91" i="18"/>
  <c r="G91" i="18"/>
  <c r="F91" i="18"/>
  <c r="E91" i="18"/>
  <c r="D91" i="18"/>
  <c r="C91" i="18"/>
  <c r="B91" i="18"/>
  <c r="AF90" i="18"/>
  <c r="AE90" i="18"/>
  <c r="AD90" i="18"/>
  <c r="AC90" i="18"/>
  <c r="AB90" i="18"/>
  <c r="AA90" i="18"/>
  <c r="Z90" i="18"/>
  <c r="Y90" i="18"/>
  <c r="X90" i="18"/>
  <c r="W90" i="18"/>
  <c r="V90" i="18"/>
  <c r="U90" i="18"/>
  <c r="I90" i="18"/>
  <c r="H90" i="18"/>
  <c r="G90" i="18"/>
  <c r="F90" i="18"/>
  <c r="E90" i="18"/>
  <c r="D90" i="18"/>
  <c r="C90" i="18"/>
  <c r="B90" i="18"/>
  <c r="AF89" i="18"/>
  <c r="AE89" i="18"/>
  <c r="AD89" i="18"/>
  <c r="AC89" i="18"/>
  <c r="AB89" i="18"/>
  <c r="AA89" i="18"/>
  <c r="Z89" i="18"/>
  <c r="Y89" i="18"/>
  <c r="X89" i="18"/>
  <c r="W89" i="18"/>
  <c r="V89" i="18"/>
  <c r="U89" i="18"/>
  <c r="I89" i="18"/>
  <c r="H89" i="18"/>
  <c r="G89" i="18"/>
  <c r="F89" i="18"/>
  <c r="E89" i="18"/>
  <c r="D89" i="18"/>
  <c r="C89" i="18"/>
  <c r="B89" i="18"/>
  <c r="AF88" i="18"/>
  <c r="AE88" i="18"/>
  <c r="AD88" i="18"/>
  <c r="AC88" i="18"/>
  <c r="AB88" i="18"/>
  <c r="AA88" i="18"/>
  <c r="Z88" i="18"/>
  <c r="Y88" i="18"/>
  <c r="X88" i="18"/>
  <c r="W88" i="18"/>
  <c r="V88" i="18"/>
  <c r="U88" i="18"/>
  <c r="I88" i="18"/>
  <c r="H88" i="18"/>
  <c r="G88" i="18"/>
  <c r="F88" i="18"/>
  <c r="E88" i="18"/>
  <c r="D88" i="18"/>
  <c r="C88" i="18"/>
  <c r="B88" i="18"/>
  <c r="M87" i="18"/>
  <c r="L87" i="18"/>
  <c r="K87" i="18"/>
  <c r="J87" i="18"/>
  <c r="AF86" i="18"/>
  <c r="AE86" i="18"/>
  <c r="AD86" i="18"/>
  <c r="AC86" i="18"/>
  <c r="AB86" i="18"/>
  <c r="AA86" i="18"/>
  <c r="Z86" i="18"/>
  <c r="Y86" i="18"/>
  <c r="X86" i="18"/>
  <c r="W86" i="18"/>
  <c r="V86" i="18"/>
  <c r="U86" i="18"/>
  <c r="I86" i="18"/>
  <c r="H86" i="18"/>
  <c r="G86" i="18"/>
  <c r="F86" i="18"/>
  <c r="E86" i="18"/>
  <c r="D86" i="18"/>
  <c r="C86" i="18"/>
  <c r="B86" i="18"/>
  <c r="AF85" i="18"/>
  <c r="AE85" i="18"/>
  <c r="AD85" i="18"/>
  <c r="AC85" i="18"/>
  <c r="AB85" i="18"/>
  <c r="AA85" i="18"/>
  <c r="Z85" i="18"/>
  <c r="Y85" i="18"/>
  <c r="X85" i="18"/>
  <c r="W85" i="18"/>
  <c r="V85" i="18"/>
  <c r="U85" i="18"/>
  <c r="I85" i="18"/>
  <c r="H85" i="18"/>
  <c r="G85" i="18"/>
  <c r="F85" i="18"/>
  <c r="E85" i="18"/>
  <c r="D85" i="18"/>
  <c r="C85" i="18"/>
  <c r="B85" i="18"/>
  <c r="AF84" i="18"/>
  <c r="AE84" i="18"/>
  <c r="AD84" i="18"/>
  <c r="AC84" i="18"/>
  <c r="AB84" i="18"/>
  <c r="AA84" i="18"/>
  <c r="Z84" i="18"/>
  <c r="Y84" i="18"/>
  <c r="X84" i="18"/>
  <c r="W84" i="18"/>
  <c r="V84" i="18"/>
  <c r="U84" i="18"/>
  <c r="I84" i="18"/>
  <c r="H84" i="18"/>
  <c r="G84" i="18"/>
  <c r="F84" i="18"/>
  <c r="E84" i="18"/>
  <c r="D84" i="18"/>
  <c r="C84" i="18"/>
  <c r="B84" i="18"/>
  <c r="AF83" i="18"/>
  <c r="AE83" i="18"/>
  <c r="AD83" i="18"/>
  <c r="AC83" i="18"/>
  <c r="AB83" i="18"/>
  <c r="AA83" i="18"/>
  <c r="Z83" i="18"/>
  <c r="Y83" i="18"/>
  <c r="X83" i="18"/>
  <c r="W83" i="18"/>
  <c r="V83" i="18"/>
  <c r="U83" i="18"/>
  <c r="I83" i="18"/>
  <c r="H83" i="18"/>
  <c r="G83" i="18"/>
  <c r="F83" i="18"/>
  <c r="E83" i="18"/>
  <c r="D83" i="18"/>
  <c r="C83" i="18"/>
  <c r="B83" i="18"/>
  <c r="AF82" i="18"/>
  <c r="AE82" i="18"/>
  <c r="AD82" i="18"/>
  <c r="AC82" i="18"/>
  <c r="AB82" i="18"/>
  <c r="AA82" i="18"/>
  <c r="Z82" i="18"/>
  <c r="Y82" i="18"/>
  <c r="X82" i="18"/>
  <c r="W82" i="18"/>
  <c r="V82" i="18"/>
  <c r="U82" i="18"/>
  <c r="I82" i="18"/>
  <c r="H82" i="18"/>
  <c r="G82" i="18"/>
  <c r="F82" i="18"/>
  <c r="E82" i="18"/>
  <c r="D82" i="18"/>
  <c r="C82" i="18"/>
  <c r="B82" i="18"/>
  <c r="AF80" i="18"/>
  <c r="AE80" i="18"/>
  <c r="AD80" i="18"/>
  <c r="AC80" i="18"/>
  <c r="AB80" i="18"/>
  <c r="AA80" i="18"/>
  <c r="Z80" i="18"/>
  <c r="Y80" i="18"/>
  <c r="X80" i="18"/>
  <c r="W80" i="18"/>
  <c r="V80" i="18"/>
  <c r="U80" i="18"/>
  <c r="I80" i="18"/>
  <c r="H80" i="18"/>
  <c r="G80" i="18"/>
  <c r="F80" i="18"/>
  <c r="E80" i="18"/>
  <c r="D80" i="18"/>
  <c r="C80" i="18"/>
  <c r="B80" i="18"/>
  <c r="AF79" i="18"/>
  <c r="AE79" i="18"/>
  <c r="AD79" i="18"/>
  <c r="AC79" i="18"/>
  <c r="AB79" i="18"/>
  <c r="AA79" i="18"/>
  <c r="Z79" i="18"/>
  <c r="Y79" i="18"/>
  <c r="X79" i="18"/>
  <c r="W79" i="18"/>
  <c r="V79" i="18"/>
  <c r="U79" i="18"/>
  <c r="I79" i="18"/>
  <c r="H79" i="18"/>
  <c r="G79" i="18"/>
  <c r="F79" i="18"/>
  <c r="E79" i="18"/>
  <c r="D79" i="18"/>
  <c r="C79" i="18"/>
  <c r="B79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I78" i="18"/>
  <c r="H78" i="18"/>
  <c r="G78" i="18"/>
  <c r="F78" i="18"/>
  <c r="E78" i="18"/>
  <c r="D78" i="18"/>
  <c r="C78" i="18"/>
  <c r="B78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I77" i="18"/>
  <c r="H77" i="18"/>
  <c r="G77" i="18"/>
  <c r="F77" i="18"/>
  <c r="E77" i="18"/>
  <c r="D77" i="18"/>
  <c r="C77" i="18"/>
  <c r="B77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I76" i="18"/>
  <c r="H76" i="18"/>
  <c r="G76" i="18"/>
  <c r="F76" i="18"/>
  <c r="E76" i="18"/>
  <c r="D76" i="18"/>
  <c r="C76" i="18"/>
  <c r="B76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I75" i="18"/>
  <c r="H75" i="18"/>
  <c r="G75" i="18"/>
  <c r="F75" i="18"/>
  <c r="E75" i="18"/>
  <c r="D75" i="18"/>
  <c r="C75" i="18"/>
  <c r="B75" i="18"/>
  <c r="AF74" i="18"/>
  <c r="AE74" i="18"/>
  <c r="AD74" i="18"/>
  <c r="AC74" i="18"/>
  <c r="AB74" i="18"/>
  <c r="AA74" i="18"/>
  <c r="Z74" i="18"/>
  <c r="Y74" i="18"/>
  <c r="X74" i="18"/>
  <c r="W74" i="18"/>
  <c r="V74" i="18"/>
  <c r="U74" i="18"/>
  <c r="I74" i="18"/>
  <c r="H74" i="18"/>
  <c r="G74" i="18"/>
  <c r="F74" i="18"/>
  <c r="E74" i="18"/>
  <c r="D74" i="18"/>
  <c r="C74" i="18"/>
  <c r="B74" i="18"/>
  <c r="M73" i="18"/>
  <c r="L73" i="18"/>
  <c r="K73" i="18"/>
  <c r="J73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I72" i="18"/>
  <c r="H72" i="18"/>
  <c r="G72" i="18"/>
  <c r="F72" i="18"/>
  <c r="E72" i="18"/>
  <c r="D72" i="18"/>
  <c r="C72" i="18"/>
  <c r="B72" i="18"/>
  <c r="AF71" i="18"/>
  <c r="AE71" i="18"/>
  <c r="AD71" i="18"/>
  <c r="AC71" i="18"/>
  <c r="AB71" i="18"/>
  <c r="AA71" i="18"/>
  <c r="Z71" i="18"/>
  <c r="Y71" i="18"/>
  <c r="X71" i="18"/>
  <c r="W71" i="18"/>
  <c r="V71" i="18"/>
  <c r="U71" i="18"/>
  <c r="I71" i="18"/>
  <c r="H71" i="18"/>
  <c r="G71" i="18"/>
  <c r="F71" i="18"/>
  <c r="E71" i="18"/>
  <c r="D71" i="18"/>
  <c r="C71" i="18"/>
  <c r="B71" i="18"/>
  <c r="AF70" i="18"/>
  <c r="AE70" i="18"/>
  <c r="AD70" i="18"/>
  <c r="AD138" i="18" s="1"/>
  <c r="AC70" i="18"/>
  <c r="AC138" i="18" s="1"/>
  <c r="AB70" i="18"/>
  <c r="AB138" i="18" s="1"/>
  <c r="AA70" i="18"/>
  <c r="AA138" i="18" s="1"/>
  <c r="Z70" i="18"/>
  <c r="Z138" i="18" s="1"/>
  <c r="Y70" i="18"/>
  <c r="X70" i="18"/>
  <c r="X138" i="18" s="1"/>
  <c r="W70" i="18"/>
  <c r="W138" i="18" s="1"/>
  <c r="V70" i="18"/>
  <c r="V138" i="18" s="1"/>
  <c r="U70" i="18"/>
  <c r="I70" i="18"/>
  <c r="I138" i="18" s="1"/>
  <c r="H70" i="18"/>
  <c r="H138" i="18" s="1"/>
  <c r="G70" i="18"/>
  <c r="G138" i="18" s="1"/>
  <c r="F70" i="18"/>
  <c r="F138" i="18" s="1"/>
  <c r="E70" i="18"/>
  <c r="E138" i="18" s="1"/>
  <c r="D70" i="18"/>
  <c r="D138" i="18" s="1"/>
  <c r="C70" i="18"/>
  <c r="C138" i="18" s="1"/>
  <c r="B70" i="18"/>
  <c r="B138" i="18" s="1"/>
  <c r="I69" i="18"/>
  <c r="H69" i="18"/>
  <c r="G69" i="18"/>
  <c r="F69" i="18"/>
  <c r="E69" i="18"/>
  <c r="D69" i="18"/>
  <c r="C69" i="18"/>
  <c r="B69" i="18"/>
  <c r="I68" i="18"/>
  <c r="H68" i="18"/>
  <c r="G68" i="18"/>
  <c r="F68" i="18"/>
  <c r="E68" i="18"/>
  <c r="D68" i="18"/>
  <c r="C68" i="18"/>
  <c r="B68" i="18"/>
  <c r="I67" i="18"/>
  <c r="H67" i="18"/>
  <c r="G67" i="18"/>
  <c r="F67" i="18"/>
  <c r="E67" i="18"/>
  <c r="D67" i="18"/>
  <c r="C67" i="18"/>
  <c r="B67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I62" i="18"/>
  <c r="H62" i="18"/>
  <c r="G62" i="18"/>
  <c r="F62" i="18"/>
  <c r="E62" i="18"/>
  <c r="D62" i="18"/>
  <c r="C62" i="18"/>
  <c r="B62" i="18"/>
  <c r="M61" i="18"/>
  <c r="L61" i="18"/>
  <c r="K61" i="18"/>
  <c r="J61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I60" i="18"/>
  <c r="H60" i="18"/>
  <c r="G60" i="18"/>
  <c r="F60" i="18"/>
  <c r="E60" i="18"/>
  <c r="D60" i="18"/>
  <c r="C60" i="18"/>
  <c r="B60" i="18"/>
  <c r="AF59" i="18"/>
  <c r="AE59" i="18"/>
  <c r="AD59" i="18"/>
  <c r="AC59" i="18"/>
  <c r="AB59" i="18"/>
  <c r="AA59" i="18"/>
  <c r="Z59" i="18"/>
  <c r="Y59" i="18"/>
  <c r="X59" i="18"/>
  <c r="W59" i="18"/>
  <c r="V59" i="18"/>
  <c r="U59" i="18"/>
  <c r="I59" i="18"/>
  <c r="H59" i="18"/>
  <c r="G59" i="18"/>
  <c r="F59" i="18"/>
  <c r="E59" i="18"/>
  <c r="D59" i="18"/>
  <c r="C59" i="18"/>
  <c r="B59" i="18"/>
  <c r="AF58" i="18"/>
  <c r="AE58" i="18"/>
  <c r="AD58" i="18"/>
  <c r="AC58" i="18"/>
  <c r="AB58" i="18"/>
  <c r="AA58" i="18"/>
  <c r="Z58" i="18"/>
  <c r="Y58" i="18"/>
  <c r="X58" i="18"/>
  <c r="W58" i="18"/>
  <c r="V58" i="18"/>
  <c r="U58" i="18"/>
  <c r="I58" i="18"/>
  <c r="H58" i="18"/>
  <c r="G58" i="18"/>
  <c r="F58" i="18"/>
  <c r="E58" i="18"/>
  <c r="D58" i="18"/>
  <c r="C58" i="18"/>
  <c r="B58" i="18"/>
  <c r="AF55" i="18"/>
  <c r="AE55" i="18"/>
  <c r="AD55" i="18"/>
  <c r="AC55" i="18"/>
  <c r="AB55" i="18"/>
  <c r="AA55" i="18"/>
  <c r="Z55" i="18"/>
  <c r="Y55" i="18"/>
  <c r="X55" i="18"/>
  <c r="W55" i="18"/>
  <c r="V55" i="18"/>
  <c r="U55" i="18"/>
  <c r="M55" i="18"/>
  <c r="M56" i="18" s="1"/>
  <c r="L55" i="18"/>
  <c r="L56" i="18" s="1"/>
  <c r="K55" i="18"/>
  <c r="K56" i="18" s="1"/>
  <c r="J55" i="18"/>
  <c r="J56" i="18" s="1"/>
  <c r="AG54" i="18"/>
  <c r="I54" i="18"/>
  <c r="H54" i="18"/>
  <c r="G54" i="18"/>
  <c r="F54" i="18"/>
  <c r="E54" i="18"/>
  <c r="D54" i="18"/>
  <c r="C54" i="18"/>
  <c r="B54" i="18"/>
  <c r="AG53" i="18"/>
  <c r="I53" i="18"/>
  <c r="H53" i="18"/>
  <c r="G53" i="18"/>
  <c r="F53" i="18"/>
  <c r="E53" i="18"/>
  <c r="D53" i="18"/>
  <c r="C53" i="18"/>
  <c r="B53" i="18"/>
  <c r="AG52" i="18"/>
  <c r="I52" i="18"/>
  <c r="H52" i="18"/>
  <c r="G52" i="18"/>
  <c r="F52" i="18"/>
  <c r="E52" i="18"/>
  <c r="D52" i="18"/>
  <c r="C52" i="18"/>
  <c r="B52" i="18"/>
  <c r="AF50" i="18"/>
  <c r="AE50" i="18"/>
  <c r="AD50" i="18"/>
  <c r="AC50" i="18"/>
  <c r="AB50" i="18"/>
  <c r="AA50" i="18"/>
  <c r="Z50" i="18"/>
  <c r="Y50" i="18"/>
  <c r="X50" i="18"/>
  <c r="W50" i="18"/>
  <c r="V50" i="18"/>
  <c r="U50" i="18"/>
  <c r="I50" i="18"/>
  <c r="H50" i="18"/>
  <c r="G50" i="18"/>
  <c r="F50" i="18"/>
  <c r="E50" i="18"/>
  <c r="D50" i="18"/>
  <c r="C50" i="18"/>
  <c r="B50" i="18"/>
  <c r="AF49" i="18"/>
  <c r="AE49" i="18"/>
  <c r="AD49" i="18"/>
  <c r="AC49" i="18"/>
  <c r="AB49" i="18"/>
  <c r="AA49" i="18"/>
  <c r="Z49" i="18"/>
  <c r="Y49" i="18"/>
  <c r="X49" i="18"/>
  <c r="W49" i="18"/>
  <c r="V49" i="18"/>
  <c r="U49" i="18"/>
  <c r="I49" i="18"/>
  <c r="H49" i="18"/>
  <c r="G49" i="18"/>
  <c r="F49" i="18"/>
  <c r="E49" i="18"/>
  <c r="D49" i="18"/>
  <c r="C49" i="18"/>
  <c r="B49" i="18"/>
  <c r="AF48" i="18"/>
  <c r="AE48" i="18"/>
  <c r="AD48" i="18"/>
  <c r="AC48" i="18"/>
  <c r="AB48" i="18"/>
  <c r="AA48" i="18"/>
  <c r="Z48" i="18"/>
  <c r="Y48" i="18"/>
  <c r="X48" i="18"/>
  <c r="W48" i="18"/>
  <c r="V48" i="18"/>
  <c r="U48" i="18"/>
  <c r="I48" i="18"/>
  <c r="H48" i="18"/>
  <c r="G48" i="18"/>
  <c r="F48" i="18"/>
  <c r="E48" i="18"/>
  <c r="D48" i="18"/>
  <c r="C48" i="18"/>
  <c r="B48" i="18"/>
  <c r="AF47" i="18"/>
  <c r="AE47" i="18"/>
  <c r="AD47" i="18"/>
  <c r="AC47" i="18"/>
  <c r="AB47" i="18"/>
  <c r="AA47" i="18"/>
  <c r="Z47" i="18"/>
  <c r="Y47" i="18"/>
  <c r="X47" i="18"/>
  <c r="W47" i="18"/>
  <c r="V47" i="18"/>
  <c r="U47" i="18"/>
  <c r="I47" i="18"/>
  <c r="H47" i="18"/>
  <c r="G47" i="18"/>
  <c r="F47" i="18"/>
  <c r="E47" i="18"/>
  <c r="D47" i="18"/>
  <c r="C47" i="18"/>
  <c r="B47" i="18"/>
  <c r="AF46" i="18"/>
  <c r="AE46" i="18"/>
  <c r="AD46" i="18"/>
  <c r="AC46" i="18"/>
  <c r="AB46" i="18"/>
  <c r="AA46" i="18"/>
  <c r="Z46" i="18"/>
  <c r="Y46" i="18"/>
  <c r="X46" i="18"/>
  <c r="W46" i="18"/>
  <c r="V46" i="18"/>
  <c r="U46" i="18"/>
  <c r="I46" i="18"/>
  <c r="H46" i="18"/>
  <c r="G46" i="18"/>
  <c r="F46" i="18"/>
  <c r="E46" i="18"/>
  <c r="D46" i="18"/>
  <c r="C46" i="18"/>
  <c r="B46" i="18"/>
  <c r="AF45" i="18"/>
  <c r="AE45" i="18"/>
  <c r="AD45" i="18"/>
  <c r="AC45" i="18"/>
  <c r="AB45" i="18"/>
  <c r="AA45" i="18"/>
  <c r="Z45" i="18"/>
  <c r="Y45" i="18"/>
  <c r="X45" i="18"/>
  <c r="W45" i="18"/>
  <c r="V45" i="18"/>
  <c r="U45" i="18"/>
  <c r="I45" i="18"/>
  <c r="H45" i="18"/>
  <c r="G45" i="18"/>
  <c r="F45" i="18"/>
  <c r="E45" i="18"/>
  <c r="D45" i="18"/>
  <c r="C45" i="18"/>
  <c r="B45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I44" i="18"/>
  <c r="H44" i="18"/>
  <c r="G44" i="18"/>
  <c r="F44" i="18"/>
  <c r="E44" i="18"/>
  <c r="D44" i="18"/>
  <c r="C44" i="18"/>
  <c r="B44" i="18"/>
  <c r="AF42" i="18"/>
  <c r="AE42" i="18"/>
  <c r="AD42" i="18"/>
  <c r="AC42" i="18"/>
  <c r="AB42" i="18"/>
  <c r="AA42" i="18"/>
  <c r="Z42" i="18"/>
  <c r="Y42" i="18"/>
  <c r="X42" i="18"/>
  <c r="W42" i="18"/>
  <c r="V42" i="18"/>
  <c r="U42" i="18"/>
  <c r="I42" i="18"/>
  <c r="H42" i="18"/>
  <c r="G42" i="18"/>
  <c r="F42" i="18"/>
  <c r="E42" i="18"/>
  <c r="D42" i="18"/>
  <c r="C42" i="18"/>
  <c r="B42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I41" i="18"/>
  <c r="H41" i="18"/>
  <c r="G41" i="18"/>
  <c r="F41" i="18"/>
  <c r="E41" i="18"/>
  <c r="D41" i="18"/>
  <c r="C41" i="18"/>
  <c r="B41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I40" i="18"/>
  <c r="H40" i="18"/>
  <c r="G40" i="18"/>
  <c r="F40" i="18"/>
  <c r="E40" i="18"/>
  <c r="D40" i="18"/>
  <c r="C40" i="18"/>
  <c r="B40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I39" i="18"/>
  <c r="H39" i="18"/>
  <c r="G39" i="18"/>
  <c r="F39" i="18"/>
  <c r="E39" i="18"/>
  <c r="D39" i="18"/>
  <c r="C39" i="18"/>
  <c r="B39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I38" i="18"/>
  <c r="H38" i="18"/>
  <c r="G38" i="18"/>
  <c r="F38" i="18"/>
  <c r="E38" i="18"/>
  <c r="D38" i="18"/>
  <c r="C38" i="18"/>
  <c r="B38" i="18"/>
  <c r="AF36" i="18"/>
  <c r="AE36" i="18"/>
  <c r="AD36" i="18"/>
  <c r="AC36" i="18"/>
  <c r="AB36" i="18"/>
  <c r="AA36" i="18"/>
  <c r="Z36" i="18"/>
  <c r="Y36" i="18"/>
  <c r="X36" i="18"/>
  <c r="W36" i="18"/>
  <c r="V36" i="18"/>
  <c r="U36" i="18"/>
  <c r="M36" i="18"/>
  <c r="L36" i="18"/>
  <c r="K36" i="18"/>
  <c r="J36" i="18"/>
  <c r="AG35" i="18"/>
  <c r="I35" i="18"/>
  <c r="H35" i="18"/>
  <c r="G35" i="18"/>
  <c r="F35" i="18"/>
  <c r="E35" i="18"/>
  <c r="D35" i="18"/>
  <c r="C35" i="18"/>
  <c r="B35" i="18"/>
  <c r="AG34" i="18"/>
  <c r="I34" i="18"/>
  <c r="H34" i="18"/>
  <c r="G34" i="18"/>
  <c r="F34" i="18"/>
  <c r="E34" i="18"/>
  <c r="D34" i="18"/>
  <c r="C34" i="18"/>
  <c r="B34" i="18"/>
  <c r="AG33" i="18"/>
  <c r="I33" i="18"/>
  <c r="H33" i="18"/>
  <c r="G33" i="18"/>
  <c r="F33" i="18"/>
  <c r="E33" i="18"/>
  <c r="D33" i="18"/>
  <c r="C33" i="18"/>
  <c r="B33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I31" i="18"/>
  <c r="H31" i="18"/>
  <c r="G31" i="18"/>
  <c r="F31" i="18"/>
  <c r="E31" i="18"/>
  <c r="D31" i="18"/>
  <c r="C31" i="18"/>
  <c r="B31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I30" i="18"/>
  <c r="H30" i="18"/>
  <c r="G30" i="18"/>
  <c r="F30" i="18"/>
  <c r="E30" i="18"/>
  <c r="D30" i="18"/>
  <c r="C30" i="18"/>
  <c r="B30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I29" i="18"/>
  <c r="H29" i="18"/>
  <c r="G29" i="18"/>
  <c r="F29" i="18"/>
  <c r="E29" i="18"/>
  <c r="D29" i="18"/>
  <c r="C29" i="18"/>
  <c r="B29" i="18"/>
  <c r="AF28" i="18"/>
  <c r="AE28" i="18"/>
  <c r="AD28" i="18"/>
  <c r="AC28" i="18"/>
  <c r="AB28" i="18"/>
  <c r="AA28" i="18"/>
  <c r="Z28" i="18"/>
  <c r="Y28" i="18"/>
  <c r="X28" i="18"/>
  <c r="W28" i="18"/>
  <c r="V28" i="18"/>
  <c r="U28" i="18"/>
  <c r="I28" i="18"/>
  <c r="H28" i="18"/>
  <c r="G28" i="18"/>
  <c r="F28" i="18"/>
  <c r="E28" i="18"/>
  <c r="D28" i="18"/>
  <c r="C28" i="18"/>
  <c r="B28" i="18"/>
  <c r="M27" i="18"/>
  <c r="L27" i="18"/>
  <c r="K27" i="18"/>
  <c r="J27" i="18"/>
  <c r="AF26" i="18"/>
  <c r="AE26" i="18"/>
  <c r="AD26" i="18"/>
  <c r="AC26" i="18"/>
  <c r="AB26" i="18"/>
  <c r="AA26" i="18"/>
  <c r="Z26" i="18"/>
  <c r="Y26" i="18"/>
  <c r="X26" i="18"/>
  <c r="W26" i="18"/>
  <c r="V26" i="18"/>
  <c r="U26" i="18"/>
  <c r="I26" i="18"/>
  <c r="H26" i="18"/>
  <c r="G26" i="18"/>
  <c r="F26" i="18"/>
  <c r="E26" i="18"/>
  <c r="D26" i="18"/>
  <c r="C26" i="18"/>
  <c r="B26" i="18"/>
  <c r="AF25" i="18"/>
  <c r="AE25" i="18"/>
  <c r="AD25" i="18"/>
  <c r="AC25" i="18"/>
  <c r="AB25" i="18"/>
  <c r="AA25" i="18"/>
  <c r="Z25" i="18"/>
  <c r="Y25" i="18"/>
  <c r="X25" i="18"/>
  <c r="W25" i="18"/>
  <c r="V25" i="18"/>
  <c r="U25" i="18"/>
  <c r="I25" i="18"/>
  <c r="H25" i="18"/>
  <c r="G25" i="18"/>
  <c r="F25" i="18"/>
  <c r="E25" i="18"/>
  <c r="D25" i="18"/>
  <c r="C25" i="18"/>
  <c r="B25" i="18"/>
  <c r="AF24" i="18"/>
  <c r="AE24" i="18"/>
  <c r="AD24" i="18"/>
  <c r="AC24" i="18"/>
  <c r="AB24" i="18"/>
  <c r="AA24" i="18"/>
  <c r="Z24" i="18"/>
  <c r="Y24" i="18"/>
  <c r="X24" i="18"/>
  <c r="W24" i="18"/>
  <c r="V24" i="18"/>
  <c r="U24" i="18"/>
  <c r="I24" i="18"/>
  <c r="H24" i="18"/>
  <c r="G24" i="18"/>
  <c r="F24" i="18"/>
  <c r="E24" i="18"/>
  <c r="D24" i="18"/>
  <c r="C24" i="18"/>
  <c r="B24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I22" i="18"/>
  <c r="H22" i="18"/>
  <c r="G22" i="18"/>
  <c r="F22" i="18"/>
  <c r="E22" i="18"/>
  <c r="D22" i="18"/>
  <c r="C22" i="18"/>
  <c r="B22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I21" i="18"/>
  <c r="H21" i="18"/>
  <c r="G21" i="18"/>
  <c r="F21" i="18"/>
  <c r="E21" i="18"/>
  <c r="D21" i="18"/>
  <c r="C21" i="18"/>
  <c r="B21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I20" i="18"/>
  <c r="H20" i="18"/>
  <c r="G20" i="18"/>
  <c r="F20" i="18"/>
  <c r="E20" i="18"/>
  <c r="D20" i="18"/>
  <c r="C20" i="18"/>
  <c r="B20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I19" i="18"/>
  <c r="H19" i="18"/>
  <c r="G19" i="18"/>
  <c r="F19" i="18"/>
  <c r="E19" i="18"/>
  <c r="D19" i="18"/>
  <c r="C19" i="18"/>
  <c r="B19" i="18"/>
  <c r="AF15" i="18"/>
  <c r="AE15" i="18"/>
  <c r="AD15" i="18"/>
  <c r="AC15" i="18"/>
  <c r="AB15" i="18"/>
  <c r="AA15" i="18"/>
  <c r="Z15" i="18"/>
  <c r="Y15" i="18"/>
  <c r="X15" i="18"/>
  <c r="W15" i="18"/>
  <c r="V15" i="18"/>
  <c r="U15" i="18"/>
  <c r="I15" i="18"/>
  <c r="H15" i="18"/>
  <c r="G15" i="18"/>
  <c r="F15" i="18"/>
  <c r="E15" i="18"/>
  <c r="D15" i="18"/>
  <c r="C15" i="18"/>
  <c r="B15" i="18"/>
  <c r="M14" i="18"/>
  <c r="M16" i="18" s="1"/>
  <c r="L14" i="18"/>
  <c r="L16" i="18" s="1"/>
  <c r="K14" i="18"/>
  <c r="K16" i="18" s="1"/>
  <c r="J14" i="18"/>
  <c r="J16" i="18" s="1"/>
  <c r="AF13" i="18"/>
  <c r="AE13" i="18"/>
  <c r="AD13" i="18"/>
  <c r="AC13" i="18"/>
  <c r="AB13" i="18"/>
  <c r="AA13" i="18"/>
  <c r="Z13" i="18"/>
  <c r="Y13" i="18"/>
  <c r="X13" i="18"/>
  <c r="W13" i="18"/>
  <c r="V13" i="18"/>
  <c r="U13" i="18"/>
  <c r="I13" i="18"/>
  <c r="H13" i="18"/>
  <c r="G13" i="18"/>
  <c r="F13" i="18"/>
  <c r="E13" i="18"/>
  <c r="D13" i="18"/>
  <c r="C13" i="18"/>
  <c r="B13" i="18"/>
  <c r="AF12" i="18"/>
  <c r="AE12" i="18"/>
  <c r="AD12" i="18"/>
  <c r="AC12" i="18"/>
  <c r="AB12" i="18"/>
  <c r="AA12" i="18"/>
  <c r="Z12" i="18"/>
  <c r="Y12" i="18"/>
  <c r="X12" i="18"/>
  <c r="W12" i="18"/>
  <c r="V12" i="18"/>
  <c r="U12" i="18"/>
  <c r="I12" i="18"/>
  <c r="H12" i="18"/>
  <c r="G12" i="18"/>
  <c r="F12" i="18"/>
  <c r="E12" i="18"/>
  <c r="D12" i="18"/>
  <c r="C12" i="18"/>
  <c r="B12" i="18"/>
  <c r="M140" i="17"/>
  <c r="L140" i="17"/>
  <c r="K140" i="17"/>
  <c r="J140" i="17"/>
  <c r="M139" i="17"/>
  <c r="L139" i="17"/>
  <c r="K139" i="17"/>
  <c r="J139" i="17"/>
  <c r="M138" i="17"/>
  <c r="L138" i="17"/>
  <c r="K138" i="17"/>
  <c r="J138" i="17"/>
  <c r="M137" i="17"/>
  <c r="L137" i="17"/>
  <c r="K137" i="17"/>
  <c r="J137" i="17"/>
  <c r="M130" i="17"/>
  <c r="L130" i="17"/>
  <c r="K130" i="17"/>
  <c r="J130" i="17"/>
  <c r="AF129" i="17"/>
  <c r="AE129" i="17"/>
  <c r="AD129" i="17"/>
  <c r="AC129" i="17"/>
  <c r="AB129" i="17"/>
  <c r="AA129" i="17"/>
  <c r="Z129" i="17"/>
  <c r="Y129" i="17"/>
  <c r="X129" i="17"/>
  <c r="W129" i="17"/>
  <c r="V129" i="17"/>
  <c r="U129" i="17"/>
  <c r="I129" i="17"/>
  <c r="H129" i="17"/>
  <c r="G129" i="17"/>
  <c r="F129" i="17"/>
  <c r="E129" i="17"/>
  <c r="D129" i="17"/>
  <c r="C129" i="17"/>
  <c r="B129" i="17"/>
  <c r="AF128" i="17"/>
  <c r="AE128" i="17"/>
  <c r="AD128" i="17"/>
  <c r="AC128" i="17"/>
  <c r="AB128" i="17"/>
  <c r="AA128" i="17"/>
  <c r="Z128" i="17"/>
  <c r="Y128" i="17"/>
  <c r="X128" i="17"/>
  <c r="W128" i="17"/>
  <c r="V128" i="17"/>
  <c r="U128" i="17"/>
  <c r="I128" i="17"/>
  <c r="H128" i="17"/>
  <c r="G128" i="17"/>
  <c r="F128" i="17"/>
  <c r="E128" i="17"/>
  <c r="D128" i="17"/>
  <c r="C128" i="17"/>
  <c r="B128" i="17"/>
  <c r="AF127" i="17"/>
  <c r="AE127" i="17"/>
  <c r="AD127" i="17"/>
  <c r="AC127" i="17"/>
  <c r="AB127" i="17"/>
  <c r="AA127" i="17"/>
  <c r="Z127" i="17"/>
  <c r="Y127" i="17"/>
  <c r="X127" i="17"/>
  <c r="W127" i="17"/>
  <c r="V127" i="17"/>
  <c r="U127" i="17"/>
  <c r="I127" i="17"/>
  <c r="H127" i="17"/>
  <c r="G127" i="17"/>
  <c r="F127" i="17"/>
  <c r="E127" i="17"/>
  <c r="D127" i="17"/>
  <c r="C127" i="17"/>
  <c r="B127" i="17"/>
  <c r="AF126" i="17"/>
  <c r="AE126" i="17"/>
  <c r="AD126" i="17"/>
  <c r="AC126" i="17"/>
  <c r="AB126" i="17"/>
  <c r="AA126" i="17"/>
  <c r="Z126" i="17"/>
  <c r="Y126" i="17"/>
  <c r="X126" i="17"/>
  <c r="W126" i="17"/>
  <c r="V126" i="17"/>
  <c r="U126" i="17"/>
  <c r="I126" i="17"/>
  <c r="H126" i="17"/>
  <c r="G126" i="17"/>
  <c r="F126" i="17"/>
  <c r="E126" i="17"/>
  <c r="D126" i="17"/>
  <c r="C126" i="17"/>
  <c r="B126" i="17"/>
  <c r="AF125" i="17"/>
  <c r="AE125" i="17"/>
  <c r="AD125" i="17"/>
  <c r="AC125" i="17"/>
  <c r="AB125" i="17"/>
  <c r="AA125" i="17"/>
  <c r="Z125" i="17"/>
  <c r="Y125" i="17"/>
  <c r="X125" i="17"/>
  <c r="W125" i="17"/>
  <c r="V125" i="17"/>
  <c r="U125" i="17"/>
  <c r="I125" i="17"/>
  <c r="H125" i="17"/>
  <c r="G125" i="17"/>
  <c r="F125" i="17"/>
  <c r="E125" i="17"/>
  <c r="D125" i="17"/>
  <c r="C125" i="17"/>
  <c r="B125" i="17"/>
  <c r="AF124" i="17"/>
  <c r="AE124" i="17"/>
  <c r="AD124" i="17"/>
  <c r="AC124" i="17"/>
  <c r="AB124" i="17"/>
  <c r="AA124" i="17"/>
  <c r="Z124" i="17"/>
  <c r="Y124" i="17"/>
  <c r="X124" i="17"/>
  <c r="W124" i="17"/>
  <c r="V124" i="17"/>
  <c r="U124" i="17"/>
  <c r="I124" i="17"/>
  <c r="H124" i="17"/>
  <c r="G124" i="17"/>
  <c r="F124" i="17"/>
  <c r="E124" i="17"/>
  <c r="D124" i="17"/>
  <c r="C124" i="17"/>
  <c r="B124" i="17"/>
  <c r="M122" i="17"/>
  <c r="L122" i="17"/>
  <c r="K122" i="17"/>
  <c r="J122" i="17"/>
  <c r="AF121" i="17"/>
  <c r="AE121" i="17"/>
  <c r="AD121" i="17"/>
  <c r="AC121" i="17"/>
  <c r="AB121" i="17"/>
  <c r="AA121" i="17"/>
  <c r="Z121" i="17"/>
  <c r="Y121" i="17"/>
  <c r="X121" i="17"/>
  <c r="W121" i="17"/>
  <c r="V121" i="17"/>
  <c r="U121" i="17"/>
  <c r="I121" i="17"/>
  <c r="H121" i="17"/>
  <c r="G121" i="17"/>
  <c r="F121" i="17"/>
  <c r="E121" i="17"/>
  <c r="D121" i="17"/>
  <c r="C121" i="17"/>
  <c r="B121" i="17"/>
  <c r="AF120" i="17"/>
  <c r="AE120" i="17"/>
  <c r="AD120" i="17"/>
  <c r="AC120" i="17"/>
  <c r="AB120" i="17"/>
  <c r="AA120" i="17"/>
  <c r="Z120" i="17"/>
  <c r="Y120" i="17"/>
  <c r="X120" i="17"/>
  <c r="W120" i="17"/>
  <c r="V120" i="17"/>
  <c r="U120" i="17"/>
  <c r="I120" i="17"/>
  <c r="H120" i="17"/>
  <c r="G120" i="17"/>
  <c r="F120" i="17"/>
  <c r="E120" i="17"/>
  <c r="D120" i="17"/>
  <c r="C120" i="17"/>
  <c r="B120" i="17"/>
  <c r="AF115" i="17"/>
  <c r="AE115" i="17"/>
  <c r="AD115" i="17"/>
  <c r="AC115" i="17"/>
  <c r="AB115" i="17"/>
  <c r="AA115" i="17"/>
  <c r="Z115" i="17"/>
  <c r="Y115" i="17"/>
  <c r="X115" i="17"/>
  <c r="W115" i="17"/>
  <c r="V115" i="17"/>
  <c r="U115" i="17"/>
  <c r="I115" i="17"/>
  <c r="H115" i="17"/>
  <c r="G115" i="17"/>
  <c r="F115" i="17"/>
  <c r="E115" i="17"/>
  <c r="D115" i="17"/>
  <c r="C115" i="17"/>
  <c r="B115" i="17"/>
  <c r="AF114" i="17"/>
  <c r="AE114" i="17"/>
  <c r="AD114" i="17"/>
  <c r="AC114" i="17"/>
  <c r="AB114" i="17"/>
  <c r="AA114" i="17"/>
  <c r="Z114" i="17"/>
  <c r="Y114" i="17"/>
  <c r="X114" i="17"/>
  <c r="W114" i="17"/>
  <c r="V114" i="17"/>
  <c r="U114" i="17"/>
  <c r="I114" i="17"/>
  <c r="H114" i="17"/>
  <c r="G114" i="17"/>
  <c r="F114" i="17"/>
  <c r="E114" i="17"/>
  <c r="D114" i="17"/>
  <c r="C114" i="17"/>
  <c r="B114" i="17"/>
  <c r="AF113" i="17"/>
  <c r="AE113" i="17"/>
  <c r="AD113" i="17"/>
  <c r="AC113" i="17"/>
  <c r="AB113" i="17"/>
  <c r="AA113" i="17"/>
  <c r="Z113" i="17"/>
  <c r="Y113" i="17"/>
  <c r="X113" i="17"/>
  <c r="W113" i="17"/>
  <c r="V113" i="17"/>
  <c r="U113" i="17"/>
  <c r="I113" i="17"/>
  <c r="H113" i="17"/>
  <c r="G113" i="17"/>
  <c r="F113" i="17"/>
  <c r="E113" i="17"/>
  <c r="D113" i="17"/>
  <c r="C113" i="17"/>
  <c r="B113" i="17"/>
  <c r="AF112" i="17"/>
  <c r="AE112" i="17"/>
  <c r="AD112" i="17"/>
  <c r="AC112" i="17"/>
  <c r="AB112" i="17"/>
  <c r="AA112" i="17"/>
  <c r="Z112" i="17"/>
  <c r="Y112" i="17"/>
  <c r="X112" i="17"/>
  <c r="W112" i="17"/>
  <c r="V112" i="17"/>
  <c r="U112" i="17"/>
  <c r="I112" i="17"/>
  <c r="H112" i="17"/>
  <c r="G112" i="17"/>
  <c r="F112" i="17"/>
  <c r="E112" i="17"/>
  <c r="D112" i="17"/>
  <c r="C112" i="17"/>
  <c r="B112" i="17"/>
  <c r="AF111" i="17"/>
  <c r="AE111" i="17"/>
  <c r="AD111" i="17"/>
  <c r="AC111" i="17"/>
  <c r="AB111" i="17"/>
  <c r="AA111" i="17"/>
  <c r="Z111" i="17"/>
  <c r="Y111" i="17"/>
  <c r="X111" i="17"/>
  <c r="W111" i="17"/>
  <c r="V111" i="17"/>
  <c r="U111" i="17"/>
  <c r="I111" i="17"/>
  <c r="H111" i="17"/>
  <c r="G111" i="17"/>
  <c r="F111" i="17"/>
  <c r="E111" i="17"/>
  <c r="D111" i="17"/>
  <c r="C111" i="17"/>
  <c r="B111" i="17"/>
  <c r="AF110" i="17"/>
  <c r="AE110" i="17"/>
  <c r="AD110" i="17"/>
  <c r="AC110" i="17"/>
  <c r="AB110" i="17"/>
  <c r="AA110" i="17"/>
  <c r="Z110" i="17"/>
  <c r="Y110" i="17"/>
  <c r="X110" i="17"/>
  <c r="W110" i="17"/>
  <c r="V110" i="17"/>
  <c r="U110" i="17"/>
  <c r="I110" i="17"/>
  <c r="H110" i="17"/>
  <c r="G110" i="17"/>
  <c r="F110" i="17"/>
  <c r="E110" i="17"/>
  <c r="D110" i="17"/>
  <c r="C110" i="17"/>
  <c r="B110" i="17"/>
  <c r="AF109" i="17"/>
  <c r="AE109" i="17"/>
  <c r="AD109" i="17"/>
  <c r="AC109" i="17"/>
  <c r="AB109" i="17"/>
  <c r="AA109" i="17"/>
  <c r="Z109" i="17"/>
  <c r="Y109" i="17"/>
  <c r="X109" i="17"/>
  <c r="W109" i="17"/>
  <c r="V109" i="17"/>
  <c r="U109" i="17"/>
  <c r="I109" i="17"/>
  <c r="H109" i="17"/>
  <c r="G109" i="17"/>
  <c r="F109" i="17"/>
  <c r="E109" i="17"/>
  <c r="D109" i="17"/>
  <c r="C109" i="17"/>
  <c r="B109" i="17"/>
  <c r="AF108" i="17"/>
  <c r="AE108" i="17"/>
  <c r="AD108" i="17"/>
  <c r="AC108" i="17"/>
  <c r="AB108" i="17"/>
  <c r="AA108" i="17"/>
  <c r="Z108" i="17"/>
  <c r="Y108" i="17"/>
  <c r="X108" i="17"/>
  <c r="W108" i="17"/>
  <c r="V108" i="17"/>
  <c r="U108" i="17"/>
  <c r="I108" i="17"/>
  <c r="H108" i="17"/>
  <c r="G108" i="17"/>
  <c r="F108" i="17"/>
  <c r="E108" i="17"/>
  <c r="D108" i="17"/>
  <c r="C108" i="17"/>
  <c r="B108" i="17"/>
  <c r="AF107" i="17"/>
  <c r="AE107" i="17"/>
  <c r="AD107" i="17"/>
  <c r="AC107" i="17"/>
  <c r="AB107" i="17"/>
  <c r="AA107" i="17"/>
  <c r="Z107" i="17"/>
  <c r="Y107" i="17"/>
  <c r="X107" i="17"/>
  <c r="W107" i="17"/>
  <c r="V107" i="17"/>
  <c r="U107" i="17"/>
  <c r="I107" i="17"/>
  <c r="H107" i="17"/>
  <c r="G107" i="17"/>
  <c r="F107" i="17"/>
  <c r="E107" i="17"/>
  <c r="D107" i="17"/>
  <c r="C107" i="17"/>
  <c r="B107" i="17"/>
  <c r="AF106" i="17"/>
  <c r="AE106" i="17"/>
  <c r="AD106" i="17"/>
  <c r="AC106" i="17"/>
  <c r="AB106" i="17"/>
  <c r="AA106" i="17"/>
  <c r="Z106" i="17"/>
  <c r="Y106" i="17"/>
  <c r="X106" i="17"/>
  <c r="W106" i="17"/>
  <c r="V106" i="17"/>
  <c r="U106" i="17"/>
  <c r="I106" i="17"/>
  <c r="H106" i="17"/>
  <c r="G106" i="17"/>
  <c r="F106" i="17"/>
  <c r="E106" i="17"/>
  <c r="D106" i="17"/>
  <c r="C106" i="17"/>
  <c r="B106" i="17"/>
  <c r="AF105" i="17"/>
  <c r="AE105" i="17"/>
  <c r="AD105" i="17"/>
  <c r="AC105" i="17"/>
  <c r="AB105" i="17"/>
  <c r="AA105" i="17"/>
  <c r="Z105" i="17"/>
  <c r="Y105" i="17"/>
  <c r="X105" i="17"/>
  <c r="W105" i="17"/>
  <c r="V105" i="17"/>
  <c r="U105" i="17"/>
  <c r="I105" i="17"/>
  <c r="H105" i="17"/>
  <c r="G105" i="17"/>
  <c r="F105" i="17"/>
  <c r="E105" i="17"/>
  <c r="D105" i="17"/>
  <c r="C105" i="17"/>
  <c r="B105" i="17"/>
  <c r="AF104" i="17"/>
  <c r="AE104" i="17"/>
  <c r="AD104" i="17"/>
  <c r="AC104" i="17"/>
  <c r="AB104" i="17"/>
  <c r="AA104" i="17"/>
  <c r="Z104" i="17"/>
  <c r="Y104" i="17"/>
  <c r="X104" i="17"/>
  <c r="W104" i="17"/>
  <c r="V104" i="17"/>
  <c r="U104" i="17"/>
  <c r="I104" i="17"/>
  <c r="H104" i="17"/>
  <c r="G104" i="17"/>
  <c r="F104" i="17"/>
  <c r="E104" i="17"/>
  <c r="D104" i="17"/>
  <c r="C104" i="17"/>
  <c r="B104" i="17"/>
  <c r="AF103" i="17"/>
  <c r="AE103" i="17"/>
  <c r="AD103" i="17"/>
  <c r="AC103" i="17"/>
  <c r="AB103" i="17"/>
  <c r="AA103" i="17"/>
  <c r="Z103" i="17"/>
  <c r="Y103" i="17"/>
  <c r="X103" i="17"/>
  <c r="W103" i="17"/>
  <c r="V103" i="17"/>
  <c r="U103" i="17"/>
  <c r="I103" i="17"/>
  <c r="H103" i="17"/>
  <c r="G103" i="17"/>
  <c r="F103" i="17"/>
  <c r="E103" i="17"/>
  <c r="D103" i="17"/>
  <c r="C103" i="17"/>
  <c r="B103" i="17"/>
  <c r="AF102" i="17"/>
  <c r="AE102" i="17"/>
  <c r="AD102" i="17"/>
  <c r="AC102" i="17"/>
  <c r="AB102" i="17"/>
  <c r="AA102" i="17"/>
  <c r="Z102" i="17"/>
  <c r="Y102" i="17"/>
  <c r="X102" i="17"/>
  <c r="W102" i="17"/>
  <c r="V102" i="17"/>
  <c r="U102" i="17"/>
  <c r="I102" i="17"/>
  <c r="H102" i="17"/>
  <c r="G102" i="17"/>
  <c r="F102" i="17"/>
  <c r="E102" i="17"/>
  <c r="D102" i="17"/>
  <c r="C102" i="17"/>
  <c r="B102" i="17"/>
  <c r="AF101" i="17"/>
  <c r="AE101" i="17"/>
  <c r="AD101" i="17"/>
  <c r="AC101" i="17"/>
  <c r="AB101" i="17"/>
  <c r="AA101" i="17"/>
  <c r="Z101" i="17"/>
  <c r="Y101" i="17"/>
  <c r="X101" i="17"/>
  <c r="W101" i="17"/>
  <c r="V101" i="17"/>
  <c r="U101" i="17"/>
  <c r="I101" i="17"/>
  <c r="H101" i="17"/>
  <c r="G101" i="17"/>
  <c r="F101" i="17"/>
  <c r="E101" i="17"/>
  <c r="D101" i="17"/>
  <c r="C101" i="17"/>
  <c r="B101" i="17"/>
  <c r="AF100" i="17"/>
  <c r="AE100" i="17"/>
  <c r="AD100" i="17"/>
  <c r="AC100" i="17"/>
  <c r="AB100" i="17"/>
  <c r="AA100" i="17"/>
  <c r="Z100" i="17"/>
  <c r="Y100" i="17"/>
  <c r="X100" i="17"/>
  <c r="W100" i="17"/>
  <c r="V100" i="17"/>
  <c r="U100" i="17"/>
  <c r="I100" i="17"/>
  <c r="H100" i="17"/>
  <c r="G100" i="17"/>
  <c r="F100" i="17"/>
  <c r="E100" i="17"/>
  <c r="D100" i="17"/>
  <c r="C100" i="17"/>
  <c r="B100" i="17"/>
  <c r="AF99" i="17"/>
  <c r="AE99" i="17"/>
  <c r="AD99" i="17"/>
  <c r="AC99" i="17"/>
  <c r="AB99" i="17"/>
  <c r="AA99" i="17"/>
  <c r="Z99" i="17"/>
  <c r="Y99" i="17"/>
  <c r="X99" i="17"/>
  <c r="W99" i="17"/>
  <c r="V99" i="17"/>
  <c r="U99" i="17"/>
  <c r="I99" i="17"/>
  <c r="H99" i="17"/>
  <c r="G99" i="17"/>
  <c r="F99" i="17"/>
  <c r="E99" i="17"/>
  <c r="D99" i="17"/>
  <c r="C99" i="17"/>
  <c r="B99" i="17"/>
  <c r="AF98" i="17"/>
  <c r="AE98" i="17"/>
  <c r="AD98" i="17"/>
  <c r="AC98" i="17"/>
  <c r="AB98" i="17"/>
  <c r="AA98" i="17"/>
  <c r="Z98" i="17"/>
  <c r="Y98" i="17"/>
  <c r="X98" i="17"/>
  <c r="W98" i="17"/>
  <c r="V98" i="17"/>
  <c r="U98" i="17"/>
  <c r="I98" i="17"/>
  <c r="H98" i="17"/>
  <c r="G98" i="17"/>
  <c r="F98" i="17"/>
  <c r="E98" i="17"/>
  <c r="D98" i="17"/>
  <c r="C98" i="17"/>
  <c r="B98" i="17"/>
  <c r="AF97" i="17"/>
  <c r="AE97" i="17"/>
  <c r="AD97" i="17"/>
  <c r="AC97" i="17"/>
  <c r="AB97" i="17"/>
  <c r="AA97" i="17"/>
  <c r="Z97" i="17"/>
  <c r="Y97" i="17"/>
  <c r="X97" i="17"/>
  <c r="W97" i="17"/>
  <c r="V97" i="17"/>
  <c r="U97" i="17"/>
  <c r="I97" i="17"/>
  <c r="H97" i="17"/>
  <c r="G97" i="17"/>
  <c r="F97" i="17"/>
  <c r="E97" i="17"/>
  <c r="D97" i="17"/>
  <c r="C97" i="17"/>
  <c r="B97" i="17"/>
  <c r="AF96" i="17"/>
  <c r="AE96" i="17"/>
  <c r="AD96" i="17"/>
  <c r="AC96" i="17"/>
  <c r="AB96" i="17"/>
  <c r="AA96" i="17"/>
  <c r="Z96" i="17"/>
  <c r="Y96" i="17"/>
  <c r="X96" i="17"/>
  <c r="W96" i="17"/>
  <c r="V96" i="17"/>
  <c r="U96" i="17"/>
  <c r="I96" i="17"/>
  <c r="H96" i="17"/>
  <c r="G96" i="17"/>
  <c r="F96" i="17"/>
  <c r="E96" i="17"/>
  <c r="D96" i="17"/>
  <c r="C96" i="17"/>
  <c r="B96" i="17"/>
  <c r="AF95" i="17"/>
  <c r="AE95" i="17"/>
  <c r="AD95" i="17"/>
  <c r="AC95" i="17"/>
  <c r="AB95" i="17"/>
  <c r="AA95" i="17"/>
  <c r="Z95" i="17"/>
  <c r="Y95" i="17"/>
  <c r="X95" i="17"/>
  <c r="W95" i="17"/>
  <c r="V95" i="17"/>
  <c r="U95" i="17"/>
  <c r="I95" i="17"/>
  <c r="H95" i="17"/>
  <c r="G95" i="17"/>
  <c r="F95" i="17"/>
  <c r="E95" i="17"/>
  <c r="D95" i="17"/>
  <c r="C95" i="17"/>
  <c r="B95" i="17"/>
  <c r="AF94" i="17"/>
  <c r="AE94" i="17"/>
  <c r="AD94" i="17"/>
  <c r="AC94" i="17"/>
  <c r="AB94" i="17"/>
  <c r="AA94" i="17"/>
  <c r="Z94" i="17"/>
  <c r="Y94" i="17"/>
  <c r="X94" i="17"/>
  <c r="W94" i="17"/>
  <c r="V94" i="17"/>
  <c r="U94" i="17"/>
  <c r="I94" i="17"/>
  <c r="H94" i="17"/>
  <c r="G94" i="17"/>
  <c r="F94" i="17"/>
  <c r="E94" i="17"/>
  <c r="D94" i="17"/>
  <c r="C94" i="17"/>
  <c r="B94" i="17"/>
  <c r="AF93" i="17"/>
  <c r="AE93" i="17"/>
  <c r="AD93" i="17"/>
  <c r="AC93" i="17"/>
  <c r="AB93" i="17"/>
  <c r="AA93" i="17"/>
  <c r="Z93" i="17"/>
  <c r="Y93" i="17"/>
  <c r="X93" i="17"/>
  <c r="W93" i="17"/>
  <c r="V93" i="17"/>
  <c r="U93" i="17"/>
  <c r="I93" i="17"/>
  <c r="H93" i="17"/>
  <c r="G93" i="17"/>
  <c r="F93" i="17"/>
  <c r="E93" i="17"/>
  <c r="D93" i="17"/>
  <c r="C93" i="17"/>
  <c r="B93" i="17"/>
  <c r="AF92" i="17"/>
  <c r="AE92" i="17"/>
  <c r="AD92" i="17"/>
  <c r="AC92" i="17"/>
  <c r="AB92" i="17"/>
  <c r="AA92" i="17"/>
  <c r="Z92" i="17"/>
  <c r="Y92" i="17"/>
  <c r="X92" i="17"/>
  <c r="W92" i="17"/>
  <c r="V92" i="17"/>
  <c r="U92" i="17"/>
  <c r="I92" i="17"/>
  <c r="H92" i="17"/>
  <c r="G92" i="17"/>
  <c r="F92" i="17"/>
  <c r="E92" i="17"/>
  <c r="D92" i="17"/>
  <c r="C92" i="17"/>
  <c r="B92" i="17"/>
  <c r="AF91" i="17"/>
  <c r="AE91" i="17"/>
  <c r="AD91" i="17"/>
  <c r="AC91" i="17"/>
  <c r="AB91" i="17"/>
  <c r="AA91" i="17"/>
  <c r="Z91" i="17"/>
  <c r="Y91" i="17"/>
  <c r="X91" i="17"/>
  <c r="W91" i="17"/>
  <c r="V91" i="17"/>
  <c r="U91" i="17"/>
  <c r="I91" i="17"/>
  <c r="H91" i="17"/>
  <c r="G91" i="17"/>
  <c r="F91" i="17"/>
  <c r="E91" i="17"/>
  <c r="D91" i="17"/>
  <c r="C91" i="17"/>
  <c r="B91" i="17"/>
  <c r="AF90" i="17"/>
  <c r="AE90" i="17"/>
  <c r="AD90" i="17"/>
  <c r="AC90" i="17"/>
  <c r="AB90" i="17"/>
  <c r="AA90" i="17"/>
  <c r="Z90" i="17"/>
  <c r="Y90" i="17"/>
  <c r="X90" i="17"/>
  <c r="W90" i="17"/>
  <c r="V90" i="17"/>
  <c r="U90" i="17"/>
  <c r="I90" i="17"/>
  <c r="H90" i="17"/>
  <c r="G90" i="17"/>
  <c r="F90" i="17"/>
  <c r="E90" i="17"/>
  <c r="D90" i="17"/>
  <c r="C90" i="17"/>
  <c r="B90" i="17"/>
  <c r="AF89" i="17"/>
  <c r="AE89" i="17"/>
  <c r="AD89" i="17"/>
  <c r="AC89" i="17"/>
  <c r="AB89" i="17"/>
  <c r="AA89" i="17"/>
  <c r="Z89" i="17"/>
  <c r="Y89" i="17"/>
  <c r="X89" i="17"/>
  <c r="W89" i="17"/>
  <c r="V89" i="17"/>
  <c r="U89" i="17"/>
  <c r="I89" i="17"/>
  <c r="H89" i="17"/>
  <c r="G89" i="17"/>
  <c r="F89" i="17"/>
  <c r="E89" i="17"/>
  <c r="D89" i="17"/>
  <c r="C89" i="17"/>
  <c r="B89" i="17"/>
  <c r="AF88" i="17"/>
  <c r="AE88" i="17"/>
  <c r="AD88" i="17"/>
  <c r="AC88" i="17"/>
  <c r="AB88" i="17"/>
  <c r="AA88" i="17"/>
  <c r="Z88" i="17"/>
  <c r="Y88" i="17"/>
  <c r="X88" i="17"/>
  <c r="W88" i="17"/>
  <c r="V88" i="17"/>
  <c r="U88" i="17"/>
  <c r="I88" i="17"/>
  <c r="H88" i="17"/>
  <c r="G88" i="17"/>
  <c r="F88" i="17"/>
  <c r="E88" i="17"/>
  <c r="D88" i="17"/>
  <c r="C88" i="17"/>
  <c r="B88" i="17"/>
  <c r="M87" i="17"/>
  <c r="L87" i="17"/>
  <c r="K87" i="17"/>
  <c r="J87" i="17"/>
  <c r="AF86" i="17"/>
  <c r="AE86" i="17"/>
  <c r="AD86" i="17"/>
  <c r="AC86" i="17"/>
  <c r="AB86" i="17"/>
  <c r="AA86" i="17"/>
  <c r="Z86" i="17"/>
  <c r="Y86" i="17"/>
  <c r="X86" i="17"/>
  <c r="W86" i="17"/>
  <c r="V86" i="17"/>
  <c r="U86" i="17"/>
  <c r="I86" i="17"/>
  <c r="H86" i="17"/>
  <c r="G86" i="17"/>
  <c r="F86" i="17"/>
  <c r="E86" i="17"/>
  <c r="D86" i="17"/>
  <c r="C86" i="17"/>
  <c r="B86" i="17"/>
  <c r="AF85" i="17"/>
  <c r="AE85" i="17"/>
  <c r="AD85" i="17"/>
  <c r="AC85" i="17"/>
  <c r="AB85" i="17"/>
  <c r="AA85" i="17"/>
  <c r="Z85" i="17"/>
  <c r="Y85" i="17"/>
  <c r="X85" i="17"/>
  <c r="W85" i="17"/>
  <c r="V85" i="17"/>
  <c r="U85" i="17"/>
  <c r="I85" i="17"/>
  <c r="H85" i="17"/>
  <c r="G85" i="17"/>
  <c r="F85" i="17"/>
  <c r="E85" i="17"/>
  <c r="D85" i="17"/>
  <c r="C85" i="17"/>
  <c r="B85" i="17"/>
  <c r="AF84" i="17"/>
  <c r="AE84" i="17"/>
  <c r="AD84" i="17"/>
  <c r="AC84" i="17"/>
  <c r="AB84" i="17"/>
  <c r="AA84" i="17"/>
  <c r="Z84" i="17"/>
  <c r="Y84" i="17"/>
  <c r="X84" i="17"/>
  <c r="W84" i="17"/>
  <c r="V84" i="17"/>
  <c r="U84" i="17"/>
  <c r="I84" i="17"/>
  <c r="H84" i="17"/>
  <c r="G84" i="17"/>
  <c r="F84" i="17"/>
  <c r="E84" i="17"/>
  <c r="D84" i="17"/>
  <c r="C84" i="17"/>
  <c r="B84" i="17"/>
  <c r="AF83" i="17"/>
  <c r="AE83" i="17"/>
  <c r="AD83" i="17"/>
  <c r="AC83" i="17"/>
  <c r="AB83" i="17"/>
  <c r="AA83" i="17"/>
  <c r="Z83" i="17"/>
  <c r="Y83" i="17"/>
  <c r="X83" i="17"/>
  <c r="W83" i="17"/>
  <c r="V83" i="17"/>
  <c r="U83" i="17"/>
  <c r="I83" i="17"/>
  <c r="H83" i="17"/>
  <c r="G83" i="17"/>
  <c r="F83" i="17"/>
  <c r="E83" i="17"/>
  <c r="D83" i="17"/>
  <c r="C83" i="17"/>
  <c r="B83" i="17"/>
  <c r="AF82" i="17"/>
  <c r="AE82" i="17"/>
  <c r="AD82" i="17"/>
  <c r="AC82" i="17"/>
  <c r="AB82" i="17"/>
  <c r="AA82" i="17"/>
  <c r="Z82" i="17"/>
  <c r="Y82" i="17"/>
  <c r="X82" i="17"/>
  <c r="W82" i="17"/>
  <c r="V82" i="17"/>
  <c r="U82" i="17"/>
  <c r="I82" i="17"/>
  <c r="H82" i="17"/>
  <c r="G82" i="17"/>
  <c r="F82" i="17"/>
  <c r="E82" i="17"/>
  <c r="D82" i="17"/>
  <c r="C82" i="17"/>
  <c r="B82" i="17"/>
  <c r="AF80" i="17"/>
  <c r="AE80" i="17"/>
  <c r="AD80" i="17"/>
  <c r="AC80" i="17"/>
  <c r="AB80" i="17"/>
  <c r="AA80" i="17"/>
  <c r="Z80" i="17"/>
  <c r="Y80" i="17"/>
  <c r="X80" i="17"/>
  <c r="W80" i="17"/>
  <c r="V80" i="17"/>
  <c r="U80" i="17"/>
  <c r="I80" i="17"/>
  <c r="H80" i="17"/>
  <c r="G80" i="17"/>
  <c r="F80" i="17"/>
  <c r="E80" i="17"/>
  <c r="D80" i="17"/>
  <c r="C80" i="17"/>
  <c r="B80" i="17"/>
  <c r="AF79" i="17"/>
  <c r="AE79" i="17"/>
  <c r="AD79" i="17"/>
  <c r="AC79" i="17"/>
  <c r="AB79" i="17"/>
  <c r="AA79" i="17"/>
  <c r="Z79" i="17"/>
  <c r="Y79" i="17"/>
  <c r="X79" i="17"/>
  <c r="W79" i="17"/>
  <c r="V79" i="17"/>
  <c r="U79" i="17"/>
  <c r="I79" i="17"/>
  <c r="H79" i="17"/>
  <c r="G79" i="17"/>
  <c r="F79" i="17"/>
  <c r="E79" i="17"/>
  <c r="D79" i="17"/>
  <c r="C79" i="17"/>
  <c r="B79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I78" i="17"/>
  <c r="H78" i="17"/>
  <c r="G78" i="17"/>
  <c r="F78" i="17"/>
  <c r="E78" i="17"/>
  <c r="D78" i="17"/>
  <c r="C78" i="17"/>
  <c r="B78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I77" i="17"/>
  <c r="H77" i="17"/>
  <c r="G77" i="17"/>
  <c r="F77" i="17"/>
  <c r="E77" i="17"/>
  <c r="D77" i="17"/>
  <c r="C77" i="17"/>
  <c r="B77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I76" i="17"/>
  <c r="H76" i="17"/>
  <c r="G76" i="17"/>
  <c r="F76" i="17"/>
  <c r="E76" i="17"/>
  <c r="D76" i="17"/>
  <c r="C76" i="17"/>
  <c r="B76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I75" i="17"/>
  <c r="H75" i="17"/>
  <c r="G75" i="17"/>
  <c r="F75" i="17"/>
  <c r="E75" i="17"/>
  <c r="D75" i="17"/>
  <c r="C75" i="17"/>
  <c r="B75" i="17"/>
  <c r="AF74" i="17"/>
  <c r="AE74" i="17"/>
  <c r="AD74" i="17"/>
  <c r="AC74" i="17"/>
  <c r="AB74" i="17"/>
  <c r="AA74" i="17"/>
  <c r="Z74" i="17"/>
  <c r="Y74" i="17"/>
  <c r="X74" i="17"/>
  <c r="W74" i="17"/>
  <c r="V74" i="17"/>
  <c r="U74" i="17"/>
  <c r="I74" i="17"/>
  <c r="H74" i="17"/>
  <c r="G74" i="17"/>
  <c r="F74" i="17"/>
  <c r="E74" i="17"/>
  <c r="D74" i="17"/>
  <c r="C74" i="17"/>
  <c r="B74" i="17"/>
  <c r="M73" i="17"/>
  <c r="L73" i="17"/>
  <c r="K73" i="17"/>
  <c r="J73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I72" i="17"/>
  <c r="H72" i="17"/>
  <c r="G72" i="17"/>
  <c r="F72" i="17"/>
  <c r="E72" i="17"/>
  <c r="D72" i="17"/>
  <c r="C72" i="17"/>
  <c r="B72" i="17"/>
  <c r="AF71" i="17"/>
  <c r="AE71" i="17"/>
  <c r="AD71" i="17"/>
  <c r="AC71" i="17"/>
  <c r="AB71" i="17"/>
  <c r="AA71" i="17"/>
  <c r="Z71" i="17"/>
  <c r="Y71" i="17"/>
  <c r="X71" i="17"/>
  <c r="W71" i="17"/>
  <c r="V71" i="17"/>
  <c r="U71" i="17"/>
  <c r="I71" i="17"/>
  <c r="H71" i="17"/>
  <c r="G71" i="17"/>
  <c r="F71" i="17"/>
  <c r="E71" i="17"/>
  <c r="D71" i="17"/>
  <c r="C71" i="17"/>
  <c r="B71" i="17"/>
  <c r="AF70" i="17"/>
  <c r="AE70" i="17"/>
  <c r="AD70" i="17"/>
  <c r="AC70" i="17"/>
  <c r="AC138" i="17" s="1"/>
  <c r="AB70" i="17"/>
  <c r="AA70" i="17"/>
  <c r="Z70" i="17"/>
  <c r="Y70" i="17"/>
  <c r="X70" i="17"/>
  <c r="W70" i="17"/>
  <c r="V70" i="17"/>
  <c r="U70" i="17"/>
  <c r="I70" i="17"/>
  <c r="I138" i="17" s="1"/>
  <c r="H70" i="17"/>
  <c r="H138" i="17" s="1"/>
  <c r="G70" i="17"/>
  <c r="G138" i="17" s="1"/>
  <c r="F70" i="17"/>
  <c r="F138" i="17" s="1"/>
  <c r="E70" i="17"/>
  <c r="D70" i="17"/>
  <c r="D138" i="17" s="1"/>
  <c r="C70" i="17"/>
  <c r="B70" i="17"/>
  <c r="I69" i="17"/>
  <c r="H69" i="17"/>
  <c r="G69" i="17"/>
  <c r="F69" i="17"/>
  <c r="E69" i="17"/>
  <c r="D69" i="17"/>
  <c r="C69" i="17"/>
  <c r="B69" i="17"/>
  <c r="I68" i="17"/>
  <c r="H68" i="17"/>
  <c r="G68" i="17"/>
  <c r="F68" i="17"/>
  <c r="E68" i="17"/>
  <c r="D68" i="17"/>
  <c r="C68" i="17"/>
  <c r="B68" i="17"/>
  <c r="AG67" i="17"/>
  <c r="I67" i="17"/>
  <c r="H67" i="17"/>
  <c r="G67" i="17"/>
  <c r="F67" i="17"/>
  <c r="E67" i="17"/>
  <c r="D67" i="17"/>
  <c r="C67" i="17"/>
  <c r="B67" i="17"/>
  <c r="AF62" i="17"/>
  <c r="AE62" i="17"/>
  <c r="AD62" i="17"/>
  <c r="AC62" i="17"/>
  <c r="AB62" i="17"/>
  <c r="AA62" i="17"/>
  <c r="Z62" i="17"/>
  <c r="Y62" i="17"/>
  <c r="X62" i="17"/>
  <c r="W62" i="17"/>
  <c r="V62" i="17"/>
  <c r="U62" i="17"/>
  <c r="I62" i="17"/>
  <c r="H62" i="17"/>
  <c r="G62" i="17"/>
  <c r="F62" i="17"/>
  <c r="E62" i="17"/>
  <c r="D62" i="17"/>
  <c r="C62" i="17"/>
  <c r="B62" i="17"/>
  <c r="M61" i="17"/>
  <c r="L61" i="17"/>
  <c r="K61" i="17"/>
  <c r="J61" i="17"/>
  <c r="AF60" i="17"/>
  <c r="AE60" i="17"/>
  <c r="AD60" i="17"/>
  <c r="AC60" i="17"/>
  <c r="AB60" i="17"/>
  <c r="AA60" i="17"/>
  <c r="Z60" i="17"/>
  <c r="Y60" i="17"/>
  <c r="X60" i="17"/>
  <c r="W60" i="17"/>
  <c r="V60" i="17"/>
  <c r="U60" i="17"/>
  <c r="I60" i="17"/>
  <c r="H60" i="17"/>
  <c r="G60" i="17"/>
  <c r="F60" i="17"/>
  <c r="E60" i="17"/>
  <c r="D60" i="17"/>
  <c r="C60" i="17"/>
  <c r="B60" i="17"/>
  <c r="AF59" i="17"/>
  <c r="AE59" i="17"/>
  <c r="AD59" i="17"/>
  <c r="AC59" i="17"/>
  <c r="AB59" i="17"/>
  <c r="AA59" i="17"/>
  <c r="Z59" i="17"/>
  <c r="Y59" i="17"/>
  <c r="X59" i="17"/>
  <c r="W59" i="17"/>
  <c r="V59" i="17"/>
  <c r="U59" i="17"/>
  <c r="I59" i="17"/>
  <c r="H59" i="17"/>
  <c r="G59" i="17"/>
  <c r="F59" i="17"/>
  <c r="E59" i="17"/>
  <c r="D59" i="17"/>
  <c r="C59" i="17"/>
  <c r="B59" i="17"/>
  <c r="AF58" i="17"/>
  <c r="AE58" i="17"/>
  <c r="AD58" i="17"/>
  <c r="AC58" i="17"/>
  <c r="AB58" i="17"/>
  <c r="AA58" i="17"/>
  <c r="Z58" i="17"/>
  <c r="Y58" i="17"/>
  <c r="X58" i="17"/>
  <c r="W58" i="17"/>
  <c r="V58" i="17"/>
  <c r="U58" i="17"/>
  <c r="I58" i="17"/>
  <c r="H58" i="17"/>
  <c r="G58" i="17"/>
  <c r="F58" i="17"/>
  <c r="E58" i="17"/>
  <c r="D58" i="17"/>
  <c r="C58" i="17"/>
  <c r="B58" i="17"/>
  <c r="M55" i="17"/>
  <c r="M56" i="17" s="1"/>
  <c r="L55" i="17"/>
  <c r="L56" i="17" s="1"/>
  <c r="K55" i="17"/>
  <c r="K56" i="17" s="1"/>
  <c r="J55" i="17"/>
  <c r="J56" i="17" s="1"/>
  <c r="I54" i="17"/>
  <c r="H54" i="17"/>
  <c r="G54" i="17"/>
  <c r="F54" i="17"/>
  <c r="E54" i="17"/>
  <c r="D54" i="17"/>
  <c r="C54" i="17"/>
  <c r="B54" i="17"/>
  <c r="I53" i="17"/>
  <c r="H53" i="17"/>
  <c r="G53" i="17"/>
  <c r="F53" i="17"/>
  <c r="E53" i="17"/>
  <c r="D53" i="17"/>
  <c r="C53" i="17"/>
  <c r="B53" i="17"/>
  <c r="I52" i="17"/>
  <c r="H52" i="17"/>
  <c r="G52" i="17"/>
  <c r="F52" i="17"/>
  <c r="E52" i="17"/>
  <c r="D52" i="17"/>
  <c r="C52" i="17"/>
  <c r="B52" i="17"/>
  <c r="AF50" i="17"/>
  <c r="AE50" i="17"/>
  <c r="AD50" i="17"/>
  <c r="AC50" i="17"/>
  <c r="AB50" i="17"/>
  <c r="AA50" i="17"/>
  <c r="Z50" i="17"/>
  <c r="Y50" i="17"/>
  <c r="X50" i="17"/>
  <c r="W50" i="17"/>
  <c r="V50" i="17"/>
  <c r="U50" i="17"/>
  <c r="I50" i="17"/>
  <c r="H50" i="17"/>
  <c r="G50" i="17"/>
  <c r="F50" i="17"/>
  <c r="E50" i="17"/>
  <c r="D50" i="17"/>
  <c r="C50" i="17"/>
  <c r="B50" i="17"/>
  <c r="AF49" i="17"/>
  <c r="AE49" i="17"/>
  <c r="AD49" i="17"/>
  <c r="AC49" i="17"/>
  <c r="AB49" i="17"/>
  <c r="AA49" i="17"/>
  <c r="Z49" i="17"/>
  <c r="Y49" i="17"/>
  <c r="X49" i="17"/>
  <c r="W49" i="17"/>
  <c r="V49" i="17"/>
  <c r="U49" i="17"/>
  <c r="I49" i="17"/>
  <c r="H49" i="17"/>
  <c r="G49" i="17"/>
  <c r="F49" i="17"/>
  <c r="E49" i="17"/>
  <c r="D49" i="17"/>
  <c r="C49" i="17"/>
  <c r="B49" i="17"/>
  <c r="AF48" i="17"/>
  <c r="AE48" i="17"/>
  <c r="AD48" i="17"/>
  <c r="AC48" i="17"/>
  <c r="AB48" i="17"/>
  <c r="AA48" i="17"/>
  <c r="Z48" i="17"/>
  <c r="Y48" i="17"/>
  <c r="X48" i="17"/>
  <c r="W48" i="17"/>
  <c r="V48" i="17"/>
  <c r="U48" i="17"/>
  <c r="I48" i="17"/>
  <c r="H48" i="17"/>
  <c r="G48" i="17"/>
  <c r="F48" i="17"/>
  <c r="E48" i="17"/>
  <c r="D48" i="17"/>
  <c r="C48" i="17"/>
  <c r="B48" i="17"/>
  <c r="AF47" i="17"/>
  <c r="AE47" i="17"/>
  <c r="AD47" i="17"/>
  <c r="AC47" i="17"/>
  <c r="AB47" i="17"/>
  <c r="AA47" i="17"/>
  <c r="Z47" i="17"/>
  <c r="Y47" i="17"/>
  <c r="X47" i="17"/>
  <c r="W47" i="17"/>
  <c r="V47" i="17"/>
  <c r="U47" i="17"/>
  <c r="I47" i="17"/>
  <c r="H47" i="17"/>
  <c r="G47" i="17"/>
  <c r="F47" i="17"/>
  <c r="E47" i="17"/>
  <c r="D47" i="17"/>
  <c r="C47" i="17"/>
  <c r="B47" i="17"/>
  <c r="AF46" i="17"/>
  <c r="AE46" i="17"/>
  <c r="AD46" i="17"/>
  <c r="AC46" i="17"/>
  <c r="AB46" i="17"/>
  <c r="AA46" i="17"/>
  <c r="Z46" i="17"/>
  <c r="Y46" i="17"/>
  <c r="X46" i="17"/>
  <c r="W46" i="17"/>
  <c r="V46" i="17"/>
  <c r="U46" i="17"/>
  <c r="I46" i="17"/>
  <c r="H46" i="17"/>
  <c r="G46" i="17"/>
  <c r="F46" i="17"/>
  <c r="E46" i="17"/>
  <c r="D46" i="17"/>
  <c r="C46" i="17"/>
  <c r="B46" i="17"/>
  <c r="AF45" i="17"/>
  <c r="AE45" i="17"/>
  <c r="AD45" i="17"/>
  <c r="AC45" i="17"/>
  <c r="AB45" i="17"/>
  <c r="AA45" i="17"/>
  <c r="Z45" i="17"/>
  <c r="Y45" i="17"/>
  <c r="X45" i="17"/>
  <c r="W45" i="17"/>
  <c r="V45" i="17"/>
  <c r="U45" i="17"/>
  <c r="I45" i="17"/>
  <c r="H45" i="17"/>
  <c r="G45" i="17"/>
  <c r="F45" i="17"/>
  <c r="E45" i="17"/>
  <c r="D45" i="17"/>
  <c r="C45" i="17"/>
  <c r="B45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I44" i="17"/>
  <c r="H44" i="17"/>
  <c r="G44" i="17"/>
  <c r="F44" i="17"/>
  <c r="E44" i="17"/>
  <c r="D44" i="17"/>
  <c r="C44" i="17"/>
  <c r="B44" i="17"/>
  <c r="AF42" i="17"/>
  <c r="AE42" i="17"/>
  <c r="AD42" i="17"/>
  <c r="AC42" i="17"/>
  <c r="AB42" i="17"/>
  <c r="AA42" i="17"/>
  <c r="Z42" i="17"/>
  <c r="Y42" i="17"/>
  <c r="X42" i="17"/>
  <c r="W42" i="17"/>
  <c r="V42" i="17"/>
  <c r="U42" i="17"/>
  <c r="I42" i="17"/>
  <c r="H42" i="17"/>
  <c r="G42" i="17"/>
  <c r="F42" i="17"/>
  <c r="E42" i="17"/>
  <c r="D42" i="17"/>
  <c r="C42" i="17"/>
  <c r="B42" i="17"/>
  <c r="AF41" i="17"/>
  <c r="AE41" i="17"/>
  <c r="AD41" i="17"/>
  <c r="AC41" i="17"/>
  <c r="AB41" i="17"/>
  <c r="AA41" i="17"/>
  <c r="Z41" i="17"/>
  <c r="Y41" i="17"/>
  <c r="X41" i="17"/>
  <c r="W41" i="17"/>
  <c r="V41" i="17"/>
  <c r="U41" i="17"/>
  <c r="I41" i="17"/>
  <c r="H41" i="17"/>
  <c r="G41" i="17"/>
  <c r="F41" i="17"/>
  <c r="E41" i="17"/>
  <c r="D41" i="17"/>
  <c r="C41" i="17"/>
  <c r="B41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I40" i="17"/>
  <c r="H40" i="17"/>
  <c r="G40" i="17"/>
  <c r="F40" i="17"/>
  <c r="E40" i="17"/>
  <c r="D40" i="17"/>
  <c r="C40" i="17"/>
  <c r="B40" i="17"/>
  <c r="AF39" i="17"/>
  <c r="AE39" i="17"/>
  <c r="AD39" i="17"/>
  <c r="AC39" i="17"/>
  <c r="AB39" i="17"/>
  <c r="AA39" i="17"/>
  <c r="Z39" i="17"/>
  <c r="Y39" i="17"/>
  <c r="X39" i="17"/>
  <c r="W39" i="17"/>
  <c r="V39" i="17"/>
  <c r="U39" i="17"/>
  <c r="I39" i="17"/>
  <c r="H39" i="17"/>
  <c r="G39" i="17"/>
  <c r="F39" i="17"/>
  <c r="E39" i="17"/>
  <c r="D39" i="17"/>
  <c r="C39" i="17"/>
  <c r="B39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I38" i="17"/>
  <c r="H38" i="17"/>
  <c r="G38" i="17"/>
  <c r="F38" i="17"/>
  <c r="E38" i="17"/>
  <c r="D38" i="17"/>
  <c r="C38" i="17"/>
  <c r="B38" i="17"/>
  <c r="AF36" i="17"/>
  <c r="AE36" i="17"/>
  <c r="AD36" i="17"/>
  <c r="AC36" i="17"/>
  <c r="AB36" i="17"/>
  <c r="AA36" i="17"/>
  <c r="Z36" i="17"/>
  <c r="Y36" i="17"/>
  <c r="X36" i="17"/>
  <c r="W36" i="17"/>
  <c r="V36" i="17"/>
  <c r="U36" i="17"/>
  <c r="M36" i="17"/>
  <c r="L36" i="17"/>
  <c r="K36" i="17"/>
  <c r="J36" i="17"/>
  <c r="AG35" i="17"/>
  <c r="I35" i="17"/>
  <c r="H35" i="17"/>
  <c r="G35" i="17"/>
  <c r="F35" i="17"/>
  <c r="E35" i="17"/>
  <c r="D35" i="17"/>
  <c r="C35" i="17"/>
  <c r="B35" i="17"/>
  <c r="AG34" i="17"/>
  <c r="I34" i="17"/>
  <c r="H34" i="17"/>
  <c r="G34" i="17"/>
  <c r="F34" i="17"/>
  <c r="E34" i="17"/>
  <c r="D34" i="17"/>
  <c r="C34" i="17"/>
  <c r="B34" i="17"/>
  <c r="AG33" i="17"/>
  <c r="I33" i="17"/>
  <c r="H33" i="17"/>
  <c r="G33" i="17"/>
  <c r="F33" i="17"/>
  <c r="E33" i="17"/>
  <c r="D33" i="17"/>
  <c r="C33" i="17"/>
  <c r="B33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I31" i="17"/>
  <c r="H31" i="17"/>
  <c r="G31" i="17"/>
  <c r="F31" i="17"/>
  <c r="E31" i="17"/>
  <c r="D31" i="17"/>
  <c r="C31" i="17"/>
  <c r="B31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I30" i="17"/>
  <c r="H30" i="17"/>
  <c r="G30" i="17"/>
  <c r="F30" i="17"/>
  <c r="E30" i="17"/>
  <c r="D30" i="17"/>
  <c r="C30" i="17"/>
  <c r="B30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I29" i="17"/>
  <c r="H29" i="17"/>
  <c r="G29" i="17"/>
  <c r="F29" i="17"/>
  <c r="E29" i="17"/>
  <c r="D29" i="17"/>
  <c r="C29" i="17"/>
  <c r="B29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I28" i="17"/>
  <c r="H28" i="17"/>
  <c r="G28" i="17"/>
  <c r="F28" i="17"/>
  <c r="E28" i="17"/>
  <c r="D28" i="17"/>
  <c r="C28" i="17"/>
  <c r="B28" i="17"/>
  <c r="M27" i="17"/>
  <c r="L27" i="17"/>
  <c r="K27" i="17"/>
  <c r="J27" i="17"/>
  <c r="AF26" i="17"/>
  <c r="AE26" i="17"/>
  <c r="AD26" i="17"/>
  <c r="AC26" i="17"/>
  <c r="AB26" i="17"/>
  <c r="AA26" i="17"/>
  <c r="Z26" i="17"/>
  <c r="Y26" i="17"/>
  <c r="X26" i="17"/>
  <c r="W26" i="17"/>
  <c r="V26" i="17"/>
  <c r="U26" i="17"/>
  <c r="I26" i="17"/>
  <c r="H26" i="17"/>
  <c r="G26" i="17"/>
  <c r="F26" i="17"/>
  <c r="E26" i="17"/>
  <c r="D26" i="17"/>
  <c r="C26" i="17"/>
  <c r="B26" i="17"/>
  <c r="AF25" i="17"/>
  <c r="AE25" i="17"/>
  <c r="AD25" i="17"/>
  <c r="AC25" i="17"/>
  <c r="AB25" i="17"/>
  <c r="AA25" i="17"/>
  <c r="Z25" i="17"/>
  <c r="Y25" i="17"/>
  <c r="X25" i="17"/>
  <c r="W25" i="17"/>
  <c r="V25" i="17"/>
  <c r="U25" i="17"/>
  <c r="I25" i="17"/>
  <c r="H25" i="17"/>
  <c r="G25" i="17"/>
  <c r="F25" i="17"/>
  <c r="E25" i="17"/>
  <c r="D25" i="17"/>
  <c r="C25" i="17"/>
  <c r="B25" i="17"/>
  <c r="AF24" i="17"/>
  <c r="AE24" i="17"/>
  <c r="AD24" i="17"/>
  <c r="AC24" i="17"/>
  <c r="AB24" i="17"/>
  <c r="AA24" i="17"/>
  <c r="Z24" i="17"/>
  <c r="Y24" i="17"/>
  <c r="X24" i="17"/>
  <c r="W24" i="17"/>
  <c r="V24" i="17"/>
  <c r="U24" i="17"/>
  <c r="I24" i="17"/>
  <c r="H24" i="17"/>
  <c r="G24" i="17"/>
  <c r="F24" i="17"/>
  <c r="E24" i="17"/>
  <c r="D24" i="17"/>
  <c r="C24" i="17"/>
  <c r="B24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I22" i="17"/>
  <c r="H22" i="17"/>
  <c r="G22" i="17"/>
  <c r="F22" i="17"/>
  <c r="E22" i="17"/>
  <c r="D22" i="17"/>
  <c r="C22" i="17"/>
  <c r="B22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I21" i="17"/>
  <c r="H21" i="17"/>
  <c r="G21" i="17"/>
  <c r="F21" i="17"/>
  <c r="E21" i="17"/>
  <c r="D21" i="17"/>
  <c r="C21" i="17"/>
  <c r="B21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I20" i="17"/>
  <c r="H20" i="17"/>
  <c r="G20" i="17"/>
  <c r="F20" i="17"/>
  <c r="E20" i="17"/>
  <c r="D20" i="17"/>
  <c r="C20" i="17"/>
  <c r="B20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I19" i="17"/>
  <c r="H19" i="17"/>
  <c r="G19" i="17"/>
  <c r="F19" i="17"/>
  <c r="E19" i="17"/>
  <c r="D19" i="17"/>
  <c r="C19" i="17"/>
  <c r="B19" i="17"/>
  <c r="AF15" i="17"/>
  <c r="AE15" i="17"/>
  <c r="AD15" i="17"/>
  <c r="AC15" i="17"/>
  <c r="AB15" i="17"/>
  <c r="AA15" i="17"/>
  <c r="Z15" i="17"/>
  <c r="Y15" i="17"/>
  <c r="X15" i="17"/>
  <c r="W15" i="17"/>
  <c r="V15" i="17"/>
  <c r="U15" i="17"/>
  <c r="I15" i="17"/>
  <c r="H15" i="17"/>
  <c r="G15" i="17"/>
  <c r="F15" i="17"/>
  <c r="E15" i="17"/>
  <c r="D15" i="17"/>
  <c r="C15" i="17"/>
  <c r="B15" i="17"/>
  <c r="M14" i="17"/>
  <c r="M16" i="17" s="1"/>
  <c r="L14" i="17"/>
  <c r="L16" i="17" s="1"/>
  <c r="K14" i="17"/>
  <c r="K16" i="17" s="1"/>
  <c r="J14" i="17"/>
  <c r="J16" i="17" s="1"/>
  <c r="AF13" i="17"/>
  <c r="AE13" i="17"/>
  <c r="AD13" i="17"/>
  <c r="AC13" i="17"/>
  <c r="AB13" i="17"/>
  <c r="AA13" i="17"/>
  <c r="Z13" i="17"/>
  <c r="Y13" i="17"/>
  <c r="X13" i="17"/>
  <c r="W13" i="17"/>
  <c r="V13" i="17"/>
  <c r="U13" i="17"/>
  <c r="I13" i="17"/>
  <c r="H13" i="17"/>
  <c r="G13" i="17"/>
  <c r="F13" i="17"/>
  <c r="E13" i="17"/>
  <c r="D13" i="17"/>
  <c r="C13" i="17"/>
  <c r="B13" i="17"/>
  <c r="AF12" i="17"/>
  <c r="AE12" i="17"/>
  <c r="AD12" i="17"/>
  <c r="AC12" i="17"/>
  <c r="AB12" i="17"/>
  <c r="AA12" i="17"/>
  <c r="Z12" i="17"/>
  <c r="Y12" i="17"/>
  <c r="X12" i="17"/>
  <c r="W12" i="17"/>
  <c r="V12" i="17"/>
  <c r="U12" i="17"/>
  <c r="I12" i="17"/>
  <c r="H12" i="17"/>
  <c r="G12" i="17"/>
  <c r="F12" i="17"/>
  <c r="E12" i="17"/>
  <c r="D12" i="17"/>
  <c r="C12" i="17"/>
  <c r="B12" i="17"/>
  <c r="M140" i="16"/>
  <c r="L140" i="16"/>
  <c r="K140" i="16"/>
  <c r="J140" i="16"/>
  <c r="M139" i="16"/>
  <c r="L139" i="16"/>
  <c r="K139" i="16"/>
  <c r="J139" i="16"/>
  <c r="M138" i="16"/>
  <c r="L138" i="16"/>
  <c r="K138" i="16"/>
  <c r="J138" i="16"/>
  <c r="M137" i="16"/>
  <c r="L137" i="16"/>
  <c r="K137" i="16"/>
  <c r="J137" i="16"/>
  <c r="M130" i="16"/>
  <c r="L130" i="16"/>
  <c r="K130" i="16"/>
  <c r="J130" i="16"/>
  <c r="AF129" i="16"/>
  <c r="AE129" i="16"/>
  <c r="AD129" i="16"/>
  <c r="AC129" i="16"/>
  <c r="AB129" i="16"/>
  <c r="AA129" i="16"/>
  <c r="Z129" i="16"/>
  <c r="Y129" i="16"/>
  <c r="X129" i="16"/>
  <c r="W129" i="16"/>
  <c r="V129" i="16"/>
  <c r="U129" i="16"/>
  <c r="I129" i="16"/>
  <c r="H129" i="16"/>
  <c r="G129" i="16"/>
  <c r="F129" i="16"/>
  <c r="E129" i="16"/>
  <c r="D129" i="16"/>
  <c r="C129" i="16"/>
  <c r="B129" i="16"/>
  <c r="AF128" i="16"/>
  <c r="AE128" i="16"/>
  <c r="AD128" i="16"/>
  <c r="AC128" i="16"/>
  <c r="AB128" i="16"/>
  <c r="AA128" i="16"/>
  <c r="Z128" i="16"/>
  <c r="Y128" i="16"/>
  <c r="X128" i="16"/>
  <c r="W128" i="16"/>
  <c r="V128" i="16"/>
  <c r="U128" i="16"/>
  <c r="I128" i="16"/>
  <c r="H128" i="16"/>
  <c r="G128" i="16"/>
  <c r="F128" i="16"/>
  <c r="E128" i="16"/>
  <c r="D128" i="16"/>
  <c r="C128" i="16"/>
  <c r="B128" i="16"/>
  <c r="AF127" i="16"/>
  <c r="AE127" i="16"/>
  <c r="AD127" i="16"/>
  <c r="AC127" i="16"/>
  <c r="AB127" i="16"/>
  <c r="AA127" i="16"/>
  <c r="Z127" i="16"/>
  <c r="Y127" i="16"/>
  <c r="X127" i="16"/>
  <c r="W127" i="16"/>
  <c r="V127" i="16"/>
  <c r="U127" i="16"/>
  <c r="I127" i="16"/>
  <c r="H127" i="16"/>
  <c r="G127" i="16"/>
  <c r="F127" i="16"/>
  <c r="E127" i="16"/>
  <c r="D127" i="16"/>
  <c r="C127" i="16"/>
  <c r="B127" i="16"/>
  <c r="AF126" i="16"/>
  <c r="AE126" i="16"/>
  <c r="AD126" i="16"/>
  <c r="AC126" i="16"/>
  <c r="AB126" i="16"/>
  <c r="AA126" i="16"/>
  <c r="Z126" i="16"/>
  <c r="Y126" i="16"/>
  <c r="X126" i="16"/>
  <c r="W126" i="16"/>
  <c r="V126" i="16"/>
  <c r="U126" i="16"/>
  <c r="I126" i="16"/>
  <c r="H126" i="16"/>
  <c r="G126" i="16"/>
  <c r="F126" i="16"/>
  <c r="E126" i="16"/>
  <c r="D126" i="16"/>
  <c r="C126" i="16"/>
  <c r="B126" i="16"/>
  <c r="AF125" i="16"/>
  <c r="AE125" i="16"/>
  <c r="AD125" i="16"/>
  <c r="AC125" i="16"/>
  <c r="AB125" i="16"/>
  <c r="AA125" i="16"/>
  <c r="Z125" i="16"/>
  <c r="Y125" i="16"/>
  <c r="X125" i="16"/>
  <c r="W125" i="16"/>
  <c r="V125" i="16"/>
  <c r="U125" i="16"/>
  <c r="I125" i="16"/>
  <c r="H125" i="16"/>
  <c r="G125" i="16"/>
  <c r="F125" i="16"/>
  <c r="E125" i="16"/>
  <c r="D125" i="16"/>
  <c r="C125" i="16"/>
  <c r="B125" i="16"/>
  <c r="AF124" i="16"/>
  <c r="AE124" i="16"/>
  <c r="AD124" i="16"/>
  <c r="AC124" i="16"/>
  <c r="AB124" i="16"/>
  <c r="AA124" i="16"/>
  <c r="Z124" i="16"/>
  <c r="Y124" i="16"/>
  <c r="X124" i="16"/>
  <c r="W124" i="16"/>
  <c r="V124" i="16"/>
  <c r="U124" i="16"/>
  <c r="I124" i="16"/>
  <c r="H124" i="16"/>
  <c r="G124" i="16"/>
  <c r="F124" i="16"/>
  <c r="E124" i="16"/>
  <c r="D124" i="16"/>
  <c r="C124" i="16"/>
  <c r="B124" i="16"/>
  <c r="M122" i="16"/>
  <c r="L122" i="16"/>
  <c r="K122" i="16"/>
  <c r="J122" i="16"/>
  <c r="AF121" i="16"/>
  <c r="AE121" i="16"/>
  <c r="AD121" i="16"/>
  <c r="AC121" i="16"/>
  <c r="AB121" i="16"/>
  <c r="AA121" i="16"/>
  <c r="Z121" i="16"/>
  <c r="Y121" i="16"/>
  <c r="X121" i="16"/>
  <c r="W121" i="16"/>
  <c r="V121" i="16"/>
  <c r="U121" i="16"/>
  <c r="I121" i="16"/>
  <c r="H121" i="16"/>
  <c r="G121" i="16"/>
  <c r="F121" i="16"/>
  <c r="E121" i="16"/>
  <c r="D121" i="16"/>
  <c r="C121" i="16"/>
  <c r="B121" i="16"/>
  <c r="AF120" i="16"/>
  <c r="AE120" i="16"/>
  <c r="AD120" i="16"/>
  <c r="AC120" i="16"/>
  <c r="AB120" i="16"/>
  <c r="AA120" i="16"/>
  <c r="Z120" i="16"/>
  <c r="Y120" i="16"/>
  <c r="X120" i="16"/>
  <c r="W120" i="16"/>
  <c r="V120" i="16"/>
  <c r="U120" i="16"/>
  <c r="I120" i="16"/>
  <c r="H120" i="16"/>
  <c r="G120" i="16"/>
  <c r="F120" i="16"/>
  <c r="E120" i="16"/>
  <c r="D120" i="16"/>
  <c r="C120" i="16"/>
  <c r="B120" i="16"/>
  <c r="AF115" i="16"/>
  <c r="AE115" i="16"/>
  <c r="AD115" i="16"/>
  <c r="AC115" i="16"/>
  <c r="AB115" i="16"/>
  <c r="AA115" i="16"/>
  <c r="Z115" i="16"/>
  <c r="Y115" i="16"/>
  <c r="X115" i="16"/>
  <c r="W115" i="16"/>
  <c r="V115" i="16"/>
  <c r="U115" i="16"/>
  <c r="I115" i="16"/>
  <c r="H115" i="16"/>
  <c r="G115" i="16"/>
  <c r="F115" i="16"/>
  <c r="E115" i="16"/>
  <c r="D115" i="16"/>
  <c r="C115" i="16"/>
  <c r="B115" i="16"/>
  <c r="AF114" i="16"/>
  <c r="AE114" i="16"/>
  <c r="AD114" i="16"/>
  <c r="AC114" i="16"/>
  <c r="AB114" i="16"/>
  <c r="AA114" i="16"/>
  <c r="Z114" i="16"/>
  <c r="Y114" i="16"/>
  <c r="X114" i="16"/>
  <c r="W114" i="16"/>
  <c r="V114" i="16"/>
  <c r="U114" i="16"/>
  <c r="I114" i="16"/>
  <c r="H114" i="16"/>
  <c r="G114" i="16"/>
  <c r="F114" i="16"/>
  <c r="E114" i="16"/>
  <c r="D114" i="16"/>
  <c r="C114" i="16"/>
  <c r="B114" i="16"/>
  <c r="AF113" i="16"/>
  <c r="AE113" i="16"/>
  <c r="AD113" i="16"/>
  <c r="AC113" i="16"/>
  <c r="AB113" i="16"/>
  <c r="AA113" i="16"/>
  <c r="Z113" i="16"/>
  <c r="Y113" i="16"/>
  <c r="X113" i="16"/>
  <c r="W113" i="16"/>
  <c r="V113" i="16"/>
  <c r="U113" i="16"/>
  <c r="I113" i="16"/>
  <c r="H113" i="16"/>
  <c r="G113" i="16"/>
  <c r="F113" i="16"/>
  <c r="E113" i="16"/>
  <c r="D113" i="16"/>
  <c r="C113" i="16"/>
  <c r="B113" i="16"/>
  <c r="AF112" i="16"/>
  <c r="AE112" i="16"/>
  <c r="AD112" i="16"/>
  <c r="AC112" i="16"/>
  <c r="AB112" i="16"/>
  <c r="AA112" i="16"/>
  <c r="Z112" i="16"/>
  <c r="Y112" i="16"/>
  <c r="X112" i="16"/>
  <c r="W112" i="16"/>
  <c r="V112" i="16"/>
  <c r="U112" i="16"/>
  <c r="I112" i="16"/>
  <c r="H112" i="16"/>
  <c r="G112" i="16"/>
  <c r="F112" i="16"/>
  <c r="E112" i="16"/>
  <c r="D112" i="16"/>
  <c r="C112" i="16"/>
  <c r="B112" i="16"/>
  <c r="AF111" i="16"/>
  <c r="AE111" i="16"/>
  <c r="AD111" i="16"/>
  <c r="AC111" i="16"/>
  <c r="AB111" i="16"/>
  <c r="AA111" i="16"/>
  <c r="Z111" i="16"/>
  <c r="Y111" i="16"/>
  <c r="X111" i="16"/>
  <c r="W111" i="16"/>
  <c r="V111" i="16"/>
  <c r="U111" i="16"/>
  <c r="I111" i="16"/>
  <c r="H111" i="16"/>
  <c r="G111" i="16"/>
  <c r="F111" i="16"/>
  <c r="E111" i="16"/>
  <c r="D111" i="16"/>
  <c r="C111" i="16"/>
  <c r="B111" i="16"/>
  <c r="AF110" i="16"/>
  <c r="AE110" i="16"/>
  <c r="AD110" i="16"/>
  <c r="AC110" i="16"/>
  <c r="AB110" i="16"/>
  <c r="AA110" i="16"/>
  <c r="Z110" i="16"/>
  <c r="Y110" i="16"/>
  <c r="X110" i="16"/>
  <c r="W110" i="16"/>
  <c r="V110" i="16"/>
  <c r="U110" i="16"/>
  <c r="I110" i="16"/>
  <c r="H110" i="16"/>
  <c r="G110" i="16"/>
  <c r="F110" i="16"/>
  <c r="E110" i="16"/>
  <c r="D110" i="16"/>
  <c r="C110" i="16"/>
  <c r="B110" i="16"/>
  <c r="AF109" i="16"/>
  <c r="AE109" i="16"/>
  <c r="AD109" i="16"/>
  <c r="AC109" i="16"/>
  <c r="AB109" i="16"/>
  <c r="AA109" i="16"/>
  <c r="Z109" i="16"/>
  <c r="Y109" i="16"/>
  <c r="X109" i="16"/>
  <c r="W109" i="16"/>
  <c r="V109" i="16"/>
  <c r="U109" i="16"/>
  <c r="I109" i="16"/>
  <c r="H109" i="16"/>
  <c r="G109" i="16"/>
  <c r="F109" i="16"/>
  <c r="E109" i="16"/>
  <c r="D109" i="16"/>
  <c r="C109" i="16"/>
  <c r="B109" i="16"/>
  <c r="AF108" i="16"/>
  <c r="AE108" i="16"/>
  <c r="AD108" i="16"/>
  <c r="AC108" i="16"/>
  <c r="AB108" i="16"/>
  <c r="AA108" i="16"/>
  <c r="Z108" i="16"/>
  <c r="Y108" i="16"/>
  <c r="X108" i="16"/>
  <c r="W108" i="16"/>
  <c r="V108" i="16"/>
  <c r="U108" i="16"/>
  <c r="I108" i="16"/>
  <c r="H108" i="16"/>
  <c r="G108" i="16"/>
  <c r="F108" i="16"/>
  <c r="E108" i="16"/>
  <c r="D108" i="16"/>
  <c r="C108" i="16"/>
  <c r="B108" i="16"/>
  <c r="AF107" i="16"/>
  <c r="AE107" i="16"/>
  <c r="AD107" i="16"/>
  <c r="AC107" i="16"/>
  <c r="AB107" i="16"/>
  <c r="AA107" i="16"/>
  <c r="Z107" i="16"/>
  <c r="Y107" i="16"/>
  <c r="X107" i="16"/>
  <c r="W107" i="16"/>
  <c r="V107" i="16"/>
  <c r="U107" i="16"/>
  <c r="I107" i="16"/>
  <c r="H107" i="16"/>
  <c r="G107" i="16"/>
  <c r="F107" i="16"/>
  <c r="E107" i="16"/>
  <c r="D107" i="16"/>
  <c r="C107" i="16"/>
  <c r="B107" i="16"/>
  <c r="AF106" i="16"/>
  <c r="AE106" i="16"/>
  <c r="AD106" i="16"/>
  <c r="AC106" i="16"/>
  <c r="AB106" i="16"/>
  <c r="AA106" i="16"/>
  <c r="Z106" i="16"/>
  <c r="Y106" i="16"/>
  <c r="X106" i="16"/>
  <c r="W106" i="16"/>
  <c r="V106" i="16"/>
  <c r="U106" i="16"/>
  <c r="I106" i="16"/>
  <c r="H106" i="16"/>
  <c r="G106" i="16"/>
  <c r="F106" i="16"/>
  <c r="E106" i="16"/>
  <c r="D106" i="16"/>
  <c r="C106" i="16"/>
  <c r="B106" i="16"/>
  <c r="AF105" i="16"/>
  <c r="AE105" i="16"/>
  <c r="AD105" i="16"/>
  <c r="AC105" i="16"/>
  <c r="AB105" i="16"/>
  <c r="AA105" i="16"/>
  <c r="Z105" i="16"/>
  <c r="Y105" i="16"/>
  <c r="X105" i="16"/>
  <c r="W105" i="16"/>
  <c r="V105" i="16"/>
  <c r="U105" i="16"/>
  <c r="I105" i="16"/>
  <c r="H105" i="16"/>
  <c r="G105" i="16"/>
  <c r="F105" i="16"/>
  <c r="E105" i="16"/>
  <c r="D105" i="16"/>
  <c r="C105" i="16"/>
  <c r="B105" i="16"/>
  <c r="AF104" i="16"/>
  <c r="AE104" i="16"/>
  <c r="AD104" i="16"/>
  <c r="AC104" i="16"/>
  <c r="AB104" i="16"/>
  <c r="AA104" i="16"/>
  <c r="Z104" i="16"/>
  <c r="Y104" i="16"/>
  <c r="X104" i="16"/>
  <c r="W104" i="16"/>
  <c r="V104" i="16"/>
  <c r="U104" i="16"/>
  <c r="I104" i="16"/>
  <c r="H104" i="16"/>
  <c r="G104" i="16"/>
  <c r="F104" i="16"/>
  <c r="E104" i="16"/>
  <c r="D104" i="16"/>
  <c r="C104" i="16"/>
  <c r="B104" i="16"/>
  <c r="AF103" i="16"/>
  <c r="AE103" i="16"/>
  <c r="AD103" i="16"/>
  <c r="AC103" i="16"/>
  <c r="AB103" i="16"/>
  <c r="AA103" i="16"/>
  <c r="Z103" i="16"/>
  <c r="Y103" i="16"/>
  <c r="X103" i="16"/>
  <c r="W103" i="16"/>
  <c r="V103" i="16"/>
  <c r="U103" i="16"/>
  <c r="I103" i="16"/>
  <c r="H103" i="16"/>
  <c r="G103" i="16"/>
  <c r="F103" i="16"/>
  <c r="E103" i="16"/>
  <c r="D103" i="16"/>
  <c r="C103" i="16"/>
  <c r="B103" i="16"/>
  <c r="AF102" i="16"/>
  <c r="AE102" i="16"/>
  <c r="AD102" i="16"/>
  <c r="AC102" i="16"/>
  <c r="AB102" i="16"/>
  <c r="AA102" i="16"/>
  <c r="Z102" i="16"/>
  <c r="Y102" i="16"/>
  <c r="X102" i="16"/>
  <c r="W102" i="16"/>
  <c r="V102" i="16"/>
  <c r="U102" i="16"/>
  <c r="I102" i="16"/>
  <c r="H102" i="16"/>
  <c r="G102" i="16"/>
  <c r="F102" i="16"/>
  <c r="E102" i="16"/>
  <c r="D102" i="16"/>
  <c r="C102" i="16"/>
  <c r="B102" i="16"/>
  <c r="AF101" i="16"/>
  <c r="AE101" i="16"/>
  <c r="AD101" i="16"/>
  <c r="AC101" i="16"/>
  <c r="AB101" i="16"/>
  <c r="AA101" i="16"/>
  <c r="Z101" i="16"/>
  <c r="Y101" i="16"/>
  <c r="X101" i="16"/>
  <c r="W101" i="16"/>
  <c r="V101" i="16"/>
  <c r="U101" i="16"/>
  <c r="I101" i="16"/>
  <c r="H101" i="16"/>
  <c r="G101" i="16"/>
  <c r="F101" i="16"/>
  <c r="E101" i="16"/>
  <c r="D101" i="16"/>
  <c r="C101" i="16"/>
  <c r="B101" i="16"/>
  <c r="AF100" i="16"/>
  <c r="AE100" i="16"/>
  <c r="AD100" i="16"/>
  <c r="AC100" i="16"/>
  <c r="AB100" i="16"/>
  <c r="AA100" i="16"/>
  <c r="Z100" i="16"/>
  <c r="Y100" i="16"/>
  <c r="X100" i="16"/>
  <c r="W100" i="16"/>
  <c r="V100" i="16"/>
  <c r="U100" i="16"/>
  <c r="I100" i="16"/>
  <c r="H100" i="16"/>
  <c r="G100" i="16"/>
  <c r="F100" i="16"/>
  <c r="E100" i="16"/>
  <c r="D100" i="16"/>
  <c r="C100" i="16"/>
  <c r="B100" i="16"/>
  <c r="AF99" i="16"/>
  <c r="AE99" i="16"/>
  <c r="AD99" i="16"/>
  <c r="AC99" i="16"/>
  <c r="AB99" i="16"/>
  <c r="AA99" i="16"/>
  <c r="Z99" i="16"/>
  <c r="Y99" i="16"/>
  <c r="X99" i="16"/>
  <c r="W99" i="16"/>
  <c r="V99" i="16"/>
  <c r="U99" i="16"/>
  <c r="I99" i="16"/>
  <c r="H99" i="16"/>
  <c r="G99" i="16"/>
  <c r="F99" i="16"/>
  <c r="E99" i="16"/>
  <c r="D99" i="16"/>
  <c r="C99" i="16"/>
  <c r="B99" i="16"/>
  <c r="AF98" i="16"/>
  <c r="AE98" i="16"/>
  <c r="AD98" i="16"/>
  <c r="AC98" i="16"/>
  <c r="AB98" i="16"/>
  <c r="AA98" i="16"/>
  <c r="Z98" i="16"/>
  <c r="Y98" i="16"/>
  <c r="X98" i="16"/>
  <c r="W98" i="16"/>
  <c r="V98" i="16"/>
  <c r="U98" i="16"/>
  <c r="I98" i="16"/>
  <c r="H98" i="16"/>
  <c r="G98" i="16"/>
  <c r="F98" i="16"/>
  <c r="E98" i="16"/>
  <c r="D98" i="16"/>
  <c r="C98" i="16"/>
  <c r="B98" i="16"/>
  <c r="AF97" i="16"/>
  <c r="AE97" i="16"/>
  <c r="AD97" i="16"/>
  <c r="AC97" i="16"/>
  <c r="AB97" i="16"/>
  <c r="AA97" i="16"/>
  <c r="Z97" i="16"/>
  <c r="Y97" i="16"/>
  <c r="X97" i="16"/>
  <c r="W97" i="16"/>
  <c r="V97" i="16"/>
  <c r="U97" i="16"/>
  <c r="I97" i="16"/>
  <c r="H97" i="16"/>
  <c r="G97" i="16"/>
  <c r="F97" i="16"/>
  <c r="E97" i="16"/>
  <c r="D97" i="16"/>
  <c r="C97" i="16"/>
  <c r="B97" i="16"/>
  <c r="AF96" i="16"/>
  <c r="AE96" i="16"/>
  <c r="AD96" i="16"/>
  <c r="AC96" i="16"/>
  <c r="AB96" i="16"/>
  <c r="AA96" i="16"/>
  <c r="Z96" i="16"/>
  <c r="Y96" i="16"/>
  <c r="X96" i="16"/>
  <c r="W96" i="16"/>
  <c r="V96" i="16"/>
  <c r="U96" i="16"/>
  <c r="I96" i="16"/>
  <c r="H96" i="16"/>
  <c r="G96" i="16"/>
  <c r="F96" i="16"/>
  <c r="E96" i="16"/>
  <c r="D96" i="16"/>
  <c r="C96" i="16"/>
  <c r="B96" i="16"/>
  <c r="AF95" i="16"/>
  <c r="AE95" i="16"/>
  <c r="AD95" i="16"/>
  <c r="AC95" i="16"/>
  <c r="AB95" i="16"/>
  <c r="AA95" i="16"/>
  <c r="Z95" i="16"/>
  <c r="Y95" i="16"/>
  <c r="X95" i="16"/>
  <c r="W95" i="16"/>
  <c r="V95" i="16"/>
  <c r="U95" i="16"/>
  <c r="I95" i="16"/>
  <c r="H95" i="16"/>
  <c r="G95" i="16"/>
  <c r="F95" i="16"/>
  <c r="E95" i="16"/>
  <c r="D95" i="16"/>
  <c r="C95" i="16"/>
  <c r="B95" i="16"/>
  <c r="AF94" i="16"/>
  <c r="AE94" i="16"/>
  <c r="AD94" i="16"/>
  <c r="AC94" i="16"/>
  <c r="AB94" i="16"/>
  <c r="AA94" i="16"/>
  <c r="Z94" i="16"/>
  <c r="Y94" i="16"/>
  <c r="X94" i="16"/>
  <c r="W94" i="16"/>
  <c r="V94" i="16"/>
  <c r="U94" i="16"/>
  <c r="I94" i="16"/>
  <c r="H94" i="16"/>
  <c r="G94" i="16"/>
  <c r="F94" i="16"/>
  <c r="E94" i="16"/>
  <c r="D94" i="16"/>
  <c r="C94" i="16"/>
  <c r="B94" i="16"/>
  <c r="AF93" i="16"/>
  <c r="AE93" i="16"/>
  <c r="AD93" i="16"/>
  <c r="AC93" i="16"/>
  <c r="AB93" i="16"/>
  <c r="AA93" i="16"/>
  <c r="Z93" i="16"/>
  <c r="Y93" i="16"/>
  <c r="X93" i="16"/>
  <c r="W93" i="16"/>
  <c r="V93" i="16"/>
  <c r="U93" i="16"/>
  <c r="I93" i="16"/>
  <c r="H93" i="16"/>
  <c r="G93" i="16"/>
  <c r="F93" i="16"/>
  <c r="E93" i="16"/>
  <c r="D93" i="16"/>
  <c r="C93" i="16"/>
  <c r="B93" i="16"/>
  <c r="AF92" i="16"/>
  <c r="AE92" i="16"/>
  <c r="AD92" i="16"/>
  <c r="AC92" i="16"/>
  <c r="AB92" i="16"/>
  <c r="AA92" i="16"/>
  <c r="Z92" i="16"/>
  <c r="Y92" i="16"/>
  <c r="X92" i="16"/>
  <c r="W92" i="16"/>
  <c r="V92" i="16"/>
  <c r="U92" i="16"/>
  <c r="I92" i="16"/>
  <c r="H92" i="16"/>
  <c r="G92" i="16"/>
  <c r="F92" i="16"/>
  <c r="E92" i="16"/>
  <c r="D92" i="16"/>
  <c r="C92" i="16"/>
  <c r="B92" i="16"/>
  <c r="AF91" i="16"/>
  <c r="AE91" i="16"/>
  <c r="AD91" i="16"/>
  <c r="AC91" i="16"/>
  <c r="AB91" i="16"/>
  <c r="AA91" i="16"/>
  <c r="Z91" i="16"/>
  <c r="Y91" i="16"/>
  <c r="X91" i="16"/>
  <c r="W91" i="16"/>
  <c r="V91" i="16"/>
  <c r="U91" i="16"/>
  <c r="I91" i="16"/>
  <c r="H91" i="16"/>
  <c r="G91" i="16"/>
  <c r="F91" i="16"/>
  <c r="E91" i="16"/>
  <c r="D91" i="16"/>
  <c r="C91" i="16"/>
  <c r="B91" i="16"/>
  <c r="AF90" i="16"/>
  <c r="AE90" i="16"/>
  <c r="AD90" i="16"/>
  <c r="AC90" i="16"/>
  <c r="AB90" i="16"/>
  <c r="AA90" i="16"/>
  <c r="Z90" i="16"/>
  <c r="Y90" i="16"/>
  <c r="X90" i="16"/>
  <c r="W90" i="16"/>
  <c r="V90" i="16"/>
  <c r="U90" i="16"/>
  <c r="I90" i="16"/>
  <c r="H90" i="16"/>
  <c r="G90" i="16"/>
  <c r="F90" i="16"/>
  <c r="E90" i="16"/>
  <c r="D90" i="16"/>
  <c r="C90" i="16"/>
  <c r="B90" i="16"/>
  <c r="AF89" i="16"/>
  <c r="AE89" i="16"/>
  <c r="AD89" i="16"/>
  <c r="AC89" i="16"/>
  <c r="AB89" i="16"/>
  <c r="AA89" i="16"/>
  <c r="Z89" i="16"/>
  <c r="Y89" i="16"/>
  <c r="X89" i="16"/>
  <c r="W89" i="16"/>
  <c r="V89" i="16"/>
  <c r="U89" i="16"/>
  <c r="I89" i="16"/>
  <c r="H89" i="16"/>
  <c r="G89" i="16"/>
  <c r="F89" i="16"/>
  <c r="E89" i="16"/>
  <c r="D89" i="16"/>
  <c r="C89" i="16"/>
  <c r="B89" i="16"/>
  <c r="AF88" i="16"/>
  <c r="AE88" i="16"/>
  <c r="AD88" i="16"/>
  <c r="AC88" i="16"/>
  <c r="AB88" i="16"/>
  <c r="AA88" i="16"/>
  <c r="Z88" i="16"/>
  <c r="Y88" i="16"/>
  <c r="X88" i="16"/>
  <c r="W88" i="16"/>
  <c r="V88" i="16"/>
  <c r="U88" i="16"/>
  <c r="I88" i="16"/>
  <c r="H88" i="16"/>
  <c r="G88" i="16"/>
  <c r="F88" i="16"/>
  <c r="E88" i="16"/>
  <c r="D88" i="16"/>
  <c r="C88" i="16"/>
  <c r="B88" i="16"/>
  <c r="M87" i="16"/>
  <c r="L87" i="16"/>
  <c r="K87" i="16"/>
  <c r="J87" i="16"/>
  <c r="AF86" i="16"/>
  <c r="AE86" i="16"/>
  <c r="AD86" i="16"/>
  <c r="AC86" i="16"/>
  <c r="AB86" i="16"/>
  <c r="AA86" i="16"/>
  <c r="Z86" i="16"/>
  <c r="Y86" i="16"/>
  <c r="X86" i="16"/>
  <c r="W86" i="16"/>
  <c r="V86" i="16"/>
  <c r="U86" i="16"/>
  <c r="I86" i="16"/>
  <c r="H86" i="16"/>
  <c r="G86" i="16"/>
  <c r="F86" i="16"/>
  <c r="E86" i="16"/>
  <c r="D86" i="16"/>
  <c r="C86" i="16"/>
  <c r="B86" i="16"/>
  <c r="AF85" i="16"/>
  <c r="AE85" i="16"/>
  <c r="AD85" i="16"/>
  <c r="AC85" i="16"/>
  <c r="AB85" i="16"/>
  <c r="AA85" i="16"/>
  <c r="Z85" i="16"/>
  <c r="Y85" i="16"/>
  <c r="X85" i="16"/>
  <c r="W85" i="16"/>
  <c r="V85" i="16"/>
  <c r="U85" i="16"/>
  <c r="I85" i="16"/>
  <c r="H85" i="16"/>
  <c r="G85" i="16"/>
  <c r="F85" i="16"/>
  <c r="E85" i="16"/>
  <c r="D85" i="16"/>
  <c r="C85" i="16"/>
  <c r="B85" i="16"/>
  <c r="AF84" i="16"/>
  <c r="AE84" i="16"/>
  <c r="AD84" i="16"/>
  <c r="AC84" i="16"/>
  <c r="AB84" i="16"/>
  <c r="AA84" i="16"/>
  <c r="Z84" i="16"/>
  <c r="Y84" i="16"/>
  <c r="X84" i="16"/>
  <c r="W84" i="16"/>
  <c r="V84" i="16"/>
  <c r="U84" i="16"/>
  <c r="I84" i="16"/>
  <c r="H84" i="16"/>
  <c r="G84" i="16"/>
  <c r="F84" i="16"/>
  <c r="E84" i="16"/>
  <c r="D84" i="16"/>
  <c r="C84" i="16"/>
  <c r="B84" i="16"/>
  <c r="AF83" i="16"/>
  <c r="AE83" i="16"/>
  <c r="AD83" i="16"/>
  <c r="AC83" i="16"/>
  <c r="AB83" i="16"/>
  <c r="AA83" i="16"/>
  <c r="Z83" i="16"/>
  <c r="Y83" i="16"/>
  <c r="X83" i="16"/>
  <c r="W83" i="16"/>
  <c r="V83" i="16"/>
  <c r="U83" i="16"/>
  <c r="I83" i="16"/>
  <c r="H83" i="16"/>
  <c r="G83" i="16"/>
  <c r="F83" i="16"/>
  <c r="E83" i="16"/>
  <c r="D83" i="16"/>
  <c r="C83" i="16"/>
  <c r="B83" i="16"/>
  <c r="AF82" i="16"/>
  <c r="AE82" i="16"/>
  <c r="AD82" i="16"/>
  <c r="AC82" i="16"/>
  <c r="AB82" i="16"/>
  <c r="AA82" i="16"/>
  <c r="Z82" i="16"/>
  <c r="Y82" i="16"/>
  <c r="X82" i="16"/>
  <c r="W82" i="16"/>
  <c r="V82" i="16"/>
  <c r="U82" i="16"/>
  <c r="I82" i="16"/>
  <c r="H82" i="16"/>
  <c r="G82" i="16"/>
  <c r="F82" i="16"/>
  <c r="E82" i="16"/>
  <c r="D82" i="16"/>
  <c r="C82" i="16"/>
  <c r="B82" i="16"/>
  <c r="AF80" i="16"/>
  <c r="AE80" i="16"/>
  <c r="AD80" i="16"/>
  <c r="AC80" i="16"/>
  <c r="AB80" i="16"/>
  <c r="AA80" i="16"/>
  <c r="Z80" i="16"/>
  <c r="Y80" i="16"/>
  <c r="X80" i="16"/>
  <c r="W80" i="16"/>
  <c r="V80" i="16"/>
  <c r="U80" i="16"/>
  <c r="I80" i="16"/>
  <c r="H80" i="16"/>
  <c r="G80" i="16"/>
  <c r="F80" i="16"/>
  <c r="E80" i="16"/>
  <c r="D80" i="16"/>
  <c r="C80" i="16"/>
  <c r="B80" i="16"/>
  <c r="AF79" i="16"/>
  <c r="AE79" i="16"/>
  <c r="AD79" i="16"/>
  <c r="AC79" i="16"/>
  <c r="AB79" i="16"/>
  <c r="AA79" i="16"/>
  <c r="Z79" i="16"/>
  <c r="Y79" i="16"/>
  <c r="X79" i="16"/>
  <c r="W79" i="16"/>
  <c r="V79" i="16"/>
  <c r="U79" i="16"/>
  <c r="I79" i="16"/>
  <c r="H79" i="16"/>
  <c r="G79" i="16"/>
  <c r="F79" i="16"/>
  <c r="E79" i="16"/>
  <c r="D79" i="16"/>
  <c r="C79" i="16"/>
  <c r="B79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I78" i="16"/>
  <c r="H78" i="16"/>
  <c r="G78" i="16"/>
  <c r="F78" i="16"/>
  <c r="E78" i="16"/>
  <c r="D78" i="16"/>
  <c r="C78" i="16"/>
  <c r="B78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I77" i="16"/>
  <c r="H77" i="16"/>
  <c r="G77" i="16"/>
  <c r="F77" i="16"/>
  <c r="E77" i="16"/>
  <c r="D77" i="16"/>
  <c r="C77" i="16"/>
  <c r="B77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I76" i="16"/>
  <c r="H76" i="16"/>
  <c r="G76" i="16"/>
  <c r="F76" i="16"/>
  <c r="E76" i="16"/>
  <c r="D76" i="16"/>
  <c r="C76" i="16"/>
  <c r="B76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I75" i="16"/>
  <c r="H75" i="16"/>
  <c r="G75" i="16"/>
  <c r="F75" i="16"/>
  <c r="E75" i="16"/>
  <c r="D75" i="16"/>
  <c r="C75" i="16"/>
  <c r="B75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I74" i="16"/>
  <c r="H74" i="16"/>
  <c r="G74" i="16"/>
  <c r="F74" i="16"/>
  <c r="E74" i="16"/>
  <c r="D74" i="16"/>
  <c r="C74" i="16"/>
  <c r="B74" i="16"/>
  <c r="M73" i="16"/>
  <c r="L73" i="16"/>
  <c r="K73" i="16"/>
  <c r="J73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I72" i="16"/>
  <c r="H72" i="16"/>
  <c r="G72" i="16"/>
  <c r="F72" i="16"/>
  <c r="E72" i="16"/>
  <c r="D72" i="16"/>
  <c r="C72" i="16"/>
  <c r="B72" i="16"/>
  <c r="AF71" i="16"/>
  <c r="AE71" i="16"/>
  <c r="AD71" i="16"/>
  <c r="AC71" i="16"/>
  <c r="AB71" i="16"/>
  <c r="AA71" i="16"/>
  <c r="Z71" i="16"/>
  <c r="Y71" i="16"/>
  <c r="X71" i="16"/>
  <c r="W71" i="16"/>
  <c r="V71" i="16"/>
  <c r="U71" i="16"/>
  <c r="I71" i="16"/>
  <c r="H71" i="16"/>
  <c r="G71" i="16"/>
  <c r="F71" i="16"/>
  <c r="E71" i="16"/>
  <c r="D71" i="16"/>
  <c r="C71" i="16"/>
  <c r="B71" i="16"/>
  <c r="AF70" i="16"/>
  <c r="AF138" i="16" s="1"/>
  <c r="AE70" i="16"/>
  <c r="AD70" i="16"/>
  <c r="AD138" i="16" s="1"/>
  <c r="AC70" i="16"/>
  <c r="AC138" i="16" s="1"/>
  <c r="AB70" i="16"/>
  <c r="AB138" i="16" s="1"/>
  <c r="AA70" i="16"/>
  <c r="AA138" i="16" s="1"/>
  <c r="Z70" i="16"/>
  <c r="Z138" i="16" s="1"/>
  <c r="Y70" i="16"/>
  <c r="Y138" i="16" s="1"/>
  <c r="X70" i="16"/>
  <c r="W70" i="16"/>
  <c r="V70" i="16"/>
  <c r="U70" i="16"/>
  <c r="U138" i="16" s="1"/>
  <c r="I70" i="16"/>
  <c r="I138" i="16" s="1"/>
  <c r="H70" i="16"/>
  <c r="H138" i="16" s="1"/>
  <c r="G70" i="16"/>
  <c r="G138" i="16" s="1"/>
  <c r="F70" i="16"/>
  <c r="F138" i="16" s="1"/>
  <c r="E70" i="16"/>
  <c r="E138" i="16" s="1"/>
  <c r="D70" i="16"/>
  <c r="C70" i="16"/>
  <c r="C138" i="16" s="1"/>
  <c r="B70" i="16"/>
  <c r="I69" i="16"/>
  <c r="H69" i="16"/>
  <c r="G69" i="16"/>
  <c r="F69" i="16"/>
  <c r="E69" i="16"/>
  <c r="D69" i="16"/>
  <c r="C69" i="16"/>
  <c r="B69" i="16"/>
  <c r="I68" i="16"/>
  <c r="H68" i="16"/>
  <c r="G68" i="16"/>
  <c r="F68" i="16"/>
  <c r="E68" i="16"/>
  <c r="D68" i="16"/>
  <c r="C68" i="16"/>
  <c r="B68" i="16"/>
  <c r="I67" i="16"/>
  <c r="H67" i="16"/>
  <c r="G67" i="16"/>
  <c r="F67" i="16"/>
  <c r="E67" i="16"/>
  <c r="D67" i="16"/>
  <c r="C67" i="16"/>
  <c r="B67" i="16"/>
  <c r="AF62" i="16"/>
  <c r="AE62" i="16"/>
  <c r="AD62" i="16"/>
  <c r="AC62" i="16"/>
  <c r="AB62" i="16"/>
  <c r="AA62" i="16"/>
  <c r="Z62" i="16"/>
  <c r="Y62" i="16"/>
  <c r="X62" i="16"/>
  <c r="W62" i="16"/>
  <c r="V62" i="16"/>
  <c r="U62" i="16"/>
  <c r="I62" i="16"/>
  <c r="H62" i="16"/>
  <c r="G62" i="16"/>
  <c r="F62" i="16"/>
  <c r="E62" i="16"/>
  <c r="D62" i="16"/>
  <c r="C62" i="16"/>
  <c r="B62" i="16"/>
  <c r="M61" i="16"/>
  <c r="L61" i="16"/>
  <c r="K61" i="16"/>
  <c r="J61" i="16"/>
  <c r="AF60" i="16"/>
  <c r="AE60" i="16"/>
  <c r="AD60" i="16"/>
  <c r="AC60" i="16"/>
  <c r="AB60" i="16"/>
  <c r="AA60" i="16"/>
  <c r="Z60" i="16"/>
  <c r="Y60" i="16"/>
  <c r="X60" i="16"/>
  <c r="W60" i="16"/>
  <c r="V60" i="16"/>
  <c r="U60" i="16"/>
  <c r="I60" i="16"/>
  <c r="H60" i="16"/>
  <c r="G60" i="16"/>
  <c r="F60" i="16"/>
  <c r="E60" i="16"/>
  <c r="D60" i="16"/>
  <c r="C60" i="16"/>
  <c r="B60" i="16"/>
  <c r="AF59" i="16"/>
  <c r="AE59" i="16"/>
  <c r="AD59" i="16"/>
  <c r="AC59" i="16"/>
  <c r="AB59" i="16"/>
  <c r="AA59" i="16"/>
  <c r="Z59" i="16"/>
  <c r="Y59" i="16"/>
  <c r="X59" i="16"/>
  <c r="W59" i="16"/>
  <c r="V59" i="16"/>
  <c r="U59" i="16"/>
  <c r="I59" i="16"/>
  <c r="H59" i="16"/>
  <c r="G59" i="16"/>
  <c r="F59" i="16"/>
  <c r="E59" i="16"/>
  <c r="D59" i="16"/>
  <c r="C59" i="16"/>
  <c r="B59" i="16"/>
  <c r="AF58" i="16"/>
  <c r="AE58" i="16"/>
  <c r="AD58" i="16"/>
  <c r="AC58" i="16"/>
  <c r="AB58" i="16"/>
  <c r="AA58" i="16"/>
  <c r="Z58" i="16"/>
  <c r="Y58" i="16"/>
  <c r="X58" i="16"/>
  <c r="W58" i="16"/>
  <c r="V58" i="16"/>
  <c r="U58" i="16"/>
  <c r="I58" i="16"/>
  <c r="H58" i="16"/>
  <c r="G58" i="16"/>
  <c r="F58" i="16"/>
  <c r="E58" i="16"/>
  <c r="D58" i="16"/>
  <c r="C58" i="16"/>
  <c r="B58" i="16"/>
  <c r="AF55" i="16"/>
  <c r="AE55" i="16"/>
  <c r="AD55" i="16"/>
  <c r="AC55" i="16"/>
  <c r="AB55" i="16"/>
  <c r="AA55" i="16"/>
  <c r="Z55" i="16"/>
  <c r="Y55" i="16"/>
  <c r="X55" i="16"/>
  <c r="W55" i="16"/>
  <c r="V55" i="16"/>
  <c r="U55" i="16"/>
  <c r="M55" i="16"/>
  <c r="M56" i="16" s="1"/>
  <c r="L55" i="16"/>
  <c r="L56" i="16" s="1"/>
  <c r="K55" i="16"/>
  <c r="K56" i="16" s="1"/>
  <c r="J55" i="16"/>
  <c r="J56" i="16" s="1"/>
  <c r="AG54" i="16"/>
  <c r="I54" i="16"/>
  <c r="H54" i="16"/>
  <c r="G54" i="16"/>
  <c r="F54" i="16"/>
  <c r="E54" i="16"/>
  <c r="D54" i="16"/>
  <c r="C54" i="16"/>
  <c r="B54" i="16"/>
  <c r="AG53" i="16"/>
  <c r="I53" i="16"/>
  <c r="H53" i="16"/>
  <c r="G53" i="16"/>
  <c r="F53" i="16"/>
  <c r="E53" i="16"/>
  <c r="D53" i="16"/>
  <c r="C53" i="16"/>
  <c r="B53" i="16"/>
  <c r="AG52" i="16"/>
  <c r="I52" i="16"/>
  <c r="H52" i="16"/>
  <c r="G52" i="16"/>
  <c r="F52" i="16"/>
  <c r="E52" i="16"/>
  <c r="D52" i="16"/>
  <c r="C52" i="16"/>
  <c r="B52" i="16"/>
  <c r="AF50" i="16"/>
  <c r="AE50" i="16"/>
  <c r="AD50" i="16"/>
  <c r="AC50" i="16"/>
  <c r="AB50" i="16"/>
  <c r="AA50" i="16"/>
  <c r="Z50" i="16"/>
  <c r="Y50" i="16"/>
  <c r="X50" i="16"/>
  <c r="W50" i="16"/>
  <c r="V50" i="16"/>
  <c r="U50" i="16"/>
  <c r="I50" i="16"/>
  <c r="H50" i="16"/>
  <c r="G50" i="16"/>
  <c r="F50" i="16"/>
  <c r="E50" i="16"/>
  <c r="D50" i="16"/>
  <c r="C50" i="16"/>
  <c r="B50" i="16"/>
  <c r="AF49" i="16"/>
  <c r="AE49" i="16"/>
  <c r="AD49" i="16"/>
  <c r="AC49" i="16"/>
  <c r="AB49" i="16"/>
  <c r="AA49" i="16"/>
  <c r="Z49" i="16"/>
  <c r="Y49" i="16"/>
  <c r="X49" i="16"/>
  <c r="W49" i="16"/>
  <c r="V49" i="16"/>
  <c r="U49" i="16"/>
  <c r="I49" i="16"/>
  <c r="H49" i="16"/>
  <c r="G49" i="16"/>
  <c r="F49" i="16"/>
  <c r="E49" i="16"/>
  <c r="D49" i="16"/>
  <c r="C49" i="16"/>
  <c r="B49" i="16"/>
  <c r="AF48" i="16"/>
  <c r="AE48" i="16"/>
  <c r="AD48" i="16"/>
  <c r="AC48" i="16"/>
  <c r="AB48" i="16"/>
  <c r="AA48" i="16"/>
  <c r="Z48" i="16"/>
  <c r="Y48" i="16"/>
  <c r="X48" i="16"/>
  <c r="W48" i="16"/>
  <c r="V48" i="16"/>
  <c r="U48" i="16"/>
  <c r="I48" i="16"/>
  <c r="H48" i="16"/>
  <c r="G48" i="16"/>
  <c r="F48" i="16"/>
  <c r="E48" i="16"/>
  <c r="D48" i="16"/>
  <c r="C48" i="16"/>
  <c r="B48" i="16"/>
  <c r="AF47" i="16"/>
  <c r="AE47" i="16"/>
  <c r="AD47" i="16"/>
  <c r="AC47" i="16"/>
  <c r="AB47" i="16"/>
  <c r="AA47" i="16"/>
  <c r="Z47" i="16"/>
  <c r="Y47" i="16"/>
  <c r="X47" i="16"/>
  <c r="W47" i="16"/>
  <c r="V47" i="16"/>
  <c r="U47" i="16"/>
  <c r="I47" i="16"/>
  <c r="H47" i="16"/>
  <c r="G47" i="16"/>
  <c r="F47" i="16"/>
  <c r="E47" i="16"/>
  <c r="D47" i="16"/>
  <c r="C47" i="16"/>
  <c r="B47" i="16"/>
  <c r="AF46" i="16"/>
  <c r="AE46" i="16"/>
  <c r="AD46" i="16"/>
  <c r="AC46" i="16"/>
  <c r="AB46" i="16"/>
  <c r="AA46" i="16"/>
  <c r="Z46" i="16"/>
  <c r="Y46" i="16"/>
  <c r="X46" i="16"/>
  <c r="W46" i="16"/>
  <c r="V46" i="16"/>
  <c r="U46" i="16"/>
  <c r="I46" i="16"/>
  <c r="H46" i="16"/>
  <c r="G46" i="16"/>
  <c r="F46" i="16"/>
  <c r="E46" i="16"/>
  <c r="D46" i="16"/>
  <c r="C46" i="16"/>
  <c r="B46" i="16"/>
  <c r="AF45" i="16"/>
  <c r="AE45" i="16"/>
  <c r="AD45" i="16"/>
  <c r="AC45" i="16"/>
  <c r="AB45" i="16"/>
  <c r="AA45" i="16"/>
  <c r="Z45" i="16"/>
  <c r="Y45" i="16"/>
  <c r="X45" i="16"/>
  <c r="W45" i="16"/>
  <c r="V45" i="16"/>
  <c r="U45" i="16"/>
  <c r="I45" i="16"/>
  <c r="H45" i="16"/>
  <c r="G45" i="16"/>
  <c r="F45" i="16"/>
  <c r="E45" i="16"/>
  <c r="D45" i="16"/>
  <c r="C45" i="16"/>
  <c r="B45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I44" i="16"/>
  <c r="H44" i="16"/>
  <c r="G44" i="16"/>
  <c r="F44" i="16"/>
  <c r="E44" i="16"/>
  <c r="D44" i="16"/>
  <c r="C44" i="16"/>
  <c r="B44" i="16"/>
  <c r="AF42" i="16"/>
  <c r="AE42" i="16"/>
  <c r="AD42" i="16"/>
  <c r="AC42" i="16"/>
  <c r="AB42" i="16"/>
  <c r="AA42" i="16"/>
  <c r="Z42" i="16"/>
  <c r="Y42" i="16"/>
  <c r="X42" i="16"/>
  <c r="W42" i="16"/>
  <c r="V42" i="16"/>
  <c r="U42" i="16"/>
  <c r="I42" i="16"/>
  <c r="H42" i="16"/>
  <c r="G42" i="16"/>
  <c r="F42" i="16"/>
  <c r="E42" i="16"/>
  <c r="D42" i="16"/>
  <c r="C42" i="16"/>
  <c r="B42" i="16"/>
  <c r="AF41" i="16"/>
  <c r="AE41" i="16"/>
  <c r="AD41" i="16"/>
  <c r="AC41" i="16"/>
  <c r="AB41" i="16"/>
  <c r="AA41" i="16"/>
  <c r="Z41" i="16"/>
  <c r="Y41" i="16"/>
  <c r="X41" i="16"/>
  <c r="W41" i="16"/>
  <c r="V41" i="16"/>
  <c r="U41" i="16"/>
  <c r="I41" i="16"/>
  <c r="H41" i="16"/>
  <c r="G41" i="16"/>
  <c r="F41" i="16"/>
  <c r="E41" i="16"/>
  <c r="D41" i="16"/>
  <c r="C41" i="16"/>
  <c r="B41" i="16"/>
  <c r="AF40" i="16"/>
  <c r="AE40" i="16"/>
  <c r="AD40" i="16"/>
  <c r="AC40" i="16"/>
  <c r="AB40" i="16"/>
  <c r="AA40" i="16"/>
  <c r="Z40" i="16"/>
  <c r="Y40" i="16"/>
  <c r="X40" i="16"/>
  <c r="W40" i="16"/>
  <c r="V40" i="16"/>
  <c r="U40" i="16"/>
  <c r="I40" i="16"/>
  <c r="H40" i="16"/>
  <c r="G40" i="16"/>
  <c r="F40" i="16"/>
  <c r="E40" i="16"/>
  <c r="D40" i="16"/>
  <c r="C40" i="16"/>
  <c r="B40" i="16"/>
  <c r="AF39" i="16"/>
  <c r="AE39" i="16"/>
  <c r="AD39" i="16"/>
  <c r="AC39" i="16"/>
  <c r="AB39" i="16"/>
  <c r="AA39" i="16"/>
  <c r="Z39" i="16"/>
  <c r="Y39" i="16"/>
  <c r="X39" i="16"/>
  <c r="W39" i="16"/>
  <c r="V39" i="16"/>
  <c r="U39" i="16"/>
  <c r="I39" i="16"/>
  <c r="H39" i="16"/>
  <c r="G39" i="16"/>
  <c r="F39" i="16"/>
  <c r="E39" i="16"/>
  <c r="D39" i="16"/>
  <c r="C39" i="16"/>
  <c r="B39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I38" i="16"/>
  <c r="H38" i="16"/>
  <c r="G38" i="16"/>
  <c r="F38" i="16"/>
  <c r="E38" i="16"/>
  <c r="D38" i="16"/>
  <c r="C38" i="16"/>
  <c r="B38" i="16"/>
  <c r="AF36" i="16"/>
  <c r="AE36" i="16"/>
  <c r="AD36" i="16"/>
  <c r="AC36" i="16"/>
  <c r="AB36" i="16"/>
  <c r="AA36" i="16"/>
  <c r="Z36" i="16"/>
  <c r="Y36" i="16"/>
  <c r="X36" i="16"/>
  <c r="W36" i="16"/>
  <c r="V36" i="16"/>
  <c r="U36" i="16"/>
  <c r="M36" i="16"/>
  <c r="L36" i="16"/>
  <c r="K36" i="16"/>
  <c r="J36" i="16"/>
  <c r="AG35" i="16"/>
  <c r="I35" i="16"/>
  <c r="H35" i="16"/>
  <c r="G35" i="16"/>
  <c r="F35" i="16"/>
  <c r="E35" i="16"/>
  <c r="D35" i="16"/>
  <c r="C35" i="16"/>
  <c r="B35" i="16"/>
  <c r="AG34" i="16"/>
  <c r="I34" i="16"/>
  <c r="H34" i="16"/>
  <c r="G34" i="16"/>
  <c r="F34" i="16"/>
  <c r="E34" i="16"/>
  <c r="D34" i="16"/>
  <c r="C34" i="16"/>
  <c r="B34" i="16"/>
  <c r="AG33" i="16"/>
  <c r="I33" i="16"/>
  <c r="H33" i="16"/>
  <c r="G33" i="16"/>
  <c r="F33" i="16"/>
  <c r="E33" i="16"/>
  <c r="D33" i="16"/>
  <c r="C33" i="16"/>
  <c r="B33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I31" i="16"/>
  <c r="H31" i="16"/>
  <c r="G31" i="16"/>
  <c r="F31" i="16"/>
  <c r="E31" i="16"/>
  <c r="D31" i="16"/>
  <c r="C31" i="16"/>
  <c r="B31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I30" i="16"/>
  <c r="H30" i="16"/>
  <c r="G30" i="16"/>
  <c r="F30" i="16"/>
  <c r="E30" i="16"/>
  <c r="D30" i="16"/>
  <c r="C30" i="16"/>
  <c r="B30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I29" i="16"/>
  <c r="H29" i="16"/>
  <c r="G29" i="16"/>
  <c r="F29" i="16"/>
  <c r="E29" i="16"/>
  <c r="D29" i="16"/>
  <c r="C29" i="16"/>
  <c r="B29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I28" i="16"/>
  <c r="H28" i="16"/>
  <c r="G28" i="16"/>
  <c r="F28" i="16"/>
  <c r="E28" i="16"/>
  <c r="D28" i="16"/>
  <c r="C28" i="16"/>
  <c r="B28" i="16"/>
  <c r="M27" i="16"/>
  <c r="L27" i="16"/>
  <c r="K27" i="16"/>
  <c r="J27" i="16"/>
  <c r="AF26" i="16"/>
  <c r="AE26" i="16"/>
  <c r="AD26" i="16"/>
  <c r="AC26" i="16"/>
  <c r="AB26" i="16"/>
  <c r="AA26" i="16"/>
  <c r="Z26" i="16"/>
  <c r="Y26" i="16"/>
  <c r="X26" i="16"/>
  <c r="W26" i="16"/>
  <c r="V26" i="16"/>
  <c r="U26" i="16"/>
  <c r="I26" i="16"/>
  <c r="H26" i="16"/>
  <c r="G26" i="16"/>
  <c r="F26" i="16"/>
  <c r="E26" i="16"/>
  <c r="D26" i="16"/>
  <c r="C26" i="16"/>
  <c r="B26" i="16"/>
  <c r="AF25" i="16"/>
  <c r="AE25" i="16"/>
  <c r="AD25" i="16"/>
  <c r="AC25" i="16"/>
  <c r="AB25" i="16"/>
  <c r="AA25" i="16"/>
  <c r="Z25" i="16"/>
  <c r="Y25" i="16"/>
  <c r="X25" i="16"/>
  <c r="W25" i="16"/>
  <c r="V25" i="16"/>
  <c r="U25" i="16"/>
  <c r="I25" i="16"/>
  <c r="H25" i="16"/>
  <c r="G25" i="16"/>
  <c r="F25" i="16"/>
  <c r="E25" i="16"/>
  <c r="D25" i="16"/>
  <c r="C25" i="16"/>
  <c r="B25" i="16"/>
  <c r="AF24" i="16"/>
  <c r="AE24" i="16"/>
  <c r="AD24" i="16"/>
  <c r="AC24" i="16"/>
  <c r="AB24" i="16"/>
  <c r="AA24" i="16"/>
  <c r="Z24" i="16"/>
  <c r="Y24" i="16"/>
  <c r="X24" i="16"/>
  <c r="W24" i="16"/>
  <c r="V24" i="16"/>
  <c r="U24" i="16"/>
  <c r="I24" i="16"/>
  <c r="H24" i="16"/>
  <c r="G24" i="16"/>
  <c r="F24" i="16"/>
  <c r="E24" i="16"/>
  <c r="D24" i="16"/>
  <c r="C24" i="16"/>
  <c r="B24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I22" i="16"/>
  <c r="H22" i="16"/>
  <c r="G22" i="16"/>
  <c r="F22" i="16"/>
  <c r="E22" i="16"/>
  <c r="D22" i="16"/>
  <c r="C22" i="16"/>
  <c r="B22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I21" i="16"/>
  <c r="H21" i="16"/>
  <c r="G21" i="16"/>
  <c r="F21" i="16"/>
  <c r="E21" i="16"/>
  <c r="D21" i="16"/>
  <c r="C21" i="16"/>
  <c r="B21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I20" i="16"/>
  <c r="H20" i="16"/>
  <c r="G20" i="16"/>
  <c r="F20" i="16"/>
  <c r="E20" i="16"/>
  <c r="D20" i="16"/>
  <c r="C20" i="16"/>
  <c r="B20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I19" i="16"/>
  <c r="H19" i="16"/>
  <c r="G19" i="16"/>
  <c r="F19" i="16"/>
  <c r="E19" i="16"/>
  <c r="D19" i="16"/>
  <c r="C19" i="16"/>
  <c r="B19" i="16"/>
  <c r="AF15" i="16"/>
  <c r="AE15" i="16"/>
  <c r="AD15" i="16"/>
  <c r="AC15" i="16"/>
  <c r="AB15" i="16"/>
  <c r="AA15" i="16"/>
  <c r="Z15" i="16"/>
  <c r="Y15" i="16"/>
  <c r="X15" i="16"/>
  <c r="W15" i="16"/>
  <c r="V15" i="16"/>
  <c r="U15" i="16"/>
  <c r="I15" i="16"/>
  <c r="H15" i="16"/>
  <c r="G15" i="16"/>
  <c r="F15" i="16"/>
  <c r="E15" i="16"/>
  <c r="D15" i="16"/>
  <c r="C15" i="16"/>
  <c r="B15" i="16"/>
  <c r="M14" i="16"/>
  <c r="M16" i="16" s="1"/>
  <c r="L14" i="16"/>
  <c r="L16" i="16" s="1"/>
  <c r="K14" i="16"/>
  <c r="K16" i="16" s="1"/>
  <c r="J14" i="16"/>
  <c r="J16" i="16" s="1"/>
  <c r="AF13" i="16"/>
  <c r="AE13" i="16"/>
  <c r="AD13" i="16"/>
  <c r="AC13" i="16"/>
  <c r="AB13" i="16"/>
  <c r="AA13" i="16"/>
  <c r="Z13" i="16"/>
  <c r="Y13" i="16"/>
  <c r="X13" i="16"/>
  <c r="W13" i="16"/>
  <c r="V13" i="16"/>
  <c r="U13" i="16"/>
  <c r="I13" i="16"/>
  <c r="H13" i="16"/>
  <c r="G13" i="16"/>
  <c r="F13" i="16"/>
  <c r="E13" i="16"/>
  <c r="D13" i="16"/>
  <c r="C13" i="16"/>
  <c r="B13" i="16"/>
  <c r="AF12" i="16"/>
  <c r="AE12" i="16"/>
  <c r="AD12" i="16"/>
  <c r="AC12" i="16"/>
  <c r="AB12" i="16"/>
  <c r="AA12" i="16"/>
  <c r="Z12" i="16"/>
  <c r="Y12" i="16"/>
  <c r="X12" i="16"/>
  <c r="W12" i="16"/>
  <c r="V12" i="16"/>
  <c r="U12" i="16"/>
  <c r="I12" i="16"/>
  <c r="H12" i="16"/>
  <c r="G12" i="16"/>
  <c r="F12" i="16"/>
  <c r="E12" i="16"/>
  <c r="D12" i="16"/>
  <c r="C12" i="16"/>
  <c r="B12" i="16"/>
  <c r="M140" i="15"/>
  <c r="L140" i="15"/>
  <c r="K140" i="15"/>
  <c r="J140" i="15"/>
  <c r="M139" i="15"/>
  <c r="L139" i="15"/>
  <c r="K139" i="15"/>
  <c r="J139" i="15"/>
  <c r="M138" i="15"/>
  <c r="L138" i="15"/>
  <c r="K138" i="15"/>
  <c r="J138" i="15"/>
  <c r="M137" i="15"/>
  <c r="L137" i="15"/>
  <c r="K137" i="15"/>
  <c r="J137" i="15"/>
  <c r="M130" i="15"/>
  <c r="L130" i="15"/>
  <c r="K130" i="15"/>
  <c r="J130" i="15"/>
  <c r="AF129" i="15"/>
  <c r="AE129" i="15"/>
  <c r="AD129" i="15"/>
  <c r="AC129" i="15"/>
  <c r="AB129" i="15"/>
  <c r="AA129" i="15"/>
  <c r="Z129" i="15"/>
  <c r="Y129" i="15"/>
  <c r="X129" i="15"/>
  <c r="W129" i="15"/>
  <c r="V129" i="15"/>
  <c r="U129" i="15"/>
  <c r="I129" i="15"/>
  <c r="H129" i="15"/>
  <c r="G129" i="15"/>
  <c r="F129" i="15"/>
  <c r="E129" i="15"/>
  <c r="D129" i="15"/>
  <c r="C129" i="15"/>
  <c r="B129" i="15"/>
  <c r="AF128" i="15"/>
  <c r="AE128" i="15"/>
  <c r="AD128" i="15"/>
  <c r="AC128" i="15"/>
  <c r="AB128" i="15"/>
  <c r="AA128" i="15"/>
  <c r="Z128" i="15"/>
  <c r="Y128" i="15"/>
  <c r="X128" i="15"/>
  <c r="W128" i="15"/>
  <c r="V128" i="15"/>
  <c r="U128" i="15"/>
  <c r="I128" i="15"/>
  <c r="H128" i="15"/>
  <c r="G128" i="15"/>
  <c r="F128" i="15"/>
  <c r="E128" i="15"/>
  <c r="D128" i="15"/>
  <c r="C128" i="15"/>
  <c r="B128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I127" i="15"/>
  <c r="H127" i="15"/>
  <c r="G127" i="15"/>
  <c r="F127" i="15"/>
  <c r="E127" i="15"/>
  <c r="D127" i="15"/>
  <c r="C127" i="15"/>
  <c r="B127" i="15"/>
  <c r="AF126" i="15"/>
  <c r="AE126" i="15"/>
  <c r="AD126" i="15"/>
  <c r="AC126" i="15"/>
  <c r="AB126" i="15"/>
  <c r="AA126" i="15"/>
  <c r="Z126" i="15"/>
  <c r="Y126" i="15"/>
  <c r="X126" i="15"/>
  <c r="W126" i="15"/>
  <c r="V126" i="15"/>
  <c r="U126" i="15"/>
  <c r="I126" i="15"/>
  <c r="H126" i="15"/>
  <c r="G126" i="15"/>
  <c r="F126" i="15"/>
  <c r="E126" i="15"/>
  <c r="D126" i="15"/>
  <c r="C126" i="15"/>
  <c r="B126" i="15"/>
  <c r="AF125" i="15"/>
  <c r="AE125" i="15"/>
  <c r="AD125" i="15"/>
  <c r="AC125" i="15"/>
  <c r="AB125" i="15"/>
  <c r="AA125" i="15"/>
  <c r="Z125" i="15"/>
  <c r="Y125" i="15"/>
  <c r="X125" i="15"/>
  <c r="W125" i="15"/>
  <c r="V125" i="15"/>
  <c r="U125" i="15"/>
  <c r="I125" i="15"/>
  <c r="H125" i="15"/>
  <c r="G125" i="15"/>
  <c r="F125" i="15"/>
  <c r="E125" i="15"/>
  <c r="D125" i="15"/>
  <c r="C125" i="15"/>
  <c r="B125" i="15"/>
  <c r="AF124" i="15"/>
  <c r="AE124" i="15"/>
  <c r="AD124" i="15"/>
  <c r="AC124" i="15"/>
  <c r="AB124" i="15"/>
  <c r="AA124" i="15"/>
  <c r="Z124" i="15"/>
  <c r="Y124" i="15"/>
  <c r="X124" i="15"/>
  <c r="W124" i="15"/>
  <c r="V124" i="15"/>
  <c r="U124" i="15"/>
  <c r="I124" i="15"/>
  <c r="H124" i="15"/>
  <c r="G124" i="15"/>
  <c r="F124" i="15"/>
  <c r="E124" i="15"/>
  <c r="D124" i="15"/>
  <c r="C124" i="15"/>
  <c r="B124" i="15"/>
  <c r="M122" i="15"/>
  <c r="L122" i="15"/>
  <c r="K122" i="15"/>
  <c r="J122" i="15"/>
  <c r="AF121" i="15"/>
  <c r="AE121" i="15"/>
  <c r="AD121" i="15"/>
  <c r="AC121" i="15"/>
  <c r="AB121" i="15"/>
  <c r="AA121" i="15"/>
  <c r="Z121" i="15"/>
  <c r="Y121" i="15"/>
  <c r="X121" i="15"/>
  <c r="W121" i="15"/>
  <c r="V121" i="15"/>
  <c r="U121" i="15"/>
  <c r="I121" i="15"/>
  <c r="H121" i="15"/>
  <c r="G121" i="15"/>
  <c r="F121" i="15"/>
  <c r="E121" i="15"/>
  <c r="D121" i="15"/>
  <c r="C121" i="15"/>
  <c r="B121" i="15"/>
  <c r="AF120" i="15"/>
  <c r="AE120" i="15"/>
  <c r="AD120" i="15"/>
  <c r="AC120" i="15"/>
  <c r="AB120" i="15"/>
  <c r="AA120" i="15"/>
  <c r="Z120" i="15"/>
  <c r="Y120" i="15"/>
  <c r="X120" i="15"/>
  <c r="W120" i="15"/>
  <c r="V120" i="15"/>
  <c r="U120" i="15"/>
  <c r="I120" i="15"/>
  <c r="H120" i="15"/>
  <c r="G120" i="15"/>
  <c r="F120" i="15"/>
  <c r="E120" i="15"/>
  <c r="D120" i="15"/>
  <c r="C120" i="15"/>
  <c r="B120" i="15"/>
  <c r="AF115" i="15"/>
  <c r="AE115" i="15"/>
  <c r="AD115" i="15"/>
  <c r="AC115" i="15"/>
  <c r="AB115" i="15"/>
  <c r="AA115" i="15"/>
  <c r="Z115" i="15"/>
  <c r="Y115" i="15"/>
  <c r="X115" i="15"/>
  <c r="W115" i="15"/>
  <c r="V115" i="15"/>
  <c r="U115" i="15"/>
  <c r="I115" i="15"/>
  <c r="H115" i="15"/>
  <c r="G115" i="15"/>
  <c r="F115" i="15"/>
  <c r="E115" i="15"/>
  <c r="D115" i="15"/>
  <c r="C115" i="15"/>
  <c r="B115" i="15"/>
  <c r="AF114" i="15"/>
  <c r="AE114" i="15"/>
  <c r="AD114" i="15"/>
  <c r="AC114" i="15"/>
  <c r="AB114" i="15"/>
  <c r="AA114" i="15"/>
  <c r="Z114" i="15"/>
  <c r="Y114" i="15"/>
  <c r="X114" i="15"/>
  <c r="W114" i="15"/>
  <c r="V114" i="15"/>
  <c r="U114" i="15"/>
  <c r="I114" i="15"/>
  <c r="H114" i="15"/>
  <c r="G114" i="15"/>
  <c r="F114" i="15"/>
  <c r="E114" i="15"/>
  <c r="D114" i="15"/>
  <c r="C114" i="15"/>
  <c r="B114" i="15"/>
  <c r="AF113" i="15"/>
  <c r="AE113" i="15"/>
  <c r="AD113" i="15"/>
  <c r="AC113" i="15"/>
  <c r="AB113" i="15"/>
  <c r="AA113" i="15"/>
  <c r="Z113" i="15"/>
  <c r="Y113" i="15"/>
  <c r="X113" i="15"/>
  <c r="W113" i="15"/>
  <c r="V113" i="15"/>
  <c r="U113" i="15"/>
  <c r="I113" i="15"/>
  <c r="H113" i="15"/>
  <c r="G113" i="15"/>
  <c r="F113" i="15"/>
  <c r="E113" i="15"/>
  <c r="D113" i="15"/>
  <c r="C113" i="15"/>
  <c r="B113" i="15"/>
  <c r="AF112" i="15"/>
  <c r="AE112" i="15"/>
  <c r="AD112" i="15"/>
  <c r="AC112" i="15"/>
  <c r="AB112" i="15"/>
  <c r="AA112" i="15"/>
  <c r="Z112" i="15"/>
  <c r="Y112" i="15"/>
  <c r="X112" i="15"/>
  <c r="W112" i="15"/>
  <c r="V112" i="15"/>
  <c r="U112" i="15"/>
  <c r="I112" i="15"/>
  <c r="H112" i="15"/>
  <c r="G112" i="15"/>
  <c r="F112" i="15"/>
  <c r="E112" i="15"/>
  <c r="D112" i="15"/>
  <c r="C112" i="15"/>
  <c r="B112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I111" i="15"/>
  <c r="H111" i="15"/>
  <c r="G111" i="15"/>
  <c r="F111" i="15"/>
  <c r="E111" i="15"/>
  <c r="D111" i="15"/>
  <c r="C111" i="15"/>
  <c r="B111" i="15"/>
  <c r="AF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I110" i="15"/>
  <c r="H110" i="15"/>
  <c r="G110" i="15"/>
  <c r="F110" i="15"/>
  <c r="E110" i="15"/>
  <c r="D110" i="15"/>
  <c r="C110" i="15"/>
  <c r="B110" i="15"/>
  <c r="AF109" i="15"/>
  <c r="AE109" i="15"/>
  <c r="AD109" i="15"/>
  <c r="AC109" i="15"/>
  <c r="AB109" i="15"/>
  <c r="AA109" i="15"/>
  <c r="Z109" i="15"/>
  <c r="Y109" i="15"/>
  <c r="X109" i="15"/>
  <c r="W109" i="15"/>
  <c r="V109" i="15"/>
  <c r="U109" i="15"/>
  <c r="I109" i="15"/>
  <c r="H109" i="15"/>
  <c r="G109" i="15"/>
  <c r="F109" i="15"/>
  <c r="E109" i="15"/>
  <c r="D109" i="15"/>
  <c r="C109" i="15"/>
  <c r="B109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I108" i="15"/>
  <c r="H108" i="15"/>
  <c r="G108" i="15"/>
  <c r="F108" i="15"/>
  <c r="E108" i="15"/>
  <c r="D108" i="15"/>
  <c r="C108" i="15"/>
  <c r="B108" i="15"/>
  <c r="AF107" i="15"/>
  <c r="AE107" i="15"/>
  <c r="AD107" i="15"/>
  <c r="AC107" i="15"/>
  <c r="AB107" i="15"/>
  <c r="AA107" i="15"/>
  <c r="Z107" i="15"/>
  <c r="Y107" i="15"/>
  <c r="X107" i="15"/>
  <c r="W107" i="15"/>
  <c r="V107" i="15"/>
  <c r="U107" i="15"/>
  <c r="I107" i="15"/>
  <c r="H107" i="15"/>
  <c r="G107" i="15"/>
  <c r="F107" i="15"/>
  <c r="E107" i="15"/>
  <c r="D107" i="15"/>
  <c r="C107" i="15"/>
  <c r="B107" i="15"/>
  <c r="AF106" i="15"/>
  <c r="AE106" i="15"/>
  <c r="AD106" i="15"/>
  <c r="AC106" i="15"/>
  <c r="AB106" i="15"/>
  <c r="AA106" i="15"/>
  <c r="Z106" i="15"/>
  <c r="Y106" i="15"/>
  <c r="X106" i="15"/>
  <c r="W106" i="15"/>
  <c r="V106" i="15"/>
  <c r="U106" i="15"/>
  <c r="I106" i="15"/>
  <c r="H106" i="15"/>
  <c r="G106" i="15"/>
  <c r="F106" i="15"/>
  <c r="E106" i="15"/>
  <c r="D106" i="15"/>
  <c r="C106" i="15"/>
  <c r="B106" i="15"/>
  <c r="AF105" i="15"/>
  <c r="AE105" i="15"/>
  <c r="AD105" i="15"/>
  <c r="AC105" i="15"/>
  <c r="AB105" i="15"/>
  <c r="AA105" i="15"/>
  <c r="Z105" i="15"/>
  <c r="Y105" i="15"/>
  <c r="X105" i="15"/>
  <c r="W105" i="15"/>
  <c r="V105" i="15"/>
  <c r="U105" i="15"/>
  <c r="I105" i="15"/>
  <c r="H105" i="15"/>
  <c r="G105" i="15"/>
  <c r="F105" i="15"/>
  <c r="E105" i="15"/>
  <c r="D105" i="15"/>
  <c r="C105" i="15"/>
  <c r="B105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I104" i="15"/>
  <c r="H104" i="15"/>
  <c r="G104" i="15"/>
  <c r="F104" i="15"/>
  <c r="E104" i="15"/>
  <c r="D104" i="15"/>
  <c r="C104" i="15"/>
  <c r="B104" i="15"/>
  <c r="AF103" i="15"/>
  <c r="AE103" i="15"/>
  <c r="AD103" i="15"/>
  <c r="AC103" i="15"/>
  <c r="AB103" i="15"/>
  <c r="AA103" i="15"/>
  <c r="Z103" i="15"/>
  <c r="Y103" i="15"/>
  <c r="X103" i="15"/>
  <c r="W103" i="15"/>
  <c r="V103" i="15"/>
  <c r="U103" i="15"/>
  <c r="I103" i="15"/>
  <c r="H103" i="15"/>
  <c r="G103" i="15"/>
  <c r="F103" i="15"/>
  <c r="E103" i="15"/>
  <c r="D103" i="15"/>
  <c r="C103" i="15"/>
  <c r="B103" i="15"/>
  <c r="AF102" i="15"/>
  <c r="AE102" i="15"/>
  <c r="AD102" i="15"/>
  <c r="AC102" i="15"/>
  <c r="AB102" i="15"/>
  <c r="AA102" i="15"/>
  <c r="Z102" i="15"/>
  <c r="Y102" i="15"/>
  <c r="X102" i="15"/>
  <c r="W102" i="15"/>
  <c r="V102" i="15"/>
  <c r="U102" i="15"/>
  <c r="I102" i="15"/>
  <c r="H102" i="15"/>
  <c r="G102" i="15"/>
  <c r="F102" i="15"/>
  <c r="E102" i="15"/>
  <c r="D102" i="15"/>
  <c r="C102" i="15"/>
  <c r="B102" i="15"/>
  <c r="AF101" i="15"/>
  <c r="AE101" i="15"/>
  <c r="AD101" i="15"/>
  <c r="AC101" i="15"/>
  <c r="AB101" i="15"/>
  <c r="AA101" i="15"/>
  <c r="Z101" i="15"/>
  <c r="Y101" i="15"/>
  <c r="X101" i="15"/>
  <c r="W101" i="15"/>
  <c r="V101" i="15"/>
  <c r="U101" i="15"/>
  <c r="I101" i="15"/>
  <c r="H101" i="15"/>
  <c r="G101" i="15"/>
  <c r="F101" i="15"/>
  <c r="E101" i="15"/>
  <c r="D101" i="15"/>
  <c r="C101" i="15"/>
  <c r="B101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I100" i="15"/>
  <c r="H100" i="15"/>
  <c r="G100" i="15"/>
  <c r="F100" i="15"/>
  <c r="E100" i="15"/>
  <c r="D100" i="15"/>
  <c r="C100" i="15"/>
  <c r="B100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I99" i="15"/>
  <c r="H99" i="15"/>
  <c r="G99" i="15"/>
  <c r="F99" i="15"/>
  <c r="E99" i="15"/>
  <c r="D99" i="15"/>
  <c r="C99" i="15"/>
  <c r="B99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I98" i="15"/>
  <c r="H98" i="15"/>
  <c r="G98" i="15"/>
  <c r="F98" i="15"/>
  <c r="E98" i="15"/>
  <c r="D98" i="15"/>
  <c r="C98" i="15"/>
  <c r="B98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I97" i="15"/>
  <c r="H97" i="15"/>
  <c r="G97" i="15"/>
  <c r="F97" i="15"/>
  <c r="E97" i="15"/>
  <c r="D97" i="15"/>
  <c r="C97" i="15"/>
  <c r="B97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I96" i="15"/>
  <c r="H96" i="15"/>
  <c r="G96" i="15"/>
  <c r="F96" i="15"/>
  <c r="E96" i="15"/>
  <c r="D96" i="15"/>
  <c r="C96" i="15"/>
  <c r="B96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I95" i="15"/>
  <c r="H95" i="15"/>
  <c r="G95" i="15"/>
  <c r="F95" i="15"/>
  <c r="E95" i="15"/>
  <c r="D95" i="15"/>
  <c r="C95" i="15"/>
  <c r="B95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I94" i="15"/>
  <c r="H94" i="15"/>
  <c r="G94" i="15"/>
  <c r="F94" i="15"/>
  <c r="E94" i="15"/>
  <c r="D94" i="15"/>
  <c r="C94" i="15"/>
  <c r="B94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I93" i="15"/>
  <c r="H93" i="15"/>
  <c r="G93" i="15"/>
  <c r="F93" i="15"/>
  <c r="E93" i="15"/>
  <c r="D93" i="15"/>
  <c r="C93" i="15"/>
  <c r="B93" i="15"/>
  <c r="AF92" i="15"/>
  <c r="AE92" i="15"/>
  <c r="AD92" i="15"/>
  <c r="AC92" i="15"/>
  <c r="AB92" i="15"/>
  <c r="AA92" i="15"/>
  <c r="Z92" i="15"/>
  <c r="Y92" i="15"/>
  <c r="X92" i="15"/>
  <c r="W92" i="15"/>
  <c r="V92" i="15"/>
  <c r="U92" i="15"/>
  <c r="I92" i="15"/>
  <c r="H92" i="15"/>
  <c r="G92" i="15"/>
  <c r="F92" i="15"/>
  <c r="E92" i="15"/>
  <c r="D92" i="15"/>
  <c r="C92" i="15"/>
  <c r="B92" i="15"/>
  <c r="AF91" i="15"/>
  <c r="AE91" i="15"/>
  <c r="AD91" i="15"/>
  <c r="AC91" i="15"/>
  <c r="AB91" i="15"/>
  <c r="AA91" i="15"/>
  <c r="Z91" i="15"/>
  <c r="Y91" i="15"/>
  <c r="X91" i="15"/>
  <c r="W91" i="15"/>
  <c r="V91" i="15"/>
  <c r="U91" i="15"/>
  <c r="I91" i="15"/>
  <c r="H91" i="15"/>
  <c r="G91" i="15"/>
  <c r="F91" i="15"/>
  <c r="E91" i="15"/>
  <c r="D91" i="15"/>
  <c r="C91" i="15"/>
  <c r="B91" i="15"/>
  <c r="AF90" i="15"/>
  <c r="AE90" i="15"/>
  <c r="AD90" i="15"/>
  <c r="AC90" i="15"/>
  <c r="AB90" i="15"/>
  <c r="AA90" i="15"/>
  <c r="Z90" i="15"/>
  <c r="Y90" i="15"/>
  <c r="X90" i="15"/>
  <c r="W90" i="15"/>
  <c r="V90" i="15"/>
  <c r="U90" i="15"/>
  <c r="I90" i="15"/>
  <c r="H90" i="15"/>
  <c r="G90" i="15"/>
  <c r="F90" i="15"/>
  <c r="E90" i="15"/>
  <c r="D90" i="15"/>
  <c r="C90" i="15"/>
  <c r="B90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I89" i="15"/>
  <c r="H89" i="15"/>
  <c r="G89" i="15"/>
  <c r="F89" i="15"/>
  <c r="E89" i="15"/>
  <c r="D89" i="15"/>
  <c r="C89" i="15"/>
  <c r="B89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I88" i="15"/>
  <c r="H88" i="15"/>
  <c r="G88" i="15"/>
  <c r="F88" i="15"/>
  <c r="E88" i="15"/>
  <c r="D88" i="15"/>
  <c r="C88" i="15"/>
  <c r="B88" i="15"/>
  <c r="M87" i="15"/>
  <c r="L87" i="15"/>
  <c r="K87" i="15"/>
  <c r="J87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I86" i="15"/>
  <c r="H86" i="15"/>
  <c r="G86" i="15"/>
  <c r="F86" i="15"/>
  <c r="E86" i="15"/>
  <c r="D86" i="15"/>
  <c r="C86" i="15"/>
  <c r="B86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I85" i="15"/>
  <c r="H85" i="15"/>
  <c r="G85" i="15"/>
  <c r="F85" i="15"/>
  <c r="E85" i="15"/>
  <c r="D85" i="15"/>
  <c r="C85" i="15"/>
  <c r="B85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I84" i="15"/>
  <c r="H84" i="15"/>
  <c r="G84" i="15"/>
  <c r="F84" i="15"/>
  <c r="E84" i="15"/>
  <c r="D84" i="15"/>
  <c r="C84" i="15"/>
  <c r="B84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I83" i="15"/>
  <c r="H83" i="15"/>
  <c r="G83" i="15"/>
  <c r="F83" i="15"/>
  <c r="E83" i="15"/>
  <c r="D83" i="15"/>
  <c r="C83" i="15"/>
  <c r="B83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I82" i="15"/>
  <c r="H82" i="15"/>
  <c r="G82" i="15"/>
  <c r="F82" i="15"/>
  <c r="E82" i="15"/>
  <c r="D82" i="15"/>
  <c r="C82" i="15"/>
  <c r="B82" i="15"/>
  <c r="AF80" i="15"/>
  <c r="AE80" i="15"/>
  <c r="AD80" i="15"/>
  <c r="AC80" i="15"/>
  <c r="AB80" i="15"/>
  <c r="AA80" i="15"/>
  <c r="Z80" i="15"/>
  <c r="Y80" i="15"/>
  <c r="X80" i="15"/>
  <c r="W80" i="15"/>
  <c r="V80" i="15"/>
  <c r="U80" i="15"/>
  <c r="I80" i="15"/>
  <c r="H80" i="15"/>
  <c r="G80" i="15"/>
  <c r="F80" i="15"/>
  <c r="E80" i="15"/>
  <c r="D80" i="15"/>
  <c r="C80" i="15"/>
  <c r="B80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I79" i="15"/>
  <c r="H79" i="15"/>
  <c r="G79" i="15"/>
  <c r="F79" i="15"/>
  <c r="E79" i="15"/>
  <c r="D79" i="15"/>
  <c r="C79" i="15"/>
  <c r="B79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I78" i="15"/>
  <c r="H78" i="15"/>
  <c r="G78" i="15"/>
  <c r="F78" i="15"/>
  <c r="E78" i="15"/>
  <c r="D78" i="15"/>
  <c r="C78" i="15"/>
  <c r="B78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I77" i="15"/>
  <c r="H77" i="15"/>
  <c r="G77" i="15"/>
  <c r="F77" i="15"/>
  <c r="E77" i="15"/>
  <c r="D77" i="15"/>
  <c r="C77" i="15"/>
  <c r="B77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I76" i="15"/>
  <c r="H76" i="15"/>
  <c r="G76" i="15"/>
  <c r="F76" i="15"/>
  <c r="E76" i="15"/>
  <c r="D76" i="15"/>
  <c r="C76" i="15"/>
  <c r="B76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I75" i="15"/>
  <c r="H75" i="15"/>
  <c r="G75" i="15"/>
  <c r="F75" i="15"/>
  <c r="E75" i="15"/>
  <c r="D75" i="15"/>
  <c r="C75" i="15"/>
  <c r="B75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I74" i="15"/>
  <c r="H74" i="15"/>
  <c r="G74" i="15"/>
  <c r="F74" i="15"/>
  <c r="E74" i="15"/>
  <c r="D74" i="15"/>
  <c r="C74" i="15"/>
  <c r="B74" i="15"/>
  <c r="M73" i="15"/>
  <c r="L73" i="15"/>
  <c r="K73" i="15"/>
  <c r="J73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I72" i="15"/>
  <c r="H72" i="15"/>
  <c r="G72" i="15"/>
  <c r="F72" i="15"/>
  <c r="E72" i="15"/>
  <c r="D72" i="15"/>
  <c r="C72" i="15"/>
  <c r="B72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I71" i="15"/>
  <c r="H71" i="15"/>
  <c r="G71" i="15"/>
  <c r="F71" i="15"/>
  <c r="E71" i="15"/>
  <c r="D71" i="15"/>
  <c r="C71" i="15"/>
  <c r="B71" i="15"/>
  <c r="AF70" i="15"/>
  <c r="AE70" i="15"/>
  <c r="AD70" i="15"/>
  <c r="AC70" i="15"/>
  <c r="AB70" i="15"/>
  <c r="AA70" i="15"/>
  <c r="Z70" i="15"/>
  <c r="Z138" i="15" s="1"/>
  <c r="Y70" i="15"/>
  <c r="Y138" i="15" s="1"/>
  <c r="X70" i="15"/>
  <c r="W70" i="15"/>
  <c r="V70" i="15"/>
  <c r="U70" i="15"/>
  <c r="I70" i="15"/>
  <c r="H70" i="15"/>
  <c r="G70" i="15"/>
  <c r="F70" i="15"/>
  <c r="E70" i="15"/>
  <c r="D70" i="15"/>
  <c r="C70" i="15"/>
  <c r="B70" i="15"/>
  <c r="I69" i="15"/>
  <c r="H69" i="15"/>
  <c r="G69" i="15"/>
  <c r="F69" i="15"/>
  <c r="E69" i="15"/>
  <c r="D69" i="15"/>
  <c r="C69" i="15"/>
  <c r="B69" i="15"/>
  <c r="I68" i="15"/>
  <c r="H68" i="15"/>
  <c r="G68" i="15"/>
  <c r="F68" i="15"/>
  <c r="E68" i="15"/>
  <c r="D68" i="15"/>
  <c r="C68" i="15"/>
  <c r="B68" i="15"/>
  <c r="I67" i="15"/>
  <c r="H67" i="15"/>
  <c r="G67" i="15"/>
  <c r="F67" i="15"/>
  <c r="E67" i="15"/>
  <c r="D67" i="15"/>
  <c r="C67" i="15"/>
  <c r="B67" i="15"/>
  <c r="AF62" i="15"/>
  <c r="AE62" i="15"/>
  <c r="AD62" i="15"/>
  <c r="AC62" i="15"/>
  <c r="AB62" i="15"/>
  <c r="AA62" i="15"/>
  <c r="Z62" i="15"/>
  <c r="Y62" i="15"/>
  <c r="X62" i="15"/>
  <c r="W62" i="15"/>
  <c r="V62" i="15"/>
  <c r="U62" i="15"/>
  <c r="I62" i="15"/>
  <c r="H62" i="15"/>
  <c r="G62" i="15"/>
  <c r="F62" i="15"/>
  <c r="E62" i="15"/>
  <c r="D62" i="15"/>
  <c r="C62" i="15"/>
  <c r="B62" i="15"/>
  <c r="M61" i="15"/>
  <c r="L61" i="15"/>
  <c r="K61" i="15"/>
  <c r="J61" i="15"/>
  <c r="AF60" i="15"/>
  <c r="AE60" i="15"/>
  <c r="AD60" i="15"/>
  <c r="AC60" i="15"/>
  <c r="AB60" i="15"/>
  <c r="AA60" i="15"/>
  <c r="Z60" i="15"/>
  <c r="Y60" i="15"/>
  <c r="X60" i="15"/>
  <c r="W60" i="15"/>
  <c r="V60" i="15"/>
  <c r="U60" i="15"/>
  <c r="I60" i="15"/>
  <c r="H60" i="15"/>
  <c r="G60" i="15"/>
  <c r="F60" i="15"/>
  <c r="E60" i="15"/>
  <c r="D60" i="15"/>
  <c r="C60" i="15"/>
  <c r="B60" i="15"/>
  <c r="AF59" i="15"/>
  <c r="AE59" i="15"/>
  <c r="AD59" i="15"/>
  <c r="AC59" i="15"/>
  <c r="AB59" i="15"/>
  <c r="AA59" i="15"/>
  <c r="Z59" i="15"/>
  <c r="Y59" i="15"/>
  <c r="X59" i="15"/>
  <c r="W59" i="15"/>
  <c r="V59" i="15"/>
  <c r="U59" i="15"/>
  <c r="I59" i="15"/>
  <c r="H59" i="15"/>
  <c r="G59" i="15"/>
  <c r="F59" i="15"/>
  <c r="E59" i="15"/>
  <c r="D59" i="15"/>
  <c r="C59" i="15"/>
  <c r="B59" i="15"/>
  <c r="AF58" i="15"/>
  <c r="AE58" i="15"/>
  <c r="AD58" i="15"/>
  <c r="AC58" i="15"/>
  <c r="AB58" i="15"/>
  <c r="AA58" i="15"/>
  <c r="Z58" i="15"/>
  <c r="Y58" i="15"/>
  <c r="X58" i="15"/>
  <c r="W58" i="15"/>
  <c r="V58" i="15"/>
  <c r="U58" i="15"/>
  <c r="I58" i="15"/>
  <c r="H58" i="15"/>
  <c r="G58" i="15"/>
  <c r="F58" i="15"/>
  <c r="E58" i="15"/>
  <c r="D58" i="15"/>
  <c r="C58" i="15"/>
  <c r="B58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M55" i="15"/>
  <c r="M56" i="15" s="1"/>
  <c r="L55" i="15"/>
  <c r="L56" i="15" s="1"/>
  <c r="K55" i="15"/>
  <c r="K56" i="15" s="1"/>
  <c r="J55" i="15"/>
  <c r="J56" i="15" s="1"/>
  <c r="AG54" i="15"/>
  <c r="I54" i="15"/>
  <c r="H54" i="15"/>
  <c r="G54" i="15"/>
  <c r="F54" i="15"/>
  <c r="E54" i="15"/>
  <c r="D54" i="15"/>
  <c r="C54" i="15"/>
  <c r="B54" i="15"/>
  <c r="AG53" i="15"/>
  <c r="I53" i="15"/>
  <c r="H53" i="15"/>
  <c r="G53" i="15"/>
  <c r="F53" i="15"/>
  <c r="E53" i="15"/>
  <c r="D53" i="15"/>
  <c r="C53" i="15"/>
  <c r="B53" i="15"/>
  <c r="AG52" i="15"/>
  <c r="I52" i="15"/>
  <c r="H52" i="15"/>
  <c r="G52" i="15"/>
  <c r="F52" i="15"/>
  <c r="E52" i="15"/>
  <c r="D52" i="15"/>
  <c r="C52" i="15"/>
  <c r="B52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I50" i="15"/>
  <c r="H50" i="15"/>
  <c r="G50" i="15"/>
  <c r="F50" i="15"/>
  <c r="E50" i="15"/>
  <c r="D50" i="15"/>
  <c r="C50" i="15"/>
  <c r="B50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I49" i="15"/>
  <c r="H49" i="15"/>
  <c r="G49" i="15"/>
  <c r="F49" i="15"/>
  <c r="E49" i="15"/>
  <c r="D49" i="15"/>
  <c r="C49" i="15"/>
  <c r="B49" i="15"/>
  <c r="AF48" i="15"/>
  <c r="AE48" i="15"/>
  <c r="AD48" i="15"/>
  <c r="AC48" i="15"/>
  <c r="AB48" i="15"/>
  <c r="AA48" i="15"/>
  <c r="Z48" i="15"/>
  <c r="Y48" i="15"/>
  <c r="X48" i="15"/>
  <c r="W48" i="15"/>
  <c r="V48" i="15"/>
  <c r="U48" i="15"/>
  <c r="I48" i="15"/>
  <c r="H48" i="15"/>
  <c r="G48" i="15"/>
  <c r="F48" i="15"/>
  <c r="E48" i="15"/>
  <c r="D48" i="15"/>
  <c r="C48" i="15"/>
  <c r="B48" i="15"/>
  <c r="AF47" i="15"/>
  <c r="AE47" i="15"/>
  <c r="AD47" i="15"/>
  <c r="AC47" i="15"/>
  <c r="AB47" i="15"/>
  <c r="AA47" i="15"/>
  <c r="Z47" i="15"/>
  <c r="Y47" i="15"/>
  <c r="X47" i="15"/>
  <c r="W47" i="15"/>
  <c r="V47" i="15"/>
  <c r="U47" i="15"/>
  <c r="I47" i="15"/>
  <c r="H47" i="15"/>
  <c r="G47" i="15"/>
  <c r="F47" i="15"/>
  <c r="E47" i="15"/>
  <c r="D47" i="15"/>
  <c r="C47" i="15"/>
  <c r="B47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I46" i="15"/>
  <c r="H46" i="15"/>
  <c r="G46" i="15"/>
  <c r="F46" i="15"/>
  <c r="E46" i="15"/>
  <c r="D46" i="15"/>
  <c r="C46" i="15"/>
  <c r="B46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I45" i="15"/>
  <c r="H45" i="15"/>
  <c r="G45" i="15"/>
  <c r="F45" i="15"/>
  <c r="E45" i="15"/>
  <c r="D45" i="15"/>
  <c r="C45" i="15"/>
  <c r="B45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I44" i="15"/>
  <c r="H44" i="15"/>
  <c r="G44" i="15"/>
  <c r="F44" i="15"/>
  <c r="E44" i="15"/>
  <c r="D44" i="15"/>
  <c r="C44" i="15"/>
  <c r="B44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I42" i="15"/>
  <c r="H42" i="15"/>
  <c r="G42" i="15"/>
  <c r="F42" i="15"/>
  <c r="E42" i="15"/>
  <c r="D42" i="15"/>
  <c r="C42" i="15"/>
  <c r="B42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I41" i="15"/>
  <c r="H41" i="15"/>
  <c r="G41" i="15"/>
  <c r="F41" i="15"/>
  <c r="E41" i="15"/>
  <c r="D41" i="15"/>
  <c r="C41" i="15"/>
  <c r="B41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I40" i="15"/>
  <c r="H40" i="15"/>
  <c r="G40" i="15"/>
  <c r="F40" i="15"/>
  <c r="E40" i="15"/>
  <c r="D40" i="15"/>
  <c r="C40" i="15"/>
  <c r="B40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I39" i="15"/>
  <c r="H39" i="15"/>
  <c r="G39" i="15"/>
  <c r="F39" i="15"/>
  <c r="E39" i="15"/>
  <c r="D39" i="15"/>
  <c r="C39" i="15"/>
  <c r="B39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I38" i="15"/>
  <c r="H38" i="15"/>
  <c r="G38" i="15"/>
  <c r="F38" i="15"/>
  <c r="E38" i="15"/>
  <c r="D38" i="15"/>
  <c r="C38" i="15"/>
  <c r="B38" i="15"/>
  <c r="AF36" i="15"/>
  <c r="AE36" i="15"/>
  <c r="AD36" i="15"/>
  <c r="AC36" i="15"/>
  <c r="AB36" i="15"/>
  <c r="AA36" i="15"/>
  <c r="Z36" i="15"/>
  <c r="Y36" i="15"/>
  <c r="X36" i="15"/>
  <c r="W36" i="15"/>
  <c r="V36" i="15"/>
  <c r="U36" i="15"/>
  <c r="M36" i="15"/>
  <c r="L36" i="15"/>
  <c r="K36" i="15"/>
  <c r="J36" i="15"/>
  <c r="AG35" i="15"/>
  <c r="I35" i="15"/>
  <c r="H35" i="15"/>
  <c r="G35" i="15"/>
  <c r="F35" i="15"/>
  <c r="E35" i="15"/>
  <c r="D35" i="15"/>
  <c r="C35" i="15"/>
  <c r="B35" i="15"/>
  <c r="AG34" i="15"/>
  <c r="I34" i="15"/>
  <c r="H34" i="15"/>
  <c r="G34" i="15"/>
  <c r="F34" i="15"/>
  <c r="E34" i="15"/>
  <c r="D34" i="15"/>
  <c r="C34" i="15"/>
  <c r="B34" i="15"/>
  <c r="AG33" i="15"/>
  <c r="I33" i="15"/>
  <c r="H33" i="15"/>
  <c r="G33" i="15"/>
  <c r="F33" i="15"/>
  <c r="E33" i="15"/>
  <c r="D33" i="15"/>
  <c r="C33" i="15"/>
  <c r="B33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I31" i="15"/>
  <c r="H31" i="15"/>
  <c r="G31" i="15"/>
  <c r="F31" i="15"/>
  <c r="E31" i="15"/>
  <c r="D31" i="15"/>
  <c r="C31" i="15"/>
  <c r="B31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I30" i="15"/>
  <c r="H30" i="15"/>
  <c r="G30" i="15"/>
  <c r="F30" i="15"/>
  <c r="E30" i="15"/>
  <c r="D30" i="15"/>
  <c r="C30" i="15"/>
  <c r="B30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I29" i="15"/>
  <c r="H29" i="15"/>
  <c r="G29" i="15"/>
  <c r="F29" i="15"/>
  <c r="E29" i="15"/>
  <c r="D29" i="15"/>
  <c r="C29" i="15"/>
  <c r="B29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I28" i="15"/>
  <c r="H28" i="15"/>
  <c r="G28" i="15"/>
  <c r="F28" i="15"/>
  <c r="E28" i="15"/>
  <c r="D28" i="15"/>
  <c r="C28" i="15"/>
  <c r="B28" i="15"/>
  <c r="M27" i="15"/>
  <c r="L27" i="15"/>
  <c r="K27" i="15"/>
  <c r="J27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I26" i="15"/>
  <c r="H26" i="15"/>
  <c r="G26" i="15"/>
  <c r="F26" i="15"/>
  <c r="E26" i="15"/>
  <c r="D26" i="15"/>
  <c r="C26" i="15"/>
  <c r="B26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I25" i="15"/>
  <c r="H25" i="15"/>
  <c r="G25" i="15"/>
  <c r="F25" i="15"/>
  <c r="E25" i="15"/>
  <c r="D25" i="15"/>
  <c r="C25" i="15"/>
  <c r="B25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I24" i="15"/>
  <c r="H24" i="15"/>
  <c r="G24" i="15"/>
  <c r="F24" i="15"/>
  <c r="E24" i="15"/>
  <c r="D24" i="15"/>
  <c r="C24" i="15"/>
  <c r="B24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I22" i="15"/>
  <c r="H22" i="15"/>
  <c r="G22" i="15"/>
  <c r="F22" i="15"/>
  <c r="E22" i="15"/>
  <c r="D22" i="15"/>
  <c r="C22" i="15"/>
  <c r="B22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I21" i="15"/>
  <c r="H21" i="15"/>
  <c r="G21" i="15"/>
  <c r="F21" i="15"/>
  <c r="E21" i="15"/>
  <c r="D21" i="15"/>
  <c r="C21" i="15"/>
  <c r="B21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I20" i="15"/>
  <c r="H20" i="15"/>
  <c r="G20" i="15"/>
  <c r="F20" i="15"/>
  <c r="E20" i="15"/>
  <c r="D20" i="15"/>
  <c r="C20" i="15"/>
  <c r="B20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I19" i="15"/>
  <c r="H19" i="15"/>
  <c r="G19" i="15"/>
  <c r="F19" i="15"/>
  <c r="E19" i="15"/>
  <c r="D19" i="15"/>
  <c r="C19" i="15"/>
  <c r="B19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I15" i="15"/>
  <c r="H15" i="15"/>
  <c r="G15" i="15"/>
  <c r="F15" i="15"/>
  <c r="E15" i="15"/>
  <c r="D15" i="15"/>
  <c r="C15" i="15"/>
  <c r="B15" i="15"/>
  <c r="M14" i="15"/>
  <c r="M16" i="15" s="1"/>
  <c r="L14" i="15"/>
  <c r="L16" i="15" s="1"/>
  <c r="K14" i="15"/>
  <c r="K16" i="15" s="1"/>
  <c r="J14" i="15"/>
  <c r="J16" i="15" s="1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I13" i="15"/>
  <c r="H13" i="15"/>
  <c r="G13" i="15"/>
  <c r="F13" i="15"/>
  <c r="E13" i="15"/>
  <c r="D13" i="15"/>
  <c r="C13" i="15"/>
  <c r="B13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I12" i="15"/>
  <c r="H12" i="15"/>
  <c r="G12" i="15"/>
  <c r="F12" i="15"/>
  <c r="E12" i="15"/>
  <c r="D12" i="15"/>
  <c r="C12" i="15"/>
  <c r="B12" i="15"/>
  <c r="AB64" i="6"/>
  <c r="AB63" i="6"/>
  <c r="AB62" i="6"/>
  <c r="AB61" i="6"/>
  <c r="AB60" i="6"/>
  <c r="AB59" i="6"/>
  <c r="AB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AB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AB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AB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AB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H52" i="6"/>
  <c r="AB52" i="6" s="1"/>
  <c r="AB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AB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AB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AB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AB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AB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AB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AB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AB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AB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AB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AB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AB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AB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AB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AB33" i="6" s="1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AB32" i="6" s="1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AB31" i="6" s="1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AB30" i="6" s="1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AB29" i="6" s="1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AB28" i="6" s="1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AB27" i="6" s="1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AB26" i="6" s="1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AB25" i="6" s="1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AB18" i="6" s="1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AB17" i="6" s="1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AB16" i="6" s="1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AB15" i="6" s="1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AB14" i="6" s="1"/>
  <c r="X10" i="6"/>
  <c r="W10" i="6"/>
  <c r="V10" i="6"/>
  <c r="U10" i="6"/>
  <c r="T10" i="6"/>
  <c r="S10" i="6"/>
  <c r="R10" i="6"/>
  <c r="Q10" i="6"/>
  <c r="Q52" i="6" s="1"/>
  <c r="P10" i="6"/>
  <c r="P52" i="6" s="1"/>
  <c r="O10" i="6"/>
  <c r="O52" i="6" s="1"/>
  <c r="N10" i="6"/>
  <c r="N52" i="6" s="1"/>
  <c r="M10" i="6"/>
  <c r="M52" i="6" s="1"/>
  <c r="L10" i="6"/>
  <c r="L52" i="6" s="1"/>
  <c r="K10" i="6"/>
  <c r="K52" i="6" s="1"/>
  <c r="J10" i="6"/>
  <c r="J52" i="6" s="1"/>
  <c r="I10" i="6"/>
  <c r="I52" i="6" s="1"/>
  <c r="AB64" i="5"/>
  <c r="AB63" i="5"/>
  <c r="AB62" i="5"/>
  <c r="AB61" i="5"/>
  <c r="AB60" i="5"/>
  <c r="AB59" i="5"/>
  <c r="AB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AB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AB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AB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AB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AB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AB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AB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AB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AB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AB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AB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AB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AB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AB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AB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AB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AB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AB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AB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AB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AB33" i="5" s="1"/>
  <c r="AB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AB31" i="5" s="1"/>
  <c r="AB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AB29" i="5" s="1"/>
  <c r="AB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AB27" i="5" s="1"/>
  <c r="AB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AB25" i="5" s="1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AB19" i="5" s="1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AB18" i="5" s="1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AB17" i="5" s="1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AB16" i="5" s="1"/>
  <c r="X15" i="5"/>
  <c r="W15" i="5"/>
  <c r="V15" i="5"/>
  <c r="U15" i="5"/>
  <c r="T15" i="5"/>
  <c r="S15" i="5"/>
  <c r="R15" i="5"/>
  <c r="Q15" i="5"/>
  <c r="P15" i="5"/>
  <c r="O15" i="5"/>
  <c r="N15" i="5"/>
  <c r="N68" i="1" s="1"/>
  <c r="M15" i="5"/>
  <c r="M68" i="1" s="1"/>
  <c r="L15" i="5"/>
  <c r="L68" i="1" s="1"/>
  <c r="K15" i="5"/>
  <c r="K68" i="1" s="1"/>
  <c r="J15" i="5"/>
  <c r="J68" i="1" s="1"/>
  <c r="I15" i="5"/>
  <c r="H15" i="5"/>
  <c r="AB15" i="5" s="1"/>
  <c r="H14" i="5"/>
  <c r="X10" i="5"/>
  <c r="W10" i="5"/>
  <c r="V10" i="5"/>
  <c r="U10" i="5"/>
  <c r="T10" i="5"/>
  <c r="S10" i="5"/>
  <c r="R10" i="5"/>
  <c r="Q10" i="5"/>
  <c r="P10" i="5"/>
  <c r="O10" i="5"/>
  <c r="N10" i="5"/>
  <c r="N14" i="5" s="1"/>
  <c r="M10" i="5"/>
  <c r="M14" i="5" s="1"/>
  <c r="L10" i="5"/>
  <c r="L14" i="5" s="1"/>
  <c r="K10" i="5"/>
  <c r="K14" i="5" s="1"/>
  <c r="J10" i="5"/>
  <c r="J14" i="5" s="1"/>
  <c r="I10" i="5"/>
  <c r="I14" i="5" s="1"/>
  <c r="I68" i="1" s="1"/>
  <c r="AB64" i="4"/>
  <c r="AB63" i="4"/>
  <c r="AB62" i="4"/>
  <c r="AB61" i="4"/>
  <c r="AB60" i="4"/>
  <c r="AB59" i="4"/>
  <c r="AB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AB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AB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AB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AB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AB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AB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AB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AB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AB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AB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AB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AB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AB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AB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AB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AB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AB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AB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AB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AB35" i="4"/>
  <c r="X35" i="4"/>
  <c r="X67" i="1" s="1"/>
  <c r="Z67" i="1" s="1"/>
  <c r="W35" i="4"/>
  <c r="W67" i="1" s="1"/>
  <c r="V35" i="4"/>
  <c r="V67" i="1" s="1"/>
  <c r="U35" i="4"/>
  <c r="U67" i="1" s="1"/>
  <c r="T35" i="4"/>
  <c r="T67" i="1" s="1"/>
  <c r="S35" i="4"/>
  <c r="S67" i="1" s="1"/>
  <c r="R35" i="4"/>
  <c r="R67" i="1" s="1"/>
  <c r="Q35" i="4"/>
  <c r="Q67" i="1" s="1"/>
  <c r="P35" i="4"/>
  <c r="O35" i="4"/>
  <c r="N35" i="4"/>
  <c r="M35" i="4"/>
  <c r="M67" i="1" s="1"/>
  <c r="L35" i="4"/>
  <c r="L67" i="1" s="1"/>
  <c r="K35" i="4"/>
  <c r="K67" i="1" s="1"/>
  <c r="J35" i="4"/>
  <c r="I35" i="4"/>
  <c r="I67" i="1" s="1"/>
  <c r="H35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AB33" i="4" s="1"/>
  <c r="AB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AB31" i="4" s="1"/>
  <c r="AB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AB29" i="4" s="1"/>
  <c r="AB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AB21" i="4" s="1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AB20" i="4" s="1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AB19" i="4" s="1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AB18" i="4" s="1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AB17" i="4" s="1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AB16" i="4" s="1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AB15" i="4" s="1"/>
  <c r="H14" i="4"/>
  <c r="X10" i="4"/>
  <c r="W10" i="4"/>
  <c r="V10" i="4"/>
  <c r="U10" i="4"/>
  <c r="T10" i="4"/>
  <c r="S10" i="4"/>
  <c r="R10" i="4"/>
  <c r="Q10" i="4"/>
  <c r="P10" i="4"/>
  <c r="O10" i="4"/>
  <c r="N10" i="4"/>
  <c r="M10" i="4"/>
  <c r="M14" i="4" s="1"/>
  <c r="L10" i="4"/>
  <c r="K10" i="4"/>
  <c r="J10" i="4"/>
  <c r="I10" i="4"/>
  <c r="AB64" i="3"/>
  <c r="AB63" i="3"/>
  <c r="AB62" i="3"/>
  <c r="AB61" i="3"/>
  <c r="AB60" i="3"/>
  <c r="AB59" i="3"/>
  <c r="AB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AB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AB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AB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AB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AB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AB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AB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AB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AB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AB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AB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AB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AB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AB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AB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AB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AB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AB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AB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AB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AB33" i="3" s="1"/>
  <c r="AB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AB31" i="3" s="1"/>
  <c r="AB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AB29" i="3" s="1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AB28" i="3" s="1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AB27" i="3" s="1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AB21" i="3" s="1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AB20" i="3" s="1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AB19" i="3" s="1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AB18" i="3" s="1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AB17" i="3" s="1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AB16" i="3" s="1"/>
  <c r="H15" i="3"/>
  <c r="H14" i="3"/>
  <c r="AB14" i="3" s="1"/>
  <c r="X10" i="3"/>
  <c r="W10" i="3"/>
  <c r="V10" i="3"/>
  <c r="U10" i="3"/>
  <c r="T10" i="3"/>
  <c r="S10" i="3"/>
  <c r="R10" i="3"/>
  <c r="Q10" i="3"/>
  <c r="P10" i="3"/>
  <c r="O10" i="3"/>
  <c r="N10" i="3"/>
  <c r="M10" i="3"/>
  <c r="M14" i="3" s="1"/>
  <c r="L10" i="3"/>
  <c r="K10" i="3"/>
  <c r="J10" i="3"/>
  <c r="I10" i="3"/>
  <c r="AB64" i="2"/>
  <c r="AB63" i="2"/>
  <c r="AB62" i="2"/>
  <c r="AB61" i="2"/>
  <c r="AB60" i="2"/>
  <c r="AB59" i="2"/>
  <c r="AB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AB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AB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AB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AB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AB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AB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AB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AB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AB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AB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AB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AB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AB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AB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H41" i="2"/>
  <c r="AB41" i="2" s="1"/>
  <c r="AB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AB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AB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AB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AB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AB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AB32" i="2" s="1"/>
  <c r="AB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AB30" i="2" s="1"/>
  <c r="AB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AB23" i="2" s="1"/>
  <c r="AB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AB21" i="2" s="1"/>
  <c r="AB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AB19" i="2" s="1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AB18" i="2" s="1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AB17" i="2" s="1"/>
  <c r="H16" i="2"/>
  <c r="H15" i="2"/>
  <c r="H14" i="2"/>
  <c r="AB14" i="2" s="1"/>
  <c r="X10" i="2"/>
  <c r="W10" i="2"/>
  <c r="W15" i="2" s="1"/>
  <c r="V10" i="2"/>
  <c r="V10" i="1" s="1"/>
  <c r="U10" i="2"/>
  <c r="T10" i="2"/>
  <c r="T16" i="2" s="1"/>
  <c r="S10" i="2"/>
  <c r="S16" i="2" s="1"/>
  <c r="R10" i="2"/>
  <c r="R16" i="2" s="1"/>
  <c r="Q10" i="2"/>
  <c r="P10" i="2"/>
  <c r="O10" i="2"/>
  <c r="N10" i="2"/>
  <c r="M10" i="2"/>
  <c r="L10" i="2"/>
  <c r="L41" i="2" s="1"/>
  <c r="K10" i="2"/>
  <c r="K10" i="1" s="1"/>
  <c r="K60" i="1" s="1"/>
  <c r="J10" i="2"/>
  <c r="J10" i="1" s="1"/>
  <c r="J60" i="1" s="1"/>
  <c r="I10" i="2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N70" i="1" l="1"/>
  <c r="I74" i="1"/>
  <c r="I75" i="1" s="1"/>
  <c r="I70" i="1"/>
  <c r="K74" i="1"/>
  <c r="K70" i="1"/>
  <c r="Z22" i="5"/>
  <c r="L74" i="1"/>
  <c r="L75" i="1" s="1"/>
  <c r="Z23" i="5"/>
  <c r="M74" i="1"/>
  <c r="N74" i="1"/>
  <c r="N75" i="1" s="1"/>
  <c r="N76" i="1" s="1"/>
  <c r="J70" i="1"/>
  <c r="L70" i="1"/>
  <c r="Z21" i="5"/>
  <c r="Z24" i="5"/>
  <c r="Z20" i="5"/>
  <c r="M70" i="1"/>
  <c r="J74" i="1"/>
  <c r="J75" i="1"/>
  <c r="K75" i="1"/>
  <c r="K76" i="1" s="1"/>
  <c r="M73" i="1"/>
  <c r="Q73" i="1"/>
  <c r="O73" i="1"/>
  <c r="R73" i="1"/>
  <c r="S14" i="4"/>
  <c r="O14" i="4"/>
  <c r="N14" i="4"/>
  <c r="P14" i="4"/>
  <c r="J14" i="4"/>
  <c r="J67" i="4" s="1"/>
  <c r="R14" i="4"/>
  <c r="T14" i="4"/>
  <c r="T67" i="4" s="1"/>
  <c r="AB67" i="16" s="1"/>
  <c r="Q14" i="4"/>
  <c r="Q67" i="4" s="1"/>
  <c r="Y67" i="16" s="1"/>
  <c r="Y137" i="16" s="1"/>
  <c r="K14" i="4"/>
  <c r="W14" i="4"/>
  <c r="W67" i="4" s="1"/>
  <c r="AE67" i="16" s="1"/>
  <c r="AE137" i="16" s="1"/>
  <c r="L14" i="4"/>
  <c r="L67" i="4" s="1"/>
  <c r="X14" i="4"/>
  <c r="X67" i="4" s="1"/>
  <c r="X16" i="1" s="1"/>
  <c r="U14" i="4"/>
  <c r="I14" i="4"/>
  <c r="V14" i="4"/>
  <c r="V67" i="4" s="1"/>
  <c r="AD67" i="16" s="1"/>
  <c r="AB14" i="4"/>
  <c r="Z23" i="6"/>
  <c r="Z21" i="6"/>
  <c r="Z20" i="6"/>
  <c r="Z22" i="6"/>
  <c r="Z19" i="6"/>
  <c r="Z25" i="3"/>
  <c r="Z23" i="3"/>
  <c r="Z24" i="3"/>
  <c r="Z22" i="3"/>
  <c r="M131" i="18"/>
  <c r="D122" i="19"/>
  <c r="AA122" i="19"/>
  <c r="H122" i="16"/>
  <c r="W14" i="17"/>
  <c r="W16" i="17" s="1"/>
  <c r="P53" i="1"/>
  <c r="L54" i="1"/>
  <c r="T10" i="1"/>
  <c r="T60" i="1" s="1"/>
  <c r="W52" i="6"/>
  <c r="W67" i="6" s="1"/>
  <c r="AE67" i="15" s="1"/>
  <c r="D14" i="18"/>
  <c r="D16" i="18" s="1"/>
  <c r="AC73" i="17"/>
  <c r="AC87" i="19"/>
  <c r="B55" i="15"/>
  <c r="B56" i="15" s="1"/>
  <c r="I122" i="16"/>
  <c r="X52" i="6"/>
  <c r="X67" i="6" s="1"/>
  <c r="AF67" i="15" s="1"/>
  <c r="J52" i="1"/>
  <c r="L37" i="16"/>
  <c r="L63" i="16" s="1"/>
  <c r="L64" i="16" s="1"/>
  <c r="I52" i="1"/>
  <c r="O53" i="1"/>
  <c r="U53" i="1"/>
  <c r="K67" i="4"/>
  <c r="K16" i="1" s="1"/>
  <c r="K14" i="3"/>
  <c r="W14" i="3"/>
  <c r="I122" i="19"/>
  <c r="X61" i="18"/>
  <c r="Z61" i="18"/>
  <c r="G27" i="18"/>
  <c r="M131" i="15"/>
  <c r="AE14" i="18"/>
  <c r="AE16" i="18" s="1"/>
  <c r="K116" i="19"/>
  <c r="AC14" i="19"/>
  <c r="AC16" i="19" s="1"/>
  <c r="N54" i="1"/>
  <c r="T54" i="1"/>
  <c r="L37" i="15"/>
  <c r="L63" i="15" s="1"/>
  <c r="L64" i="15" s="1"/>
  <c r="Y122" i="15"/>
  <c r="I61" i="18"/>
  <c r="AB14" i="18"/>
  <c r="AB16" i="18" s="1"/>
  <c r="L116" i="16"/>
  <c r="AD73" i="19"/>
  <c r="X41" i="2"/>
  <c r="Z26" i="20"/>
  <c r="AF14" i="18"/>
  <c r="AF16" i="18" s="1"/>
  <c r="AF12" i="20"/>
  <c r="M37" i="17"/>
  <c r="M63" i="17" s="1"/>
  <c r="M64" i="17" s="1"/>
  <c r="C22" i="20"/>
  <c r="AB127" i="20"/>
  <c r="M122" i="20"/>
  <c r="I27" i="17"/>
  <c r="AB31" i="20"/>
  <c r="AC39" i="20"/>
  <c r="Y48" i="20"/>
  <c r="F49" i="20"/>
  <c r="V25" i="20"/>
  <c r="I40" i="20"/>
  <c r="AB42" i="20"/>
  <c r="E49" i="20"/>
  <c r="E122" i="16"/>
  <c r="V14" i="17"/>
  <c r="V16" i="17" s="1"/>
  <c r="V21" i="20"/>
  <c r="Z22" i="20"/>
  <c r="W48" i="20"/>
  <c r="H55" i="17"/>
  <c r="I14" i="18"/>
  <c r="I16" i="18" s="1"/>
  <c r="U14" i="18"/>
  <c r="U16" i="18" s="1"/>
  <c r="X53" i="1"/>
  <c r="W89" i="20"/>
  <c r="H109" i="20"/>
  <c r="H29" i="20"/>
  <c r="X38" i="20"/>
  <c r="AF40" i="20"/>
  <c r="E42" i="20"/>
  <c r="X45" i="20"/>
  <c r="I50" i="20"/>
  <c r="J131" i="15"/>
  <c r="AD122" i="16"/>
  <c r="J131" i="17"/>
  <c r="F14" i="18"/>
  <c r="AC14" i="18"/>
  <c r="AC16" i="18" s="1"/>
  <c r="AA105" i="20"/>
  <c r="AD24" i="20"/>
  <c r="E39" i="20"/>
  <c r="E46" i="20"/>
  <c r="AF50" i="20"/>
  <c r="I73" i="15"/>
  <c r="B29" i="20"/>
  <c r="V122" i="15"/>
  <c r="C14" i="16"/>
  <c r="C16" i="16" s="1"/>
  <c r="AE122" i="16"/>
  <c r="C26" i="20"/>
  <c r="AB39" i="20"/>
  <c r="X41" i="20"/>
  <c r="I44" i="20"/>
  <c r="AF44" i="20"/>
  <c r="AB46" i="20"/>
  <c r="AF47" i="20"/>
  <c r="X48" i="20"/>
  <c r="AB49" i="20"/>
  <c r="AF87" i="17"/>
  <c r="V27" i="15"/>
  <c r="V37" i="15" s="1"/>
  <c r="K37" i="15"/>
  <c r="K63" i="15" s="1"/>
  <c r="K64" i="15" s="1"/>
  <c r="D14" i="16"/>
  <c r="C137" i="16"/>
  <c r="N54" i="16"/>
  <c r="AJ54" i="16" s="1"/>
  <c r="J61" i="20"/>
  <c r="Y24" i="20"/>
  <c r="U26" i="20"/>
  <c r="AF28" i="20"/>
  <c r="AG90" i="16"/>
  <c r="N91" i="16"/>
  <c r="AG93" i="16"/>
  <c r="N97" i="16"/>
  <c r="AG102" i="16"/>
  <c r="N112" i="16"/>
  <c r="F113" i="20"/>
  <c r="AG121" i="16"/>
  <c r="H139" i="18"/>
  <c r="N47" i="18"/>
  <c r="F61" i="18"/>
  <c r="J116" i="18"/>
  <c r="V138" i="19"/>
  <c r="V73" i="19"/>
  <c r="K127" i="20"/>
  <c r="K130" i="20" s="1"/>
  <c r="K130" i="19"/>
  <c r="K131" i="19" s="1"/>
  <c r="D44" i="20"/>
  <c r="X61" i="16"/>
  <c r="X75" i="20"/>
  <c r="X90" i="20"/>
  <c r="AD19" i="20"/>
  <c r="Z30" i="20"/>
  <c r="N30" i="19"/>
  <c r="D137" i="19"/>
  <c r="E61" i="19"/>
  <c r="AF61" i="19"/>
  <c r="W10" i="1"/>
  <c r="W60" i="1" s="1"/>
  <c r="AD14" i="15"/>
  <c r="AD16" i="15" s="1"/>
  <c r="I90" i="20"/>
  <c r="I96" i="20"/>
  <c r="I102" i="20"/>
  <c r="I108" i="20"/>
  <c r="AF114" i="20"/>
  <c r="G113" i="20"/>
  <c r="N85" i="16"/>
  <c r="AF90" i="20"/>
  <c r="E98" i="20"/>
  <c r="E104" i="20"/>
  <c r="AF105" i="20"/>
  <c r="AF108" i="20"/>
  <c r="AB110" i="20"/>
  <c r="E113" i="20"/>
  <c r="X115" i="20"/>
  <c r="AF121" i="20"/>
  <c r="D36" i="18"/>
  <c r="U138" i="19"/>
  <c r="U73" i="19"/>
  <c r="K41" i="2"/>
  <c r="U122" i="15"/>
  <c r="G139" i="16"/>
  <c r="AA21" i="20"/>
  <c r="AB89" i="20"/>
  <c r="X91" i="20"/>
  <c r="AF93" i="20"/>
  <c r="X97" i="20"/>
  <c r="X100" i="20"/>
  <c r="I105" i="20"/>
  <c r="E110" i="20"/>
  <c r="X54" i="1"/>
  <c r="C27" i="15"/>
  <c r="Z90" i="20"/>
  <c r="V14" i="19"/>
  <c r="V16" i="19" s="1"/>
  <c r="K52" i="1"/>
  <c r="W52" i="1"/>
  <c r="I56" i="1"/>
  <c r="O15" i="2"/>
  <c r="AC14" i="16"/>
  <c r="AC16" i="16" s="1"/>
  <c r="E44" i="20"/>
  <c r="X88" i="20"/>
  <c r="E95" i="20"/>
  <c r="E101" i="20"/>
  <c r="E107" i="20"/>
  <c r="X109" i="20"/>
  <c r="AF111" i="20"/>
  <c r="I114" i="20"/>
  <c r="I121" i="20"/>
  <c r="W14" i="18"/>
  <c r="W16" i="18" s="1"/>
  <c r="J122" i="20"/>
  <c r="N40" i="16"/>
  <c r="G55" i="16"/>
  <c r="G56" i="16" s="1"/>
  <c r="D27" i="16"/>
  <c r="I41" i="20"/>
  <c r="E92" i="20"/>
  <c r="X94" i="20"/>
  <c r="I99" i="20"/>
  <c r="AB101" i="20"/>
  <c r="AB104" i="20"/>
  <c r="AB107" i="20"/>
  <c r="AB113" i="20"/>
  <c r="Z27" i="15"/>
  <c r="Z37" i="15" s="1"/>
  <c r="I36" i="15"/>
  <c r="U61" i="15"/>
  <c r="U86" i="20"/>
  <c r="U91" i="20"/>
  <c r="F96" i="20"/>
  <c r="B98" i="20"/>
  <c r="Y14" i="16"/>
  <c r="Y16" i="16" s="1"/>
  <c r="I92" i="20"/>
  <c r="AC122" i="18"/>
  <c r="Y27" i="15"/>
  <c r="Y37" i="15" s="1"/>
  <c r="E36" i="15"/>
  <c r="AA25" i="20"/>
  <c r="I93" i="20"/>
  <c r="AB95" i="20"/>
  <c r="AB98" i="20"/>
  <c r="AF102" i="20"/>
  <c r="AF27" i="18"/>
  <c r="AF37" i="18" s="1"/>
  <c r="F67" i="20"/>
  <c r="K61" i="1"/>
  <c r="K62" i="1" s="1"/>
  <c r="N52" i="1"/>
  <c r="W55" i="1"/>
  <c r="L56" i="1"/>
  <c r="F40" i="20"/>
  <c r="D16" i="16"/>
  <c r="F14" i="16"/>
  <c r="F16" i="16" s="1"/>
  <c r="AA27" i="16"/>
  <c r="AA37" i="16" s="1"/>
  <c r="E89" i="20"/>
  <c r="AB92" i="20"/>
  <c r="AF96" i="20"/>
  <c r="AF99" i="20"/>
  <c r="X103" i="20"/>
  <c r="X106" i="20"/>
  <c r="I111" i="20"/>
  <c r="X112" i="20"/>
  <c r="E120" i="20"/>
  <c r="I130" i="17"/>
  <c r="M142" i="19"/>
  <c r="M27" i="20"/>
  <c r="O55" i="1"/>
  <c r="U55" i="1"/>
  <c r="P56" i="1"/>
  <c r="K37" i="16"/>
  <c r="K63" i="16" s="1"/>
  <c r="K64" i="16" s="1"/>
  <c r="D122" i="18"/>
  <c r="K56" i="1"/>
  <c r="X27" i="15"/>
  <c r="X37" i="15" s="1"/>
  <c r="I79" i="20"/>
  <c r="I83" i="20"/>
  <c r="AF83" i="20"/>
  <c r="E90" i="20"/>
  <c r="E93" i="20"/>
  <c r="X104" i="20"/>
  <c r="AB105" i="20"/>
  <c r="M142" i="15"/>
  <c r="AF14" i="16"/>
  <c r="AF16" i="16" s="1"/>
  <c r="Z27" i="16"/>
  <c r="Z37" i="16" s="1"/>
  <c r="M116" i="16"/>
  <c r="AB122" i="16"/>
  <c r="AD15" i="20"/>
  <c r="I73" i="17"/>
  <c r="AD14" i="18"/>
  <c r="AD16" i="18" s="1"/>
  <c r="E122" i="18"/>
  <c r="AB122" i="18"/>
  <c r="D140" i="19"/>
  <c r="M139" i="20"/>
  <c r="K54" i="1"/>
  <c r="G39" i="20"/>
  <c r="AD42" i="20"/>
  <c r="V44" i="20"/>
  <c r="G46" i="20"/>
  <c r="AD46" i="20"/>
  <c r="G49" i="20"/>
  <c r="AD49" i="20"/>
  <c r="C55" i="15"/>
  <c r="F53" i="20"/>
  <c r="G61" i="15"/>
  <c r="V61" i="15"/>
  <c r="C61" i="15"/>
  <c r="V86" i="20"/>
  <c r="C122" i="16"/>
  <c r="Z122" i="16"/>
  <c r="F61" i="17"/>
  <c r="G71" i="20"/>
  <c r="V72" i="20"/>
  <c r="V74" i="20"/>
  <c r="C75" i="20"/>
  <c r="C78" i="20"/>
  <c r="V84" i="20"/>
  <c r="C85" i="20"/>
  <c r="C73" i="18"/>
  <c r="G122" i="18"/>
  <c r="AD122" i="18"/>
  <c r="AD14" i="19"/>
  <c r="AD16" i="19" s="1"/>
  <c r="J116" i="19"/>
  <c r="Y122" i="19"/>
  <c r="J15" i="2"/>
  <c r="AE46" i="20"/>
  <c r="H49" i="20"/>
  <c r="W61" i="15"/>
  <c r="D140" i="15"/>
  <c r="AE70" i="20"/>
  <c r="AE138" i="20" s="1"/>
  <c r="W87" i="15"/>
  <c r="G40" i="20"/>
  <c r="AE71" i="20"/>
  <c r="C111" i="20"/>
  <c r="H61" i="18"/>
  <c r="D87" i="18"/>
  <c r="AE14" i="19"/>
  <c r="AE16" i="19" s="1"/>
  <c r="C122" i="19"/>
  <c r="Z122" i="19"/>
  <c r="G122" i="19"/>
  <c r="AD122" i="19"/>
  <c r="AE20" i="20"/>
  <c r="N89" i="16"/>
  <c r="X15" i="20"/>
  <c r="M14" i="2"/>
  <c r="M41" i="2"/>
  <c r="B13" i="20"/>
  <c r="AA19" i="20"/>
  <c r="AA22" i="20"/>
  <c r="U12" i="20"/>
  <c r="H20" i="20"/>
  <c r="W25" i="20"/>
  <c r="Q41" i="2"/>
  <c r="Q16" i="2"/>
  <c r="M10" i="1"/>
  <c r="M60" i="1" s="1"/>
  <c r="X61" i="15"/>
  <c r="G137" i="18"/>
  <c r="G36" i="18"/>
  <c r="AC59" i="20"/>
  <c r="Q10" i="1"/>
  <c r="Q61" i="1" s="1"/>
  <c r="J67" i="5"/>
  <c r="I54" i="20"/>
  <c r="N77" i="15"/>
  <c r="N80" i="15"/>
  <c r="N92" i="15"/>
  <c r="N39" i="16"/>
  <c r="N42" i="16"/>
  <c r="D69" i="20"/>
  <c r="V45" i="20"/>
  <c r="AA61" i="16"/>
  <c r="AD72" i="20"/>
  <c r="AC80" i="20"/>
  <c r="Y83" i="20"/>
  <c r="AC84" i="20"/>
  <c r="Y86" i="20"/>
  <c r="G54" i="20"/>
  <c r="G55" i="17"/>
  <c r="G56" i="17" s="1"/>
  <c r="L14" i="3"/>
  <c r="X14" i="3"/>
  <c r="X14" i="5"/>
  <c r="W19" i="20"/>
  <c r="AA24" i="20"/>
  <c r="W26" i="20"/>
  <c r="V30" i="20"/>
  <c r="AE72" i="20"/>
  <c r="G74" i="20"/>
  <c r="AD74" i="20"/>
  <c r="V75" i="20"/>
  <c r="C76" i="20"/>
  <c r="Z76" i="20"/>
  <c r="G77" i="20"/>
  <c r="AD77" i="20"/>
  <c r="V78" i="20"/>
  <c r="AD80" i="20"/>
  <c r="V82" i="20"/>
  <c r="Y88" i="20"/>
  <c r="F89" i="20"/>
  <c r="F98" i="20"/>
  <c r="N112" i="17"/>
  <c r="N128" i="17"/>
  <c r="F129" i="20"/>
  <c r="AG29" i="18"/>
  <c r="D22" i="20"/>
  <c r="AA26" i="20"/>
  <c r="W14" i="5"/>
  <c r="AB14" i="5"/>
  <c r="E27" i="15"/>
  <c r="G30" i="20"/>
  <c r="N53" i="15"/>
  <c r="AJ53" i="15" s="1"/>
  <c r="AA58" i="20"/>
  <c r="AE59" i="20"/>
  <c r="W60" i="20"/>
  <c r="D76" i="20"/>
  <c r="D79" i="20"/>
  <c r="D83" i="20"/>
  <c r="Z88" i="20"/>
  <c r="Z91" i="20"/>
  <c r="Z109" i="20"/>
  <c r="O14" i="2"/>
  <c r="Y13" i="20"/>
  <c r="D19" i="20"/>
  <c r="W21" i="20"/>
  <c r="P14" i="2"/>
  <c r="U52" i="6"/>
  <c r="U56" i="1" s="1"/>
  <c r="G41" i="20"/>
  <c r="AF30" i="20"/>
  <c r="E58" i="20"/>
  <c r="AF59" i="20"/>
  <c r="AF74" i="20"/>
  <c r="E76" i="20"/>
  <c r="AB76" i="20"/>
  <c r="AF77" i="20"/>
  <c r="X78" i="20"/>
  <c r="E79" i="20"/>
  <c r="AB79" i="20"/>
  <c r="AF80" i="20"/>
  <c r="X82" i="20"/>
  <c r="E83" i="20"/>
  <c r="AB83" i="20"/>
  <c r="I84" i="20"/>
  <c r="AF84" i="20"/>
  <c r="X85" i="20"/>
  <c r="W90" i="20"/>
  <c r="AA91" i="20"/>
  <c r="P10" i="1"/>
  <c r="P61" i="1" s="1"/>
  <c r="P16" i="2"/>
  <c r="R14" i="2"/>
  <c r="S14" i="2"/>
  <c r="N41" i="16"/>
  <c r="O14" i="3"/>
  <c r="Q53" i="1"/>
  <c r="V52" i="6"/>
  <c r="V67" i="6" s="1"/>
  <c r="AD67" i="15" s="1"/>
  <c r="H55" i="15"/>
  <c r="H56" i="15" s="1"/>
  <c r="B19" i="20"/>
  <c r="Y19" i="20"/>
  <c r="F20" i="20"/>
  <c r="AC20" i="20"/>
  <c r="U21" i="20"/>
  <c r="B22" i="20"/>
  <c r="Y22" i="20"/>
  <c r="AC24" i="20"/>
  <c r="U25" i="20"/>
  <c r="B26" i="20"/>
  <c r="N60" i="17"/>
  <c r="I68" i="20"/>
  <c r="AC76" i="20"/>
  <c r="U77" i="20"/>
  <c r="Y78" i="20"/>
  <c r="F79" i="20"/>
  <c r="AC79" i="20"/>
  <c r="U80" i="20"/>
  <c r="AF120" i="20"/>
  <c r="Z42" i="4"/>
  <c r="I27" i="16"/>
  <c r="AB27" i="16"/>
  <c r="AB37" i="16" s="1"/>
  <c r="M37" i="16"/>
  <c r="M63" i="16" s="1"/>
  <c r="M64" i="16" s="1"/>
  <c r="K116" i="16"/>
  <c r="V130" i="16"/>
  <c r="G28" i="20"/>
  <c r="AD28" i="20"/>
  <c r="V29" i="20"/>
  <c r="C30" i="20"/>
  <c r="G31" i="20"/>
  <c r="AD31" i="20"/>
  <c r="Z48" i="20"/>
  <c r="G88" i="20"/>
  <c r="V98" i="20"/>
  <c r="C99" i="20"/>
  <c r="Z99" i="20"/>
  <c r="G100" i="20"/>
  <c r="V101" i="20"/>
  <c r="G103" i="20"/>
  <c r="V104" i="20"/>
  <c r="C105" i="20"/>
  <c r="C108" i="20"/>
  <c r="G109" i="20"/>
  <c r="AD109" i="20"/>
  <c r="Z114" i="20"/>
  <c r="G115" i="20"/>
  <c r="AD115" i="20"/>
  <c r="Z121" i="20"/>
  <c r="Z130" i="17"/>
  <c r="Z127" i="20"/>
  <c r="N70" i="19"/>
  <c r="N138" i="19" s="1"/>
  <c r="AF75" i="20"/>
  <c r="X83" i="20"/>
  <c r="E84" i="20"/>
  <c r="AF85" i="20"/>
  <c r="C15" i="20"/>
  <c r="V20" i="20"/>
  <c r="B38" i="20"/>
  <c r="Y45" i="20"/>
  <c r="AA62" i="20"/>
  <c r="V14" i="2"/>
  <c r="K53" i="1"/>
  <c r="J61" i="1"/>
  <c r="J62" i="1" s="1"/>
  <c r="M56" i="1"/>
  <c r="AD26" i="20"/>
  <c r="U38" i="20"/>
  <c r="W58" i="20"/>
  <c r="Z112" i="20"/>
  <c r="AD113" i="20"/>
  <c r="K131" i="15"/>
  <c r="AC22" i="20"/>
  <c r="U27" i="16"/>
  <c r="U37" i="16" s="1"/>
  <c r="B25" i="20"/>
  <c r="F27" i="16"/>
  <c r="AC26" i="20"/>
  <c r="AG59" i="16"/>
  <c r="N60" i="16"/>
  <c r="D73" i="16"/>
  <c r="N78" i="16"/>
  <c r="D87" i="16"/>
  <c r="C12" i="20"/>
  <c r="H28" i="20"/>
  <c r="AE28" i="20"/>
  <c r="D30" i="20"/>
  <c r="AA30" i="20"/>
  <c r="H31" i="20"/>
  <c r="AE31" i="20"/>
  <c r="D38" i="20"/>
  <c r="AA38" i="20"/>
  <c r="H39" i="20"/>
  <c r="AE39" i="20"/>
  <c r="W40" i="20"/>
  <c r="D41" i="20"/>
  <c r="AA41" i="20"/>
  <c r="H42" i="20"/>
  <c r="AE42" i="20"/>
  <c r="D45" i="20"/>
  <c r="AA45" i="20"/>
  <c r="W47" i="20"/>
  <c r="AA48" i="20"/>
  <c r="AE49" i="20"/>
  <c r="B69" i="20"/>
  <c r="AA99" i="20"/>
  <c r="H100" i="20"/>
  <c r="H103" i="20"/>
  <c r="AE103" i="20"/>
  <c r="W104" i="20"/>
  <c r="D105" i="20"/>
  <c r="AA108" i="20"/>
  <c r="D111" i="20"/>
  <c r="W120" i="20"/>
  <c r="D121" i="20"/>
  <c r="AA121" i="20"/>
  <c r="Y71" i="20"/>
  <c r="U78" i="20"/>
  <c r="U122" i="17"/>
  <c r="N21" i="15"/>
  <c r="K15" i="3"/>
  <c r="I54" i="1"/>
  <c r="P14" i="5"/>
  <c r="AC14" i="15"/>
  <c r="AC16" i="15" s="1"/>
  <c r="W27" i="15"/>
  <c r="W37" i="15" s="1"/>
  <c r="I29" i="20"/>
  <c r="AB71" i="20"/>
  <c r="AA103" i="20"/>
  <c r="W108" i="20"/>
  <c r="D112" i="20"/>
  <c r="AA115" i="20"/>
  <c r="L131" i="15"/>
  <c r="AB15" i="20"/>
  <c r="G61" i="16"/>
  <c r="AF71" i="20"/>
  <c r="E87" i="16"/>
  <c r="AB87" i="16"/>
  <c r="AF97" i="20"/>
  <c r="X122" i="16"/>
  <c r="I28" i="20"/>
  <c r="I31" i="20"/>
  <c r="X40" i="20"/>
  <c r="AB41" i="20"/>
  <c r="AF42" i="20"/>
  <c r="E45" i="20"/>
  <c r="AB45" i="20"/>
  <c r="I46" i="20"/>
  <c r="X47" i="20"/>
  <c r="E48" i="20"/>
  <c r="Z72" i="20"/>
  <c r="N90" i="18"/>
  <c r="N95" i="18"/>
  <c r="Z14" i="19"/>
  <c r="Z16" i="19" s="1"/>
  <c r="AF15" i="20"/>
  <c r="N29" i="19"/>
  <c r="H68" i="20"/>
  <c r="J127" i="20"/>
  <c r="J130" i="20" s="1"/>
  <c r="J131" i="20" s="1"/>
  <c r="J130" i="19"/>
  <c r="J131" i="19" s="1"/>
  <c r="Z15" i="20"/>
  <c r="C21" i="20"/>
  <c r="F39" i="20"/>
  <c r="D62" i="20"/>
  <c r="H73" i="17"/>
  <c r="AA73" i="17"/>
  <c r="AA138" i="17"/>
  <c r="B55" i="18"/>
  <c r="B56" i="18" s="1"/>
  <c r="G127" i="20"/>
  <c r="W53" i="1"/>
  <c r="Z32" i="4"/>
  <c r="Z35" i="4"/>
  <c r="M54" i="1"/>
  <c r="Z55" i="4"/>
  <c r="AF130" i="15"/>
  <c r="I127" i="20"/>
  <c r="X52" i="1"/>
  <c r="N53" i="1"/>
  <c r="C14" i="15"/>
  <c r="C16" i="15" s="1"/>
  <c r="M37" i="15"/>
  <c r="M63" i="15" s="1"/>
  <c r="M64" i="15" s="1"/>
  <c r="H40" i="20"/>
  <c r="D42" i="20"/>
  <c r="AA46" i="20"/>
  <c r="U62" i="20"/>
  <c r="F68" i="20"/>
  <c r="J116" i="15"/>
  <c r="U74" i="20"/>
  <c r="AC83" i="20"/>
  <c r="AC86" i="20"/>
  <c r="Y90" i="20"/>
  <c r="AC91" i="20"/>
  <c r="AF95" i="20"/>
  <c r="N98" i="15"/>
  <c r="AB103" i="20"/>
  <c r="AB106" i="20"/>
  <c r="AB109" i="20"/>
  <c r="AF113" i="20"/>
  <c r="X122" i="15"/>
  <c r="N58" i="16"/>
  <c r="N62" i="16"/>
  <c r="F73" i="16"/>
  <c r="N72" i="16"/>
  <c r="Y72" i="20"/>
  <c r="F87" i="16"/>
  <c r="N84" i="16"/>
  <c r="Y87" i="16"/>
  <c r="F90" i="20"/>
  <c r="Y122" i="16"/>
  <c r="AC128" i="20"/>
  <c r="E14" i="17"/>
  <c r="E16" i="17" s="1"/>
  <c r="AA72" i="20"/>
  <c r="B113" i="20"/>
  <c r="AE130" i="18"/>
  <c r="W128" i="20"/>
  <c r="AA14" i="19"/>
  <c r="AA16" i="19" s="1"/>
  <c r="N19" i="19"/>
  <c r="N28" i="19"/>
  <c r="M87" i="20"/>
  <c r="S52" i="6"/>
  <c r="S56" i="1" s="1"/>
  <c r="B99" i="20"/>
  <c r="U104" i="20"/>
  <c r="U110" i="20"/>
  <c r="AC115" i="20"/>
  <c r="F140" i="16"/>
  <c r="E61" i="16"/>
  <c r="Z129" i="20"/>
  <c r="I73" i="18"/>
  <c r="I122" i="18"/>
  <c r="M142" i="18"/>
  <c r="AE61" i="19"/>
  <c r="W54" i="1"/>
  <c r="AE14" i="15"/>
  <c r="AE16" i="15" s="1"/>
  <c r="B27" i="15"/>
  <c r="AB56" i="15"/>
  <c r="V62" i="20"/>
  <c r="V77" i="20"/>
  <c r="B96" i="20"/>
  <c r="Y96" i="20"/>
  <c r="Y114" i="20"/>
  <c r="N121" i="15"/>
  <c r="E27" i="16"/>
  <c r="C139" i="16"/>
  <c r="I61" i="16"/>
  <c r="AF61" i="16"/>
  <c r="X59" i="20"/>
  <c r="AB60" i="20"/>
  <c r="AD96" i="20"/>
  <c r="T52" i="6"/>
  <c r="T56" i="1" s="1"/>
  <c r="AB14" i="15"/>
  <c r="AB16" i="15" s="1"/>
  <c r="I14" i="15"/>
  <c r="I16" i="15" s="1"/>
  <c r="AF14" i="15"/>
  <c r="AF16" i="15" s="1"/>
  <c r="Y38" i="20"/>
  <c r="F42" i="20"/>
  <c r="F46" i="20"/>
  <c r="AC49" i="20"/>
  <c r="H54" i="20"/>
  <c r="D82" i="20"/>
  <c r="D85" i="20"/>
  <c r="H88" i="20"/>
  <c r="D90" i="20"/>
  <c r="AA90" i="20"/>
  <c r="E14" i="16"/>
  <c r="E16" i="16" s="1"/>
  <c r="AB14" i="16"/>
  <c r="AB16" i="16" s="1"/>
  <c r="B73" i="18"/>
  <c r="AG78" i="18"/>
  <c r="Y87" i="18"/>
  <c r="B14" i="19"/>
  <c r="B16" i="19" s="1"/>
  <c r="Y14" i="19"/>
  <c r="Y16" i="19" s="1"/>
  <c r="I61" i="19"/>
  <c r="Z138" i="19"/>
  <c r="Z73" i="19"/>
  <c r="L139" i="20"/>
  <c r="V19" i="20"/>
  <c r="Z20" i="20"/>
  <c r="G21" i="20"/>
  <c r="AD21" i="20"/>
  <c r="V22" i="20"/>
  <c r="Z24" i="20"/>
  <c r="G25" i="20"/>
  <c r="AD25" i="20"/>
  <c r="V26" i="20"/>
  <c r="J37" i="17"/>
  <c r="J63" i="17" s="1"/>
  <c r="J64" i="17" s="1"/>
  <c r="Y29" i="20"/>
  <c r="F30" i="20"/>
  <c r="AC30" i="20"/>
  <c r="H35" i="20"/>
  <c r="N52" i="17"/>
  <c r="X89" i="20"/>
  <c r="AB90" i="20"/>
  <c r="I91" i="20"/>
  <c r="I100" i="20"/>
  <c r="AE27" i="18"/>
  <c r="AE37" i="18" s="1"/>
  <c r="Z56" i="18"/>
  <c r="D61" i="18"/>
  <c r="K116" i="18"/>
  <c r="C87" i="18"/>
  <c r="J131" i="18"/>
  <c r="W27" i="19"/>
  <c r="H38" i="20"/>
  <c r="AE73" i="19"/>
  <c r="L116" i="19"/>
  <c r="AC129" i="20"/>
  <c r="K142" i="15"/>
  <c r="G14" i="16"/>
  <c r="G16" i="16" s="1"/>
  <c r="AD14" i="16"/>
  <c r="AD16" i="16" s="1"/>
  <c r="J37" i="16"/>
  <c r="J63" i="16" s="1"/>
  <c r="J64" i="16" s="1"/>
  <c r="AB30" i="20"/>
  <c r="AF31" i="20"/>
  <c r="X50" i="20"/>
  <c r="N59" i="16"/>
  <c r="D122" i="16"/>
  <c r="AA122" i="16"/>
  <c r="AE130" i="16"/>
  <c r="AE131" i="16" s="1"/>
  <c r="D20" i="20"/>
  <c r="H21" i="20"/>
  <c r="D24" i="20"/>
  <c r="H25" i="20"/>
  <c r="K37" i="17"/>
  <c r="K63" i="17" s="1"/>
  <c r="K64" i="17" s="1"/>
  <c r="AE60" i="20"/>
  <c r="B89" i="20"/>
  <c r="B92" i="20"/>
  <c r="Y104" i="20"/>
  <c r="F105" i="20"/>
  <c r="AC105" i="20"/>
  <c r="U106" i="20"/>
  <c r="B107" i="20"/>
  <c r="Y107" i="20"/>
  <c r="F108" i="20"/>
  <c r="AC108" i="20"/>
  <c r="Y110" i="20"/>
  <c r="F111" i="20"/>
  <c r="AC111" i="20"/>
  <c r="F121" i="20"/>
  <c r="F124" i="20"/>
  <c r="U125" i="20"/>
  <c r="B126" i="20"/>
  <c r="Y126" i="20"/>
  <c r="F127" i="20"/>
  <c r="AC127" i="20"/>
  <c r="X27" i="18"/>
  <c r="X37" i="18" s="1"/>
  <c r="AB138" i="19"/>
  <c r="AB73" i="19"/>
  <c r="Z122" i="15"/>
  <c r="F130" i="15"/>
  <c r="AC130" i="15"/>
  <c r="U130" i="15"/>
  <c r="B130" i="15"/>
  <c r="L142" i="15"/>
  <c r="H14" i="16"/>
  <c r="H16" i="16" s="1"/>
  <c r="AE14" i="16"/>
  <c r="AE16" i="16" s="1"/>
  <c r="C27" i="16"/>
  <c r="V27" i="16"/>
  <c r="V37" i="16" s="1"/>
  <c r="H140" i="16"/>
  <c r="N44" i="16"/>
  <c r="AG49" i="16"/>
  <c r="N50" i="16"/>
  <c r="F55" i="16"/>
  <c r="F56" i="16" s="1"/>
  <c r="M131" i="16"/>
  <c r="X19" i="20"/>
  <c r="E20" i="20"/>
  <c r="AB20" i="20"/>
  <c r="I21" i="20"/>
  <c r="AF21" i="20"/>
  <c r="X22" i="20"/>
  <c r="E24" i="20"/>
  <c r="AB27" i="17"/>
  <c r="AB37" i="17" s="1"/>
  <c r="I25" i="20"/>
  <c r="AF25" i="20"/>
  <c r="X26" i="20"/>
  <c r="L37" i="17"/>
  <c r="L63" i="17" s="1"/>
  <c r="L64" i="17" s="1"/>
  <c r="C107" i="20"/>
  <c r="V112" i="20"/>
  <c r="C113" i="20"/>
  <c r="Z113" i="20"/>
  <c r="G114" i="20"/>
  <c r="AD114" i="20"/>
  <c r="V115" i="20"/>
  <c r="C120" i="20"/>
  <c r="G121" i="20"/>
  <c r="AD121" i="20"/>
  <c r="C126" i="20"/>
  <c r="Y129" i="20"/>
  <c r="J37" i="18"/>
  <c r="J63" i="18" s="1"/>
  <c r="J64" i="18" s="1"/>
  <c r="G55" i="18"/>
  <c r="G56" i="18" s="1"/>
  <c r="J37" i="19"/>
  <c r="J63" i="19" s="1"/>
  <c r="X31" i="20"/>
  <c r="I38" i="20"/>
  <c r="AF38" i="20"/>
  <c r="W88" i="20"/>
  <c r="D89" i="20"/>
  <c r="AA89" i="20"/>
  <c r="AE90" i="20"/>
  <c r="W91" i="20"/>
  <c r="AA92" i="20"/>
  <c r="H93" i="20"/>
  <c r="AE93" i="20"/>
  <c r="W94" i="20"/>
  <c r="D95" i="20"/>
  <c r="AA95" i="20"/>
  <c r="H96" i="20"/>
  <c r="AE96" i="20"/>
  <c r="W97" i="20"/>
  <c r="D98" i="20"/>
  <c r="AA98" i="20"/>
  <c r="H99" i="20"/>
  <c r="AE99" i="20"/>
  <c r="W100" i="20"/>
  <c r="D101" i="20"/>
  <c r="AA101" i="20"/>
  <c r="N102" i="17"/>
  <c r="AE102" i="20"/>
  <c r="W103" i="20"/>
  <c r="D104" i="20"/>
  <c r="AA104" i="20"/>
  <c r="H105" i="20"/>
  <c r="AE105" i="20"/>
  <c r="W106" i="20"/>
  <c r="D107" i="20"/>
  <c r="AA107" i="20"/>
  <c r="H108" i="20"/>
  <c r="AE108" i="20"/>
  <c r="W109" i="20"/>
  <c r="D110" i="20"/>
  <c r="AA110" i="20"/>
  <c r="H111" i="20"/>
  <c r="AE111" i="20"/>
  <c r="W112" i="20"/>
  <c r="D113" i="20"/>
  <c r="AA113" i="20"/>
  <c r="AE114" i="20"/>
  <c r="W115" i="20"/>
  <c r="H121" i="20"/>
  <c r="AE121" i="20"/>
  <c r="D126" i="20"/>
  <c r="AA126" i="20"/>
  <c r="H127" i="20"/>
  <c r="AE127" i="20"/>
  <c r="V128" i="20"/>
  <c r="C27" i="18"/>
  <c r="E55" i="18"/>
  <c r="E56" i="18" s="1"/>
  <c r="AG83" i="18"/>
  <c r="N114" i="18"/>
  <c r="X122" i="18"/>
  <c r="G139" i="19"/>
  <c r="AG112" i="19"/>
  <c r="X122" i="19"/>
  <c r="AB130" i="19"/>
  <c r="AF125" i="20"/>
  <c r="J142" i="19"/>
  <c r="K73" i="20"/>
  <c r="N92" i="19"/>
  <c r="AD111" i="20"/>
  <c r="U27" i="18"/>
  <c r="U37" i="18" s="1"/>
  <c r="C55" i="18"/>
  <c r="C56" i="18" s="1"/>
  <c r="AD100" i="20"/>
  <c r="V122" i="18"/>
  <c r="Z122" i="18"/>
  <c r="AC48" i="20"/>
  <c r="Y50" i="20"/>
  <c r="F52" i="20"/>
  <c r="C83" i="20"/>
  <c r="V85" i="20"/>
  <c r="Z86" i="20"/>
  <c r="N106" i="19"/>
  <c r="N112" i="19"/>
  <c r="M116" i="18"/>
  <c r="W122" i="18"/>
  <c r="U14" i="19"/>
  <c r="U16" i="19" s="1"/>
  <c r="AD41" i="20"/>
  <c r="G45" i="20"/>
  <c r="V61" i="19"/>
  <c r="G60" i="20"/>
  <c r="AD60" i="20"/>
  <c r="I140" i="19"/>
  <c r="AA87" i="19"/>
  <c r="D86" i="20"/>
  <c r="AA86" i="20"/>
  <c r="U122" i="19"/>
  <c r="I55" i="18"/>
  <c r="I56" i="18" s="1"/>
  <c r="C72" i="20"/>
  <c r="N104" i="18"/>
  <c r="Y122" i="18"/>
  <c r="N22" i="19"/>
  <c r="X27" i="19"/>
  <c r="E27" i="19"/>
  <c r="AF27" i="19"/>
  <c r="L140" i="20"/>
  <c r="Z120" i="20"/>
  <c r="Z122" i="17"/>
  <c r="W12" i="20"/>
  <c r="D13" i="20"/>
  <c r="AA13" i="20"/>
  <c r="AF14" i="17"/>
  <c r="AF16" i="17" s="1"/>
  <c r="F27" i="17"/>
  <c r="F24" i="20"/>
  <c r="Y27" i="17"/>
  <c r="Y37" i="17" s="1"/>
  <c r="Y26" i="20"/>
  <c r="I140" i="17"/>
  <c r="I35" i="20"/>
  <c r="Z47" i="20"/>
  <c r="Z50" i="20"/>
  <c r="G52" i="20"/>
  <c r="D88" i="20"/>
  <c r="AA88" i="20"/>
  <c r="H89" i="20"/>
  <c r="AE89" i="20"/>
  <c r="D91" i="20"/>
  <c r="H92" i="20"/>
  <c r="AE92" i="20"/>
  <c r="W93" i="20"/>
  <c r="D94" i="20"/>
  <c r="AA94" i="20"/>
  <c r="H95" i="20"/>
  <c r="AE95" i="20"/>
  <c r="W96" i="20"/>
  <c r="D97" i="20"/>
  <c r="AA97" i="20"/>
  <c r="H98" i="20"/>
  <c r="AE98" i="20"/>
  <c r="W99" i="20"/>
  <c r="D100" i="20"/>
  <c r="AA100" i="20"/>
  <c r="H101" i="20"/>
  <c r="D115" i="20"/>
  <c r="C125" i="20"/>
  <c r="C128" i="20"/>
  <c r="AF138" i="19"/>
  <c r="AF73" i="19"/>
  <c r="AF70" i="20"/>
  <c r="AF138" i="20" s="1"/>
  <c r="AF87" i="19"/>
  <c r="AF82" i="20"/>
  <c r="Z89" i="20"/>
  <c r="X126" i="20"/>
  <c r="E127" i="20"/>
  <c r="X127" i="20"/>
  <c r="V121" i="20"/>
  <c r="B112" i="20"/>
  <c r="Z41" i="5"/>
  <c r="Z30" i="4"/>
  <c r="J56" i="1"/>
  <c r="AC70" i="20"/>
  <c r="AC138" i="20" s="1"/>
  <c r="Y106" i="20"/>
  <c r="Z17" i="3"/>
  <c r="Z28" i="3"/>
  <c r="Z39" i="3"/>
  <c r="N19" i="16"/>
  <c r="C13" i="20"/>
  <c r="AD89" i="20"/>
  <c r="AD92" i="20"/>
  <c r="C97" i="20"/>
  <c r="G101" i="20"/>
  <c r="Z106" i="20"/>
  <c r="R15" i="2"/>
  <c r="R10" i="1"/>
  <c r="S15" i="2"/>
  <c r="S10" i="1"/>
  <c r="S61" i="1" s="1"/>
  <c r="S41" i="2"/>
  <c r="K15" i="2"/>
  <c r="M15" i="2"/>
  <c r="Q52" i="1"/>
  <c r="Z57" i="2"/>
  <c r="I53" i="1"/>
  <c r="Q14" i="5"/>
  <c r="N56" i="1"/>
  <c r="AF56" i="15"/>
  <c r="N70" i="15"/>
  <c r="N138" i="15" s="1"/>
  <c r="AF87" i="15"/>
  <c r="X12" i="20"/>
  <c r="C19" i="20"/>
  <c r="Z19" i="20"/>
  <c r="G20" i="20"/>
  <c r="AD20" i="20"/>
  <c r="G24" i="20"/>
  <c r="G27" i="17"/>
  <c r="W27" i="17"/>
  <c r="G139" i="17"/>
  <c r="G34" i="20"/>
  <c r="G36" i="17"/>
  <c r="AE41" i="20"/>
  <c r="AA44" i="20"/>
  <c r="AA50" i="20"/>
  <c r="E62" i="20"/>
  <c r="AB62" i="20"/>
  <c r="I67" i="20"/>
  <c r="E138" i="17"/>
  <c r="E70" i="20"/>
  <c r="E138" i="20" s="1"/>
  <c r="AB73" i="17"/>
  <c r="AB70" i="20"/>
  <c r="AB138" i="20" s="1"/>
  <c r="AB138" i="17"/>
  <c r="I71" i="20"/>
  <c r="X72" i="20"/>
  <c r="E88" i="20"/>
  <c r="X105" i="20"/>
  <c r="I107" i="20"/>
  <c r="X121" i="20"/>
  <c r="AC74" i="20"/>
  <c r="U75" i="20"/>
  <c r="B76" i="20"/>
  <c r="Y76" i="20"/>
  <c r="F77" i="20"/>
  <c r="AC77" i="20"/>
  <c r="X87" i="19"/>
  <c r="Z29" i="5"/>
  <c r="Z43" i="5"/>
  <c r="Z28" i="4"/>
  <c r="I55" i="1"/>
  <c r="C140" i="16"/>
  <c r="V61" i="16"/>
  <c r="B106" i="20"/>
  <c r="AB15" i="3"/>
  <c r="Z21" i="3"/>
  <c r="W122" i="15"/>
  <c r="Z13" i="20"/>
  <c r="AG31" i="17"/>
  <c r="U31" i="20"/>
  <c r="Z138" i="17"/>
  <c r="Z70" i="20"/>
  <c r="Z138" i="20" s="1"/>
  <c r="C88" i="20"/>
  <c r="V90" i="20"/>
  <c r="C94" i="20"/>
  <c r="AD95" i="20"/>
  <c r="Z97" i="20"/>
  <c r="AD101" i="20"/>
  <c r="L10" i="1"/>
  <c r="L61" i="1" s="1"/>
  <c r="R52" i="1"/>
  <c r="L52" i="1"/>
  <c r="J37" i="15"/>
  <c r="J63" i="15" s="1"/>
  <c r="J64" i="15" s="1"/>
  <c r="AG70" i="15"/>
  <c r="AG138" i="15" s="1"/>
  <c r="U87" i="15"/>
  <c r="D130" i="15"/>
  <c r="AE128" i="20"/>
  <c r="B14" i="17"/>
  <c r="B16" i="17" s="1"/>
  <c r="B12" i="20"/>
  <c r="Y14" i="17"/>
  <c r="Y16" i="17" s="1"/>
  <c r="Y12" i="20"/>
  <c r="F14" i="17"/>
  <c r="F16" i="17" s="1"/>
  <c r="F13" i="20"/>
  <c r="AC13" i="20"/>
  <c r="H24" i="20"/>
  <c r="H27" i="17"/>
  <c r="AE27" i="17"/>
  <c r="AE37" i="17" s="1"/>
  <c r="AE24" i="20"/>
  <c r="N26" i="17"/>
  <c r="D26" i="20"/>
  <c r="AA27" i="17"/>
  <c r="AA37" i="17" s="1"/>
  <c r="X28" i="20"/>
  <c r="E29" i="20"/>
  <c r="AB29" i="20"/>
  <c r="I30" i="20"/>
  <c r="E36" i="17"/>
  <c r="E33" i="20"/>
  <c r="AB40" i="20"/>
  <c r="AB50" i="20"/>
  <c r="I52" i="20"/>
  <c r="E54" i="20"/>
  <c r="X61" i="17"/>
  <c r="X58" i="20"/>
  <c r="E59" i="20"/>
  <c r="AB59" i="20"/>
  <c r="I60" i="20"/>
  <c r="F62" i="20"/>
  <c r="AC62" i="20"/>
  <c r="AD79" i="20"/>
  <c r="V80" i="20"/>
  <c r="C82" i="20"/>
  <c r="C87" i="17"/>
  <c r="Z82" i="20"/>
  <c r="G83" i="20"/>
  <c r="AD83" i="20"/>
  <c r="Z85" i="20"/>
  <c r="G86" i="20"/>
  <c r="AD86" i="20"/>
  <c r="AC103" i="20"/>
  <c r="F112" i="20"/>
  <c r="AG71" i="18"/>
  <c r="N72" i="18"/>
  <c r="N80" i="18"/>
  <c r="AG42" i="19"/>
  <c r="N44" i="19"/>
  <c r="AG46" i="19"/>
  <c r="N48" i="19"/>
  <c r="N86" i="19"/>
  <c r="C86" i="20"/>
  <c r="G130" i="19"/>
  <c r="AB24" i="20"/>
  <c r="G70" i="20"/>
  <c r="G138" i="20" s="1"/>
  <c r="M16" i="2"/>
  <c r="AB16" i="2"/>
  <c r="R55" i="1"/>
  <c r="Z27" i="5"/>
  <c r="Z31" i="5"/>
  <c r="Z45" i="5"/>
  <c r="Z47" i="5"/>
  <c r="Z49" i="5"/>
  <c r="Z52" i="5"/>
  <c r="Z56" i="5"/>
  <c r="U59" i="20"/>
  <c r="X60" i="20"/>
  <c r="AG20" i="16"/>
  <c r="N90" i="17"/>
  <c r="H90" i="20"/>
  <c r="H102" i="20"/>
  <c r="AG38" i="16"/>
  <c r="U61" i="16"/>
  <c r="U15" i="20"/>
  <c r="N20" i="17"/>
  <c r="C20" i="20"/>
  <c r="W29" i="20"/>
  <c r="F140" i="17"/>
  <c r="F35" i="20"/>
  <c r="F80" i="20"/>
  <c r="B87" i="17"/>
  <c r="B83" i="20"/>
  <c r="F87" i="17"/>
  <c r="F84" i="20"/>
  <c r="N86" i="17"/>
  <c r="B86" i="20"/>
  <c r="AB120" i="20"/>
  <c r="AB122" i="17"/>
  <c r="C129" i="20"/>
  <c r="N129" i="17"/>
  <c r="W56" i="1"/>
  <c r="I137" i="16"/>
  <c r="I36" i="16"/>
  <c r="D139" i="17"/>
  <c r="D34" i="20"/>
  <c r="C79" i="20"/>
  <c r="N79" i="17"/>
  <c r="B91" i="20"/>
  <c r="Y91" i="20"/>
  <c r="AC92" i="20"/>
  <c r="U93" i="20"/>
  <c r="F95" i="20"/>
  <c r="B97" i="20"/>
  <c r="B100" i="20"/>
  <c r="N100" i="17"/>
  <c r="Y100" i="20"/>
  <c r="AC101" i="20"/>
  <c r="U102" i="20"/>
  <c r="F104" i="20"/>
  <c r="F107" i="20"/>
  <c r="F110" i="20"/>
  <c r="C130" i="19"/>
  <c r="V130" i="19"/>
  <c r="J15" i="3"/>
  <c r="Z19" i="3"/>
  <c r="Z42" i="3"/>
  <c r="Z48" i="3"/>
  <c r="Z53" i="3"/>
  <c r="U54" i="1"/>
  <c r="O14" i="5"/>
  <c r="D140" i="16"/>
  <c r="AD56" i="16"/>
  <c r="N53" i="16"/>
  <c r="AJ53" i="16" s="1"/>
  <c r="Z61" i="16"/>
  <c r="I73" i="16"/>
  <c r="G87" i="16"/>
  <c r="V12" i="20"/>
  <c r="AG28" i="17"/>
  <c r="U28" i="20"/>
  <c r="B33" i="20"/>
  <c r="N33" i="17"/>
  <c r="AJ33" i="17" s="1"/>
  <c r="G89" i="20"/>
  <c r="G92" i="20"/>
  <c r="G95" i="20"/>
  <c r="G98" i="20"/>
  <c r="V99" i="20"/>
  <c r="Z100" i="20"/>
  <c r="C103" i="20"/>
  <c r="Z103" i="20"/>
  <c r="AD104" i="20"/>
  <c r="V105" i="20"/>
  <c r="G107" i="20"/>
  <c r="V108" i="20"/>
  <c r="G110" i="20"/>
  <c r="AD110" i="20"/>
  <c r="C112" i="20"/>
  <c r="N30" i="15"/>
  <c r="AE40" i="20"/>
  <c r="AG55" i="15"/>
  <c r="D72" i="20"/>
  <c r="N72" i="15"/>
  <c r="I16" i="2"/>
  <c r="I14" i="2"/>
  <c r="I10" i="1"/>
  <c r="I60" i="1" s="1"/>
  <c r="U15" i="2"/>
  <c r="U10" i="1"/>
  <c r="U60" i="1" s="1"/>
  <c r="Q15" i="2"/>
  <c r="Z48" i="2"/>
  <c r="Z50" i="2"/>
  <c r="S52" i="1"/>
  <c r="Z55" i="2"/>
  <c r="N15" i="3"/>
  <c r="N14" i="3"/>
  <c r="J14" i="3"/>
  <c r="B61" i="15"/>
  <c r="J142" i="15"/>
  <c r="AG12" i="16"/>
  <c r="U14" i="16"/>
  <c r="U16" i="16" s="1"/>
  <c r="N13" i="16"/>
  <c r="N102" i="16"/>
  <c r="N114" i="16"/>
  <c r="X130" i="16"/>
  <c r="AF130" i="16"/>
  <c r="N15" i="17"/>
  <c r="D15" i="20"/>
  <c r="AA15" i="20"/>
  <c r="E19" i="20"/>
  <c r="AB19" i="20"/>
  <c r="I20" i="20"/>
  <c r="AF20" i="20"/>
  <c r="X21" i="20"/>
  <c r="E22" i="20"/>
  <c r="AB22" i="20"/>
  <c r="I24" i="20"/>
  <c r="AF24" i="20"/>
  <c r="AF27" i="17"/>
  <c r="AF37" i="17" s="1"/>
  <c r="X25" i="20"/>
  <c r="X27" i="17"/>
  <c r="X37" i="17" s="1"/>
  <c r="E26" i="20"/>
  <c r="AB26" i="20"/>
  <c r="B42" i="20"/>
  <c r="Y46" i="20"/>
  <c r="Y49" i="20"/>
  <c r="B53" i="20"/>
  <c r="N53" i="17"/>
  <c r="B61" i="17"/>
  <c r="B58" i="20"/>
  <c r="Y61" i="17"/>
  <c r="Y58" i="20"/>
  <c r="F59" i="20"/>
  <c r="AF60" i="20"/>
  <c r="B68" i="20"/>
  <c r="C69" i="20"/>
  <c r="Y73" i="17"/>
  <c r="W74" i="20"/>
  <c r="D75" i="20"/>
  <c r="AA75" i="20"/>
  <c r="H76" i="20"/>
  <c r="AE76" i="20"/>
  <c r="W77" i="20"/>
  <c r="D78" i="20"/>
  <c r="AA78" i="20"/>
  <c r="H79" i="20"/>
  <c r="AE79" i="20"/>
  <c r="W80" i="20"/>
  <c r="AA82" i="20"/>
  <c r="H83" i="20"/>
  <c r="AE83" i="20"/>
  <c r="H73" i="18"/>
  <c r="N69" i="18"/>
  <c r="AE87" i="19"/>
  <c r="AE84" i="20"/>
  <c r="AG90" i="19"/>
  <c r="AG96" i="19"/>
  <c r="N101" i="19"/>
  <c r="AG102" i="19"/>
  <c r="AG105" i="19"/>
  <c r="AG108" i="19"/>
  <c r="Y112" i="20"/>
  <c r="AC113" i="20"/>
  <c r="U114" i="20"/>
  <c r="B115" i="20"/>
  <c r="AB122" i="19"/>
  <c r="V15" i="3"/>
  <c r="V14" i="3"/>
  <c r="Z55" i="3"/>
  <c r="M53" i="1"/>
  <c r="X15" i="2"/>
  <c r="Z23" i="2"/>
  <c r="T14" i="5"/>
  <c r="Q56" i="1"/>
  <c r="E122" i="15"/>
  <c r="V14" i="16"/>
  <c r="V16" i="16" s="1"/>
  <c r="AG126" i="16"/>
  <c r="F130" i="16"/>
  <c r="AC130" i="16"/>
  <c r="Y25" i="20"/>
  <c r="Z31" i="20"/>
  <c r="V38" i="20"/>
  <c r="C39" i="20"/>
  <c r="Z39" i="20"/>
  <c r="AD40" i="20"/>
  <c r="V41" i="20"/>
  <c r="C42" i="20"/>
  <c r="Z42" i="20"/>
  <c r="G44" i="20"/>
  <c r="AD44" i="20"/>
  <c r="C46" i="20"/>
  <c r="Z46" i="20"/>
  <c r="G47" i="20"/>
  <c r="AD47" i="20"/>
  <c r="V48" i="20"/>
  <c r="C49" i="20"/>
  <c r="Z49" i="20"/>
  <c r="G50" i="20"/>
  <c r="AD50" i="20"/>
  <c r="C61" i="17"/>
  <c r="C58" i="20"/>
  <c r="Z61" i="17"/>
  <c r="Z58" i="20"/>
  <c r="G59" i="20"/>
  <c r="AD59" i="20"/>
  <c r="AG60" i="17"/>
  <c r="U60" i="20"/>
  <c r="H62" i="20"/>
  <c r="AE62" i="20"/>
  <c r="C68" i="20"/>
  <c r="W71" i="20"/>
  <c r="X74" i="20"/>
  <c r="E75" i="20"/>
  <c r="AB75" i="20"/>
  <c r="I76" i="20"/>
  <c r="AF76" i="20"/>
  <c r="X77" i="20"/>
  <c r="E78" i="20"/>
  <c r="AB78" i="20"/>
  <c r="E21" i="20"/>
  <c r="AA56" i="19"/>
  <c r="C35" i="20"/>
  <c r="C36" i="17"/>
  <c r="I47" i="20"/>
  <c r="AB61" i="17"/>
  <c r="AB58" i="20"/>
  <c r="N59" i="17"/>
  <c r="I59" i="20"/>
  <c r="W129" i="20"/>
  <c r="Z18" i="5"/>
  <c r="Z33" i="5"/>
  <c r="Z54" i="5"/>
  <c r="Y60" i="20"/>
  <c r="W62" i="20"/>
  <c r="N94" i="16"/>
  <c r="D140" i="17"/>
  <c r="D35" i="20"/>
  <c r="F58" i="20"/>
  <c r="AC61" i="17"/>
  <c r="AC58" i="20"/>
  <c r="B60" i="20"/>
  <c r="AF128" i="20"/>
  <c r="B139" i="17"/>
  <c r="B34" i="20"/>
  <c r="N34" i="17"/>
  <c r="AJ34" i="17" s="1"/>
  <c r="N92" i="17"/>
  <c r="D92" i="20"/>
  <c r="N114" i="17"/>
  <c r="H114" i="20"/>
  <c r="D122" i="17"/>
  <c r="D120" i="20"/>
  <c r="AA120" i="20"/>
  <c r="AA122" i="17"/>
  <c r="X10" i="1"/>
  <c r="I14" i="17"/>
  <c r="I16" i="17" s="1"/>
  <c r="I12" i="20"/>
  <c r="X13" i="20"/>
  <c r="X14" i="17"/>
  <c r="X16" i="17" s="1"/>
  <c r="C24" i="20"/>
  <c r="C27" i="17"/>
  <c r="Y79" i="20"/>
  <c r="AG82" i="17"/>
  <c r="U82" i="20"/>
  <c r="U87" i="17"/>
  <c r="AG85" i="17"/>
  <c r="U85" i="20"/>
  <c r="W130" i="17"/>
  <c r="W125" i="20"/>
  <c r="AG36" i="16"/>
  <c r="AG41" i="16"/>
  <c r="AG48" i="16"/>
  <c r="AG76" i="16"/>
  <c r="B87" i="16"/>
  <c r="B88" i="20"/>
  <c r="N88" i="17"/>
  <c r="AC89" i="20"/>
  <c r="U90" i="20"/>
  <c r="F92" i="20"/>
  <c r="B94" i="20"/>
  <c r="Y94" i="20"/>
  <c r="AC95" i="20"/>
  <c r="U96" i="20"/>
  <c r="Y97" i="20"/>
  <c r="AC98" i="20"/>
  <c r="AG99" i="17"/>
  <c r="U99" i="20"/>
  <c r="F101" i="20"/>
  <c r="B103" i="20"/>
  <c r="Y103" i="20"/>
  <c r="AC104" i="20"/>
  <c r="U105" i="20"/>
  <c r="AC107" i="20"/>
  <c r="U108" i="20"/>
  <c r="N109" i="17"/>
  <c r="B109" i="20"/>
  <c r="Y109" i="20"/>
  <c r="AC110" i="20"/>
  <c r="AG111" i="17"/>
  <c r="U111" i="20"/>
  <c r="F120" i="20"/>
  <c r="AC120" i="20"/>
  <c r="E122" i="17"/>
  <c r="Z50" i="3"/>
  <c r="X27" i="16"/>
  <c r="X37" i="16" s="1"/>
  <c r="C138" i="17"/>
  <c r="C70" i="20"/>
  <c r="C138" i="20" s="1"/>
  <c r="C91" i="20"/>
  <c r="V93" i="20"/>
  <c r="Z94" i="20"/>
  <c r="V96" i="20"/>
  <c r="AD98" i="20"/>
  <c r="C100" i="20"/>
  <c r="V102" i="20"/>
  <c r="G104" i="20"/>
  <c r="C106" i="20"/>
  <c r="AD107" i="20"/>
  <c r="C109" i="20"/>
  <c r="V111" i="20"/>
  <c r="O10" i="1"/>
  <c r="Z17" i="2"/>
  <c r="Z19" i="2"/>
  <c r="Z30" i="2"/>
  <c r="O15" i="3"/>
  <c r="L53" i="1"/>
  <c r="V14" i="5"/>
  <c r="P55" i="1"/>
  <c r="B36" i="15"/>
  <c r="AB15" i="2"/>
  <c r="U52" i="1"/>
  <c r="P14" i="3"/>
  <c r="K55" i="1"/>
  <c r="Z33" i="6"/>
  <c r="Z36" i="6"/>
  <c r="Z38" i="6"/>
  <c r="Z41" i="6"/>
  <c r="C36" i="15"/>
  <c r="N58" i="15"/>
  <c r="E73" i="15"/>
  <c r="W14" i="16"/>
  <c r="W16" i="16" s="1"/>
  <c r="AF56" i="16"/>
  <c r="E55" i="16"/>
  <c r="E56" i="16" s="1"/>
  <c r="H55" i="16"/>
  <c r="H56" i="16" s="1"/>
  <c r="H139" i="16"/>
  <c r="N90" i="16"/>
  <c r="N93" i="16"/>
  <c r="AJ93" i="16" s="1"/>
  <c r="N104" i="16"/>
  <c r="H44" i="20"/>
  <c r="AE44" i="20"/>
  <c r="D46" i="20"/>
  <c r="H47" i="20"/>
  <c r="AE47" i="20"/>
  <c r="AA49" i="20"/>
  <c r="H50" i="20"/>
  <c r="AE50" i="20"/>
  <c r="D53" i="20"/>
  <c r="D61" i="17"/>
  <c r="D58" i="20"/>
  <c r="H61" i="17"/>
  <c r="H59" i="20"/>
  <c r="V60" i="20"/>
  <c r="G61" i="17"/>
  <c r="E69" i="20"/>
  <c r="X71" i="20"/>
  <c r="E72" i="20"/>
  <c r="N72" i="17"/>
  <c r="AD128" i="20"/>
  <c r="N28" i="18"/>
  <c r="N67" i="18"/>
  <c r="L15" i="20"/>
  <c r="L16" i="19"/>
  <c r="AB25" i="20"/>
  <c r="H67" i="20"/>
  <c r="V52" i="1"/>
  <c r="J53" i="1"/>
  <c r="V53" i="1"/>
  <c r="R14" i="5"/>
  <c r="Q55" i="1"/>
  <c r="Z17" i="6"/>
  <c r="Z18" i="6"/>
  <c r="Z26" i="6"/>
  <c r="Z28" i="6"/>
  <c r="Z32" i="6"/>
  <c r="Z46" i="6"/>
  <c r="Z48" i="6"/>
  <c r="G14" i="15"/>
  <c r="G16" i="15" s="1"/>
  <c r="F54" i="20"/>
  <c r="I58" i="20"/>
  <c r="V87" i="15"/>
  <c r="X14" i="16"/>
  <c r="X16" i="16" s="1"/>
  <c r="AE56" i="16"/>
  <c r="N46" i="16"/>
  <c r="W56" i="16"/>
  <c r="G73" i="16"/>
  <c r="I87" i="16"/>
  <c r="AF87" i="16"/>
  <c r="N92" i="16"/>
  <c r="AF122" i="16"/>
  <c r="J131" i="16"/>
  <c r="D14" i="17"/>
  <c r="D16" i="17" s="1"/>
  <c r="D12" i="20"/>
  <c r="AA14" i="17"/>
  <c r="AA16" i="17" s="1"/>
  <c r="AA12" i="20"/>
  <c r="H13" i="20"/>
  <c r="AE14" i="17"/>
  <c r="AE16" i="17" s="1"/>
  <c r="AE13" i="20"/>
  <c r="E15" i="20"/>
  <c r="F19" i="20"/>
  <c r="AC19" i="20"/>
  <c r="AG20" i="17"/>
  <c r="U20" i="20"/>
  <c r="B21" i="20"/>
  <c r="Y21" i="20"/>
  <c r="F22" i="20"/>
  <c r="U27" i="17"/>
  <c r="U37" i="17" s="1"/>
  <c r="U24" i="20"/>
  <c r="F26" i="20"/>
  <c r="B28" i="20"/>
  <c r="N28" i="17"/>
  <c r="Y28" i="20"/>
  <c r="U30" i="20"/>
  <c r="Y31" i="20"/>
  <c r="F38" i="20"/>
  <c r="AC38" i="20"/>
  <c r="AG39" i="17"/>
  <c r="B40" i="20"/>
  <c r="Y40" i="20"/>
  <c r="F41" i="20"/>
  <c r="AC41" i="20"/>
  <c r="AG42" i="17"/>
  <c r="U42" i="20"/>
  <c r="B44" i="20"/>
  <c r="Y44" i="20"/>
  <c r="F45" i="20"/>
  <c r="AC45" i="20"/>
  <c r="U46" i="20"/>
  <c r="B47" i="20"/>
  <c r="Y47" i="20"/>
  <c r="F48" i="20"/>
  <c r="AG49" i="17"/>
  <c r="U49" i="20"/>
  <c r="N50" i="17"/>
  <c r="B50" i="20"/>
  <c r="I53" i="20"/>
  <c r="I55" i="17"/>
  <c r="I56" i="17" s="1"/>
  <c r="C67" i="20"/>
  <c r="F69" i="20"/>
  <c r="U70" i="20"/>
  <c r="B71" i="20"/>
  <c r="N71" i="17"/>
  <c r="F72" i="20"/>
  <c r="AB72" i="20"/>
  <c r="B74" i="20"/>
  <c r="Y74" i="20"/>
  <c r="F75" i="20"/>
  <c r="AC75" i="20"/>
  <c r="U76" i="20"/>
  <c r="N77" i="17"/>
  <c r="B77" i="20"/>
  <c r="Y77" i="20"/>
  <c r="F78" i="20"/>
  <c r="AC78" i="20"/>
  <c r="AF79" i="20"/>
  <c r="E82" i="20"/>
  <c r="AD88" i="20"/>
  <c r="V89" i="20"/>
  <c r="C90" i="20"/>
  <c r="G91" i="20"/>
  <c r="AD91" i="20"/>
  <c r="V92" i="20"/>
  <c r="C93" i="20"/>
  <c r="Z93" i="20"/>
  <c r="G94" i="20"/>
  <c r="AD94" i="20"/>
  <c r="V95" i="20"/>
  <c r="C96" i="20"/>
  <c r="Z96" i="20"/>
  <c r="G97" i="20"/>
  <c r="AD97" i="20"/>
  <c r="E125" i="20"/>
  <c r="N46" i="18"/>
  <c r="U39" i="20"/>
  <c r="Z38" i="2"/>
  <c r="W41" i="2"/>
  <c r="Z16" i="4"/>
  <c r="Z18" i="4"/>
  <c r="Z20" i="4"/>
  <c r="Z38" i="4"/>
  <c r="Z41" i="4"/>
  <c r="S14" i="5"/>
  <c r="AF61" i="15"/>
  <c r="E60" i="20"/>
  <c r="AF27" i="16"/>
  <c r="AF37" i="16" s="1"/>
  <c r="D139" i="16"/>
  <c r="G140" i="16"/>
  <c r="AG40" i="16"/>
  <c r="C61" i="16"/>
  <c r="Y61" i="16"/>
  <c r="H73" i="16"/>
  <c r="U87" i="16"/>
  <c r="X87" i="16"/>
  <c r="AG101" i="16"/>
  <c r="N103" i="16"/>
  <c r="AG110" i="16"/>
  <c r="N111" i="16"/>
  <c r="AG113" i="16"/>
  <c r="N115" i="16"/>
  <c r="K131" i="16"/>
  <c r="AB14" i="17"/>
  <c r="AB16" i="17" s="1"/>
  <c r="AB12" i="20"/>
  <c r="I13" i="20"/>
  <c r="AF13" i="20"/>
  <c r="F15" i="20"/>
  <c r="AC15" i="20"/>
  <c r="G19" i="20"/>
  <c r="Z21" i="20"/>
  <c r="G22" i="20"/>
  <c r="AD22" i="20"/>
  <c r="C28" i="20"/>
  <c r="Z28" i="20"/>
  <c r="G29" i="20"/>
  <c r="AD29" i="20"/>
  <c r="C31" i="20"/>
  <c r="G137" i="17"/>
  <c r="G33" i="20"/>
  <c r="I139" i="17"/>
  <c r="I34" i="20"/>
  <c r="G38" i="20"/>
  <c r="AD38" i="20"/>
  <c r="V39" i="20"/>
  <c r="C40" i="20"/>
  <c r="Z40" i="20"/>
  <c r="V42" i="20"/>
  <c r="C44" i="20"/>
  <c r="Z44" i="20"/>
  <c r="AD45" i="20"/>
  <c r="V46" i="20"/>
  <c r="C47" i="20"/>
  <c r="G48" i="20"/>
  <c r="AD48" i="20"/>
  <c r="V49" i="20"/>
  <c r="C50" i="20"/>
  <c r="H58" i="20"/>
  <c r="AE58" i="20"/>
  <c r="W61" i="17"/>
  <c r="W59" i="20"/>
  <c r="D60" i="20"/>
  <c r="Z60" i="20"/>
  <c r="G73" i="17"/>
  <c r="G69" i="20"/>
  <c r="V138" i="17"/>
  <c r="V70" i="20"/>
  <c r="V138" i="20" s="1"/>
  <c r="V73" i="17"/>
  <c r="C71" i="20"/>
  <c r="Z71" i="20"/>
  <c r="G72" i="20"/>
  <c r="AC72" i="20"/>
  <c r="C74" i="20"/>
  <c r="Z74" i="20"/>
  <c r="G75" i="20"/>
  <c r="AD75" i="20"/>
  <c r="V76" i="20"/>
  <c r="C77" i="20"/>
  <c r="Z77" i="20"/>
  <c r="G78" i="20"/>
  <c r="AD78" i="20"/>
  <c r="U79" i="20"/>
  <c r="B80" i="20"/>
  <c r="Y80" i="20"/>
  <c r="F82" i="20"/>
  <c r="AC82" i="20"/>
  <c r="AG83" i="17"/>
  <c r="U83" i="20"/>
  <c r="B84" i="20"/>
  <c r="Y84" i="20"/>
  <c r="F85" i="20"/>
  <c r="AC85" i="20"/>
  <c r="B124" i="20"/>
  <c r="Y130" i="17"/>
  <c r="N125" i="17"/>
  <c r="F125" i="20"/>
  <c r="AC125" i="20"/>
  <c r="U126" i="20"/>
  <c r="B127" i="20"/>
  <c r="Y127" i="20"/>
  <c r="F128" i="20"/>
  <c r="AB128" i="20"/>
  <c r="I129" i="20"/>
  <c r="AE129" i="20"/>
  <c r="AA70" i="20"/>
  <c r="AA138" i="20" s="1"/>
  <c r="X87" i="15"/>
  <c r="N15" i="16"/>
  <c r="AG25" i="16"/>
  <c r="AG28" i="16"/>
  <c r="E139" i="16"/>
  <c r="AG60" i="16"/>
  <c r="AG72" i="16"/>
  <c r="V87" i="16"/>
  <c r="AG85" i="16"/>
  <c r="N86" i="16"/>
  <c r="L131" i="16"/>
  <c r="J142" i="16"/>
  <c r="F12" i="20"/>
  <c r="AC14" i="17"/>
  <c r="AC16" i="17" s="1"/>
  <c r="AC12" i="20"/>
  <c r="U13" i="20"/>
  <c r="G15" i="20"/>
  <c r="H19" i="20"/>
  <c r="AE19" i="20"/>
  <c r="W20" i="20"/>
  <c r="D21" i="20"/>
  <c r="H22" i="20"/>
  <c r="AE22" i="20"/>
  <c r="W24" i="20"/>
  <c r="D25" i="20"/>
  <c r="H26" i="20"/>
  <c r="AE26" i="20"/>
  <c r="D28" i="20"/>
  <c r="AA28" i="20"/>
  <c r="AE29" i="20"/>
  <c r="W30" i="20"/>
  <c r="D31" i="20"/>
  <c r="AA31" i="20"/>
  <c r="H33" i="20"/>
  <c r="H137" i="17"/>
  <c r="AE38" i="20"/>
  <c r="W39" i="20"/>
  <c r="D40" i="20"/>
  <c r="AA40" i="20"/>
  <c r="N41" i="17"/>
  <c r="H41" i="20"/>
  <c r="W42" i="20"/>
  <c r="H45" i="20"/>
  <c r="AE45" i="20"/>
  <c r="W46" i="20"/>
  <c r="D47" i="20"/>
  <c r="AA47" i="20"/>
  <c r="H48" i="20"/>
  <c r="AE48" i="20"/>
  <c r="W49" i="20"/>
  <c r="D50" i="20"/>
  <c r="H52" i="20"/>
  <c r="B54" i="20"/>
  <c r="N54" i="17"/>
  <c r="X62" i="20"/>
  <c r="E73" i="17"/>
  <c r="E67" i="20"/>
  <c r="H69" i="20"/>
  <c r="W138" i="17"/>
  <c r="W70" i="20"/>
  <c r="W138" i="20" s="1"/>
  <c r="W76" i="20"/>
  <c r="V79" i="20"/>
  <c r="E108" i="20"/>
  <c r="I109" i="20"/>
  <c r="AF109" i="20"/>
  <c r="E111" i="20"/>
  <c r="C130" i="17"/>
  <c r="C124" i="20"/>
  <c r="G125" i="20"/>
  <c r="AD125" i="20"/>
  <c r="V126" i="20"/>
  <c r="C127" i="20"/>
  <c r="G128" i="20"/>
  <c r="AF129" i="20"/>
  <c r="K37" i="18"/>
  <c r="K63" i="18" s="1"/>
  <c r="K64" i="18" s="1"/>
  <c r="X56" i="18"/>
  <c r="C14" i="19"/>
  <c r="G13" i="20"/>
  <c r="D125" i="20"/>
  <c r="E12" i="20"/>
  <c r="Z47" i="2"/>
  <c r="Z49" i="2"/>
  <c r="Z31" i="3"/>
  <c r="Z33" i="3"/>
  <c r="Z41" i="3"/>
  <c r="Z43" i="3"/>
  <c r="Z47" i="3"/>
  <c r="S53" i="1"/>
  <c r="O67" i="4"/>
  <c r="W67" i="16" s="1"/>
  <c r="W137" i="16" s="1"/>
  <c r="I67" i="5"/>
  <c r="U14" i="5"/>
  <c r="N55" i="1"/>
  <c r="O56" i="1"/>
  <c r="D55" i="15"/>
  <c r="D56" i="15" s="1"/>
  <c r="U84" i="20"/>
  <c r="B85" i="20"/>
  <c r="G27" i="16"/>
  <c r="AD27" i="16"/>
  <c r="AD37" i="16" s="1"/>
  <c r="C55" i="16"/>
  <c r="C56" i="16" s="1"/>
  <c r="I55" i="16"/>
  <c r="I56" i="16" s="1"/>
  <c r="AD61" i="16"/>
  <c r="J116" i="16"/>
  <c r="N80" i="16"/>
  <c r="W87" i="16"/>
  <c r="AA87" i="16"/>
  <c r="H87" i="16"/>
  <c r="I130" i="16"/>
  <c r="I131" i="16" s="1"/>
  <c r="K142" i="16"/>
  <c r="G14" i="17"/>
  <c r="G16" i="17" s="1"/>
  <c r="G12" i="20"/>
  <c r="AD14" i="17"/>
  <c r="AD16" i="17" s="1"/>
  <c r="AD12" i="20"/>
  <c r="V13" i="20"/>
  <c r="H15" i="20"/>
  <c r="AE15" i="20"/>
  <c r="X24" i="20"/>
  <c r="I26" i="20"/>
  <c r="E28" i="20"/>
  <c r="AB28" i="20"/>
  <c r="AF29" i="20"/>
  <c r="X30" i="20"/>
  <c r="E31" i="20"/>
  <c r="I137" i="17"/>
  <c r="I33" i="20"/>
  <c r="X39" i="20"/>
  <c r="E40" i="20"/>
  <c r="AF41" i="20"/>
  <c r="X42" i="20"/>
  <c r="AB44" i="20"/>
  <c r="I45" i="20"/>
  <c r="AF45" i="20"/>
  <c r="X46" i="20"/>
  <c r="E47" i="20"/>
  <c r="AB47" i="20"/>
  <c r="I48" i="20"/>
  <c r="AF48" i="20"/>
  <c r="X49" i="20"/>
  <c r="E50" i="20"/>
  <c r="C54" i="20"/>
  <c r="B62" i="20"/>
  <c r="Y62" i="20"/>
  <c r="X76" i="20"/>
  <c r="AE85" i="20"/>
  <c r="W86" i="20"/>
  <c r="U97" i="20"/>
  <c r="Y101" i="20"/>
  <c r="F102" i="20"/>
  <c r="AC102" i="20"/>
  <c r="U103" i="20"/>
  <c r="B104" i="20"/>
  <c r="AG109" i="17"/>
  <c r="U109" i="20"/>
  <c r="N110" i="17"/>
  <c r="B110" i="20"/>
  <c r="AF112" i="20"/>
  <c r="X113" i="20"/>
  <c r="E114" i="20"/>
  <c r="AB114" i="20"/>
  <c r="I115" i="20"/>
  <c r="AF115" i="20"/>
  <c r="X120" i="20"/>
  <c r="E121" i="20"/>
  <c r="AB121" i="20"/>
  <c r="D130" i="17"/>
  <c r="D124" i="20"/>
  <c r="AA130" i="17"/>
  <c r="H125" i="20"/>
  <c r="AE125" i="20"/>
  <c r="W126" i="20"/>
  <c r="D127" i="20"/>
  <c r="AA127" i="20"/>
  <c r="H128" i="20"/>
  <c r="AG129" i="17"/>
  <c r="U129" i="20"/>
  <c r="D14" i="19"/>
  <c r="D16" i="19" s="1"/>
  <c r="X130" i="19"/>
  <c r="N15" i="2"/>
  <c r="P54" i="1"/>
  <c r="V54" i="1"/>
  <c r="X44" i="20"/>
  <c r="I49" i="20"/>
  <c r="AF49" i="20"/>
  <c r="F73" i="15"/>
  <c r="L116" i="15"/>
  <c r="AB130" i="15"/>
  <c r="X129" i="20"/>
  <c r="I14" i="16"/>
  <c r="I16" i="16" s="1"/>
  <c r="AE27" i="16"/>
  <c r="AE37" i="16" s="1"/>
  <c r="D137" i="16"/>
  <c r="F61" i="16"/>
  <c r="AB61" i="16"/>
  <c r="D138" i="16"/>
  <c r="D70" i="20"/>
  <c r="H12" i="20"/>
  <c r="AE12" i="20"/>
  <c r="W13" i="20"/>
  <c r="I15" i="20"/>
  <c r="Y20" i="20"/>
  <c r="F21" i="20"/>
  <c r="U22" i="20"/>
  <c r="F25" i="20"/>
  <c r="F28" i="20"/>
  <c r="AC28" i="20"/>
  <c r="AG29" i="17"/>
  <c r="U29" i="20"/>
  <c r="N30" i="17"/>
  <c r="B30" i="20"/>
  <c r="Y30" i="20"/>
  <c r="F31" i="20"/>
  <c r="AC31" i="20"/>
  <c r="B140" i="17"/>
  <c r="B35" i="20"/>
  <c r="N35" i="17"/>
  <c r="AJ35" i="17" s="1"/>
  <c r="B39" i="20"/>
  <c r="Y39" i="20"/>
  <c r="AC40" i="20"/>
  <c r="U41" i="20"/>
  <c r="Y42" i="20"/>
  <c r="F44" i="20"/>
  <c r="AC44" i="20"/>
  <c r="U45" i="20"/>
  <c r="B46" i="20"/>
  <c r="F47" i="20"/>
  <c r="AC47" i="20"/>
  <c r="U48" i="20"/>
  <c r="N49" i="17"/>
  <c r="B49" i="20"/>
  <c r="F50" i="20"/>
  <c r="AC50" i="20"/>
  <c r="D54" i="20"/>
  <c r="V61" i="17"/>
  <c r="C62" i="20"/>
  <c r="Z62" i="20"/>
  <c r="W73" i="17"/>
  <c r="B70" i="20"/>
  <c r="B138" i="20" s="1"/>
  <c r="Y70" i="20"/>
  <c r="Y138" i="20" s="1"/>
  <c r="Y138" i="17"/>
  <c r="F71" i="20"/>
  <c r="AC71" i="20"/>
  <c r="AF72" i="20"/>
  <c r="F74" i="20"/>
  <c r="B79" i="20"/>
  <c r="X79" i="20"/>
  <c r="AB84" i="20"/>
  <c r="G90" i="20"/>
  <c r="AD90" i="20"/>
  <c r="C92" i="20"/>
  <c r="V100" i="20"/>
  <c r="C101" i="20"/>
  <c r="N101" i="17"/>
  <c r="Z101" i="20"/>
  <c r="G102" i="20"/>
  <c r="AD102" i="20"/>
  <c r="V103" i="20"/>
  <c r="C104" i="20"/>
  <c r="Z104" i="20"/>
  <c r="G105" i="20"/>
  <c r="AD105" i="20"/>
  <c r="V106" i="20"/>
  <c r="N107" i="17"/>
  <c r="Z107" i="20"/>
  <c r="G108" i="20"/>
  <c r="AD108" i="20"/>
  <c r="V109" i="20"/>
  <c r="C110" i="20"/>
  <c r="Z110" i="20"/>
  <c r="G111" i="20"/>
  <c r="AG112" i="17"/>
  <c r="U112" i="20"/>
  <c r="Y113" i="20"/>
  <c r="F114" i="20"/>
  <c r="AC114" i="20"/>
  <c r="U115" i="20"/>
  <c r="B120" i="20"/>
  <c r="B122" i="17"/>
  <c r="Y122" i="17"/>
  <c r="Y120" i="20"/>
  <c r="AC122" i="17"/>
  <c r="AC121" i="20"/>
  <c r="E14" i="19"/>
  <c r="E16" i="19" s="1"/>
  <c r="AB14" i="19"/>
  <c r="AB16" i="19" s="1"/>
  <c r="AC29" i="20"/>
  <c r="AG126" i="19"/>
  <c r="W84" i="20"/>
  <c r="AA85" i="20"/>
  <c r="H86" i="20"/>
  <c r="AE86" i="20"/>
  <c r="AB88" i="20"/>
  <c r="N89" i="17"/>
  <c r="AF89" i="20"/>
  <c r="E91" i="20"/>
  <c r="AB91" i="20"/>
  <c r="AF92" i="20"/>
  <c r="X93" i="20"/>
  <c r="E94" i="20"/>
  <c r="AB94" i="20"/>
  <c r="I95" i="20"/>
  <c r="X96" i="20"/>
  <c r="E97" i="20"/>
  <c r="AB97" i="20"/>
  <c r="I98" i="20"/>
  <c r="AF98" i="20"/>
  <c r="X99" i="20"/>
  <c r="E100" i="20"/>
  <c r="AB100" i="20"/>
  <c r="AA106" i="20"/>
  <c r="AE107" i="20"/>
  <c r="AF127" i="20"/>
  <c r="X14" i="18"/>
  <c r="X16" i="18" s="1"/>
  <c r="AC56" i="18"/>
  <c r="D55" i="18"/>
  <c r="D56" i="18" s="1"/>
  <c r="AG105" i="18"/>
  <c r="I55" i="19"/>
  <c r="I56" i="19" s="1"/>
  <c r="AG55" i="19"/>
  <c r="I89" i="20"/>
  <c r="X80" i="20"/>
  <c r="AB82" i="20"/>
  <c r="X84" i="20"/>
  <c r="E85" i="20"/>
  <c r="AB85" i="20"/>
  <c r="I86" i="20"/>
  <c r="AF86" i="20"/>
  <c r="F88" i="20"/>
  <c r="U89" i="20"/>
  <c r="B93" i="20"/>
  <c r="Y93" i="20"/>
  <c r="Y99" i="20"/>
  <c r="F100" i="20"/>
  <c r="AC100" i="20"/>
  <c r="AF101" i="20"/>
  <c r="X102" i="20"/>
  <c r="E103" i="20"/>
  <c r="I104" i="20"/>
  <c r="AF104" i="20"/>
  <c r="E106" i="20"/>
  <c r="AF107" i="20"/>
  <c r="X108" i="20"/>
  <c r="E109" i="20"/>
  <c r="I110" i="20"/>
  <c r="AF110" i="20"/>
  <c r="X111" i="20"/>
  <c r="E112" i="20"/>
  <c r="AA112" i="20"/>
  <c r="H113" i="20"/>
  <c r="AE113" i="20"/>
  <c r="W114" i="20"/>
  <c r="H120" i="20"/>
  <c r="AE120" i="20"/>
  <c r="W121" i="20"/>
  <c r="E129" i="20"/>
  <c r="G139" i="18"/>
  <c r="N40" i="18"/>
  <c r="AG46" i="18"/>
  <c r="E61" i="18"/>
  <c r="N89" i="18"/>
  <c r="N101" i="18"/>
  <c r="AG114" i="18"/>
  <c r="N115" i="18"/>
  <c r="AG121" i="18"/>
  <c r="H130" i="18"/>
  <c r="N20" i="19"/>
  <c r="AE27" i="19"/>
  <c r="E137" i="19"/>
  <c r="I139" i="19"/>
  <c r="Y61" i="19"/>
  <c r="AC61" i="19"/>
  <c r="AG60" i="19"/>
  <c r="AA56" i="18"/>
  <c r="F55" i="18"/>
  <c r="U61" i="18"/>
  <c r="AG89" i="18"/>
  <c r="AG92" i="18"/>
  <c r="C61" i="19"/>
  <c r="Z61" i="19"/>
  <c r="D71" i="20"/>
  <c r="AA71" i="20"/>
  <c r="H72" i="20"/>
  <c r="D74" i="20"/>
  <c r="AA74" i="20"/>
  <c r="H75" i="20"/>
  <c r="AE75" i="20"/>
  <c r="D77" i="20"/>
  <c r="AA77" i="20"/>
  <c r="H78" i="20"/>
  <c r="AE78" i="20"/>
  <c r="C80" i="20"/>
  <c r="Z80" i="20"/>
  <c r="G82" i="20"/>
  <c r="AD82" i="20"/>
  <c r="V87" i="17"/>
  <c r="V83" i="20"/>
  <c r="C84" i="20"/>
  <c r="Z84" i="20"/>
  <c r="G85" i="20"/>
  <c r="AD85" i="20"/>
  <c r="E87" i="17"/>
  <c r="AG20" i="18"/>
  <c r="N21" i="18"/>
  <c r="AG30" i="18"/>
  <c r="I139" i="18"/>
  <c r="L116" i="18"/>
  <c r="N86" i="18"/>
  <c r="AG95" i="18"/>
  <c r="N96" i="18"/>
  <c r="Y130" i="18"/>
  <c r="AC130" i="18"/>
  <c r="M16" i="19"/>
  <c r="N25" i="19"/>
  <c r="G36" i="19"/>
  <c r="C140" i="19"/>
  <c r="G67" i="20"/>
  <c r="I69" i="20"/>
  <c r="X138" i="17"/>
  <c r="X70" i="20"/>
  <c r="X138" i="20" s="1"/>
  <c r="E71" i="20"/>
  <c r="I72" i="20"/>
  <c r="E74" i="20"/>
  <c r="AB74" i="20"/>
  <c r="I75" i="20"/>
  <c r="E77" i="20"/>
  <c r="AB77" i="20"/>
  <c r="I78" i="20"/>
  <c r="AF78" i="20"/>
  <c r="W79" i="20"/>
  <c r="D80" i="20"/>
  <c r="AA80" i="20"/>
  <c r="H82" i="20"/>
  <c r="AE87" i="17"/>
  <c r="AE82" i="20"/>
  <c r="W83" i="20"/>
  <c r="D84" i="20"/>
  <c r="AA84" i="20"/>
  <c r="H85" i="20"/>
  <c r="AB93" i="20"/>
  <c r="X95" i="20"/>
  <c r="AB130" i="17"/>
  <c r="AB125" i="20"/>
  <c r="I126" i="20"/>
  <c r="AF126" i="20"/>
  <c r="X130" i="17"/>
  <c r="E128" i="20"/>
  <c r="AA128" i="20"/>
  <c r="H129" i="20"/>
  <c r="AD129" i="20"/>
  <c r="E14" i="18"/>
  <c r="E16" i="18" s="1"/>
  <c r="N42" i="18"/>
  <c r="H55" i="18"/>
  <c r="H56" i="18" s="1"/>
  <c r="AF87" i="18"/>
  <c r="N93" i="18"/>
  <c r="AG104" i="18"/>
  <c r="N105" i="18"/>
  <c r="K131" i="18"/>
  <c r="N21" i="19"/>
  <c r="AB56" i="19"/>
  <c r="W130" i="19"/>
  <c r="D130" i="19"/>
  <c r="D131" i="19" s="1"/>
  <c r="L127" i="20"/>
  <c r="L130" i="20" s="1"/>
  <c r="L130" i="19"/>
  <c r="L131" i="19" s="1"/>
  <c r="V24" i="20"/>
  <c r="C25" i="20"/>
  <c r="Z27" i="17"/>
  <c r="Z37" i="17" s="1"/>
  <c r="Z25" i="20"/>
  <c r="G26" i="20"/>
  <c r="X29" i="20"/>
  <c r="E30" i="20"/>
  <c r="C34" i="20"/>
  <c r="E140" i="17"/>
  <c r="E35" i="20"/>
  <c r="W38" i="20"/>
  <c r="D39" i="20"/>
  <c r="AA39" i="20"/>
  <c r="W41" i="20"/>
  <c r="AA42" i="20"/>
  <c r="W45" i="20"/>
  <c r="D49" i="20"/>
  <c r="C53" i="20"/>
  <c r="F55" i="17"/>
  <c r="F56" i="17" s="1"/>
  <c r="G58" i="20"/>
  <c r="AD61" i="17"/>
  <c r="AD58" i="20"/>
  <c r="V59" i="20"/>
  <c r="C60" i="20"/>
  <c r="G62" i="20"/>
  <c r="AD62" i="20"/>
  <c r="H71" i="20"/>
  <c r="AD71" i="20"/>
  <c r="AG72" i="17"/>
  <c r="U72" i="20"/>
  <c r="N76" i="17"/>
  <c r="AG78" i="17"/>
  <c r="E80" i="20"/>
  <c r="AB80" i="20"/>
  <c r="I87" i="17"/>
  <c r="I82" i="20"/>
  <c r="I85" i="20"/>
  <c r="X86" i="20"/>
  <c r="AC88" i="20"/>
  <c r="B90" i="20"/>
  <c r="F91" i="20"/>
  <c r="U92" i="20"/>
  <c r="F94" i="20"/>
  <c r="AC94" i="20"/>
  <c r="U95" i="20"/>
  <c r="N96" i="17"/>
  <c r="F97" i="20"/>
  <c r="AC97" i="20"/>
  <c r="AG98" i="17"/>
  <c r="U98" i="20"/>
  <c r="N99" i="17"/>
  <c r="I101" i="20"/>
  <c r="AE101" i="20"/>
  <c r="W102" i="20"/>
  <c r="D103" i="20"/>
  <c r="H104" i="20"/>
  <c r="AE104" i="20"/>
  <c r="W105" i="20"/>
  <c r="D106" i="20"/>
  <c r="H107" i="20"/>
  <c r="D109" i="20"/>
  <c r="AA109" i="20"/>
  <c r="H110" i="20"/>
  <c r="AE110" i="20"/>
  <c r="W111" i="20"/>
  <c r="V114" i="20"/>
  <c r="C115" i="20"/>
  <c r="Z115" i="20"/>
  <c r="G122" i="17"/>
  <c r="G120" i="20"/>
  <c r="AD120" i="20"/>
  <c r="G124" i="20"/>
  <c r="V125" i="20"/>
  <c r="Z126" i="20"/>
  <c r="AD127" i="20"/>
  <c r="AG128" i="17"/>
  <c r="U128" i="20"/>
  <c r="B129" i="20"/>
  <c r="C140" i="18"/>
  <c r="AG62" i="18"/>
  <c r="I130" i="18"/>
  <c r="X130" i="18"/>
  <c r="N24" i="19"/>
  <c r="U27" i="19"/>
  <c r="N68" i="19"/>
  <c r="N94" i="19"/>
  <c r="N95" i="19"/>
  <c r="F122" i="19"/>
  <c r="AC122" i="19"/>
  <c r="K142" i="19"/>
  <c r="R52" i="6"/>
  <c r="AD130" i="15"/>
  <c r="X56" i="16"/>
  <c r="W61" i="16"/>
  <c r="AG62" i="16"/>
  <c r="AE87" i="16"/>
  <c r="N96" i="16"/>
  <c r="N108" i="16"/>
  <c r="V122" i="16"/>
  <c r="AD130" i="16"/>
  <c r="AD131" i="16" s="1"/>
  <c r="N129" i="16"/>
  <c r="V15" i="20"/>
  <c r="I19" i="20"/>
  <c r="AF19" i="20"/>
  <c r="X20" i="20"/>
  <c r="AB21" i="20"/>
  <c r="I22" i="20"/>
  <c r="AF22" i="20"/>
  <c r="N25" i="17"/>
  <c r="E25" i="20"/>
  <c r="AF26" i="20"/>
  <c r="V28" i="20"/>
  <c r="C29" i="20"/>
  <c r="Z29" i="20"/>
  <c r="AD30" i="20"/>
  <c r="V31" i="20"/>
  <c r="C33" i="20"/>
  <c r="E139" i="17"/>
  <c r="E34" i="20"/>
  <c r="G140" i="17"/>
  <c r="U40" i="20"/>
  <c r="B41" i="20"/>
  <c r="Y41" i="20"/>
  <c r="AC42" i="20"/>
  <c r="AG44" i="17"/>
  <c r="U44" i="20"/>
  <c r="B45" i="20"/>
  <c r="AC46" i="20"/>
  <c r="AG47" i="17"/>
  <c r="U47" i="20"/>
  <c r="N48" i="17"/>
  <c r="B48" i="20"/>
  <c r="AG50" i="17"/>
  <c r="U50" i="20"/>
  <c r="B52" i="20"/>
  <c r="E53" i="20"/>
  <c r="AF61" i="17"/>
  <c r="AF58" i="20"/>
  <c r="E61" i="17"/>
  <c r="AA60" i="20"/>
  <c r="I62" i="20"/>
  <c r="AF62" i="20"/>
  <c r="D68" i="20"/>
  <c r="F73" i="17"/>
  <c r="F70" i="20"/>
  <c r="F138" i="20" s="1"/>
  <c r="W72" i="20"/>
  <c r="J116" i="17"/>
  <c r="H74" i="20"/>
  <c r="AE74" i="20"/>
  <c r="W75" i="20"/>
  <c r="AA76" i="20"/>
  <c r="H77" i="20"/>
  <c r="AE77" i="20"/>
  <c r="W78" i="20"/>
  <c r="Z79" i="20"/>
  <c r="G80" i="20"/>
  <c r="Z83" i="20"/>
  <c r="G84" i="20"/>
  <c r="AD84" i="20"/>
  <c r="I88" i="20"/>
  <c r="AE88" i="20"/>
  <c r="H91" i="20"/>
  <c r="AE91" i="20"/>
  <c r="W92" i="20"/>
  <c r="D93" i="20"/>
  <c r="AA93" i="20"/>
  <c r="H94" i="20"/>
  <c r="AE94" i="20"/>
  <c r="W95" i="20"/>
  <c r="D96" i="20"/>
  <c r="AA96" i="20"/>
  <c r="H97" i="20"/>
  <c r="AE97" i="20"/>
  <c r="W98" i="20"/>
  <c r="D99" i="20"/>
  <c r="U101" i="20"/>
  <c r="B102" i="20"/>
  <c r="Y102" i="20"/>
  <c r="F103" i="20"/>
  <c r="AG104" i="17"/>
  <c r="B105" i="20"/>
  <c r="Y105" i="20"/>
  <c r="F106" i="20"/>
  <c r="AC106" i="20"/>
  <c r="U107" i="20"/>
  <c r="B108" i="20"/>
  <c r="Y108" i="20"/>
  <c r="F109" i="20"/>
  <c r="AC109" i="20"/>
  <c r="AG110" i="17"/>
  <c r="N111" i="17"/>
  <c r="B111" i="20"/>
  <c r="Y111" i="20"/>
  <c r="AB112" i="20"/>
  <c r="N113" i="17"/>
  <c r="X114" i="20"/>
  <c r="E115" i="20"/>
  <c r="AB115" i="20"/>
  <c r="I120" i="20"/>
  <c r="AF122" i="17"/>
  <c r="X122" i="17"/>
  <c r="L131" i="17"/>
  <c r="X125" i="20"/>
  <c r="E126" i="20"/>
  <c r="AB126" i="20"/>
  <c r="D129" i="20"/>
  <c r="J141" i="17"/>
  <c r="Z27" i="18"/>
  <c r="Z37" i="18" s="1"/>
  <c r="V27" i="18"/>
  <c r="V37" i="18" s="1"/>
  <c r="E140" i="18"/>
  <c r="AD56" i="18"/>
  <c r="AE61" i="18"/>
  <c r="U87" i="18"/>
  <c r="B87" i="18"/>
  <c r="AG85" i="18"/>
  <c r="AG106" i="18"/>
  <c r="AG109" i="18"/>
  <c r="AG112" i="18"/>
  <c r="AA122" i="18"/>
  <c r="N128" i="18"/>
  <c r="G130" i="18"/>
  <c r="AD130" i="18"/>
  <c r="N78" i="19"/>
  <c r="Z87" i="19"/>
  <c r="H122" i="19"/>
  <c r="AE122" i="19"/>
  <c r="AE130" i="19"/>
  <c r="K27" i="20"/>
  <c r="M55" i="20"/>
  <c r="M56" i="20" s="1"/>
  <c r="U120" i="20"/>
  <c r="Z17" i="5"/>
  <c r="Z19" i="5"/>
  <c r="Z26" i="5"/>
  <c r="Z28" i="5"/>
  <c r="Z35" i="5"/>
  <c r="Z37" i="5"/>
  <c r="Z42" i="5"/>
  <c r="Z55" i="5"/>
  <c r="Z55" i="6"/>
  <c r="Z57" i="6"/>
  <c r="H130" i="15"/>
  <c r="AG15" i="16"/>
  <c r="W27" i="16"/>
  <c r="W37" i="16" s="1"/>
  <c r="I139" i="16"/>
  <c r="AG39" i="16"/>
  <c r="U56" i="16"/>
  <c r="B61" i="16"/>
  <c r="H61" i="16"/>
  <c r="N75" i="16"/>
  <c r="AG80" i="16"/>
  <c r="N83" i="16"/>
  <c r="AC87" i="16"/>
  <c r="AG88" i="16"/>
  <c r="W122" i="16"/>
  <c r="H130" i="16"/>
  <c r="W130" i="16"/>
  <c r="E13" i="20"/>
  <c r="AB13" i="20"/>
  <c r="W15" i="20"/>
  <c r="U19" i="20"/>
  <c r="B20" i="20"/>
  <c r="AC21" i="20"/>
  <c r="B27" i="17"/>
  <c r="B24" i="20"/>
  <c r="AC27" i="17"/>
  <c r="AC37" i="17" s="1"/>
  <c r="AC25" i="20"/>
  <c r="AG26" i="17"/>
  <c r="W28" i="20"/>
  <c r="D29" i="20"/>
  <c r="AA29" i="20"/>
  <c r="H30" i="20"/>
  <c r="AE30" i="20"/>
  <c r="W31" i="20"/>
  <c r="D33" i="20"/>
  <c r="F139" i="17"/>
  <c r="H140" i="17"/>
  <c r="C38" i="20"/>
  <c r="Z38" i="20"/>
  <c r="AD39" i="20"/>
  <c r="V40" i="20"/>
  <c r="C41" i="20"/>
  <c r="Z41" i="20"/>
  <c r="G42" i="20"/>
  <c r="C45" i="20"/>
  <c r="Z45" i="20"/>
  <c r="V47" i="20"/>
  <c r="C48" i="20"/>
  <c r="V50" i="20"/>
  <c r="C55" i="17"/>
  <c r="C52" i="20"/>
  <c r="U61" i="17"/>
  <c r="U58" i="20"/>
  <c r="B59" i="20"/>
  <c r="Y59" i="20"/>
  <c r="F60" i="20"/>
  <c r="B67" i="20"/>
  <c r="E68" i="20"/>
  <c r="AD73" i="17"/>
  <c r="AD70" i="20"/>
  <c r="AD138" i="20" s="1"/>
  <c r="AG71" i="17"/>
  <c r="U71" i="20"/>
  <c r="B72" i="20"/>
  <c r="K116" i="17"/>
  <c r="I74" i="20"/>
  <c r="I77" i="20"/>
  <c r="AA79" i="20"/>
  <c r="H80" i="20"/>
  <c r="AE80" i="20"/>
  <c r="W82" i="20"/>
  <c r="AA83" i="20"/>
  <c r="H84" i="20"/>
  <c r="W85" i="20"/>
  <c r="D87" i="17"/>
  <c r="AF88" i="20"/>
  <c r="AF91" i="20"/>
  <c r="X92" i="20"/>
  <c r="I94" i="20"/>
  <c r="AF94" i="20"/>
  <c r="E96" i="20"/>
  <c r="AB96" i="20"/>
  <c r="I97" i="20"/>
  <c r="X98" i="20"/>
  <c r="E99" i="20"/>
  <c r="AB99" i="20"/>
  <c r="AE100" i="20"/>
  <c r="C102" i="20"/>
  <c r="Z102" i="20"/>
  <c r="AD103" i="20"/>
  <c r="Z105" i="20"/>
  <c r="G106" i="20"/>
  <c r="AD106" i="20"/>
  <c r="V107" i="20"/>
  <c r="Z108" i="20"/>
  <c r="V110" i="20"/>
  <c r="Z111" i="20"/>
  <c r="G112" i="20"/>
  <c r="AC112" i="20"/>
  <c r="U113" i="20"/>
  <c r="B114" i="20"/>
  <c r="F115" i="20"/>
  <c r="B121" i="20"/>
  <c r="Y121" i="20"/>
  <c r="M131" i="17"/>
  <c r="AG124" i="17"/>
  <c r="B125" i="20"/>
  <c r="Y125" i="20"/>
  <c r="F126" i="20"/>
  <c r="AC126" i="20"/>
  <c r="U130" i="17"/>
  <c r="U127" i="20"/>
  <c r="B130" i="17"/>
  <c r="X128" i="20"/>
  <c r="AA129" i="20"/>
  <c r="D27" i="18"/>
  <c r="AA27" i="18"/>
  <c r="AA37" i="18" s="1"/>
  <c r="W27" i="18"/>
  <c r="W37" i="18" s="1"/>
  <c r="C139" i="18"/>
  <c r="F140" i="18"/>
  <c r="AE56" i="18"/>
  <c r="N49" i="18"/>
  <c r="Y56" i="18"/>
  <c r="D73" i="18"/>
  <c r="D116" i="18" s="1"/>
  <c r="AG72" i="18"/>
  <c r="D130" i="18"/>
  <c r="G14" i="19"/>
  <c r="G16" i="19" s="1"/>
  <c r="AG28" i="19"/>
  <c r="D139" i="19"/>
  <c r="V56" i="19"/>
  <c r="N45" i="19"/>
  <c r="Z56" i="19"/>
  <c r="C55" i="19"/>
  <c r="C56" i="19" s="1"/>
  <c r="F55" i="19"/>
  <c r="F56" i="19" s="1"/>
  <c r="G61" i="19"/>
  <c r="AD61" i="19"/>
  <c r="E73" i="19"/>
  <c r="H87" i="19"/>
  <c r="N90" i="19"/>
  <c r="AG92" i="19"/>
  <c r="AJ92" i="19" s="1"/>
  <c r="N93" i="19"/>
  <c r="AG95" i="19"/>
  <c r="AG98" i="19"/>
  <c r="AG113" i="19"/>
  <c r="AF122" i="19"/>
  <c r="I128" i="20"/>
  <c r="G35" i="20"/>
  <c r="W44" i="20"/>
  <c r="H46" i="20"/>
  <c r="D48" i="20"/>
  <c r="W50" i="20"/>
  <c r="D55" i="17"/>
  <c r="D56" i="17" s="1"/>
  <c r="D52" i="20"/>
  <c r="G53" i="20"/>
  <c r="V58" i="20"/>
  <c r="C59" i="20"/>
  <c r="Z59" i="20"/>
  <c r="AC60" i="20"/>
  <c r="C73" i="17"/>
  <c r="V71" i="20"/>
  <c r="L116" i="17"/>
  <c r="AG74" i="17"/>
  <c r="N75" i="17"/>
  <c r="B75" i="20"/>
  <c r="Y75" i="20"/>
  <c r="F76" i="20"/>
  <c r="AG77" i="17"/>
  <c r="N78" i="17"/>
  <c r="B78" i="20"/>
  <c r="N80" i="17"/>
  <c r="I80" i="20"/>
  <c r="X87" i="17"/>
  <c r="E86" i="20"/>
  <c r="AB86" i="20"/>
  <c r="AG88" i="17"/>
  <c r="Y89" i="20"/>
  <c r="AC90" i="20"/>
  <c r="AG91" i="17"/>
  <c r="Y92" i="20"/>
  <c r="F93" i="20"/>
  <c r="AC93" i="20"/>
  <c r="AG94" i="17"/>
  <c r="U94" i="20"/>
  <c r="B95" i="20"/>
  <c r="Y95" i="20"/>
  <c r="AC96" i="20"/>
  <c r="AG97" i="17"/>
  <c r="N98" i="17"/>
  <c r="Y98" i="20"/>
  <c r="F99" i="20"/>
  <c r="AC99" i="20"/>
  <c r="AF100" i="20"/>
  <c r="W101" i="20"/>
  <c r="D102" i="20"/>
  <c r="AA102" i="20"/>
  <c r="H106" i="20"/>
  <c r="AE106" i="20"/>
  <c r="W107" i="20"/>
  <c r="D108" i="20"/>
  <c r="AE109" i="20"/>
  <c r="W110" i="20"/>
  <c r="AA111" i="20"/>
  <c r="H112" i="20"/>
  <c r="AD112" i="20"/>
  <c r="V113" i="20"/>
  <c r="C114" i="20"/>
  <c r="N115" i="17"/>
  <c r="V122" i="17"/>
  <c r="V120" i="20"/>
  <c r="C122" i="17"/>
  <c r="C121" i="20"/>
  <c r="V130" i="17"/>
  <c r="Z125" i="20"/>
  <c r="G126" i="20"/>
  <c r="AD126" i="20"/>
  <c r="V127" i="20"/>
  <c r="Y128" i="20"/>
  <c r="AB129" i="20"/>
  <c r="G14" i="18"/>
  <c r="G16" i="18" s="1"/>
  <c r="E27" i="18"/>
  <c r="AB27" i="18"/>
  <c r="AB37" i="18" s="1"/>
  <c r="E73" i="18"/>
  <c r="AA87" i="18"/>
  <c r="N102" i="18"/>
  <c r="N120" i="18"/>
  <c r="F122" i="18"/>
  <c r="AF130" i="18"/>
  <c r="J16" i="19"/>
  <c r="F27" i="19"/>
  <c r="AC27" i="19"/>
  <c r="M37" i="19"/>
  <c r="M63" i="19" s="1"/>
  <c r="W56" i="19"/>
  <c r="D55" i="19"/>
  <c r="D56" i="19" s="1"/>
  <c r="H61" i="19"/>
  <c r="AA61" i="19"/>
  <c r="F34" i="20"/>
  <c r="I70" i="20"/>
  <c r="I138" i="20" s="1"/>
  <c r="B128" i="20"/>
  <c r="AG36" i="15"/>
  <c r="K116" i="15"/>
  <c r="AG124" i="15"/>
  <c r="AJ124" i="15" s="1"/>
  <c r="AA14" i="16"/>
  <c r="AA16" i="16" s="1"/>
  <c r="B27" i="16"/>
  <c r="Y27" i="16"/>
  <c r="Y37" i="16" s="1"/>
  <c r="D55" i="16"/>
  <c r="D56" i="16" s="1"/>
  <c r="D61" i="16"/>
  <c r="E73" i="16"/>
  <c r="N71" i="16"/>
  <c r="AG91" i="16"/>
  <c r="AG97" i="16"/>
  <c r="AJ97" i="16" s="1"/>
  <c r="N98" i="16"/>
  <c r="AG100" i="16"/>
  <c r="N101" i="16"/>
  <c r="AG103" i="16"/>
  <c r="AG106" i="16"/>
  <c r="N107" i="16"/>
  <c r="AG109" i="16"/>
  <c r="N113" i="16"/>
  <c r="AG115" i="16"/>
  <c r="B122" i="16"/>
  <c r="N121" i="16"/>
  <c r="AC122" i="16"/>
  <c r="U130" i="16"/>
  <c r="N128" i="16"/>
  <c r="C14" i="17"/>
  <c r="C16" i="17" s="1"/>
  <c r="Z14" i="17"/>
  <c r="Z16" i="17" s="1"/>
  <c r="Z12" i="20"/>
  <c r="AD13" i="20"/>
  <c r="B15" i="20"/>
  <c r="Y15" i="20"/>
  <c r="AA20" i="20"/>
  <c r="AE21" i="20"/>
  <c r="W22" i="20"/>
  <c r="AE25" i="20"/>
  <c r="F29" i="20"/>
  <c r="B31" i="20"/>
  <c r="F137" i="17"/>
  <c r="F33" i="20"/>
  <c r="H36" i="17"/>
  <c r="H34" i="20"/>
  <c r="N38" i="17"/>
  <c r="E38" i="20"/>
  <c r="AB38" i="20"/>
  <c r="I39" i="20"/>
  <c r="AF39" i="20"/>
  <c r="E41" i="20"/>
  <c r="I42" i="20"/>
  <c r="AF46" i="20"/>
  <c r="AB48" i="20"/>
  <c r="E55" i="17"/>
  <c r="E56" i="17" s="1"/>
  <c r="E52" i="20"/>
  <c r="H53" i="20"/>
  <c r="B55" i="17"/>
  <c r="B56" i="17" s="1"/>
  <c r="D59" i="20"/>
  <c r="AA61" i="17"/>
  <c r="AA59" i="20"/>
  <c r="H60" i="20"/>
  <c r="D67" i="20"/>
  <c r="G68" i="20"/>
  <c r="M116" i="17"/>
  <c r="Z75" i="20"/>
  <c r="G76" i="20"/>
  <c r="AD76" i="20"/>
  <c r="Z78" i="20"/>
  <c r="G79" i="20"/>
  <c r="B82" i="20"/>
  <c r="Y82" i="20"/>
  <c r="F83" i="20"/>
  <c r="Y85" i="20"/>
  <c r="F86" i="20"/>
  <c r="W87" i="17"/>
  <c r="V88" i="20"/>
  <c r="C89" i="20"/>
  <c r="V91" i="20"/>
  <c r="Z92" i="20"/>
  <c r="G93" i="20"/>
  <c r="AD93" i="20"/>
  <c r="V94" i="20"/>
  <c r="C95" i="20"/>
  <c r="Z95" i="20"/>
  <c r="G96" i="20"/>
  <c r="V97" i="20"/>
  <c r="C98" i="20"/>
  <c r="Z98" i="20"/>
  <c r="G99" i="20"/>
  <c r="AD99" i="20"/>
  <c r="AG100" i="17"/>
  <c r="U100" i="20"/>
  <c r="B101" i="20"/>
  <c r="X101" i="20"/>
  <c r="E102" i="20"/>
  <c r="AB102" i="20"/>
  <c r="I103" i="20"/>
  <c r="AF103" i="20"/>
  <c r="E105" i="20"/>
  <c r="I106" i="20"/>
  <c r="AF106" i="20"/>
  <c r="X107" i="20"/>
  <c r="AB108" i="20"/>
  <c r="X110" i="20"/>
  <c r="AB111" i="20"/>
  <c r="I112" i="20"/>
  <c r="AE112" i="20"/>
  <c r="W113" i="20"/>
  <c r="D114" i="20"/>
  <c r="AA114" i="20"/>
  <c r="H115" i="20"/>
  <c r="AE115" i="20"/>
  <c r="W122" i="17"/>
  <c r="AA125" i="20"/>
  <c r="H126" i="20"/>
  <c r="AE126" i="20"/>
  <c r="W127" i="20"/>
  <c r="D128" i="20"/>
  <c r="Z128" i="20"/>
  <c r="G129" i="20"/>
  <c r="H14" i="18"/>
  <c r="H16" i="18" s="1"/>
  <c r="N22" i="18"/>
  <c r="F27" i="18"/>
  <c r="AC27" i="18"/>
  <c r="AC37" i="18" s="1"/>
  <c r="N26" i="18"/>
  <c r="M37" i="18"/>
  <c r="M63" i="18" s="1"/>
  <c r="M64" i="18" s="1"/>
  <c r="V61" i="18"/>
  <c r="N59" i="18"/>
  <c r="AD61" i="18"/>
  <c r="F73" i="18"/>
  <c r="N78" i="18"/>
  <c r="X87" i="18"/>
  <c r="AG99" i="18"/>
  <c r="B130" i="18"/>
  <c r="I14" i="19"/>
  <c r="I16" i="19" s="1"/>
  <c r="K16" i="19"/>
  <c r="G27" i="19"/>
  <c r="V27" i="19"/>
  <c r="B137" i="19"/>
  <c r="AG83" i="19"/>
  <c r="B87" i="19"/>
  <c r="AG86" i="19"/>
  <c r="L142" i="19"/>
  <c r="U88" i="20"/>
  <c r="H70" i="20"/>
  <c r="H138" i="20" s="1"/>
  <c r="M73" i="20"/>
  <c r="I113" i="20"/>
  <c r="J55" i="20"/>
  <c r="J56" i="20" s="1"/>
  <c r="AG47" i="18"/>
  <c r="N48" i="18"/>
  <c r="W61" i="18"/>
  <c r="AA61" i="18"/>
  <c r="G73" i="18"/>
  <c r="N71" i="18"/>
  <c r="C122" i="18"/>
  <c r="AG126" i="18"/>
  <c r="H14" i="19"/>
  <c r="H16" i="19" s="1"/>
  <c r="AB27" i="19"/>
  <c r="L37" i="19"/>
  <c r="L63" i="19" s="1"/>
  <c r="N41" i="19"/>
  <c r="AG47" i="19"/>
  <c r="AG74" i="19"/>
  <c r="N76" i="19"/>
  <c r="N82" i="19"/>
  <c r="Y87" i="19"/>
  <c r="AG84" i="19"/>
  <c r="N85" i="19"/>
  <c r="N103" i="19"/>
  <c r="N104" i="19"/>
  <c r="AC130" i="19"/>
  <c r="U130" i="19"/>
  <c r="K61" i="20"/>
  <c r="X56" i="19"/>
  <c r="M116" i="19"/>
  <c r="E87" i="19"/>
  <c r="AB87" i="19"/>
  <c r="N114" i="19"/>
  <c r="AG120" i="19"/>
  <c r="N121" i="19"/>
  <c r="L61" i="20"/>
  <c r="L122" i="20"/>
  <c r="N15" i="18"/>
  <c r="AG28" i="18"/>
  <c r="H140" i="18"/>
  <c r="N53" i="18"/>
  <c r="AJ53" i="18" s="1"/>
  <c r="AF61" i="18"/>
  <c r="AD87" i="18"/>
  <c r="N88" i="18"/>
  <c r="N99" i="18"/>
  <c r="H122" i="18"/>
  <c r="AE122" i="18"/>
  <c r="F130" i="18"/>
  <c r="L131" i="18"/>
  <c r="AF14" i="19"/>
  <c r="AF16" i="19" s="1"/>
  <c r="C27" i="19"/>
  <c r="AD27" i="19"/>
  <c r="N31" i="19"/>
  <c r="AG41" i="19"/>
  <c r="N42" i="19"/>
  <c r="AG45" i="19"/>
  <c r="Y56" i="19"/>
  <c r="D73" i="19"/>
  <c r="G87" i="19"/>
  <c r="AD87" i="19"/>
  <c r="N102" i="19"/>
  <c r="V122" i="19"/>
  <c r="AG124" i="19"/>
  <c r="AJ124" i="19" s="1"/>
  <c r="N126" i="19"/>
  <c r="B130" i="19"/>
  <c r="J139" i="20"/>
  <c r="J14" i="20"/>
  <c r="J16" i="20" s="1"/>
  <c r="M140" i="20"/>
  <c r="K122" i="20"/>
  <c r="Y115" i="20"/>
  <c r="U121" i="20"/>
  <c r="E130" i="17"/>
  <c r="E124" i="20"/>
  <c r="I125" i="20"/>
  <c r="V129" i="20"/>
  <c r="V14" i="18"/>
  <c r="V16" i="18" s="1"/>
  <c r="I27" i="18"/>
  <c r="I140" i="18"/>
  <c r="N38" i="18"/>
  <c r="AG40" i="18"/>
  <c r="N41" i="18"/>
  <c r="N45" i="18"/>
  <c r="AE87" i="18"/>
  <c r="AG88" i="18"/>
  <c r="N111" i="18"/>
  <c r="AF122" i="18"/>
  <c r="AG12" i="19"/>
  <c r="K37" i="19"/>
  <c r="K63" i="19" s="1"/>
  <c r="F140" i="19"/>
  <c r="AD56" i="19"/>
  <c r="AB61" i="19"/>
  <c r="G73" i="19"/>
  <c r="AG91" i="19"/>
  <c r="AG94" i="19"/>
  <c r="AG100" i="19"/>
  <c r="AG109" i="19"/>
  <c r="N110" i="19"/>
  <c r="M61" i="20"/>
  <c r="L27" i="20"/>
  <c r="J73" i="20"/>
  <c r="K55" i="20"/>
  <c r="K56" i="20" s="1"/>
  <c r="K140" i="20"/>
  <c r="K14" i="20"/>
  <c r="K16" i="20" s="1"/>
  <c r="J140" i="20"/>
  <c r="J36" i="20"/>
  <c r="L36" i="20"/>
  <c r="L37" i="20" s="1"/>
  <c r="J87" i="20"/>
  <c r="K137" i="20"/>
  <c r="M36" i="20"/>
  <c r="M137" i="20"/>
  <c r="J137" i="20"/>
  <c r="K87" i="20"/>
  <c r="K139" i="20"/>
  <c r="K36" i="20"/>
  <c r="L55" i="20"/>
  <c r="L56" i="20" s="1"/>
  <c r="L137" i="20"/>
  <c r="L87" i="20"/>
  <c r="M14" i="20"/>
  <c r="M16" i="20" s="1"/>
  <c r="L73" i="20"/>
  <c r="L14" i="20"/>
  <c r="M130" i="20"/>
  <c r="J27" i="20"/>
  <c r="K67" i="5"/>
  <c r="K17" i="1" s="1"/>
  <c r="AG21" i="15"/>
  <c r="N24" i="15"/>
  <c r="G27" i="15"/>
  <c r="AG30" i="15"/>
  <c r="N33" i="15"/>
  <c r="I139" i="15"/>
  <c r="H140" i="15"/>
  <c r="G36" i="15"/>
  <c r="AG48" i="15"/>
  <c r="N50" i="15"/>
  <c r="F55" i="15"/>
  <c r="F56" i="15" s="1"/>
  <c r="AD56" i="15"/>
  <c r="E61" i="15"/>
  <c r="AG62" i="15"/>
  <c r="AE138" i="15"/>
  <c r="G73" i="15"/>
  <c r="AG76" i="15"/>
  <c r="N78" i="15"/>
  <c r="D87" i="15"/>
  <c r="AG88" i="15"/>
  <c r="N90" i="15"/>
  <c r="N107" i="15"/>
  <c r="H137" i="15"/>
  <c r="B36" i="16"/>
  <c r="N33" i="16"/>
  <c r="B137" i="16"/>
  <c r="N105" i="16"/>
  <c r="B14" i="15"/>
  <c r="AG22" i="15"/>
  <c r="N25" i="15"/>
  <c r="H27" i="15"/>
  <c r="AG31" i="15"/>
  <c r="N34" i="15"/>
  <c r="I140" i="15"/>
  <c r="H36" i="15"/>
  <c r="N38" i="15"/>
  <c r="AG49" i="15"/>
  <c r="N52" i="15"/>
  <c r="G55" i="15"/>
  <c r="G56" i="15" s="1"/>
  <c r="AE56" i="15"/>
  <c r="F61" i="15"/>
  <c r="AF138" i="15"/>
  <c r="N71" i="15"/>
  <c r="H73" i="15"/>
  <c r="AG77" i="15"/>
  <c r="N79" i="15"/>
  <c r="AC87" i="15"/>
  <c r="E87" i="15"/>
  <c r="AG89" i="15"/>
  <c r="N91" i="15"/>
  <c r="AG104" i="15"/>
  <c r="AB122" i="15"/>
  <c r="C130" i="15"/>
  <c r="I137" i="15"/>
  <c r="X138" i="15"/>
  <c r="N22" i="16"/>
  <c r="N26" i="16"/>
  <c r="N29" i="16"/>
  <c r="N125" i="16"/>
  <c r="N22" i="15"/>
  <c r="F87" i="15"/>
  <c r="D14" i="15"/>
  <c r="D16" i="15" s="1"/>
  <c r="AG38" i="15"/>
  <c r="N54" i="15"/>
  <c r="I55" i="15"/>
  <c r="I56" i="15" s="1"/>
  <c r="U56" i="15"/>
  <c r="N59" i="15"/>
  <c r="H61" i="15"/>
  <c r="Y61" i="15"/>
  <c r="V138" i="15"/>
  <c r="AG71" i="15"/>
  <c r="AG79" i="15"/>
  <c r="N82" i="15"/>
  <c r="G87" i="15"/>
  <c r="AG91" i="15"/>
  <c r="N93" i="15"/>
  <c r="N94" i="15"/>
  <c r="N95" i="15"/>
  <c r="N96" i="15"/>
  <c r="N103" i="15"/>
  <c r="AD122" i="15"/>
  <c r="E140" i="15"/>
  <c r="AG44" i="16"/>
  <c r="N35" i="15"/>
  <c r="N39" i="15"/>
  <c r="E14" i="15"/>
  <c r="E16" i="15" s="1"/>
  <c r="V14" i="15"/>
  <c r="V16" i="15" s="1"/>
  <c r="AG15" i="15"/>
  <c r="AG26" i="15"/>
  <c r="AB27" i="15"/>
  <c r="AB37" i="15" s="1"/>
  <c r="B137" i="15"/>
  <c r="AG39" i="15"/>
  <c r="N41" i="15"/>
  <c r="V56" i="15"/>
  <c r="AG58" i="15"/>
  <c r="N60" i="15"/>
  <c r="I61" i="15"/>
  <c r="Z61" i="15"/>
  <c r="B138" i="15"/>
  <c r="W138" i="15"/>
  <c r="AG72" i="15"/>
  <c r="AG80" i="15"/>
  <c r="N83" i="15"/>
  <c r="H87" i="15"/>
  <c r="Y87" i="15"/>
  <c r="AG92" i="15"/>
  <c r="AG96" i="15"/>
  <c r="AG97" i="15"/>
  <c r="N99" i="15"/>
  <c r="N102" i="15"/>
  <c r="N105" i="15"/>
  <c r="N120" i="15"/>
  <c r="AE122" i="15"/>
  <c r="F122" i="15"/>
  <c r="N125" i="15"/>
  <c r="E139" i="15"/>
  <c r="F140" i="15"/>
  <c r="AG19" i="16"/>
  <c r="AG26" i="16"/>
  <c r="N28" i="16"/>
  <c r="AG30" i="16"/>
  <c r="N31" i="16"/>
  <c r="C36" i="16"/>
  <c r="AG71" i="16"/>
  <c r="AG113" i="17"/>
  <c r="AG24" i="15"/>
  <c r="I27" i="15"/>
  <c r="AG78" i="15"/>
  <c r="U14" i="15"/>
  <c r="F14" i="15"/>
  <c r="F16" i="15" s="1"/>
  <c r="W14" i="15"/>
  <c r="W16" i="15" s="1"/>
  <c r="AC27" i="15"/>
  <c r="AC37" i="15" s="1"/>
  <c r="C137" i="15"/>
  <c r="B139" i="15"/>
  <c r="AG40" i="15"/>
  <c r="N42" i="15"/>
  <c r="W56" i="15"/>
  <c r="AG59" i="15"/>
  <c r="AA61" i="15"/>
  <c r="C138" i="15"/>
  <c r="AG82" i="15"/>
  <c r="N84" i="15"/>
  <c r="I87" i="15"/>
  <c r="Z87" i="15"/>
  <c r="AG93" i="15"/>
  <c r="AG94" i="15"/>
  <c r="AG98" i="15"/>
  <c r="N100" i="15"/>
  <c r="N101" i="15"/>
  <c r="N104" i="15"/>
  <c r="AF122" i="15"/>
  <c r="G122" i="15"/>
  <c r="F139" i="15"/>
  <c r="N21" i="16"/>
  <c r="D36" i="16"/>
  <c r="AG42" i="16"/>
  <c r="N45" i="16"/>
  <c r="V56" i="16"/>
  <c r="AG79" i="16"/>
  <c r="AG89" i="16"/>
  <c r="AG96" i="16"/>
  <c r="U122" i="16"/>
  <c r="AG120" i="16"/>
  <c r="N126" i="15"/>
  <c r="X14" i="15"/>
  <c r="X16" i="15" s="1"/>
  <c r="AD27" i="15"/>
  <c r="AD37" i="15" s="1"/>
  <c r="D137" i="15"/>
  <c r="C139" i="15"/>
  <c r="B140" i="15"/>
  <c r="AG41" i="15"/>
  <c r="N44" i="15"/>
  <c r="X56" i="15"/>
  <c r="AG60" i="15"/>
  <c r="AB61" i="15"/>
  <c r="D138" i="15"/>
  <c r="M116" i="15"/>
  <c r="AG83" i="15"/>
  <c r="N85" i="15"/>
  <c r="N86" i="15"/>
  <c r="AA87" i="15"/>
  <c r="AG99" i="15"/>
  <c r="N115" i="15"/>
  <c r="H122" i="15"/>
  <c r="F138" i="15"/>
  <c r="G139" i="15"/>
  <c r="B140" i="16"/>
  <c r="N35" i="16"/>
  <c r="AG58" i="16"/>
  <c r="AJ58" i="16" s="1"/>
  <c r="AG83" i="16"/>
  <c r="AG99" i="16"/>
  <c r="AG19" i="15"/>
  <c r="AG90" i="15"/>
  <c r="AG25" i="15"/>
  <c r="AA27" i="15"/>
  <c r="AA37" i="15" s="1"/>
  <c r="N40" i="15"/>
  <c r="N12" i="15"/>
  <c r="H14" i="15"/>
  <c r="H16" i="15" s="1"/>
  <c r="Y14" i="15"/>
  <c r="Y16" i="15" s="1"/>
  <c r="AE27" i="15"/>
  <c r="AE37" i="15" s="1"/>
  <c r="E137" i="15"/>
  <c r="D139" i="15"/>
  <c r="C140" i="15"/>
  <c r="AG42" i="15"/>
  <c r="N45" i="15"/>
  <c r="Y56" i="15"/>
  <c r="AC61" i="15"/>
  <c r="E138" i="15"/>
  <c r="B73" i="15"/>
  <c r="AG84" i="15"/>
  <c r="AB87" i="15"/>
  <c r="N97" i="15"/>
  <c r="AG100" i="15"/>
  <c r="AG101" i="15"/>
  <c r="N108" i="15"/>
  <c r="N110" i="15"/>
  <c r="I122" i="15"/>
  <c r="Y130" i="15"/>
  <c r="G138" i="15"/>
  <c r="Z14" i="16"/>
  <c r="Z16" i="16" s="1"/>
  <c r="V138" i="16"/>
  <c r="N82" i="16"/>
  <c r="AD87" i="16"/>
  <c r="AG114" i="16"/>
  <c r="D130" i="16"/>
  <c r="AG13" i="15"/>
  <c r="AG20" i="15"/>
  <c r="N26" i="15"/>
  <c r="N13" i="15"/>
  <c r="Z14" i="15"/>
  <c r="Z16" i="15" s="1"/>
  <c r="N19" i="15"/>
  <c r="AF27" i="15"/>
  <c r="AF37" i="15" s="1"/>
  <c r="N28" i="15"/>
  <c r="F137" i="15"/>
  <c r="AG44" i="15"/>
  <c r="N46" i="15"/>
  <c r="Z56" i="15"/>
  <c r="AD61" i="15"/>
  <c r="AA138" i="15"/>
  <c r="C73" i="15"/>
  <c r="N74" i="15"/>
  <c r="AG85" i="15"/>
  <c r="AG86" i="15"/>
  <c r="AD87" i="15"/>
  <c r="AG108" i="15"/>
  <c r="AG109" i="15"/>
  <c r="N111" i="15"/>
  <c r="N114" i="15"/>
  <c r="Z130" i="15"/>
  <c r="Z131" i="15" s="1"/>
  <c r="H138" i="15"/>
  <c r="AG21" i="16"/>
  <c r="AC27" i="16"/>
  <c r="AC37" i="16" s="1"/>
  <c r="AG29" i="16"/>
  <c r="N30" i="16"/>
  <c r="AG50" i="16"/>
  <c r="W138" i="16"/>
  <c r="AG78" i="16"/>
  <c r="E130" i="16"/>
  <c r="N15" i="15"/>
  <c r="AG50" i="15"/>
  <c r="C56" i="15"/>
  <c r="U138" i="15"/>
  <c r="AC122" i="15"/>
  <c r="AG12" i="15"/>
  <c r="AA14" i="15"/>
  <c r="AA16" i="15" s="1"/>
  <c r="N20" i="15"/>
  <c r="D27" i="15"/>
  <c r="U27" i="15"/>
  <c r="U37" i="15" s="1"/>
  <c r="N29" i="15"/>
  <c r="D36" i="15"/>
  <c r="AG45" i="15"/>
  <c r="N47" i="15"/>
  <c r="AA56" i="15"/>
  <c r="AE61" i="15"/>
  <c r="N67" i="15"/>
  <c r="AB138" i="15"/>
  <c r="D73" i="15"/>
  <c r="N75" i="15"/>
  <c r="AE87" i="15"/>
  <c r="N106" i="15"/>
  <c r="AG110" i="15"/>
  <c r="N112" i="15"/>
  <c r="N113" i="15"/>
  <c r="N12" i="16"/>
  <c r="N20" i="16"/>
  <c r="N24" i="16"/>
  <c r="N34" i="16"/>
  <c r="B139" i="16"/>
  <c r="X138" i="16"/>
  <c r="AG125" i="16"/>
  <c r="AG28" i="15"/>
  <c r="AG46" i="15"/>
  <c r="N48" i="15"/>
  <c r="N62" i="15"/>
  <c r="N68" i="15"/>
  <c r="AC138" i="15"/>
  <c r="AG74" i="15"/>
  <c r="N76" i="15"/>
  <c r="B87" i="15"/>
  <c r="N88" i="15"/>
  <c r="AG106" i="15"/>
  <c r="AG111" i="15"/>
  <c r="AA130" i="15"/>
  <c r="W130" i="15"/>
  <c r="AG13" i="16"/>
  <c r="H27" i="16"/>
  <c r="N52" i="16"/>
  <c r="B55" i="16"/>
  <c r="B138" i="16"/>
  <c r="N70" i="16"/>
  <c r="N99" i="16"/>
  <c r="F27" i="15"/>
  <c r="AG29" i="15"/>
  <c r="N31" i="15"/>
  <c r="H139" i="15"/>
  <c r="G140" i="15"/>
  <c r="F36" i="15"/>
  <c r="AG47" i="15"/>
  <c r="N49" i="15"/>
  <c r="E55" i="15"/>
  <c r="E56" i="15" s="1"/>
  <c r="AC56" i="15"/>
  <c r="D61" i="15"/>
  <c r="N69" i="15"/>
  <c r="I138" i="15"/>
  <c r="AD138" i="15"/>
  <c r="AG75" i="15"/>
  <c r="C87" i="15"/>
  <c r="N89" i="15"/>
  <c r="N109" i="15"/>
  <c r="AG112" i="15"/>
  <c r="AG113" i="15"/>
  <c r="X130" i="15"/>
  <c r="G137" i="15"/>
  <c r="N31" i="17"/>
  <c r="AA122" i="15"/>
  <c r="D122" i="15"/>
  <c r="V130" i="15"/>
  <c r="AG125" i="15"/>
  <c r="AE130" i="15"/>
  <c r="B14" i="16"/>
  <c r="AG31" i="16"/>
  <c r="AG45" i="16"/>
  <c r="AG55" i="16"/>
  <c r="N67" i="16"/>
  <c r="C73" i="16"/>
  <c r="Z87" i="16"/>
  <c r="AG107" i="16"/>
  <c r="AG128" i="16"/>
  <c r="N19" i="17"/>
  <c r="N22" i="17"/>
  <c r="AG41" i="18"/>
  <c r="AG126" i="15"/>
  <c r="AE61" i="16"/>
  <c r="AG70" i="16"/>
  <c r="AG74" i="16"/>
  <c r="N100" i="16"/>
  <c r="AG111" i="16"/>
  <c r="AG124" i="16"/>
  <c r="AG15" i="17"/>
  <c r="AG30" i="17"/>
  <c r="N46" i="17"/>
  <c r="H122" i="17"/>
  <c r="N121" i="17"/>
  <c r="N13" i="18"/>
  <c r="C14" i="18"/>
  <c r="C16" i="18" s="1"/>
  <c r="E137" i="16"/>
  <c r="E140" i="16"/>
  <c r="E36" i="16"/>
  <c r="N38" i="16"/>
  <c r="Z56" i="16"/>
  <c r="N49" i="16"/>
  <c r="N69" i="16"/>
  <c r="N74" i="16"/>
  <c r="AG92" i="16"/>
  <c r="B130" i="16"/>
  <c r="Y130" i="16"/>
  <c r="L142" i="16"/>
  <c r="AG102" i="15"/>
  <c r="AG114" i="15"/>
  <c r="AG120" i="15"/>
  <c r="G130" i="15"/>
  <c r="AG24" i="16"/>
  <c r="F137" i="16"/>
  <c r="F139" i="16"/>
  <c r="F36" i="16"/>
  <c r="Y56" i="16"/>
  <c r="AG47" i="16"/>
  <c r="AG77" i="16"/>
  <c r="AG84" i="16"/>
  <c r="AG95" i="16"/>
  <c r="C130" i="16"/>
  <c r="Z130" i="16"/>
  <c r="M142" i="16"/>
  <c r="I61" i="17"/>
  <c r="N58" i="17"/>
  <c r="I122" i="17"/>
  <c r="I131" i="17" s="1"/>
  <c r="AG103" i="15"/>
  <c r="AG115" i="15"/>
  <c r="AG121" i="15"/>
  <c r="AG22" i="16"/>
  <c r="G137" i="16"/>
  <c r="G36" i="16"/>
  <c r="N48" i="16"/>
  <c r="AG82" i="16"/>
  <c r="N88" i="16"/>
  <c r="N110" i="16"/>
  <c r="AA130" i="16"/>
  <c r="AG22" i="17"/>
  <c r="AG36" i="17"/>
  <c r="N95" i="17"/>
  <c r="N128" i="15"/>
  <c r="I130" i="15"/>
  <c r="H36" i="16"/>
  <c r="H137" i="16"/>
  <c r="AA56" i="16"/>
  <c r="N79" i="16"/>
  <c r="AG105" i="16"/>
  <c r="AB130" i="16"/>
  <c r="N44" i="17"/>
  <c r="I137" i="18"/>
  <c r="I36" i="18"/>
  <c r="AG105" i="15"/>
  <c r="N129" i="15"/>
  <c r="N25" i="16"/>
  <c r="I140" i="16"/>
  <c r="AB56" i="16"/>
  <c r="AG46" i="16"/>
  <c r="N68" i="16"/>
  <c r="B73" i="16"/>
  <c r="N77" i="16"/>
  <c r="N106" i="16"/>
  <c r="AG108" i="16"/>
  <c r="F122" i="16"/>
  <c r="AG129" i="16"/>
  <c r="AG12" i="17"/>
  <c r="N13" i="17"/>
  <c r="D27" i="17"/>
  <c r="AG38" i="17"/>
  <c r="N40" i="17"/>
  <c r="AG79" i="17"/>
  <c r="B122" i="15"/>
  <c r="AG128" i="15"/>
  <c r="AC56" i="16"/>
  <c r="AG75" i="16"/>
  <c r="C87" i="16"/>
  <c r="AG94" i="16"/>
  <c r="N95" i="16"/>
  <c r="N109" i="16"/>
  <c r="AG112" i="16"/>
  <c r="N120" i="16"/>
  <c r="G122" i="16"/>
  <c r="G130" i="16"/>
  <c r="E27" i="17"/>
  <c r="N103" i="17"/>
  <c r="N105" i="17"/>
  <c r="AG21" i="18"/>
  <c r="AG95" i="15"/>
  <c r="AG107" i="15"/>
  <c r="C122" i="15"/>
  <c r="AG129" i="15"/>
  <c r="N47" i="16"/>
  <c r="AC61" i="16"/>
  <c r="N76" i="16"/>
  <c r="AG86" i="16"/>
  <c r="AG98" i="16"/>
  <c r="AG104" i="16"/>
  <c r="N126" i="16"/>
  <c r="AE138" i="16"/>
  <c r="AG21" i="17"/>
  <c r="AG25" i="17"/>
  <c r="N39" i="17"/>
  <c r="N45" i="17"/>
  <c r="AG48" i="17"/>
  <c r="N84" i="17"/>
  <c r="AG101" i="17"/>
  <c r="AG114" i="17"/>
  <c r="AF130" i="17"/>
  <c r="H139" i="17"/>
  <c r="F16" i="18"/>
  <c r="N12" i="17"/>
  <c r="U14" i="17"/>
  <c r="AG62" i="17"/>
  <c r="N82" i="17"/>
  <c r="AG107" i="17"/>
  <c r="N108" i="17"/>
  <c r="AJ124" i="17"/>
  <c r="N126" i="17"/>
  <c r="N29" i="17"/>
  <c r="B137" i="17"/>
  <c r="B36" i="17"/>
  <c r="AG41" i="17"/>
  <c r="AE61" i="17"/>
  <c r="N62" i="17"/>
  <c r="X73" i="17"/>
  <c r="AE73" i="17"/>
  <c r="AG80" i="17"/>
  <c r="AG103" i="17"/>
  <c r="AG106" i="17"/>
  <c r="AF138" i="18"/>
  <c r="C137" i="17"/>
  <c r="F36" i="17"/>
  <c r="AG59" i="17"/>
  <c r="AF138" i="17"/>
  <c r="Y87" i="17"/>
  <c r="AG84" i="17"/>
  <c r="AG90" i="17"/>
  <c r="AG93" i="17"/>
  <c r="N94" i="17"/>
  <c r="AG96" i="17"/>
  <c r="AD122" i="17"/>
  <c r="AG121" i="17"/>
  <c r="E137" i="17"/>
  <c r="N12" i="18"/>
  <c r="B14" i="18"/>
  <c r="Y14" i="18"/>
  <c r="Y16" i="18" s="1"/>
  <c r="U138" i="18"/>
  <c r="AG70" i="18"/>
  <c r="H14" i="17"/>
  <c r="AD27" i="17"/>
  <c r="AD37" i="17" s="1"/>
  <c r="D36" i="17"/>
  <c r="C140" i="17"/>
  <c r="AG46" i="17"/>
  <c r="N47" i="17"/>
  <c r="AG58" i="17"/>
  <c r="N68" i="17"/>
  <c r="AG69" i="17"/>
  <c r="U138" i="17"/>
  <c r="AG70" i="17"/>
  <c r="Z87" i="17"/>
  <c r="N83" i="17"/>
  <c r="N85" i="17"/>
  <c r="N97" i="17"/>
  <c r="N104" i="17"/>
  <c r="N120" i="17"/>
  <c r="AE122" i="17"/>
  <c r="N24" i="17"/>
  <c r="AG40" i="17"/>
  <c r="N42" i="17"/>
  <c r="N74" i="17"/>
  <c r="AG76" i="17"/>
  <c r="AA87" i="17"/>
  <c r="AG115" i="17"/>
  <c r="AG15" i="18"/>
  <c r="AG19" i="17"/>
  <c r="I36" i="17"/>
  <c r="H56" i="17"/>
  <c r="AG45" i="17"/>
  <c r="N67" i="17"/>
  <c r="B73" i="17"/>
  <c r="AB87" i="17"/>
  <c r="AG89" i="17"/>
  <c r="AG102" i="17"/>
  <c r="AG105" i="17"/>
  <c r="N106" i="17"/>
  <c r="AG108" i="17"/>
  <c r="F130" i="17"/>
  <c r="AC130" i="17"/>
  <c r="AG125" i="17"/>
  <c r="W56" i="18"/>
  <c r="AG13" i="17"/>
  <c r="AG24" i="17"/>
  <c r="N70" i="17"/>
  <c r="B138" i="17"/>
  <c r="G87" i="17"/>
  <c r="AC87" i="17"/>
  <c r="AG86" i="17"/>
  <c r="AG92" i="17"/>
  <c r="AG95" i="17"/>
  <c r="G130" i="17"/>
  <c r="AG13" i="18"/>
  <c r="E130" i="15"/>
  <c r="N21" i="17"/>
  <c r="V27" i="17"/>
  <c r="V37" i="17" s="1"/>
  <c r="D73" i="17"/>
  <c r="N69" i="17"/>
  <c r="AG75" i="17"/>
  <c r="H87" i="17"/>
  <c r="AD87" i="17"/>
  <c r="N91" i="17"/>
  <c r="N93" i="17"/>
  <c r="K131" i="17"/>
  <c r="H130" i="17"/>
  <c r="AE130" i="17"/>
  <c r="AG26" i="18"/>
  <c r="AG36" i="18"/>
  <c r="N44" i="18"/>
  <c r="I87" i="18"/>
  <c r="N82" i="18"/>
  <c r="AG12" i="18"/>
  <c r="N19" i="18"/>
  <c r="B27" i="18"/>
  <c r="N24" i="18"/>
  <c r="N29" i="18"/>
  <c r="AG38" i="18"/>
  <c r="N39" i="18"/>
  <c r="U56" i="18"/>
  <c r="AG44" i="18"/>
  <c r="AG50" i="18"/>
  <c r="N52" i="18"/>
  <c r="AG75" i="18"/>
  <c r="D137" i="17"/>
  <c r="AG42" i="18"/>
  <c r="N91" i="18"/>
  <c r="AG120" i="17"/>
  <c r="AD130" i="17"/>
  <c r="K141" i="17"/>
  <c r="Z14" i="18"/>
  <c r="Z16" i="18" s="1"/>
  <c r="AD27" i="18"/>
  <c r="AD37" i="18" s="1"/>
  <c r="AG25" i="18"/>
  <c r="AG100" i="18"/>
  <c r="AG103" i="18"/>
  <c r="AD138" i="17"/>
  <c r="L141" i="17"/>
  <c r="AA14" i="18"/>
  <c r="AA16" i="18" s="1"/>
  <c r="H27" i="18"/>
  <c r="AG31" i="18"/>
  <c r="B140" i="18"/>
  <c r="N35" i="18"/>
  <c r="B36" i="18"/>
  <c r="C139" i="17"/>
  <c r="AE138" i="17"/>
  <c r="M141" i="17"/>
  <c r="B139" i="18"/>
  <c r="N34" i="18"/>
  <c r="N54" i="18"/>
  <c r="AG80" i="18"/>
  <c r="AG84" i="18"/>
  <c r="AG126" i="17"/>
  <c r="AG24" i="18"/>
  <c r="B137" i="18"/>
  <c r="N33" i="18"/>
  <c r="AG39" i="18"/>
  <c r="B61" i="18"/>
  <c r="N58" i="18"/>
  <c r="Y61" i="18"/>
  <c r="AG60" i="18"/>
  <c r="N74" i="18"/>
  <c r="AG76" i="18"/>
  <c r="N94" i="18"/>
  <c r="N107" i="18"/>
  <c r="N25" i="18"/>
  <c r="N31" i="18"/>
  <c r="C137" i="18"/>
  <c r="C36" i="18"/>
  <c r="C37" i="18" s="1"/>
  <c r="G61" i="18"/>
  <c r="H87" i="18"/>
  <c r="AG102" i="18"/>
  <c r="N30" i="18"/>
  <c r="AF56" i="18"/>
  <c r="AG79" i="18"/>
  <c r="N85" i="18"/>
  <c r="F122" i="17"/>
  <c r="N20" i="18"/>
  <c r="L37" i="18"/>
  <c r="L63" i="18" s="1"/>
  <c r="L64" i="18" s="1"/>
  <c r="AG45" i="18"/>
  <c r="N75" i="18"/>
  <c r="AG96" i="18"/>
  <c r="N103" i="18"/>
  <c r="N121" i="18"/>
  <c r="C130" i="18"/>
  <c r="Z130" i="18"/>
  <c r="N62" i="19"/>
  <c r="V56" i="18"/>
  <c r="AG48" i="18"/>
  <c r="N50" i="18"/>
  <c r="AG55" i="18"/>
  <c r="C61" i="18"/>
  <c r="N70" i="18"/>
  <c r="G87" i="18"/>
  <c r="AB87" i="18"/>
  <c r="F87" i="18"/>
  <c r="E87" i="18"/>
  <c r="Z87" i="18"/>
  <c r="N97" i="18"/>
  <c r="AG110" i="18"/>
  <c r="Y138" i="18"/>
  <c r="AG29" i="19"/>
  <c r="G137" i="19"/>
  <c r="N33" i="19"/>
  <c r="U130" i="18"/>
  <c r="AG125" i="18"/>
  <c r="AE138" i="18"/>
  <c r="AG26" i="19"/>
  <c r="D137" i="18"/>
  <c r="D139" i="18"/>
  <c r="D140" i="18"/>
  <c r="AB61" i="18"/>
  <c r="AG77" i="18"/>
  <c r="N83" i="18"/>
  <c r="AG91" i="18"/>
  <c r="AG113" i="18"/>
  <c r="V130" i="18"/>
  <c r="E140" i="19"/>
  <c r="E36" i="19"/>
  <c r="AG62" i="19"/>
  <c r="M130" i="19"/>
  <c r="M131" i="19" s="1"/>
  <c r="E137" i="18"/>
  <c r="E139" i="18"/>
  <c r="AC61" i="18"/>
  <c r="AG82" i="18"/>
  <c r="N84" i="18"/>
  <c r="AG86" i="18"/>
  <c r="AG101" i="18"/>
  <c r="W130" i="18"/>
  <c r="F14" i="19"/>
  <c r="F16" i="19" s="1"/>
  <c r="D27" i="19"/>
  <c r="C139" i="19"/>
  <c r="C36" i="19"/>
  <c r="N58" i="19"/>
  <c r="B61" i="19"/>
  <c r="H73" i="19"/>
  <c r="N67" i="19"/>
  <c r="N75" i="19"/>
  <c r="AG107" i="19"/>
  <c r="AG19" i="18"/>
  <c r="F137" i="18"/>
  <c r="F139" i="18"/>
  <c r="E36" i="18"/>
  <c r="AB56" i="18"/>
  <c r="N79" i="18"/>
  <c r="V87" i="18"/>
  <c r="AG108" i="18"/>
  <c r="AG124" i="18"/>
  <c r="AG13" i="19"/>
  <c r="AG21" i="19"/>
  <c r="N71" i="19"/>
  <c r="B73" i="19"/>
  <c r="AG76" i="19"/>
  <c r="AG22" i="18"/>
  <c r="G140" i="18"/>
  <c r="F36" i="18"/>
  <c r="AG59" i="18"/>
  <c r="N77" i="18"/>
  <c r="W87" i="18"/>
  <c r="AG90" i="18"/>
  <c r="N92" i="18"/>
  <c r="AG98" i="18"/>
  <c r="N113" i="18"/>
  <c r="AG31" i="19"/>
  <c r="H137" i="18"/>
  <c r="H36" i="18"/>
  <c r="N62" i="18"/>
  <c r="AG93" i="18"/>
  <c r="AG97" i="18"/>
  <c r="N100" i="18"/>
  <c r="N106" i="18"/>
  <c r="N38" i="19"/>
  <c r="N46" i="19"/>
  <c r="N50" i="19"/>
  <c r="AA73" i="19"/>
  <c r="AG58" i="18"/>
  <c r="N60" i="18"/>
  <c r="N76" i="18"/>
  <c r="AG107" i="18"/>
  <c r="AG111" i="18"/>
  <c r="AG115" i="18"/>
  <c r="AG15" i="19"/>
  <c r="AG40" i="19"/>
  <c r="N47" i="19"/>
  <c r="U61" i="19"/>
  <c r="AG59" i="19"/>
  <c r="AG75" i="19"/>
  <c r="N97" i="19"/>
  <c r="Y27" i="18"/>
  <c r="AG49" i="18"/>
  <c r="N112" i="18"/>
  <c r="E130" i="18"/>
  <c r="N13" i="19"/>
  <c r="AG20" i="19"/>
  <c r="AG30" i="19"/>
  <c r="AG48" i="19"/>
  <c r="N98" i="18"/>
  <c r="N108" i="18"/>
  <c r="Z27" i="19"/>
  <c r="D36" i="19"/>
  <c r="F61" i="19"/>
  <c r="F87" i="19"/>
  <c r="N84" i="19"/>
  <c r="AG85" i="19"/>
  <c r="N98" i="19"/>
  <c r="AG121" i="19"/>
  <c r="AA27" i="19"/>
  <c r="B139" i="19"/>
  <c r="N34" i="19"/>
  <c r="AG50" i="19"/>
  <c r="N52" i="19"/>
  <c r="B55" i="19"/>
  <c r="AG78" i="19"/>
  <c r="N79" i="19"/>
  <c r="N88" i="19"/>
  <c r="AG101" i="19"/>
  <c r="N107" i="19"/>
  <c r="N126" i="18"/>
  <c r="J142" i="18"/>
  <c r="H27" i="19"/>
  <c r="AG25" i="19"/>
  <c r="C137" i="19"/>
  <c r="E139" i="19"/>
  <c r="G140" i="19"/>
  <c r="AC56" i="19"/>
  <c r="AG49" i="19"/>
  <c r="E55" i="19"/>
  <c r="E56" i="19" s="1"/>
  <c r="AG58" i="19"/>
  <c r="AG77" i="19"/>
  <c r="U87" i="19"/>
  <c r="AG82" i="19"/>
  <c r="E130" i="19"/>
  <c r="Y138" i="19"/>
  <c r="AG94" i="18"/>
  <c r="N125" i="18"/>
  <c r="K142" i="18"/>
  <c r="I27" i="19"/>
  <c r="B27" i="19"/>
  <c r="F139" i="19"/>
  <c r="H140" i="19"/>
  <c r="AE56" i="19"/>
  <c r="N60" i="19"/>
  <c r="X138" i="19"/>
  <c r="V87" i="19"/>
  <c r="AG99" i="19"/>
  <c r="AF130" i="19"/>
  <c r="N68" i="18"/>
  <c r="AG129" i="18"/>
  <c r="L142" i="18"/>
  <c r="N26" i="19"/>
  <c r="AF56" i="19"/>
  <c r="G55" i="19"/>
  <c r="G56" i="19" s="1"/>
  <c r="W61" i="19"/>
  <c r="N59" i="19"/>
  <c r="F73" i="19"/>
  <c r="C138" i="19"/>
  <c r="C73" i="19"/>
  <c r="Y73" i="19"/>
  <c r="AG80" i="19"/>
  <c r="W87" i="19"/>
  <c r="N83" i="19"/>
  <c r="AG89" i="19"/>
  <c r="N91" i="19"/>
  <c r="N96" i="19"/>
  <c r="N100" i="19"/>
  <c r="AG104" i="19"/>
  <c r="N105" i="19"/>
  <c r="AG115" i="19"/>
  <c r="AD130" i="19"/>
  <c r="U122" i="18"/>
  <c r="AG120" i="18"/>
  <c r="AG24" i="19"/>
  <c r="F137" i="19"/>
  <c r="F36" i="19"/>
  <c r="H139" i="19"/>
  <c r="AG39" i="19"/>
  <c r="U56" i="19"/>
  <c r="AG44" i="19"/>
  <c r="H55" i="19"/>
  <c r="H56" i="19" s="1"/>
  <c r="X61" i="19"/>
  <c r="AG72" i="19"/>
  <c r="N109" i="19"/>
  <c r="N120" i="19"/>
  <c r="AG129" i="19"/>
  <c r="I130" i="19"/>
  <c r="AG74" i="18"/>
  <c r="AC87" i="18"/>
  <c r="N110" i="18"/>
  <c r="B122" i="18"/>
  <c r="AA130" i="18"/>
  <c r="AG128" i="18"/>
  <c r="W14" i="19"/>
  <c r="W16" i="19" s="1"/>
  <c r="H36" i="19"/>
  <c r="H137" i="19"/>
  <c r="N40" i="19"/>
  <c r="N49" i="19"/>
  <c r="I73" i="19"/>
  <c r="N77" i="19"/>
  <c r="AG79" i="19"/>
  <c r="C87" i="19"/>
  <c r="AG88" i="19"/>
  <c r="N99" i="19"/>
  <c r="AG103" i="19"/>
  <c r="N108" i="19"/>
  <c r="F130" i="19"/>
  <c r="N109" i="18"/>
  <c r="AB130" i="18"/>
  <c r="N129" i="18"/>
  <c r="N12" i="19"/>
  <c r="X14" i="19"/>
  <c r="X16" i="19" s="1"/>
  <c r="N15" i="19"/>
  <c r="AG19" i="19"/>
  <c r="AG22" i="19"/>
  <c r="I36" i="19"/>
  <c r="B36" i="19"/>
  <c r="AG38" i="19"/>
  <c r="N54" i="19"/>
  <c r="D61" i="19"/>
  <c r="N69" i="19"/>
  <c r="AC138" i="19"/>
  <c r="AG71" i="19"/>
  <c r="N80" i="19"/>
  <c r="D87" i="19"/>
  <c r="I87" i="19"/>
  <c r="N89" i="19"/>
  <c r="AG114" i="19"/>
  <c r="N115" i="19"/>
  <c r="Y27" i="19"/>
  <c r="B140" i="19"/>
  <c r="N35" i="19"/>
  <c r="N39" i="19"/>
  <c r="N53" i="19"/>
  <c r="N72" i="19"/>
  <c r="N74" i="19"/>
  <c r="AG93" i="19"/>
  <c r="AG97" i="19"/>
  <c r="AG106" i="19"/>
  <c r="AG110" i="19"/>
  <c r="N111" i="19"/>
  <c r="N125" i="19"/>
  <c r="W122" i="19"/>
  <c r="Y130" i="19"/>
  <c r="Y131" i="19" s="1"/>
  <c r="Z130" i="19"/>
  <c r="AG128" i="19"/>
  <c r="I137" i="19"/>
  <c r="B122" i="19"/>
  <c r="AA130" i="19"/>
  <c r="AA131" i="19" s="1"/>
  <c r="E122" i="19"/>
  <c r="N129" i="19"/>
  <c r="H130" i="19"/>
  <c r="N128" i="19"/>
  <c r="AG69" i="19"/>
  <c r="AG125" i="19"/>
  <c r="AG70" i="19"/>
  <c r="AG111" i="19"/>
  <c r="N113" i="19"/>
  <c r="Z35" i="2"/>
  <c r="I15" i="3"/>
  <c r="I14" i="3"/>
  <c r="U14" i="3"/>
  <c r="U15" i="3"/>
  <c r="N67" i="4"/>
  <c r="V67" i="16" s="1"/>
  <c r="V137" i="16" s="1"/>
  <c r="Z15" i="6"/>
  <c r="L67" i="6"/>
  <c r="Z39" i="5"/>
  <c r="V60" i="1"/>
  <c r="V61" i="1"/>
  <c r="Z27" i="3"/>
  <c r="Z30" i="6"/>
  <c r="Z20" i="2"/>
  <c r="Z22" i="2"/>
  <c r="Z53" i="2"/>
  <c r="J67" i="6"/>
  <c r="S14" i="3"/>
  <c r="S15" i="3"/>
  <c r="S60" i="1"/>
  <c r="T14" i="3"/>
  <c r="T15" i="3"/>
  <c r="Z43" i="6"/>
  <c r="N14" i="2"/>
  <c r="N41" i="2"/>
  <c r="N10" i="1"/>
  <c r="N16" i="2"/>
  <c r="Z29" i="3"/>
  <c r="P67" i="4"/>
  <c r="X67" i="16" s="1"/>
  <c r="X137" i="16" s="1"/>
  <c r="I67" i="6"/>
  <c r="Z36" i="3"/>
  <c r="Z45" i="3"/>
  <c r="Z47" i="4"/>
  <c r="Z42" i="6"/>
  <c r="Z44" i="6"/>
  <c r="Z44" i="4"/>
  <c r="Z46" i="4"/>
  <c r="J54" i="1"/>
  <c r="Q14" i="2"/>
  <c r="Z33" i="2"/>
  <c r="Z36" i="2"/>
  <c r="K67" i="6"/>
  <c r="Z18" i="2"/>
  <c r="Z54" i="3"/>
  <c r="Z56" i="3"/>
  <c r="S67" i="4"/>
  <c r="AA67" i="16" s="1"/>
  <c r="M67" i="4"/>
  <c r="U67" i="16" s="1"/>
  <c r="Z15" i="4"/>
  <c r="Z25" i="5"/>
  <c r="Z16" i="6"/>
  <c r="Z48" i="4"/>
  <c r="Z43" i="2"/>
  <c r="T55" i="1"/>
  <c r="O67" i="6"/>
  <c r="W67" i="15" s="1"/>
  <c r="Z31" i="6"/>
  <c r="J16" i="2"/>
  <c r="J14" i="2"/>
  <c r="V41" i="2"/>
  <c r="V15" i="2"/>
  <c r="V16" i="2"/>
  <c r="R41" i="2"/>
  <c r="P41" i="2"/>
  <c r="P67" i="6"/>
  <c r="X67" i="15" s="1"/>
  <c r="Z32" i="2"/>
  <c r="R67" i="4"/>
  <c r="Z67" i="16" s="1"/>
  <c r="T41" i="2"/>
  <c r="T15" i="2"/>
  <c r="Z54" i="6"/>
  <c r="Z36" i="4"/>
  <c r="I15" i="2"/>
  <c r="O16" i="2"/>
  <c r="Z29" i="2"/>
  <c r="I41" i="2"/>
  <c r="Z54" i="2"/>
  <c r="Z44" i="3"/>
  <c r="Z46" i="3"/>
  <c r="Z21" i="4"/>
  <c r="Z43" i="4"/>
  <c r="Z45" i="4"/>
  <c r="Q67" i="6"/>
  <c r="Y67" i="15" s="1"/>
  <c r="Z57" i="4"/>
  <c r="T14" i="2"/>
  <c r="Z37" i="2"/>
  <c r="Z45" i="2"/>
  <c r="N67" i="6"/>
  <c r="V67" i="15" s="1"/>
  <c r="U16" i="2"/>
  <c r="U41" i="2"/>
  <c r="U14" i="2"/>
  <c r="Z37" i="3"/>
  <c r="J41" i="2"/>
  <c r="T52" i="1"/>
  <c r="Z56" i="2"/>
  <c r="Z49" i="4"/>
  <c r="Z52" i="4"/>
  <c r="Z54" i="4"/>
  <c r="Z56" i="4"/>
  <c r="Z15" i="5"/>
  <c r="Z50" i="6"/>
  <c r="L16" i="2"/>
  <c r="X16" i="2"/>
  <c r="X14" i="2"/>
  <c r="Z21" i="2"/>
  <c r="Z38" i="3"/>
  <c r="Z57" i="3"/>
  <c r="Z37" i="4"/>
  <c r="Z48" i="5"/>
  <c r="Z50" i="5"/>
  <c r="S55" i="1"/>
  <c r="M55" i="1"/>
  <c r="Z53" i="5"/>
  <c r="M67" i="6"/>
  <c r="U67" i="15" s="1"/>
  <c r="O41" i="2"/>
  <c r="Z42" i="2"/>
  <c r="Z44" i="2"/>
  <c r="Z46" i="2"/>
  <c r="O52" i="1"/>
  <c r="P15" i="3"/>
  <c r="Z16" i="3"/>
  <c r="Z30" i="5"/>
  <c r="J55" i="1"/>
  <c r="V55" i="1"/>
  <c r="Z57" i="5"/>
  <c r="Z35" i="6"/>
  <c r="Z47" i="6"/>
  <c r="Z14" i="6"/>
  <c r="Z53" i="6"/>
  <c r="P15" i="2"/>
  <c r="L14" i="2"/>
  <c r="L15" i="2"/>
  <c r="P52" i="1"/>
  <c r="Q14" i="3"/>
  <c r="Q15" i="3"/>
  <c r="Z49" i="3"/>
  <c r="Z52" i="3"/>
  <c r="R53" i="1"/>
  <c r="Z17" i="4"/>
  <c r="Z33" i="4"/>
  <c r="Z50" i="4"/>
  <c r="Z53" i="4"/>
  <c r="S54" i="1"/>
  <c r="Z32" i="5"/>
  <c r="Z49" i="6"/>
  <c r="R15" i="3"/>
  <c r="R14" i="3"/>
  <c r="Z35" i="3"/>
  <c r="Z16" i="5"/>
  <c r="Z25" i="6"/>
  <c r="Z27" i="6"/>
  <c r="Z29" i="4"/>
  <c r="Z39" i="4"/>
  <c r="Q54" i="1"/>
  <c r="Z44" i="5"/>
  <c r="Z45" i="6"/>
  <c r="K16" i="2"/>
  <c r="K14" i="2"/>
  <c r="W16" i="2"/>
  <c r="W14" i="2"/>
  <c r="W15" i="3"/>
  <c r="W67" i="3" s="1"/>
  <c r="AE52" i="17" s="1"/>
  <c r="AE137" i="17" s="1"/>
  <c r="Z30" i="3"/>
  <c r="I67" i="4"/>
  <c r="Z31" i="4"/>
  <c r="R54" i="1"/>
  <c r="L67" i="5"/>
  <c r="Z36" i="5"/>
  <c r="Z46" i="5"/>
  <c r="M52" i="1"/>
  <c r="Z52" i="2"/>
  <c r="L15" i="3"/>
  <c r="X15" i="3"/>
  <c r="Z18" i="3"/>
  <c r="Z32" i="3"/>
  <c r="T53" i="1"/>
  <c r="M67" i="5"/>
  <c r="U67" i="18" s="1"/>
  <c r="U137" i="18" s="1"/>
  <c r="Z38" i="5"/>
  <c r="Z37" i="6"/>
  <c r="Z31" i="2"/>
  <c r="Z39" i="2"/>
  <c r="M15" i="3"/>
  <c r="Z20" i="3"/>
  <c r="Z19" i="4"/>
  <c r="O54" i="1"/>
  <c r="N67" i="5"/>
  <c r="V67" i="18" s="1"/>
  <c r="V137" i="18" s="1"/>
  <c r="L55" i="1"/>
  <c r="X55" i="1"/>
  <c r="Z29" i="6"/>
  <c r="Z39" i="6"/>
  <c r="Z56" i="6"/>
  <c r="M75" i="1" l="1"/>
  <c r="M76" i="1" s="1"/>
  <c r="L76" i="1"/>
  <c r="I76" i="1"/>
  <c r="AF131" i="15"/>
  <c r="L117" i="16"/>
  <c r="G37" i="18"/>
  <c r="AJ76" i="19"/>
  <c r="I37" i="15"/>
  <c r="C122" i="20"/>
  <c r="V131" i="16"/>
  <c r="AJ44" i="16"/>
  <c r="AJ45" i="19"/>
  <c r="H131" i="16"/>
  <c r="AF131" i="19"/>
  <c r="AE61" i="20"/>
  <c r="E131" i="16"/>
  <c r="AJ102" i="16"/>
  <c r="I37" i="18"/>
  <c r="I63" i="18" s="1"/>
  <c r="I64" i="18" s="1"/>
  <c r="AJ129" i="17"/>
  <c r="AJ26" i="17"/>
  <c r="F142" i="16"/>
  <c r="Y131" i="16"/>
  <c r="AJ91" i="16"/>
  <c r="B14" i="20"/>
  <c r="B16" i="20" s="1"/>
  <c r="Z131" i="17"/>
  <c r="G116" i="18"/>
  <c r="D116" i="16"/>
  <c r="AJ71" i="18"/>
  <c r="AJ104" i="16"/>
  <c r="Z131" i="16"/>
  <c r="H27" i="20"/>
  <c r="F131" i="16"/>
  <c r="I27" i="20"/>
  <c r="AJ86" i="18"/>
  <c r="X131" i="17"/>
  <c r="B137" i="20"/>
  <c r="O67" i="5"/>
  <c r="W67" i="18" s="1"/>
  <c r="W137" i="18" s="1"/>
  <c r="O68" i="1"/>
  <c r="V67" i="5"/>
  <c r="V68" i="1"/>
  <c r="P67" i="5"/>
  <c r="X67" i="18" s="1"/>
  <c r="X137" i="18" s="1"/>
  <c r="P68" i="1"/>
  <c r="W67" i="5"/>
  <c r="AE67" i="18" s="1"/>
  <c r="AE137" i="18" s="1"/>
  <c r="W68" i="1"/>
  <c r="X67" i="5"/>
  <c r="AF67" i="18" s="1"/>
  <c r="AF137" i="18" s="1"/>
  <c r="X68" i="1"/>
  <c r="J76" i="1"/>
  <c r="Q67" i="5"/>
  <c r="Y67" i="18" s="1"/>
  <c r="Y137" i="18" s="1"/>
  <c r="Q68" i="1"/>
  <c r="U67" i="5"/>
  <c r="AC67" i="18" s="1"/>
  <c r="AC137" i="18" s="1"/>
  <c r="U68" i="1"/>
  <c r="S67" i="5"/>
  <c r="AA67" i="18" s="1"/>
  <c r="AA137" i="18" s="1"/>
  <c r="S68" i="1"/>
  <c r="T67" i="5"/>
  <c r="AB67" i="18" s="1"/>
  <c r="AB137" i="18" s="1"/>
  <c r="T68" i="1"/>
  <c r="R67" i="5"/>
  <c r="Z67" i="18" s="1"/>
  <c r="Z137" i="18" s="1"/>
  <c r="R68" i="1"/>
  <c r="Z14" i="4"/>
  <c r="U67" i="4"/>
  <c r="AC67" i="16" s="1"/>
  <c r="AC137" i="16" s="1"/>
  <c r="X56" i="1"/>
  <c r="X57" i="1" s="1"/>
  <c r="S67" i="6"/>
  <c r="AA67" i="15" s="1"/>
  <c r="T67" i="6"/>
  <c r="AB67" i="15" s="1"/>
  <c r="AB137" i="15" s="1"/>
  <c r="Q60" i="1"/>
  <c r="Q62" i="1" s="1"/>
  <c r="T61" i="1"/>
  <c r="T62" i="1" s="1"/>
  <c r="W61" i="1"/>
  <c r="W62" i="1" s="1"/>
  <c r="P60" i="1"/>
  <c r="P62" i="1" s="1"/>
  <c r="V67" i="3"/>
  <c r="AD52" i="17" s="1"/>
  <c r="X67" i="3"/>
  <c r="AF52" i="17" s="1"/>
  <c r="K67" i="3"/>
  <c r="AJ102" i="18"/>
  <c r="AF131" i="17"/>
  <c r="AE130" i="20"/>
  <c r="W27" i="20"/>
  <c r="AJ59" i="16"/>
  <c r="D131" i="16"/>
  <c r="C116" i="17"/>
  <c r="AJ106" i="19"/>
  <c r="H142" i="16"/>
  <c r="H122" i="20"/>
  <c r="F37" i="17"/>
  <c r="F63" i="17" s="1"/>
  <c r="F64" i="17" s="1"/>
  <c r="AJ103" i="19"/>
  <c r="D37" i="16"/>
  <c r="D63" i="16" s="1"/>
  <c r="D64" i="16" s="1"/>
  <c r="AJ42" i="19"/>
  <c r="H116" i="17"/>
  <c r="O16" i="1"/>
  <c r="I17" i="1"/>
  <c r="J17" i="1"/>
  <c r="R67" i="2"/>
  <c r="Z33" i="19" s="1"/>
  <c r="Z33" i="20" s="1"/>
  <c r="AC14" i="20"/>
  <c r="AC16" i="20" s="1"/>
  <c r="AB131" i="15"/>
  <c r="I37" i="17"/>
  <c r="I63" i="17" s="1"/>
  <c r="I64" i="17" s="1"/>
  <c r="F55" i="20"/>
  <c r="F56" i="20" s="1"/>
  <c r="AJ40" i="18"/>
  <c r="AJ60" i="17"/>
  <c r="Z63" i="18"/>
  <c r="Z64" i="18" s="1"/>
  <c r="L144" i="20"/>
  <c r="D122" i="20"/>
  <c r="Z122" i="20"/>
  <c r="AJ86" i="17"/>
  <c r="M131" i="20"/>
  <c r="M116" i="20"/>
  <c r="AJ110" i="17"/>
  <c r="AA122" i="20"/>
  <c r="AA27" i="20"/>
  <c r="AJ41" i="16"/>
  <c r="W61" i="20"/>
  <c r="M117" i="17"/>
  <c r="M132" i="17" s="1"/>
  <c r="H116" i="18"/>
  <c r="AD131" i="15"/>
  <c r="AJ89" i="18"/>
  <c r="E37" i="15"/>
  <c r="E63" i="15" s="1"/>
  <c r="E64" i="15" s="1"/>
  <c r="D131" i="18"/>
  <c r="H116" i="19"/>
  <c r="I142" i="19"/>
  <c r="E131" i="18"/>
  <c r="AJ115" i="18"/>
  <c r="AJ59" i="18"/>
  <c r="AJ38" i="17"/>
  <c r="C131" i="16"/>
  <c r="Y131" i="15"/>
  <c r="F131" i="15"/>
  <c r="AJ60" i="16"/>
  <c r="F137" i="20"/>
  <c r="E37" i="16"/>
  <c r="E63" i="16" s="1"/>
  <c r="E64" i="16" s="1"/>
  <c r="AJ21" i="15"/>
  <c r="AJ38" i="18"/>
  <c r="J117" i="17"/>
  <c r="J132" i="17" s="1"/>
  <c r="B116" i="18"/>
  <c r="AF14" i="20"/>
  <c r="AF16" i="20" s="1"/>
  <c r="AB131" i="19"/>
  <c r="AJ30" i="19"/>
  <c r="AD63" i="18"/>
  <c r="AD64" i="18" s="1"/>
  <c r="AJ47" i="18"/>
  <c r="D116" i="19"/>
  <c r="AJ70" i="19"/>
  <c r="Z131" i="19"/>
  <c r="I131" i="19"/>
  <c r="G142" i="18"/>
  <c r="E37" i="18"/>
  <c r="E63" i="18" s="1"/>
  <c r="E64" i="18" s="1"/>
  <c r="G131" i="17"/>
  <c r="AJ84" i="16"/>
  <c r="AC131" i="15"/>
  <c r="E131" i="17"/>
  <c r="D142" i="19"/>
  <c r="W122" i="20"/>
  <c r="U27" i="20"/>
  <c r="AJ85" i="16"/>
  <c r="C37" i="15"/>
  <c r="C63" i="15" s="1"/>
  <c r="C64" i="15" s="1"/>
  <c r="D131" i="15"/>
  <c r="X131" i="19"/>
  <c r="C37" i="16"/>
  <c r="C63" i="16" s="1"/>
  <c r="C64" i="16" s="1"/>
  <c r="AE131" i="18"/>
  <c r="D37" i="18"/>
  <c r="D63" i="18" s="1"/>
  <c r="D64" i="18" s="1"/>
  <c r="D117" i="18" s="1"/>
  <c r="D37" i="19"/>
  <c r="D63" i="19" s="1"/>
  <c r="D64" i="19" s="1"/>
  <c r="X27" i="20"/>
  <c r="H137" i="20"/>
  <c r="AJ28" i="17"/>
  <c r="AF116" i="19"/>
  <c r="N40" i="20"/>
  <c r="E36" i="20"/>
  <c r="V116" i="17"/>
  <c r="AJ94" i="19"/>
  <c r="AJ90" i="16"/>
  <c r="AJ112" i="17"/>
  <c r="AC131" i="18"/>
  <c r="AJ41" i="19"/>
  <c r="C116" i="18"/>
  <c r="AJ99" i="17"/>
  <c r="C37" i="19"/>
  <c r="C63" i="19" s="1"/>
  <c r="AJ76" i="17"/>
  <c r="E137" i="20"/>
  <c r="D137" i="20"/>
  <c r="AC131" i="17"/>
  <c r="U17" i="1"/>
  <c r="AJ28" i="18"/>
  <c r="I131" i="18"/>
  <c r="AG112" i="20"/>
  <c r="J67" i="3"/>
  <c r="F116" i="16"/>
  <c r="AJ39" i="16"/>
  <c r="AJ78" i="17"/>
  <c r="F37" i="19"/>
  <c r="F63" i="19" s="1"/>
  <c r="F64" i="19" s="1"/>
  <c r="AJ85" i="19"/>
  <c r="L60" i="1"/>
  <c r="L62" i="1" s="1"/>
  <c r="U57" i="1"/>
  <c r="B37" i="15"/>
  <c r="B63" i="15" s="1"/>
  <c r="AJ111" i="18"/>
  <c r="F37" i="18"/>
  <c r="L16" i="20"/>
  <c r="G116" i="19"/>
  <c r="G55" i="20"/>
  <c r="G56" i="20" s="1"/>
  <c r="AJ71" i="17"/>
  <c r="AJ105" i="18"/>
  <c r="F116" i="15"/>
  <c r="AJ115" i="16"/>
  <c r="E116" i="16"/>
  <c r="AB116" i="19"/>
  <c r="K117" i="17"/>
  <c r="K132" i="17" s="1"/>
  <c r="K117" i="16"/>
  <c r="K132" i="16" s="1"/>
  <c r="K116" i="20"/>
  <c r="B131" i="17"/>
  <c r="AB131" i="16"/>
  <c r="B122" i="20"/>
  <c r="AF131" i="16"/>
  <c r="AJ104" i="18"/>
  <c r="D116" i="17"/>
  <c r="AD131" i="18"/>
  <c r="I122" i="20"/>
  <c r="V14" i="20"/>
  <c r="V16" i="20" s="1"/>
  <c r="D36" i="20"/>
  <c r="AJ72" i="18"/>
  <c r="AJ102" i="17"/>
  <c r="Y116" i="19"/>
  <c r="U67" i="6"/>
  <c r="AC67" i="15" s="1"/>
  <c r="AJ25" i="19"/>
  <c r="C131" i="18"/>
  <c r="M37" i="20"/>
  <c r="U131" i="19"/>
  <c r="Z52" i="6"/>
  <c r="AJ102" i="19"/>
  <c r="AA131" i="16"/>
  <c r="AA131" i="18"/>
  <c r="AJ42" i="16"/>
  <c r="M117" i="18"/>
  <c r="M132" i="18" s="1"/>
  <c r="AA130" i="20"/>
  <c r="AJ103" i="16"/>
  <c r="AJ28" i="19"/>
  <c r="I116" i="17"/>
  <c r="AJ40" i="16"/>
  <c r="J117" i="15"/>
  <c r="J132" i="15" s="1"/>
  <c r="L143" i="20"/>
  <c r="AD131" i="19"/>
  <c r="I116" i="15"/>
  <c r="F139" i="20"/>
  <c r="AJ80" i="16"/>
  <c r="AJ114" i="18"/>
  <c r="E122" i="20"/>
  <c r="K57" i="1"/>
  <c r="N114" i="20"/>
  <c r="N67" i="3"/>
  <c r="V52" i="17" s="1"/>
  <c r="V52" i="20" s="1"/>
  <c r="W57" i="1"/>
  <c r="G131" i="19"/>
  <c r="V87" i="20"/>
  <c r="L141" i="20"/>
  <c r="W63" i="16"/>
  <c r="W64" i="16" s="1"/>
  <c r="E37" i="17"/>
  <c r="E63" i="17" s="1"/>
  <c r="E64" i="17" s="1"/>
  <c r="I36" i="20"/>
  <c r="AD14" i="20"/>
  <c r="AD16" i="20" s="1"/>
  <c r="H142" i="18"/>
  <c r="AJ100" i="17"/>
  <c r="H37" i="17"/>
  <c r="H63" i="17" s="1"/>
  <c r="G131" i="18"/>
  <c r="N108" i="20"/>
  <c r="AG75" i="20"/>
  <c r="N41" i="20"/>
  <c r="C131" i="19"/>
  <c r="I37" i="16"/>
  <c r="I63" i="16" s="1"/>
  <c r="I64" i="16" s="1"/>
  <c r="M61" i="1"/>
  <c r="M62" i="1" s="1"/>
  <c r="G37" i="19"/>
  <c r="G63" i="19" s="1"/>
  <c r="G64" i="19" s="1"/>
  <c r="U131" i="17"/>
  <c r="AA116" i="19"/>
  <c r="M63" i="20"/>
  <c r="M64" i="20" s="1"/>
  <c r="X131" i="18"/>
  <c r="G122" i="20"/>
  <c r="M117" i="16"/>
  <c r="M132" i="16" s="1"/>
  <c r="S67" i="2"/>
  <c r="AA33" i="19" s="1"/>
  <c r="AA33" i="20" s="1"/>
  <c r="Z27" i="20"/>
  <c r="N137" i="17"/>
  <c r="N130" i="19"/>
  <c r="J116" i="20"/>
  <c r="W116" i="17"/>
  <c r="C14" i="20"/>
  <c r="C16" i="20" s="1"/>
  <c r="AJ112" i="19"/>
  <c r="J117" i="18"/>
  <c r="J132" i="18" s="1"/>
  <c r="AA63" i="16"/>
  <c r="AA64" i="16" s="1"/>
  <c r="W131" i="17"/>
  <c r="AJ101" i="16"/>
  <c r="G14" i="20"/>
  <c r="G16" i="20" s="1"/>
  <c r="K117" i="15"/>
  <c r="K132" i="15" s="1"/>
  <c r="V56" i="1"/>
  <c r="V57" i="1" s="1"/>
  <c r="Y14" i="20"/>
  <c r="Y16" i="20" s="1"/>
  <c r="N57" i="1"/>
  <c r="AJ128" i="17"/>
  <c r="G37" i="15"/>
  <c r="G63" i="15" s="1"/>
  <c r="G64" i="15" s="1"/>
  <c r="B140" i="20"/>
  <c r="E116" i="15"/>
  <c r="D87" i="20"/>
  <c r="AE116" i="19"/>
  <c r="E37" i="19"/>
  <c r="E63" i="19" s="1"/>
  <c r="E64" i="19" s="1"/>
  <c r="L117" i="17"/>
  <c r="L132" i="17" s="1"/>
  <c r="V131" i="18"/>
  <c r="Z131" i="18"/>
  <c r="N87" i="16"/>
  <c r="AJ129" i="16"/>
  <c r="AF63" i="16"/>
  <c r="AF64" i="16" s="1"/>
  <c r="H37" i="15"/>
  <c r="H63" i="15" s="1"/>
  <c r="H64" i="15" s="1"/>
  <c r="E27" i="20"/>
  <c r="AJ46" i="18"/>
  <c r="AB61" i="20"/>
  <c r="Y131" i="18"/>
  <c r="U131" i="15"/>
  <c r="C142" i="16"/>
  <c r="N113" i="20"/>
  <c r="AJ62" i="16"/>
  <c r="AG103" i="20"/>
  <c r="AF122" i="20"/>
  <c r="N13" i="20"/>
  <c r="F36" i="20"/>
  <c r="J64" i="19"/>
  <c r="J117" i="19" s="1"/>
  <c r="J132" i="19" s="1"/>
  <c r="W131" i="16"/>
  <c r="AG113" i="20"/>
  <c r="N46" i="20"/>
  <c r="I142" i="16"/>
  <c r="F61" i="20"/>
  <c r="AJ121" i="16"/>
  <c r="N55" i="17"/>
  <c r="AE131" i="19"/>
  <c r="N111" i="20"/>
  <c r="F116" i="17"/>
  <c r="H116" i="16"/>
  <c r="G37" i="17"/>
  <c r="G63" i="17" s="1"/>
  <c r="G64" i="17" s="1"/>
  <c r="X63" i="18"/>
  <c r="X64" i="18" s="1"/>
  <c r="L67" i="3"/>
  <c r="L15" i="1" s="1"/>
  <c r="W131" i="18"/>
  <c r="X67" i="2"/>
  <c r="AF33" i="19" s="1"/>
  <c r="AF137" i="19" s="1"/>
  <c r="O67" i="2"/>
  <c r="W33" i="19" s="1"/>
  <c r="W33" i="20" s="1"/>
  <c r="AJ101" i="17"/>
  <c r="I137" i="20"/>
  <c r="AA61" i="20"/>
  <c r="AC130" i="20"/>
  <c r="AJ111" i="17"/>
  <c r="AJ95" i="18"/>
  <c r="AA63" i="18"/>
  <c r="AA64" i="18" s="1"/>
  <c r="AJ50" i="17"/>
  <c r="P57" i="1"/>
  <c r="AJ83" i="16"/>
  <c r="AG104" i="20"/>
  <c r="H140" i="20"/>
  <c r="N82" i="20"/>
  <c r="Y130" i="20"/>
  <c r="AG110" i="20"/>
  <c r="AJ78" i="19"/>
  <c r="E87" i="20"/>
  <c r="E142" i="18"/>
  <c r="N130" i="17"/>
  <c r="F37" i="16"/>
  <c r="F63" i="16" s="1"/>
  <c r="F64" i="16" s="1"/>
  <c r="AD63" i="15"/>
  <c r="AD64" i="15" s="1"/>
  <c r="AG41" i="20"/>
  <c r="E116" i="17"/>
  <c r="N31" i="20"/>
  <c r="AA63" i="15"/>
  <c r="AA64" i="15" s="1"/>
  <c r="AG14" i="18"/>
  <c r="L57" i="1"/>
  <c r="AB131" i="18"/>
  <c r="M117" i="15"/>
  <c r="M132" i="15" s="1"/>
  <c r="X116" i="17"/>
  <c r="AJ88" i="18"/>
  <c r="H139" i="20"/>
  <c r="AJ95" i="19"/>
  <c r="AJ98" i="17"/>
  <c r="G137" i="20"/>
  <c r="X122" i="20"/>
  <c r="AG60" i="20"/>
  <c r="Y61" i="20"/>
  <c r="I116" i="16"/>
  <c r="AD27" i="20"/>
  <c r="I130" i="20"/>
  <c r="N73" i="18"/>
  <c r="AG88" i="20"/>
  <c r="N129" i="20"/>
  <c r="N96" i="20"/>
  <c r="AG72" i="20"/>
  <c r="G61" i="20"/>
  <c r="AG100" i="20"/>
  <c r="AG47" i="20"/>
  <c r="AG22" i="20"/>
  <c r="AG97" i="20"/>
  <c r="N27" i="16"/>
  <c r="K117" i="18"/>
  <c r="K132" i="18" s="1"/>
  <c r="AG13" i="20"/>
  <c r="U130" i="20"/>
  <c r="AC87" i="20"/>
  <c r="N77" i="20"/>
  <c r="AG20" i="20"/>
  <c r="AJ72" i="17"/>
  <c r="N100" i="20"/>
  <c r="AG40" i="20"/>
  <c r="N26" i="20"/>
  <c r="AJ30" i="15"/>
  <c r="N79" i="20"/>
  <c r="AJ78" i="18"/>
  <c r="N128" i="20"/>
  <c r="AJ15" i="16"/>
  <c r="AJ96" i="16"/>
  <c r="AJ20" i="19"/>
  <c r="AG106" i="20"/>
  <c r="N92" i="20"/>
  <c r="N85" i="20"/>
  <c r="AG39" i="20"/>
  <c r="AJ77" i="17"/>
  <c r="N45" i="20"/>
  <c r="AJ20" i="17"/>
  <c r="AC61" i="20"/>
  <c r="N49" i="20"/>
  <c r="Y27" i="20"/>
  <c r="U14" i="20"/>
  <c r="U16" i="20" s="1"/>
  <c r="U67" i="3"/>
  <c r="AC52" i="17" s="1"/>
  <c r="AC137" i="17" s="1"/>
  <c r="AG99" i="20"/>
  <c r="AG85" i="20"/>
  <c r="B27" i="20"/>
  <c r="AE122" i="20"/>
  <c r="N44" i="20"/>
  <c r="AE87" i="20"/>
  <c r="N15" i="20"/>
  <c r="N71" i="20"/>
  <c r="M67" i="2"/>
  <c r="U33" i="19" s="1"/>
  <c r="U137" i="19" s="1"/>
  <c r="AF87" i="20"/>
  <c r="C141" i="17"/>
  <c r="C56" i="17"/>
  <c r="N56" i="17" s="1"/>
  <c r="AB63" i="15"/>
  <c r="AB64" i="15" s="1"/>
  <c r="F130" i="20"/>
  <c r="N99" i="20"/>
  <c r="AG78" i="20"/>
  <c r="N90" i="20"/>
  <c r="O67" i="3"/>
  <c r="W52" i="17" s="1"/>
  <c r="W52" i="20" s="1"/>
  <c r="D140" i="20"/>
  <c r="I57" i="1"/>
  <c r="N34" i="20"/>
  <c r="N126" i="20"/>
  <c r="AG61" i="16"/>
  <c r="G142" i="16"/>
  <c r="G116" i="16"/>
  <c r="AG62" i="20"/>
  <c r="G141" i="17"/>
  <c r="P67" i="2"/>
  <c r="X33" i="19" s="1"/>
  <c r="X33" i="20" s="1"/>
  <c r="Z63" i="15"/>
  <c r="Z64" i="15" s="1"/>
  <c r="F142" i="15"/>
  <c r="X87" i="20"/>
  <c r="I73" i="20"/>
  <c r="AB122" i="20"/>
  <c r="N22" i="20"/>
  <c r="AJ113" i="16"/>
  <c r="N62" i="20"/>
  <c r="N30" i="20"/>
  <c r="AG27" i="17"/>
  <c r="N97" i="20"/>
  <c r="G142" i="15"/>
  <c r="AE116" i="17"/>
  <c r="AJ111" i="16"/>
  <c r="Z15" i="2"/>
  <c r="L132" i="16"/>
  <c r="N83" i="20"/>
  <c r="I61" i="20"/>
  <c r="N76" i="20"/>
  <c r="F141" i="17"/>
  <c r="N95" i="20"/>
  <c r="AG15" i="20"/>
  <c r="G130" i="20"/>
  <c r="C61" i="20"/>
  <c r="N80" i="20"/>
  <c r="Y131" i="17"/>
  <c r="AG84" i="20"/>
  <c r="I139" i="20"/>
  <c r="AG90" i="20"/>
  <c r="N89" i="20"/>
  <c r="N86" i="20"/>
  <c r="G27" i="20"/>
  <c r="J144" i="20"/>
  <c r="AE131" i="17"/>
  <c r="G142" i="19"/>
  <c r="L131" i="20"/>
  <c r="X131" i="16"/>
  <c r="N61" i="17"/>
  <c r="I61" i="1"/>
  <c r="I62" i="1" s="1"/>
  <c r="N122" i="17"/>
  <c r="I116" i="18"/>
  <c r="J37" i="20"/>
  <c r="J63" i="20" s="1"/>
  <c r="J64" i="20" s="1"/>
  <c r="N98" i="20"/>
  <c r="G73" i="20"/>
  <c r="AG44" i="20"/>
  <c r="AD122" i="20"/>
  <c r="V61" i="20"/>
  <c r="AJ72" i="16"/>
  <c r="N103" i="20"/>
  <c r="L117" i="15"/>
  <c r="L132" i="15" s="1"/>
  <c r="AJ86" i="19"/>
  <c r="Z87" i="20"/>
  <c r="AJ22" i="19"/>
  <c r="AB63" i="18"/>
  <c r="AB64" i="18" s="1"/>
  <c r="V116" i="19"/>
  <c r="H36" i="20"/>
  <c r="AJ75" i="17"/>
  <c r="AC116" i="17"/>
  <c r="X131" i="15"/>
  <c r="AF63" i="15"/>
  <c r="AF64" i="15" s="1"/>
  <c r="X63" i="16"/>
  <c r="X64" i="16" s="1"/>
  <c r="AG58" i="20"/>
  <c r="AJ99" i="18"/>
  <c r="F87" i="20"/>
  <c r="AG114" i="20"/>
  <c r="AG28" i="20"/>
  <c r="AD61" i="20"/>
  <c r="AJ49" i="17"/>
  <c r="N28" i="20"/>
  <c r="N61" i="16"/>
  <c r="N115" i="20"/>
  <c r="N54" i="20"/>
  <c r="AG21" i="20"/>
  <c r="D14" i="20"/>
  <c r="D16" i="20" s="1"/>
  <c r="AJ88" i="17"/>
  <c r="AA131" i="17"/>
  <c r="N69" i="20"/>
  <c r="N33" i="20"/>
  <c r="N107" i="20"/>
  <c r="N12" i="20"/>
  <c r="S57" i="1"/>
  <c r="AJ96" i="18"/>
  <c r="AF63" i="18"/>
  <c r="AF64" i="18" s="1"/>
  <c r="Q17" i="1"/>
  <c r="T67" i="2"/>
  <c r="AB33" i="19" s="1"/>
  <c r="AB137" i="19" s="1"/>
  <c r="H131" i="19"/>
  <c r="F116" i="18"/>
  <c r="C63" i="18"/>
  <c r="C64" i="18" s="1"/>
  <c r="AJ125" i="17"/>
  <c r="AJ94" i="16"/>
  <c r="M144" i="20"/>
  <c r="N78" i="20"/>
  <c r="AJ113" i="17"/>
  <c r="AJ126" i="19"/>
  <c r="AG115" i="20"/>
  <c r="AG48" i="20"/>
  <c r="AD63" i="16"/>
  <c r="AD64" i="16" s="1"/>
  <c r="H55" i="20"/>
  <c r="H56" i="20" s="1"/>
  <c r="AG46" i="20"/>
  <c r="N21" i="20"/>
  <c r="N88" i="20"/>
  <c r="AG79" i="20"/>
  <c r="AB27" i="20"/>
  <c r="AJ79" i="17"/>
  <c r="C130" i="20"/>
  <c r="C131" i="20" s="1"/>
  <c r="D27" i="20"/>
  <c r="C55" i="20"/>
  <c r="C56" i="20" s="1"/>
  <c r="C137" i="20"/>
  <c r="AG25" i="20"/>
  <c r="AC27" i="20"/>
  <c r="C16" i="19"/>
  <c r="N16" i="19" s="1"/>
  <c r="O90" i="19" s="1"/>
  <c r="N14" i="19"/>
  <c r="F122" i="20"/>
  <c r="N120" i="20"/>
  <c r="Q67" i="2"/>
  <c r="Y33" i="19" s="1"/>
  <c r="B36" i="20"/>
  <c r="N38" i="20"/>
  <c r="AF67" i="16"/>
  <c r="N105" i="20"/>
  <c r="D130" i="20"/>
  <c r="N53" i="20"/>
  <c r="D55" i="20"/>
  <c r="D56" i="20" s="1"/>
  <c r="AG111" i="20"/>
  <c r="C37" i="17"/>
  <c r="AA87" i="20"/>
  <c r="N72" i="20"/>
  <c r="AG108" i="20"/>
  <c r="AG91" i="20"/>
  <c r="AG26" i="20"/>
  <c r="X67" i="20"/>
  <c r="X137" i="15"/>
  <c r="E130" i="20"/>
  <c r="AJ115" i="17"/>
  <c r="AG107" i="20"/>
  <c r="N67" i="20"/>
  <c r="AG109" i="20"/>
  <c r="AG98" i="20"/>
  <c r="AB130" i="20"/>
  <c r="J57" i="1"/>
  <c r="N36" i="19"/>
  <c r="C87" i="20"/>
  <c r="N93" i="20"/>
  <c r="AG76" i="20"/>
  <c r="N110" i="20"/>
  <c r="U67" i="20"/>
  <c r="U137" i="15"/>
  <c r="H141" i="17"/>
  <c r="N27" i="17"/>
  <c r="D73" i="20"/>
  <c r="N102" i="20"/>
  <c r="AG125" i="20"/>
  <c r="V130" i="20"/>
  <c r="N25" i="20"/>
  <c r="AD87" i="20"/>
  <c r="AG74" i="20"/>
  <c r="N50" i="20"/>
  <c r="AG77" i="20"/>
  <c r="I140" i="20"/>
  <c r="AG86" i="20"/>
  <c r="N68" i="20"/>
  <c r="B139" i="20"/>
  <c r="B73" i="20"/>
  <c r="U137" i="16"/>
  <c r="AG50" i="20"/>
  <c r="C73" i="20"/>
  <c r="AA137" i="16"/>
  <c r="V131" i="17"/>
  <c r="AG122" i="17"/>
  <c r="AG71" i="20"/>
  <c r="AG31" i="20"/>
  <c r="AG89" i="20"/>
  <c r="AG45" i="20"/>
  <c r="Z14" i="5"/>
  <c r="N130" i="18"/>
  <c r="G139" i="20"/>
  <c r="AG121" i="20"/>
  <c r="AG128" i="20"/>
  <c r="AG101" i="20"/>
  <c r="R56" i="1"/>
  <c r="R57" i="1" s="1"/>
  <c r="R67" i="6"/>
  <c r="Z67" i="15" s="1"/>
  <c r="I87" i="20"/>
  <c r="V27" i="20"/>
  <c r="AG24" i="20"/>
  <c r="AG49" i="20"/>
  <c r="D142" i="16"/>
  <c r="N74" i="20"/>
  <c r="X60" i="1"/>
  <c r="X61" i="1"/>
  <c r="J16" i="1"/>
  <c r="AG92" i="20"/>
  <c r="N60" i="20"/>
  <c r="W87" i="20"/>
  <c r="N20" i="20"/>
  <c r="N109" i="20"/>
  <c r="W67" i="20"/>
  <c r="W137" i="15"/>
  <c r="F131" i="19"/>
  <c r="Q57" i="1"/>
  <c r="N35" i="20"/>
  <c r="N29" i="20"/>
  <c r="X14" i="20"/>
  <c r="X16" i="20" s="1"/>
  <c r="AG12" i="20"/>
  <c r="N42" i="20"/>
  <c r="Z137" i="16"/>
  <c r="F56" i="18"/>
  <c r="N56" i="18" s="1"/>
  <c r="N55" i="18"/>
  <c r="AJ55" i="18" s="1"/>
  <c r="C140" i="20"/>
  <c r="C36" i="20"/>
  <c r="N61" i="19"/>
  <c r="AC63" i="18"/>
  <c r="AC64" i="18" s="1"/>
  <c r="W131" i="15"/>
  <c r="F131" i="18"/>
  <c r="AD130" i="20"/>
  <c r="AG38" i="20"/>
  <c r="AG30" i="20"/>
  <c r="AG82" i="20"/>
  <c r="U87" i="20"/>
  <c r="U61" i="20"/>
  <c r="AG59" i="20"/>
  <c r="Z54" i="1"/>
  <c r="N67" i="2"/>
  <c r="V33" i="19" s="1"/>
  <c r="N61" i="15"/>
  <c r="G36" i="20"/>
  <c r="N101" i="20"/>
  <c r="B55" i="20"/>
  <c r="B56" i="20" s="1"/>
  <c r="N52" i="20"/>
  <c r="AG95" i="20"/>
  <c r="Z53" i="1"/>
  <c r="N84" i="20"/>
  <c r="AG93" i="20"/>
  <c r="N106" i="20"/>
  <c r="N39" i="20"/>
  <c r="AG83" i="20"/>
  <c r="F140" i="20"/>
  <c r="N59" i="20"/>
  <c r="AG94" i="20"/>
  <c r="X61" i="20"/>
  <c r="AJ93" i="19"/>
  <c r="N87" i="19"/>
  <c r="D141" i="17"/>
  <c r="L117" i="18"/>
  <c r="L132" i="18" s="1"/>
  <c r="C131" i="15"/>
  <c r="G131" i="16"/>
  <c r="H131" i="15"/>
  <c r="N47" i="20"/>
  <c r="AG19" i="20"/>
  <c r="E139" i="20"/>
  <c r="N24" i="20"/>
  <c r="C27" i="20"/>
  <c r="D139" i="20"/>
  <c r="AE52" i="20"/>
  <c r="U61" i="1"/>
  <c r="U62" i="1" s="1"/>
  <c r="H131" i="17"/>
  <c r="AB63" i="16"/>
  <c r="AB64" i="16" s="1"/>
  <c r="V17" i="1"/>
  <c r="AG126" i="20"/>
  <c r="K144" i="20"/>
  <c r="Z130" i="20"/>
  <c r="N121" i="20"/>
  <c r="AC131" i="19"/>
  <c r="C139" i="20"/>
  <c r="AE14" i="20"/>
  <c r="AE16" i="20" s="1"/>
  <c r="AG42" i="20"/>
  <c r="N127" i="20"/>
  <c r="N91" i="20"/>
  <c r="AJ109" i="17"/>
  <c r="AF27" i="20"/>
  <c r="W37" i="17"/>
  <c r="AG37" i="17" s="1"/>
  <c r="J117" i="16"/>
  <c r="J132" i="16" s="1"/>
  <c r="AA14" i="20"/>
  <c r="AA16" i="20" s="1"/>
  <c r="AD116" i="19"/>
  <c r="H73" i="20"/>
  <c r="E142" i="19"/>
  <c r="G87" i="20"/>
  <c r="AG105" i="20"/>
  <c r="AF137" i="17"/>
  <c r="AF52" i="20"/>
  <c r="AB137" i="16"/>
  <c r="AE137" i="15"/>
  <c r="AE67" i="20"/>
  <c r="V137" i="17"/>
  <c r="N36" i="15"/>
  <c r="AJ36" i="15" s="1"/>
  <c r="X130" i="20"/>
  <c r="N48" i="20"/>
  <c r="C142" i="18"/>
  <c r="AG61" i="18"/>
  <c r="AB131" i="17"/>
  <c r="W67" i="2"/>
  <c r="AE33" i="19" s="1"/>
  <c r="AJ12" i="19"/>
  <c r="Z116" i="19"/>
  <c r="AJ48" i="19"/>
  <c r="AJ93" i="18"/>
  <c r="F142" i="18"/>
  <c r="N61" i="18"/>
  <c r="E141" i="17"/>
  <c r="N36" i="17"/>
  <c r="AJ36" i="17" s="1"/>
  <c r="I142" i="18"/>
  <c r="H142" i="15"/>
  <c r="H37" i="16"/>
  <c r="H63" i="16" s="1"/>
  <c r="H64" i="16" s="1"/>
  <c r="B142" i="16"/>
  <c r="J143" i="20"/>
  <c r="B87" i="20"/>
  <c r="E116" i="19"/>
  <c r="AG102" i="20"/>
  <c r="M64" i="19"/>
  <c r="M117" i="19" s="1"/>
  <c r="M132" i="19" s="1"/>
  <c r="Y122" i="20"/>
  <c r="F14" i="20"/>
  <c r="F16" i="20" s="1"/>
  <c r="F73" i="20"/>
  <c r="H14" i="20"/>
  <c r="H16" i="20" s="1"/>
  <c r="L64" i="19"/>
  <c r="L117" i="19" s="1"/>
  <c r="L132" i="19" s="1"/>
  <c r="W130" i="20"/>
  <c r="Z61" i="20"/>
  <c r="AC131" i="16"/>
  <c r="AG80" i="20"/>
  <c r="I55" i="20"/>
  <c r="I56" i="20" s="1"/>
  <c r="AE27" i="20"/>
  <c r="Z73" i="17"/>
  <c r="Z116" i="17" s="1"/>
  <c r="G37" i="16"/>
  <c r="G63" i="16" s="1"/>
  <c r="G64" i="16" s="1"/>
  <c r="H131" i="18"/>
  <c r="Y87" i="20"/>
  <c r="AF131" i="18"/>
  <c r="I141" i="17"/>
  <c r="F27" i="20"/>
  <c r="AF137" i="15"/>
  <c r="N58" i="20"/>
  <c r="E140" i="20"/>
  <c r="N55" i="16"/>
  <c r="AJ55" i="16" s="1"/>
  <c r="N87" i="15"/>
  <c r="H130" i="20"/>
  <c r="AC122" i="20"/>
  <c r="AD137" i="16"/>
  <c r="AJ44" i="19"/>
  <c r="C116" i="19"/>
  <c r="N55" i="19"/>
  <c r="AG87" i="18"/>
  <c r="H37" i="18"/>
  <c r="H63" i="18" s="1"/>
  <c r="H64" i="18" s="1"/>
  <c r="V63" i="18"/>
  <c r="V64" i="18" s="1"/>
  <c r="AA116" i="17"/>
  <c r="B141" i="17"/>
  <c r="AE63" i="16"/>
  <c r="AE64" i="16" s="1"/>
  <c r="D116" i="15"/>
  <c r="AJ70" i="15"/>
  <c r="E55" i="20"/>
  <c r="E56" i="20" s="1"/>
  <c r="G140" i="20"/>
  <c r="B61" i="20"/>
  <c r="AG29" i="20"/>
  <c r="AB87" i="20"/>
  <c r="AG96" i="20"/>
  <c r="N70" i="20"/>
  <c r="D138" i="20"/>
  <c r="AG129" i="20"/>
  <c r="N104" i="20"/>
  <c r="AB14" i="20"/>
  <c r="AB16" i="20" s="1"/>
  <c r="I14" i="20"/>
  <c r="D131" i="17"/>
  <c r="E61" i="20"/>
  <c r="R61" i="1"/>
  <c r="R60" i="1"/>
  <c r="N112" i="20"/>
  <c r="W14" i="20"/>
  <c r="W16" i="20" s="1"/>
  <c r="I67" i="2"/>
  <c r="AG122" i="19"/>
  <c r="AG27" i="18"/>
  <c r="AJ90" i="19"/>
  <c r="E131" i="15"/>
  <c r="N19" i="20"/>
  <c r="Z14" i="20"/>
  <c r="Z16" i="20" s="1"/>
  <c r="C131" i="17"/>
  <c r="H87" i="20"/>
  <c r="E14" i="20"/>
  <c r="E16" i="20" s="1"/>
  <c r="D61" i="20"/>
  <c r="O61" i="1"/>
  <c r="O60" i="1"/>
  <c r="N75" i="20"/>
  <c r="K131" i="20"/>
  <c r="B130" i="20"/>
  <c r="N125" i="20"/>
  <c r="AG16" i="19"/>
  <c r="AH54" i="19" s="1"/>
  <c r="N140" i="17"/>
  <c r="AD52" i="20"/>
  <c r="AD137" i="17"/>
  <c r="AD67" i="18"/>
  <c r="AD137" i="18" s="1"/>
  <c r="P67" i="3"/>
  <c r="X52" i="17" s="1"/>
  <c r="Y67" i="20"/>
  <c r="Y137" i="15"/>
  <c r="AD137" i="15"/>
  <c r="AA67" i="20"/>
  <c r="AA137" i="15"/>
  <c r="K67" i="2"/>
  <c r="V137" i="15"/>
  <c r="V67" i="20"/>
  <c r="AE63" i="18"/>
  <c r="AE64" i="18" s="1"/>
  <c r="B56" i="16"/>
  <c r="N56" i="16" s="1"/>
  <c r="R67" i="3"/>
  <c r="Z52" i="17" s="1"/>
  <c r="Z41" i="2"/>
  <c r="I67" i="3"/>
  <c r="I15" i="1" s="1"/>
  <c r="W131" i="19"/>
  <c r="B56" i="19"/>
  <c r="N56" i="19" s="1"/>
  <c r="D142" i="18"/>
  <c r="B142" i="18"/>
  <c r="N87" i="17"/>
  <c r="AD131" i="17"/>
  <c r="AA131" i="15"/>
  <c r="F37" i="15"/>
  <c r="F63" i="15" s="1"/>
  <c r="F64" i="15" s="1"/>
  <c r="AJ71" i="16"/>
  <c r="K37" i="20"/>
  <c r="K63" i="20" s="1"/>
  <c r="K64" i="20" s="1"/>
  <c r="M141" i="20"/>
  <c r="V131" i="19"/>
  <c r="K64" i="19"/>
  <c r="K117" i="19" s="1"/>
  <c r="K132" i="19" s="1"/>
  <c r="AG120" i="20"/>
  <c r="V122" i="20"/>
  <c r="U122" i="20"/>
  <c r="AF61" i="20"/>
  <c r="AF130" i="20"/>
  <c r="E73" i="20"/>
  <c r="H61" i="20"/>
  <c r="U138" i="20"/>
  <c r="AG70" i="20"/>
  <c r="AG138" i="20" s="1"/>
  <c r="N94" i="20"/>
  <c r="L116" i="20"/>
  <c r="J141" i="20"/>
  <c r="M143" i="20"/>
  <c r="L63" i="20"/>
  <c r="K143" i="20"/>
  <c r="K141" i="20"/>
  <c r="W73" i="19"/>
  <c r="W116" i="19" s="1"/>
  <c r="AJ39" i="19"/>
  <c r="AJ89" i="19"/>
  <c r="I116" i="19"/>
  <c r="AJ96" i="19"/>
  <c r="AJ121" i="19"/>
  <c r="AJ98" i="18"/>
  <c r="AJ38" i="19"/>
  <c r="AJ79" i="18"/>
  <c r="AJ75" i="19"/>
  <c r="AJ74" i="18"/>
  <c r="AJ42" i="18"/>
  <c r="AJ24" i="18"/>
  <c r="AJ44" i="18"/>
  <c r="N139" i="17"/>
  <c r="AJ29" i="17"/>
  <c r="AJ48" i="17"/>
  <c r="AJ120" i="15"/>
  <c r="AG56" i="16"/>
  <c r="AJ79" i="15"/>
  <c r="N55" i="15"/>
  <c r="AJ125" i="19"/>
  <c r="N140" i="19"/>
  <c r="AJ109" i="18"/>
  <c r="AJ49" i="19"/>
  <c r="AJ91" i="19"/>
  <c r="AJ76" i="18"/>
  <c r="AJ67" i="19"/>
  <c r="AJ101" i="18"/>
  <c r="AJ83" i="18"/>
  <c r="AJ97" i="18"/>
  <c r="AJ30" i="18"/>
  <c r="U63" i="18"/>
  <c r="AJ13" i="17"/>
  <c r="B116" i="17"/>
  <c r="N73" i="17"/>
  <c r="AJ15" i="18"/>
  <c r="AJ42" i="17"/>
  <c r="AJ104" i="17"/>
  <c r="AJ82" i="17"/>
  <c r="AJ45" i="17"/>
  <c r="AJ126" i="16"/>
  <c r="AJ88" i="16"/>
  <c r="AJ109" i="15"/>
  <c r="AG122" i="15"/>
  <c r="AG27" i="19"/>
  <c r="AJ83" i="19"/>
  <c r="AJ98" i="19"/>
  <c r="AJ84" i="18"/>
  <c r="N87" i="18"/>
  <c r="AJ19" i="18"/>
  <c r="AJ24" i="17"/>
  <c r="Y37" i="18"/>
  <c r="Y63" i="18" s="1"/>
  <c r="Y64" i="18" s="1"/>
  <c r="AJ98" i="16"/>
  <c r="AJ12" i="17"/>
  <c r="AJ25" i="16"/>
  <c r="AJ58" i="17"/>
  <c r="AJ124" i="16"/>
  <c r="AJ41" i="18"/>
  <c r="AJ128" i="16"/>
  <c r="B37" i="17"/>
  <c r="AE63" i="15"/>
  <c r="AE64" i="15" s="1"/>
  <c r="AJ86" i="15"/>
  <c r="AJ44" i="15"/>
  <c r="AJ128" i="19"/>
  <c r="AJ60" i="19"/>
  <c r="AJ97" i="17"/>
  <c r="AJ120" i="18"/>
  <c r="AJ52" i="19"/>
  <c r="AG14" i="19"/>
  <c r="AJ58" i="19"/>
  <c r="AJ29" i="19"/>
  <c r="AJ58" i="18"/>
  <c r="AG16" i="18"/>
  <c r="AH58" i="18" s="1"/>
  <c r="AJ13" i="18"/>
  <c r="AJ83" i="17"/>
  <c r="AG138" i="18"/>
  <c r="AJ107" i="17"/>
  <c r="AJ59" i="17"/>
  <c r="AJ62" i="17"/>
  <c r="AJ86" i="16"/>
  <c r="AJ21" i="18"/>
  <c r="AJ95" i="17"/>
  <c r="AJ30" i="16"/>
  <c r="I131" i="15"/>
  <c r="AJ26" i="16"/>
  <c r="AJ120" i="19"/>
  <c r="AJ67" i="17"/>
  <c r="AJ121" i="17"/>
  <c r="AJ129" i="19"/>
  <c r="AC73" i="19"/>
  <c r="AC116" i="19" s="1"/>
  <c r="AJ108" i="19"/>
  <c r="AG68" i="19"/>
  <c r="AG122" i="18"/>
  <c r="U131" i="18"/>
  <c r="F142" i="19"/>
  <c r="AG87" i="19"/>
  <c r="AJ107" i="19"/>
  <c r="AJ84" i="19"/>
  <c r="AJ110" i="19"/>
  <c r="AJ112" i="18"/>
  <c r="AJ106" i="18"/>
  <c r="AJ13" i="19"/>
  <c r="AJ45" i="18"/>
  <c r="AJ52" i="18"/>
  <c r="AJ106" i="17"/>
  <c r="AG61" i="17"/>
  <c r="AJ76" i="16"/>
  <c r="AJ112" i="16"/>
  <c r="G116" i="17"/>
  <c r="AG130" i="16"/>
  <c r="AJ100" i="16"/>
  <c r="AJ20" i="16"/>
  <c r="AJ29" i="15"/>
  <c r="AG61" i="15"/>
  <c r="N130" i="15"/>
  <c r="B37" i="19"/>
  <c r="N27" i="19"/>
  <c r="AJ15" i="19"/>
  <c r="AJ21" i="19"/>
  <c r="AJ85" i="18"/>
  <c r="AJ107" i="18"/>
  <c r="AJ12" i="18"/>
  <c r="AJ96" i="17"/>
  <c r="AJ109" i="16"/>
  <c r="AJ108" i="16"/>
  <c r="N130" i="16"/>
  <c r="B131" i="16"/>
  <c r="AJ99" i="16"/>
  <c r="AG37" i="15"/>
  <c r="U63" i="15"/>
  <c r="AJ107" i="16"/>
  <c r="AJ82" i="16"/>
  <c r="AJ108" i="15"/>
  <c r="AG87" i="15"/>
  <c r="AJ80" i="19"/>
  <c r="AJ109" i="19"/>
  <c r="AJ26" i="19"/>
  <c r="AJ60" i="18"/>
  <c r="E131" i="19"/>
  <c r="AJ69" i="19"/>
  <c r="AJ99" i="19"/>
  <c r="I37" i="19"/>
  <c r="I63" i="19" s="1"/>
  <c r="I64" i="19" s="1"/>
  <c r="U116" i="19"/>
  <c r="N139" i="19"/>
  <c r="AJ49" i="18"/>
  <c r="AJ103" i="18"/>
  <c r="AJ20" i="18"/>
  <c r="AJ19" i="19"/>
  <c r="E116" i="18"/>
  <c r="AJ80" i="18"/>
  <c r="N138" i="17"/>
  <c r="AJ70" i="17"/>
  <c r="AG138" i="17"/>
  <c r="AJ41" i="17"/>
  <c r="AJ39" i="17"/>
  <c r="AJ114" i="17"/>
  <c r="AJ106" i="16"/>
  <c r="AJ12" i="16"/>
  <c r="N27" i="15"/>
  <c r="D37" i="15"/>
  <c r="D63" i="15" s="1"/>
  <c r="D64" i="15" s="1"/>
  <c r="AC63" i="16"/>
  <c r="AC64" i="16" s="1"/>
  <c r="AJ105" i="15"/>
  <c r="AJ40" i="19"/>
  <c r="AJ74" i="19"/>
  <c r="AJ128" i="18"/>
  <c r="H37" i="19"/>
  <c r="H63" i="19" s="1"/>
  <c r="H64" i="19" s="1"/>
  <c r="B142" i="19"/>
  <c r="AJ92" i="18"/>
  <c r="C142" i="19"/>
  <c r="AG130" i="18"/>
  <c r="F131" i="17"/>
  <c r="AJ54" i="18"/>
  <c r="AG56" i="18"/>
  <c r="AJ21" i="17"/>
  <c r="AJ89" i="17"/>
  <c r="G63" i="18"/>
  <c r="G64" i="18" s="1"/>
  <c r="U73" i="17"/>
  <c r="AG68" i="17"/>
  <c r="AJ126" i="17"/>
  <c r="AJ84" i="17"/>
  <c r="AJ128" i="15"/>
  <c r="N122" i="16"/>
  <c r="AG130" i="15"/>
  <c r="V131" i="15"/>
  <c r="AJ39" i="15"/>
  <c r="AG56" i="15"/>
  <c r="AJ25" i="15"/>
  <c r="AJ24" i="19"/>
  <c r="N122" i="15"/>
  <c r="B131" i="15"/>
  <c r="AJ19" i="17"/>
  <c r="AJ48" i="15"/>
  <c r="AJ72" i="19"/>
  <c r="AG56" i="19"/>
  <c r="AJ105" i="19"/>
  <c r="AJ88" i="19"/>
  <c r="AG61" i="19"/>
  <c r="AJ50" i="19"/>
  <c r="AJ62" i="18"/>
  <c r="AJ124" i="18"/>
  <c r="AJ101" i="19"/>
  <c r="AJ70" i="18"/>
  <c r="N138" i="18"/>
  <c r="AJ62" i="19"/>
  <c r="AJ75" i="18"/>
  <c r="AJ48" i="18"/>
  <c r="N36" i="18"/>
  <c r="B37" i="18"/>
  <c r="AJ39" i="18"/>
  <c r="AJ93" i="17"/>
  <c r="AJ121" i="18"/>
  <c r="AJ31" i="19"/>
  <c r="AJ47" i="16"/>
  <c r="AJ103" i="17"/>
  <c r="AJ40" i="17"/>
  <c r="B116" i="16"/>
  <c r="N73" i="16"/>
  <c r="AJ90" i="17"/>
  <c r="AJ121" i="15"/>
  <c r="AJ92" i="16"/>
  <c r="E142" i="16"/>
  <c r="AJ30" i="17"/>
  <c r="AJ113" i="19"/>
  <c r="AJ125" i="18"/>
  <c r="AJ79" i="19"/>
  <c r="AJ47" i="19"/>
  <c r="N73" i="19"/>
  <c r="B116" i="19"/>
  <c r="N140" i="18"/>
  <c r="AJ35" i="18"/>
  <c r="AJ120" i="17"/>
  <c r="AJ82" i="18"/>
  <c r="AJ74" i="17"/>
  <c r="AJ25" i="17"/>
  <c r="AD116" i="17"/>
  <c r="AJ69" i="17"/>
  <c r="AF73" i="17"/>
  <c r="AF116" i="17" s="1"/>
  <c r="AJ111" i="19"/>
  <c r="AG130" i="19"/>
  <c r="AJ53" i="19"/>
  <c r="AJ115" i="19"/>
  <c r="N122" i="18"/>
  <c r="B131" i="18"/>
  <c r="AJ104" i="19"/>
  <c r="F116" i="19"/>
  <c r="AG138" i="19"/>
  <c r="B131" i="19"/>
  <c r="N122" i="19"/>
  <c r="AJ114" i="19"/>
  <c r="AJ54" i="19"/>
  <c r="AJ129" i="18"/>
  <c r="AJ77" i="19"/>
  <c r="AJ110" i="18"/>
  <c r="H142" i="19"/>
  <c r="AJ100" i="19"/>
  <c r="AJ59" i="19"/>
  <c r="X73" i="19"/>
  <c r="X116" i="19" s="1"/>
  <c r="AJ108" i="18"/>
  <c r="AJ97" i="19"/>
  <c r="AJ46" i="19"/>
  <c r="AJ77" i="18"/>
  <c r="AJ71" i="19"/>
  <c r="AJ82" i="19"/>
  <c r="AJ25" i="18"/>
  <c r="N139" i="18"/>
  <c r="AJ34" i="18"/>
  <c r="AJ29" i="18"/>
  <c r="AJ92" i="17"/>
  <c r="AG130" i="17"/>
  <c r="H16" i="17"/>
  <c r="N14" i="17"/>
  <c r="AG87" i="17"/>
  <c r="Y116" i="17"/>
  <c r="AJ108" i="17"/>
  <c r="AJ90" i="18"/>
  <c r="D37" i="17"/>
  <c r="D63" i="17" s="1"/>
  <c r="D64" i="17" s="1"/>
  <c r="AJ31" i="15"/>
  <c r="N36" i="16"/>
  <c r="B37" i="16"/>
  <c r="AJ89" i="15"/>
  <c r="N138" i="16"/>
  <c r="AJ70" i="16"/>
  <c r="AJ113" i="15"/>
  <c r="AJ42" i="15"/>
  <c r="AJ22" i="16"/>
  <c r="AJ38" i="15"/>
  <c r="AJ78" i="15"/>
  <c r="AJ94" i="17"/>
  <c r="AJ105" i="17"/>
  <c r="AJ95" i="16"/>
  <c r="AJ129" i="15"/>
  <c r="AJ79" i="16"/>
  <c r="AJ74" i="16"/>
  <c r="AB116" i="17"/>
  <c r="AJ112" i="15"/>
  <c r="I63" i="15"/>
  <c r="I64" i="15" s="1"/>
  <c r="Y63" i="15"/>
  <c r="Y64" i="15" s="1"/>
  <c r="U16" i="15"/>
  <c r="AG14" i="15"/>
  <c r="AJ102" i="15"/>
  <c r="AJ83" i="15"/>
  <c r="AJ41" i="15"/>
  <c r="N140" i="15"/>
  <c r="AJ35" i="15"/>
  <c r="AJ105" i="16"/>
  <c r="AG27" i="16"/>
  <c r="AJ74" i="15"/>
  <c r="AJ126" i="15"/>
  <c r="AJ104" i="15"/>
  <c r="E142" i="15"/>
  <c r="AJ99" i="15"/>
  <c r="AJ54" i="15"/>
  <c r="AJ52" i="16"/>
  <c r="N139" i="16"/>
  <c r="AJ34" i="16"/>
  <c r="AJ20" i="15"/>
  <c r="C116" i="15"/>
  <c r="AJ28" i="15"/>
  <c r="AJ115" i="15"/>
  <c r="V63" i="16"/>
  <c r="V64" i="16" s="1"/>
  <c r="AJ84" i="15"/>
  <c r="AJ60" i="15"/>
  <c r="AJ91" i="15"/>
  <c r="H116" i="15"/>
  <c r="AJ107" i="15"/>
  <c r="AJ126" i="18"/>
  <c r="AJ100" i="18"/>
  <c r="AJ113" i="18"/>
  <c r="N137" i="19"/>
  <c r="AJ50" i="18"/>
  <c r="AJ31" i="18"/>
  <c r="AJ94" i="18"/>
  <c r="N137" i="18"/>
  <c r="AJ33" i="18"/>
  <c r="N27" i="18"/>
  <c r="AJ91" i="17"/>
  <c r="AJ85" i="17"/>
  <c r="B16" i="18"/>
  <c r="N14" i="18"/>
  <c r="W63" i="18"/>
  <c r="W64" i="18" s="1"/>
  <c r="Z63" i="16"/>
  <c r="Z64" i="16" s="1"/>
  <c r="AJ77" i="16"/>
  <c r="AJ44" i="17"/>
  <c r="AJ110" i="16"/>
  <c r="AJ46" i="17"/>
  <c r="C116" i="16"/>
  <c r="AJ24" i="16"/>
  <c r="AJ106" i="15"/>
  <c r="AJ46" i="15"/>
  <c r="AJ13" i="15"/>
  <c r="D142" i="15"/>
  <c r="AJ21" i="16"/>
  <c r="AJ101" i="15"/>
  <c r="X63" i="15"/>
  <c r="X64" i="15" s="1"/>
  <c r="AJ125" i="15"/>
  <c r="W63" i="15"/>
  <c r="W64" i="15" s="1"/>
  <c r="AJ89" i="16"/>
  <c r="AJ82" i="15"/>
  <c r="AJ22" i="15"/>
  <c r="AJ71" i="15"/>
  <c r="N56" i="15"/>
  <c r="AJ24" i="15"/>
  <c r="B116" i="15"/>
  <c r="N73" i="15"/>
  <c r="AG37" i="16"/>
  <c r="U63" i="16"/>
  <c r="C142" i="15"/>
  <c r="AJ100" i="15"/>
  <c r="AJ15" i="15"/>
  <c r="AJ103" i="15"/>
  <c r="AJ90" i="15"/>
  <c r="AJ58" i="15"/>
  <c r="AJ19" i="16"/>
  <c r="AJ12" i="15"/>
  <c r="AJ97" i="15"/>
  <c r="AJ40" i="15"/>
  <c r="N140" i="16"/>
  <c r="AJ35" i="16"/>
  <c r="AG14" i="16"/>
  <c r="B142" i="15"/>
  <c r="AJ114" i="16"/>
  <c r="AJ31" i="16"/>
  <c r="AJ96" i="15"/>
  <c r="V63" i="15"/>
  <c r="V64" i="15" s="1"/>
  <c r="AJ125" i="16"/>
  <c r="AJ52" i="15"/>
  <c r="N139" i="15"/>
  <c r="AJ34" i="15"/>
  <c r="B16" i="15"/>
  <c r="N14" i="15"/>
  <c r="AJ75" i="16"/>
  <c r="G116" i="15"/>
  <c r="AG87" i="16"/>
  <c r="AJ72" i="15"/>
  <c r="AJ80" i="15"/>
  <c r="AJ91" i="18"/>
  <c r="AJ26" i="18"/>
  <c r="AJ47" i="17"/>
  <c r="AG14" i="17"/>
  <c r="U16" i="17"/>
  <c r="AJ22" i="18"/>
  <c r="AJ48" i="16"/>
  <c r="AJ49" i="16"/>
  <c r="AG138" i="16"/>
  <c r="AJ22" i="17"/>
  <c r="AJ31" i="17"/>
  <c r="AJ49" i="15"/>
  <c r="AJ88" i="15"/>
  <c r="AJ114" i="15"/>
  <c r="AJ19" i="15"/>
  <c r="AJ26" i="15"/>
  <c r="AJ45" i="15"/>
  <c r="AG16" i="16"/>
  <c r="AH77" i="16" s="1"/>
  <c r="AJ95" i="15"/>
  <c r="I142" i="15"/>
  <c r="AJ13" i="16"/>
  <c r="AJ62" i="15"/>
  <c r="AJ50" i="16"/>
  <c r="AJ111" i="15"/>
  <c r="AJ120" i="16"/>
  <c r="AJ45" i="16"/>
  <c r="Y63" i="16"/>
  <c r="Y64" i="16" s="1"/>
  <c r="AE131" i="15"/>
  <c r="AJ94" i="15"/>
  <c r="AJ50" i="15"/>
  <c r="AG122" i="16"/>
  <c r="U131" i="16"/>
  <c r="AJ28" i="16"/>
  <c r="AJ93" i="15"/>
  <c r="AJ59" i="15"/>
  <c r="N137" i="15"/>
  <c r="AJ33" i="15"/>
  <c r="AJ38" i="16"/>
  <c r="AJ15" i="17"/>
  <c r="N14" i="16"/>
  <c r="B16" i="16"/>
  <c r="AJ76" i="15"/>
  <c r="AJ75" i="15"/>
  <c r="AJ47" i="15"/>
  <c r="AG27" i="15"/>
  <c r="AJ78" i="16"/>
  <c r="AJ110" i="15"/>
  <c r="AJ85" i="15"/>
  <c r="G131" i="15"/>
  <c r="AC63" i="15"/>
  <c r="AC64" i="15" s="1"/>
  <c r="AJ80" i="17"/>
  <c r="AJ46" i="16"/>
  <c r="AJ29" i="16"/>
  <c r="AJ33" i="16"/>
  <c r="N137" i="16"/>
  <c r="AJ98" i="15"/>
  <c r="AJ92" i="15"/>
  <c r="AJ77" i="15"/>
  <c r="X15" i="1"/>
  <c r="M17" i="1"/>
  <c r="T57" i="1"/>
  <c r="P17" i="1"/>
  <c r="J18" i="1"/>
  <c r="Q18" i="1"/>
  <c r="V15" i="1"/>
  <c r="Z14" i="2"/>
  <c r="Z52" i="1"/>
  <c r="M57" i="1"/>
  <c r="W14" i="1"/>
  <c r="O57" i="1"/>
  <c r="S17" i="1"/>
  <c r="U67" i="2"/>
  <c r="V67" i="2"/>
  <c r="AD33" i="19" s="1"/>
  <c r="O17" i="1"/>
  <c r="K18" i="1"/>
  <c r="L17" i="1"/>
  <c r="T17" i="1"/>
  <c r="S67" i="3"/>
  <c r="AA52" i="17" s="1"/>
  <c r="P18" i="1"/>
  <c r="M16" i="1"/>
  <c r="W17" i="1"/>
  <c r="Z15" i="3"/>
  <c r="L67" i="2"/>
  <c r="V18" i="1"/>
  <c r="W18" i="1"/>
  <c r="N16" i="1"/>
  <c r="W15" i="1"/>
  <c r="V16" i="1"/>
  <c r="W16" i="1"/>
  <c r="Z16" i="2"/>
  <c r="T67" i="3"/>
  <c r="AB52" i="17" s="1"/>
  <c r="I18" i="1"/>
  <c r="L18" i="1"/>
  <c r="X18" i="1"/>
  <c r="J67" i="2"/>
  <c r="N61" i="1"/>
  <c r="N60" i="1"/>
  <c r="X17" i="1"/>
  <c r="N17" i="1"/>
  <c r="M18" i="1"/>
  <c r="R16" i="1"/>
  <c r="Q67" i="3"/>
  <c r="Y52" i="17" s="1"/>
  <c r="V62" i="1"/>
  <c r="Z55" i="1"/>
  <c r="L16" i="1"/>
  <c r="O18" i="1"/>
  <c r="S16" i="1"/>
  <c r="Z14" i="3"/>
  <c r="I16" i="1"/>
  <c r="T16" i="1"/>
  <c r="K15" i="1"/>
  <c r="P16" i="1"/>
  <c r="S18" i="1"/>
  <c r="Q16" i="1"/>
  <c r="M67" i="3"/>
  <c r="U52" i="17" s="1"/>
  <c r="N18" i="1"/>
  <c r="S62" i="1"/>
  <c r="AC67" i="20" l="1"/>
  <c r="Z67" i="4"/>
  <c r="U16" i="1"/>
  <c r="B143" i="20"/>
  <c r="G117" i="18"/>
  <c r="G132" i="18" s="1"/>
  <c r="O83" i="19"/>
  <c r="O49" i="19"/>
  <c r="D117" i="16"/>
  <c r="D132" i="16" s="1"/>
  <c r="AE131" i="20"/>
  <c r="AA131" i="20"/>
  <c r="O112" i="19"/>
  <c r="G117" i="19"/>
  <c r="G132" i="19" s="1"/>
  <c r="H37" i="20"/>
  <c r="H63" i="20" s="1"/>
  <c r="H64" i="20" s="1"/>
  <c r="H65" i="20" s="1"/>
  <c r="C64" i="19"/>
  <c r="C117" i="19" s="1"/>
  <c r="C132" i="19" s="1"/>
  <c r="B144" i="20"/>
  <c r="O129" i="19"/>
  <c r="O47" i="19"/>
  <c r="O84" i="19"/>
  <c r="I37" i="20"/>
  <c r="I63" i="20" s="1"/>
  <c r="H117" i="19"/>
  <c r="H132" i="19" s="1"/>
  <c r="O94" i="19"/>
  <c r="O122" i="19"/>
  <c r="O91" i="19"/>
  <c r="AJ99" i="20"/>
  <c r="T74" i="1"/>
  <c r="T75" i="1" s="1"/>
  <c r="T70" i="1"/>
  <c r="R74" i="1"/>
  <c r="R75" i="1" s="1"/>
  <c r="R70" i="1"/>
  <c r="U74" i="1"/>
  <c r="U75" i="1" s="1"/>
  <c r="U70" i="1"/>
  <c r="V74" i="1"/>
  <c r="V75" i="1" s="1"/>
  <c r="V70" i="1"/>
  <c r="W70" i="1"/>
  <c r="W74" i="1"/>
  <c r="W75" i="1" s="1"/>
  <c r="W76" i="1" s="1"/>
  <c r="R17" i="1"/>
  <c r="P74" i="1"/>
  <c r="P75" i="1" s="1"/>
  <c r="P76" i="1" s="1"/>
  <c r="P70" i="1"/>
  <c r="S74" i="1"/>
  <c r="S75" i="1" s="1"/>
  <c r="S70" i="1"/>
  <c r="Q74" i="1"/>
  <c r="Q75" i="1" s="1"/>
  <c r="Q70" i="1"/>
  <c r="O70" i="1"/>
  <c r="O74" i="1"/>
  <c r="O75" i="1" s="1"/>
  <c r="O76" i="1" s="1"/>
  <c r="Z68" i="1"/>
  <c r="X74" i="1"/>
  <c r="X70" i="1"/>
  <c r="Z70" i="1" s="1"/>
  <c r="Z67" i="5"/>
  <c r="AB67" i="20"/>
  <c r="T18" i="1"/>
  <c r="Z137" i="19"/>
  <c r="T14" i="1"/>
  <c r="AF33" i="20"/>
  <c r="AB33" i="20"/>
  <c r="Q14" i="1"/>
  <c r="X14" i="1"/>
  <c r="X19" i="1" s="1"/>
  <c r="R14" i="1"/>
  <c r="W137" i="19"/>
  <c r="D131" i="20"/>
  <c r="C117" i="18"/>
  <c r="C132" i="18" s="1"/>
  <c r="Z131" i="20"/>
  <c r="AJ87" i="16"/>
  <c r="I117" i="16"/>
  <c r="I132" i="16" s="1"/>
  <c r="H117" i="18"/>
  <c r="H132" i="18" s="1"/>
  <c r="AH99" i="19"/>
  <c r="AJ90" i="20"/>
  <c r="AG67" i="15"/>
  <c r="AG137" i="15" s="1"/>
  <c r="R18" i="1"/>
  <c r="U18" i="1"/>
  <c r="Z67" i="6"/>
  <c r="AC137" i="15"/>
  <c r="O14" i="1"/>
  <c r="S14" i="1"/>
  <c r="N14" i="1"/>
  <c r="N19" i="1" s="1"/>
  <c r="N15" i="1"/>
  <c r="U15" i="1"/>
  <c r="J15" i="1"/>
  <c r="O15" i="1"/>
  <c r="P15" i="1"/>
  <c r="AJ80" i="20"/>
  <c r="D132" i="18"/>
  <c r="AJ61" i="17"/>
  <c r="AJ79" i="20"/>
  <c r="AH106" i="19"/>
  <c r="O124" i="19"/>
  <c r="O107" i="19"/>
  <c r="O130" i="19"/>
  <c r="O88" i="19"/>
  <c r="O69" i="19"/>
  <c r="O114" i="19"/>
  <c r="O53" i="19"/>
  <c r="O76" i="19"/>
  <c r="O46" i="19"/>
  <c r="O54" i="19"/>
  <c r="AJ122" i="17"/>
  <c r="H141" i="20"/>
  <c r="AJ87" i="17"/>
  <c r="F131" i="20"/>
  <c r="L64" i="20"/>
  <c r="AC52" i="20"/>
  <c r="AJ12" i="20"/>
  <c r="AD131" i="20"/>
  <c r="AJ112" i="20"/>
  <c r="AJ47" i="20"/>
  <c r="E37" i="20"/>
  <c r="E63" i="20" s="1"/>
  <c r="E64" i="20" s="1"/>
  <c r="AJ78" i="20"/>
  <c r="J117" i="20"/>
  <c r="J132" i="20" s="1"/>
  <c r="J133" i="20" s="1"/>
  <c r="AJ83" i="20"/>
  <c r="AJ115" i="20"/>
  <c r="AJ82" i="20"/>
  <c r="AJ89" i="20"/>
  <c r="AJ49" i="20"/>
  <c r="D144" i="20"/>
  <c r="I117" i="17"/>
  <c r="I132" i="17" s="1"/>
  <c r="E117" i="16"/>
  <c r="E132" i="16" s="1"/>
  <c r="E117" i="15"/>
  <c r="E132" i="15" s="1"/>
  <c r="AJ108" i="20"/>
  <c r="AJ111" i="20"/>
  <c r="AH47" i="19"/>
  <c r="AJ84" i="20"/>
  <c r="I117" i="19"/>
  <c r="I132" i="19" s="1"/>
  <c r="AH22" i="19"/>
  <c r="AH100" i="19"/>
  <c r="E144" i="20"/>
  <c r="AJ15" i="20"/>
  <c r="AJ40" i="20"/>
  <c r="H117" i="16"/>
  <c r="H132" i="16" s="1"/>
  <c r="AJ88" i="20"/>
  <c r="AJ31" i="20"/>
  <c r="D117" i="19"/>
  <c r="D132" i="19" s="1"/>
  <c r="AJ13" i="20"/>
  <c r="V131" i="20"/>
  <c r="AJ126" i="20"/>
  <c r="E143" i="20"/>
  <c r="AJ101" i="20"/>
  <c r="AJ74" i="20"/>
  <c r="AJ46" i="20"/>
  <c r="F143" i="20"/>
  <c r="F117" i="16"/>
  <c r="F132" i="16" s="1"/>
  <c r="AC131" i="20"/>
  <c r="N131" i="16"/>
  <c r="D117" i="17"/>
  <c r="D132" i="17" s="1"/>
  <c r="O72" i="19"/>
  <c r="O101" i="19"/>
  <c r="O70" i="19"/>
  <c r="O21" i="19"/>
  <c r="AJ129" i="20"/>
  <c r="AJ128" i="20"/>
  <c r="AJ114" i="20"/>
  <c r="O62" i="19"/>
  <c r="E131" i="20"/>
  <c r="B131" i="20"/>
  <c r="O109" i="19"/>
  <c r="O125" i="19"/>
  <c r="AJ60" i="20"/>
  <c r="I117" i="15"/>
  <c r="I132" i="15" s="1"/>
  <c r="H144" i="20"/>
  <c r="O40" i="19"/>
  <c r="O42" i="19"/>
  <c r="AF131" i="20"/>
  <c r="O36" i="19"/>
  <c r="D37" i="20"/>
  <c r="D63" i="20" s="1"/>
  <c r="D64" i="20" s="1"/>
  <c r="D65" i="20" s="1"/>
  <c r="AH19" i="16"/>
  <c r="O71" i="19"/>
  <c r="O77" i="19"/>
  <c r="O86" i="19"/>
  <c r="D117" i="15"/>
  <c r="D132" i="15" s="1"/>
  <c r="O78" i="19"/>
  <c r="AJ14" i="19"/>
  <c r="O39" i="19"/>
  <c r="AJ58" i="20"/>
  <c r="O60" i="19"/>
  <c r="O35" i="19"/>
  <c r="O104" i="19"/>
  <c r="O96" i="19"/>
  <c r="O19" i="19"/>
  <c r="O26" i="19"/>
  <c r="H143" i="20"/>
  <c r="O100" i="19"/>
  <c r="O85" i="19"/>
  <c r="O25" i="19"/>
  <c r="O20" i="19"/>
  <c r="AJ96" i="20"/>
  <c r="F117" i="15"/>
  <c r="F132" i="15" s="1"/>
  <c r="N140" i="20"/>
  <c r="I117" i="18"/>
  <c r="I132" i="18" s="1"/>
  <c r="O13" i="19"/>
  <c r="H64" i="17"/>
  <c r="H117" i="17" s="1"/>
  <c r="H132" i="17" s="1"/>
  <c r="B141" i="20"/>
  <c r="O12" i="19"/>
  <c r="O79" i="19"/>
  <c r="O29" i="19"/>
  <c r="O52" i="19"/>
  <c r="O103" i="19"/>
  <c r="O67" i="19"/>
  <c r="Z56" i="1"/>
  <c r="AJ76" i="20"/>
  <c r="AJ41" i="20"/>
  <c r="O97" i="19"/>
  <c r="O105" i="19"/>
  <c r="O34" i="19"/>
  <c r="O28" i="19"/>
  <c r="O80" i="19"/>
  <c r="O106" i="19"/>
  <c r="O120" i="19"/>
  <c r="AJ30" i="20"/>
  <c r="O61" i="19"/>
  <c r="O115" i="19"/>
  <c r="O113" i="19"/>
  <c r="O74" i="19"/>
  <c r="O30" i="19"/>
  <c r="O44" i="19"/>
  <c r="O98" i="19"/>
  <c r="O75" i="19"/>
  <c r="O89" i="19"/>
  <c r="O68" i="19"/>
  <c r="X137" i="19"/>
  <c r="O24" i="19"/>
  <c r="G131" i="20"/>
  <c r="O41" i="19"/>
  <c r="O87" i="19"/>
  <c r="O15" i="19"/>
  <c r="P14" i="1"/>
  <c r="O22" i="19"/>
  <c r="O59" i="19"/>
  <c r="O111" i="19"/>
  <c r="O31" i="19"/>
  <c r="O99" i="19"/>
  <c r="O38" i="19"/>
  <c r="N131" i="17"/>
  <c r="O33" i="19"/>
  <c r="O50" i="19"/>
  <c r="O108" i="19"/>
  <c r="O58" i="19"/>
  <c r="O128" i="19"/>
  <c r="F117" i="17"/>
  <c r="F132" i="17" s="1"/>
  <c r="I131" i="20"/>
  <c r="AG131" i="18"/>
  <c r="AH131" i="18" s="1"/>
  <c r="AJ19" i="20"/>
  <c r="AJ85" i="20"/>
  <c r="AJ103" i="20"/>
  <c r="AJ61" i="16"/>
  <c r="AJ87" i="15"/>
  <c r="AJ109" i="20"/>
  <c r="AJ21" i="20"/>
  <c r="E117" i="17"/>
  <c r="E132" i="17" s="1"/>
  <c r="AH79" i="16"/>
  <c r="AH130" i="19"/>
  <c r="AH25" i="19"/>
  <c r="AJ113" i="20"/>
  <c r="AJ62" i="20"/>
  <c r="N116" i="18"/>
  <c r="AA137" i="19"/>
  <c r="AJ20" i="20"/>
  <c r="AJ97" i="20"/>
  <c r="AJ72" i="20"/>
  <c r="AJ75" i="20"/>
  <c r="E116" i="20"/>
  <c r="N137" i="20"/>
  <c r="AJ42" i="20"/>
  <c r="W137" i="17"/>
  <c r="AJ28" i="20"/>
  <c r="G116" i="20"/>
  <c r="AB131" i="20"/>
  <c r="C117" i="16"/>
  <c r="C132" i="16" s="1"/>
  <c r="N122" i="20"/>
  <c r="J65" i="20"/>
  <c r="AJ25" i="20"/>
  <c r="AJ104" i="20"/>
  <c r="B116" i="20"/>
  <c r="AJ27" i="17"/>
  <c r="AJ105" i="20"/>
  <c r="C144" i="20"/>
  <c r="AJ106" i="20"/>
  <c r="AJ92" i="20"/>
  <c r="AJ107" i="20"/>
  <c r="X131" i="20"/>
  <c r="AJ77" i="20"/>
  <c r="AJ100" i="20"/>
  <c r="AJ110" i="20"/>
  <c r="AJ39" i="20"/>
  <c r="Z61" i="1"/>
  <c r="AH26" i="18"/>
  <c r="AH125" i="18"/>
  <c r="G117" i="17"/>
  <c r="G132" i="17" s="1"/>
  <c r="AH98" i="18"/>
  <c r="Y131" i="20"/>
  <c r="AJ95" i="20"/>
  <c r="C116" i="20"/>
  <c r="O48" i="19"/>
  <c r="AH100" i="18"/>
  <c r="AH115" i="18"/>
  <c r="AH103" i="18"/>
  <c r="AJ48" i="20"/>
  <c r="C143" i="20"/>
  <c r="G37" i="20"/>
  <c r="G63" i="20" s="1"/>
  <c r="G64" i="20" s="1"/>
  <c r="G65" i="20" s="1"/>
  <c r="AJ50" i="20"/>
  <c r="AH113" i="18"/>
  <c r="Z57" i="1"/>
  <c r="M14" i="1"/>
  <c r="AH59" i="18"/>
  <c r="AJ16" i="19"/>
  <c r="AG67" i="18"/>
  <c r="AH67" i="18" s="1"/>
  <c r="C63" i="17"/>
  <c r="C64" i="17" s="1"/>
  <c r="C117" i="17" s="1"/>
  <c r="C132" i="17" s="1"/>
  <c r="I143" i="20"/>
  <c r="F63" i="18"/>
  <c r="F64" i="18" s="1"/>
  <c r="F117" i="18" s="1"/>
  <c r="F132" i="18" s="1"/>
  <c r="AH60" i="18"/>
  <c r="U33" i="20"/>
  <c r="AJ71" i="20"/>
  <c r="AJ102" i="20"/>
  <c r="AJ56" i="18"/>
  <c r="AJ14" i="18"/>
  <c r="AH94" i="18"/>
  <c r="AG61" i="20"/>
  <c r="AG131" i="19"/>
  <c r="AH131" i="19" s="1"/>
  <c r="X62" i="1"/>
  <c r="D116" i="20"/>
  <c r="AJ98" i="20"/>
  <c r="AJ22" i="20"/>
  <c r="AH22" i="18"/>
  <c r="AH93" i="18"/>
  <c r="AH50" i="18"/>
  <c r="AH129" i="18"/>
  <c r="G143" i="20"/>
  <c r="AJ45" i="20"/>
  <c r="AG63" i="16"/>
  <c r="AH63" i="16" s="1"/>
  <c r="AH78" i="19"/>
  <c r="AH104" i="19"/>
  <c r="AH30" i="19"/>
  <c r="AH44" i="19"/>
  <c r="AH101" i="19"/>
  <c r="AH13" i="19"/>
  <c r="AH21" i="19"/>
  <c r="AH110" i="19"/>
  <c r="AH38" i="19"/>
  <c r="AH83" i="19"/>
  <c r="AH55" i="19"/>
  <c r="AJ94" i="20"/>
  <c r="AJ130" i="18"/>
  <c r="AG131" i="17"/>
  <c r="AJ26" i="20"/>
  <c r="AH105" i="19"/>
  <c r="AJ120" i="20"/>
  <c r="AJ121" i="20"/>
  <c r="AH26" i="19"/>
  <c r="AH88" i="19"/>
  <c r="AH80" i="19"/>
  <c r="AH120" i="19"/>
  <c r="AH124" i="19"/>
  <c r="AH60" i="19"/>
  <c r="AH15" i="19"/>
  <c r="AH71" i="19"/>
  <c r="AH84" i="19"/>
  <c r="AH39" i="19"/>
  <c r="AJ61" i="15"/>
  <c r="AG27" i="20"/>
  <c r="AH115" i="19"/>
  <c r="AH45" i="19"/>
  <c r="AH79" i="19"/>
  <c r="AH103" i="19"/>
  <c r="AH97" i="19"/>
  <c r="AH85" i="19"/>
  <c r="AH112" i="19"/>
  <c r="AH102" i="19"/>
  <c r="AH74" i="19"/>
  <c r="G117" i="16"/>
  <c r="G132" i="16" s="1"/>
  <c r="AJ86" i="20"/>
  <c r="AH61" i="19"/>
  <c r="AH87" i="19"/>
  <c r="AH41" i="19"/>
  <c r="AH52" i="19"/>
  <c r="AH77" i="19"/>
  <c r="AH128" i="19"/>
  <c r="AH126" i="19"/>
  <c r="AH114" i="19"/>
  <c r="AH107" i="19"/>
  <c r="AH56" i="19"/>
  <c r="AH24" i="19"/>
  <c r="AH69" i="19"/>
  <c r="AH89" i="19"/>
  <c r="AH122" i="19"/>
  <c r="AH98" i="19"/>
  <c r="AH92" i="19"/>
  <c r="AH108" i="19"/>
  <c r="AD67" i="20"/>
  <c r="F116" i="20"/>
  <c r="AH58" i="19"/>
  <c r="AH121" i="19"/>
  <c r="AH12" i="19"/>
  <c r="C117" i="15"/>
  <c r="C132" i="15" s="1"/>
  <c r="AH49" i="19"/>
  <c r="AH113" i="19"/>
  <c r="AH91" i="19"/>
  <c r="AH28" i="19"/>
  <c r="AG16" i="20"/>
  <c r="AH25" i="20" s="1"/>
  <c r="AH125" i="19"/>
  <c r="AH75" i="19"/>
  <c r="AH31" i="19"/>
  <c r="AH109" i="19"/>
  <c r="AH86" i="19"/>
  <c r="AH20" i="19"/>
  <c r="AH76" i="19"/>
  <c r="AH48" i="19"/>
  <c r="AH82" i="19"/>
  <c r="AH27" i="19"/>
  <c r="AH55" i="18"/>
  <c r="AH46" i="19"/>
  <c r="AH90" i="19"/>
  <c r="AH53" i="19"/>
  <c r="N61" i="20"/>
  <c r="AJ61" i="18"/>
  <c r="AJ59" i="20"/>
  <c r="AJ44" i="20"/>
  <c r="AH111" i="19"/>
  <c r="AH59" i="19"/>
  <c r="AH93" i="19"/>
  <c r="AH40" i="19"/>
  <c r="AH62" i="19"/>
  <c r="AH50" i="19"/>
  <c r="AH19" i="19"/>
  <c r="AH42" i="19"/>
  <c r="AH95" i="19"/>
  <c r="AH67" i="19"/>
  <c r="AJ93" i="20"/>
  <c r="AJ29" i="20"/>
  <c r="O110" i="19"/>
  <c r="E117" i="19"/>
  <c r="E132" i="19" s="1"/>
  <c r="AH70" i="19"/>
  <c r="AH82" i="18"/>
  <c r="AH129" i="19"/>
  <c r="AH29" i="19"/>
  <c r="AH72" i="19"/>
  <c r="AH94" i="19"/>
  <c r="AH96" i="19"/>
  <c r="K14" i="1"/>
  <c r="K19" i="1" s="1"/>
  <c r="N36" i="20"/>
  <c r="B37" i="20"/>
  <c r="AG130" i="20"/>
  <c r="W131" i="20"/>
  <c r="AG87" i="20"/>
  <c r="Z67" i="2"/>
  <c r="AC33" i="19"/>
  <c r="N87" i="20"/>
  <c r="I116" i="20"/>
  <c r="AB52" i="20"/>
  <c r="AB137" i="17"/>
  <c r="AJ55" i="19"/>
  <c r="O55" i="19"/>
  <c r="I14" i="1"/>
  <c r="I19" i="1" s="1"/>
  <c r="I16" i="20"/>
  <c r="N14" i="20"/>
  <c r="N27" i="20"/>
  <c r="F37" i="20"/>
  <c r="F63" i="20" s="1"/>
  <c r="F64" i="20" s="1"/>
  <c r="G141" i="20"/>
  <c r="G144" i="20"/>
  <c r="AG37" i="18"/>
  <c r="AH37" i="18" s="1"/>
  <c r="I141" i="20"/>
  <c r="I144" i="20"/>
  <c r="N56" i="20"/>
  <c r="U131" i="20"/>
  <c r="AG122" i="20"/>
  <c r="AD33" i="20"/>
  <c r="AD137" i="19"/>
  <c r="N73" i="20"/>
  <c r="N130" i="20"/>
  <c r="H131" i="20"/>
  <c r="AF137" i="16"/>
  <c r="U137" i="17"/>
  <c r="U52" i="20"/>
  <c r="AG52" i="17"/>
  <c r="AA52" i="20"/>
  <c r="AA137" i="20" s="1"/>
  <c r="AA137" i="17"/>
  <c r="H117" i="15"/>
  <c r="H132" i="15" s="1"/>
  <c r="O62" i="1"/>
  <c r="E141" i="20"/>
  <c r="Z67" i="20"/>
  <c r="Z137" i="15"/>
  <c r="Y137" i="19"/>
  <c r="Y33" i="20"/>
  <c r="Z137" i="17"/>
  <c r="Z52" i="20"/>
  <c r="R62" i="1"/>
  <c r="N55" i="20"/>
  <c r="W137" i="20"/>
  <c r="N131" i="18"/>
  <c r="AH97" i="18"/>
  <c r="AH19" i="18"/>
  <c r="AH48" i="18"/>
  <c r="H116" i="20"/>
  <c r="D143" i="20"/>
  <c r="D141" i="20"/>
  <c r="V33" i="20"/>
  <c r="V137" i="19"/>
  <c r="AJ125" i="20"/>
  <c r="C141" i="20"/>
  <c r="AH44" i="18"/>
  <c r="AH120" i="16"/>
  <c r="AH111" i="18"/>
  <c r="AH77" i="18"/>
  <c r="AH102" i="18"/>
  <c r="AG14" i="20"/>
  <c r="AF67" i="20"/>
  <c r="AE137" i="19"/>
  <c r="AE33" i="20"/>
  <c r="C37" i="20"/>
  <c r="C63" i="20" s="1"/>
  <c r="C64" i="20" s="1"/>
  <c r="C65" i="20" s="1"/>
  <c r="X52" i="20"/>
  <c r="X137" i="20" s="1"/>
  <c r="X137" i="17"/>
  <c r="AH38" i="18"/>
  <c r="AJ70" i="20"/>
  <c r="N138" i="20"/>
  <c r="N142" i="18"/>
  <c r="N131" i="19"/>
  <c r="O131" i="19" s="1"/>
  <c r="AJ14" i="17"/>
  <c r="G117" i="15"/>
  <c r="G132" i="15" s="1"/>
  <c r="N37" i="15"/>
  <c r="AJ37" i="15" s="1"/>
  <c r="AH76" i="18"/>
  <c r="AH84" i="18"/>
  <c r="AH107" i="18"/>
  <c r="N139" i="20"/>
  <c r="AJ24" i="20"/>
  <c r="AJ38" i="20"/>
  <c r="F144" i="20"/>
  <c r="F141" i="20"/>
  <c r="Y52" i="20"/>
  <c r="Y137" i="17"/>
  <c r="AH90" i="18"/>
  <c r="AH128" i="18"/>
  <c r="Z60" i="1"/>
  <c r="R15" i="1"/>
  <c r="AG131" i="16"/>
  <c r="AJ14" i="15"/>
  <c r="N131" i="15"/>
  <c r="AG63" i="15"/>
  <c r="AJ91" i="20"/>
  <c r="O93" i="19"/>
  <c r="O92" i="19"/>
  <c r="O95" i="19"/>
  <c r="O126" i="19"/>
  <c r="O102" i="19"/>
  <c r="O121" i="19"/>
  <c r="O82" i="19"/>
  <c r="O45" i="19"/>
  <c r="AG67" i="16"/>
  <c r="AH67" i="16" s="1"/>
  <c r="K65" i="20"/>
  <c r="K117" i="20"/>
  <c r="K132" i="20" s="1"/>
  <c r="K133" i="20" s="1"/>
  <c r="L117" i="20"/>
  <c r="L132" i="20" s="1"/>
  <c r="L133" i="20" s="1"/>
  <c r="L65" i="20"/>
  <c r="M65" i="20"/>
  <c r="M117" i="20"/>
  <c r="M132" i="20" s="1"/>
  <c r="M133" i="20" s="1"/>
  <c r="W19" i="1"/>
  <c r="N116" i="16"/>
  <c r="AG116" i="19"/>
  <c r="AH116" i="19" s="1"/>
  <c r="AH68" i="19"/>
  <c r="AJ68" i="19"/>
  <c r="AJ55" i="15"/>
  <c r="AH125" i="16"/>
  <c r="N16" i="18"/>
  <c r="O27" i="18" s="1"/>
  <c r="AH83" i="16"/>
  <c r="AH82" i="16"/>
  <c r="AH47" i="16"/>
  <c r="AH12" i="18"/>
  <c r="AH45" i="18"/>
  <c r="AH128" i="16"/>
  <c r="AJ87" i="18"/>
  <c r="AH13" i="16"/>
  <c r="AH44" i="16"/>
  <c r="U64" i="16"/>
  <c r="AH111" i="16"/>
  <c r="AH75" i="16"/>
  <c r="AH89" i="16"/>
  <c r="AH92" i="16"/>
  <c r="AG73" i="17"/>
  <c r="U116" i="17"/>
  <c r="AG116" i="17" s="1"/>
  <c r="AH52" i="18"/>
  <c r="AH54" i="18"/>
  <c r="AH35" i="18"/>
  <c r="AH40" i="18"/>
  <c r="AH71" i="18"/>
  <c r="AH121" i="18"/>
  <c r="AH92" i="18"/>
  <c r="AH85" i="18"/>
  <c r="AH20" i="18"/>
  <c r="AH99" i="18"/>
  <c r="AH109" i="18"/>
  <c r="AH95" i="18"/>
  <c r="AH88" i="18"/>
  <c r="AH78" i="18"/>
  <c r="AH83" i="18"/>
  <c r="AH105" i="18"/>
  <c r="AH106" i="18"/>
  <c r="AH29" i="18"/>
  <c r="AH30" i="18"/>
  <c r="AH28" i="18"/>
  <c r="AH62" i="18"/>
  <c r="AH112" i="18"/>
  <c r="AH126" i="18"/>
  <c r="AH47" i="18"/>
  <c r="AH53" i="18"/>
  <c r="AH104" i="18"/>
  <c r="AH114" i="18"/>
  <c r="AH72" i="18"/>
  <c r="AH34" i="18"/>
  <c r="AH46" i="18"/>
  <c r="AH89" i="18"/>
  <c r="AH33" i="18"/>
  <c r="AH41" i="18"/>
  <c r="AH110" i="18"/>
  <c r="AH84" i="16"/>
  <c r="N116" i="15"/>
  <c r="AH27" i="16"/>
  <c r="AJ27" i="16"/>
  <c r="AH94" i="16"/>
  <c r="AH39" i="18"/>
  <c r="AH80" i="18"/>
  <c r="AH86" i="18"/>
  <c r="AH70" i="18"/>
  <c r="AH124" i="16"/>
  <c r="AJ122" i="15"/>
  <c r="AH15" i="18"/>
  <c r="AH31" i="16"/>
  <c r="AH91" i="18"/>
  <c r="AG63" i="18"/>
  <c r="AH63" i="18" s="1"/>
  <c r="U64" i="18"/>
  <c r="AH46" i="16"/>
  <c r="AH26" i="16"/>
  <c r="AH29" i="16"/>
  <c r="AH50" i="16"/>
  <c r="AH70" i="16"/>
  <c r="AH104" i="16"/>
  <c r="AH61" i="16"/>
  <c r="AH24" i="16"/>
  <c r="AH79" i="18"/>
  <c r="AH49" i="18"/>
  <c r="AH74" i="16"/>
  <c r="AH129" i="16"/>
  <c r="AJ61" i="19"/>
  <c r="AJ130" i="17"/>
  <c r="AJ130" i="19"/>
  <c r="AH71" i="16"/>
  <c r="AH105" i="16"/>
  <c r="AH58" i="16"/>
  <c r="AH78" i="16"/>
  <c r="B63" i="16"/>
  <c r="N63" i="16" s="1"/>
  <c r="N37" i="16"/>
  <c r="AH95" i="16"/>
  <c r="AJ56" i="16"/>
  <c r="AJ130" i="15"/>
  <c r="AH25" i="18"/>
  <c r="AH98" i="16"/>
  <c r="AH56" i="16"/>
  <c r="AH87" i="18"/>
  <c r="B64" i="15"/>
  <c r="N16" i="15"/>
  <c r="O130" i="15" s="1"/>
  <c r="AH99" i="16"/>
  <c r="AG16" i="17"/>
  <c r="AH130" i="17" s="1"/>
  <c r="AH114" i="16"/>
  <c r="AJ56" i="15"/>
  <c r="AJ36" i="16"/>
  <c r="AH96" i="18"/>
  <c r="AH22" i="16"/>
  <c r="AH107" i="16"/>
  <c r="AH21" i="18"/>
  <c r="N116" i="17"/>
  <c r="AJ122" i="19"/>
  <c r="AH42" i="18"/>
  <c r="E117" i="18"/>
  <c r="E132" i="18" s="1"/>
  <c r="N142" i="19"/>
  <c r="AJ130" i="16"/>
  <c r="AJ27" i="19"/>
  <c r="O27" i="19"/>
  <c r="AH120" i="18"/>
  <c r="U64" i="15"/>
  <c r="AG16" i="15"/>
  <c r="AH27" i="15" s="1"/>
  <c r="AH35" i="16"/>
  <c r="AH34" i="16"/>
  <c r="AH33" i="16"/>
  <c r="AH52" i="16"/>
  <c r="AH53" i="16"/>
  <c r="AH49" i="16"/>
  <c r="AH40" i="16"/>
  <c r="AH48" i="16"/>
  <c r="AH80" i="16"/>
  <c r="AH72" i="16"/>
  <c r="AH121" i="16"/>
  <c r="AH101" i="16"/>
  <c r="AH15" i="16"/>
  <c r="AH62" i="16"/>
  <c r="AH106" i="16"/>
  <c r="AH39" i="16"/>
  <c r="AH97" i="16"/>
  <c r="AH102" i="16"/>
  <c r="AH38" i="16"/>
  <c r="AH41" i="16"/>
  <c r="AH76" i="16"/>
  <c r="AH90" i="16"/>
  <c r="AH100" i="16"/>
  <c r="AH54" i="16"/>
  <c r="AH59" i="16"/>
  <c r="AH85" i="16"/>
  <c r="AH103" i="16"/>
  <c r="AH60" i="16"/>
  <c r="AH20" i="16"/>
  <c r="AH88" i="16"/>
  <c r="AH109" i="16"/>
  <c r="AH110" i="16"/>
  <c r="AH115" i="16"/>
  <c r="AH93" i="16"/>
  <c r="AH12" i="16"/>
  <c r="AH28" i="16"/>
  <c r="AH91" i="16"/>
  <c r="AH113" i="16"/>
  <c r="AH126" i="16"/>
  <c r="AH25" i="16"/>
  <c r="AH36" i="16"/>
  <c r="AH45" i="16"/>
  <c r="AH42" i="16"/>
  <c r="AH30" i="16"/>
  <c r="AJ27" i="18"/>
  <c r="N16" i="17"/>
  <c r="AH96" i="16"/>
  <c r="F117" i="19"/>
  <c r="F132" i="19" s="1"/>
  <c r="N142" i="15"/>
  <c r="AJ14" i="16"/>
  <c r="AH37" i="16"/>
  <c r="AH108" i="18"/>
  <c r="AH55" i="16"/>
  <c r="B63" i="18"/>
  <c r="N37" i="18"/>
  <c r="AG131" i="15"/>
  <c r="AH130" i="18"/>
  <c r="O56" i="19"/>
  <c r="AJ56" i="19"/>
  <c r="B63" i="19"/>
  <c r="N37" i="19"/>
  <c r="AH13" i="18"/>
  <c r="AH31" i="18"/>
  <c r="AH27" i="18"/>
  <c r="AJ87" i="19"/>
  <c r="N63" i="15"/>
  <c r="AJ122" i="16"/>
  <c r="AH122" i="16"/>
  <c r="N116" i="19"/>
  <c r="AJ36" i="18"/>
  <c r="AJ27" i="15"/>
  <c r="AH130" i="16"/>
  <c r="AH86" i="16"/>
  <c r="N37" i="17"/>
  <c r="B63" i="17"/>
  <c r="AH36" i="18"/>
  <c r="AH101" i="18"/>
  <c r="N141" i="17"/>
  <c r="AH24" i="18"/>
  <c r="AH61" i="18"/>
  <c r="AH112" i="16"/>
  <c r="N16" i="16"/>
  <c r="O56" i="16" s="1"/>
  <c r="AH87" i="16"/>
  <c r="N142" i="16"/>
  <c r="AH21" i="16"/>
  <c r="O73" i="19"/>
  <c r="AH124" i="18"/>
  <c r="AH56" i="18"/>
  <c r="AG73" i="19"/>
  <c r="AH73" i="19" s="1"/>
  <c r="AH108" i="16"/>
  <c r="AJ122" i="18"/>
  <c r="AH122" i="18"/>
  <c r="AH75" i="18"/>
  <c r="AH74" i="18"/>
  <c r="AJ68" i="17"/>
  <c r="Z67" i="3"/>
  <c r="M15" i="1"/>
  <c r="Q15" i="1"/>
  <c r="L14" i="1"/>
  <c r="L19" i="1" s="1"/>
  <c r="V14" i="1"/>
  <c r="V19" i="1" s="1"/>
  <c r="Z16" i="1"/>
  <c r="U14" i="1"/>
  <c r="J14" i="1"/>
  <c r="Z17" i="1"/>
  <c r="T15" i="1"/>
  <c r="S15" i="1"/>
  <c r="N62" i="1"/>
  <c r="U76" i="1" l="1"/>
  <c r="R76" i="1"/>
  <c r="Z74" i="1"/>
  <c r="X75" i="1"/>
  <c r="S76" i="1"/>
  <c r="Q76" i="1"/>
  <c r="V76" i="1"/>
  <c r="T76" i="1"/>
  <c r="AJ67" i="15"/>
  <c r="Z18" i="1"/>
  <c r="Q19" i="1"/>
  <c r="S19" i="1"/>
  <c r="O19" i="1"/>
  <c r="T19" i="1"/>
  <c r="AF137" i="20"/>
  <c r="R19" i="1"/>
  <c r="P19" i="1"/>
  <c r="U19" i="1"/>
  <c r="J19" i="1"/>
  <c r="AH84" i="20"/>
  <c r="AH82" i="20"/>
  <c r="AH48" i="20"/>
  <c r="N144" i="20"/>
  <c r="AH124" i="20"/>
  <c r="U137" i="20"/>
  <c r="AJ131" i="16"/>
  <c r="O131" i="17"/>
  <c r="N141" i="20"/>
  <c r="AJ131" i="18"/>
  <c r="AJ131" i="17"/>
  <c r="N131" i="20"/>
  <c r="H117" i="20"/>
  <c r="H132" i="20" s="1"/>
  <c r="H133" i="20" s="1"/>
  <c r="N63" i="18"/>
  <c r="AJ63" i="18" s="1"/>
  <c r="O14" i="19"/>
  <c r="O16" i="19" s="1"/>
  <c r="N143" i="20"/>
  <c r="I64" i="20"/>
  <c r="I65" i="20" s="1"/>
  <c r="AJ87" i="20"/>
  <c r="G117" i="20"/>
  <c r="G132" i="20" s="1"/>
  <c r="G133" i="20" s="1"/>
  <c r="AG131" i="20"/>
  <c r="AH131" i="20" s="1"/>
  <c r="D117" i="20"/>
  <c r="D132" i="20" s="1"/>
  <c r="D133" i="20" s="1"/>
  <c r="AJ73" i="19"/>
  <c r="AH49" i="20"/>
  <c r="AH30" i="20"/>
  <c r="AH72" i="20"/>
  <c r="AH41" i="20"/>
  <c r="AH62" i="20"/>
  <c r="AH88" i="20"/>
  <c r="AH83" i="20"/>
  <c r="O73" i="15"/>
  <c r="AH96" i="20"/>
  <c r="AH115" i="20"/>
  <c r="AH95" i="20"/>
  <c r="AH102" i="20"/>
  <c r="AH109" i="20"/>
  <c r="AH42" i="20"/>
  <c r="AH121" i="20"/>
  <c r="AH98" i="20"/>
  <c r="AH80" i="20"/>
  <c r="AJ27" i="20"/>
  <c r="AH87" i="17"/>
  <c r="O131" i="18"/>
  <c r="AH68" i="17"/>
  <c r="AH14" i="19"/>
  <c r="AH16" i="19" s="1"/>
  <c r="AH56" i="15"/>
  <c r="O27" i="15"/>
  <c r="AJ14" i="20"/>
  <c r="AJ61" i="20"/>
  <c r="AH37" i="15"/>
  <c r="AG67" i="20"/>
  <c r="AJ67" i="20" s="1"/>
  <c r="AH101" i="20"/>
  <c r="Z62" i="1"/>
  <c r="N116" i="20"/>
  <c r="AH108" i="20"/>
  <c r="AG137" i="18"/>
  <c r="AH130" i="20"/>
  <c r="N16" i="20"/>
  <c r="O73" i="20" s="1"/>
  <c r="AH47" i="20"/>
  <c r="AJ67" i="18"/>
  <c r="O122" i="15"/>
  <c r="AH110" i="20"/>
  <c r="AH14" i="16"/>
  <c r="AH16" i="16" s="1"/>
  <c r="O131" i="15"/>
  <c r="AH90" i="20"/>
  <c r="AH99" i="20"/>
  <c r="AH113" i="20"/>
  <c r="AH94" i="20"/>
  <c r="AH28" i="20"/>
  <c r="AJ130" i="20"/>
  <c r="AH75" i="20"/>
  <c r="AH79" i="20"/>
  <c r="AH45" i="20"/>
  <c r="AH15" i="20"/>
  <c r="AH38" i="20"/>
  <c r="AH12" i="20"/>
  <c r="AH93" i="20"/>
  <c r="AH40" i="20"/>
  <c r="AH129" i="20"/>
  <c r="AH70" i="20"/>
  <c r="AH61" i="20"/>
  <c r="AH59" i="20"/>
  <c r="AH76" i="20"/>
  <c r="AH107" i="20"/>
  <c r="AH97" i="20"/>
  <c r="AH92" i="20"/>
  <c r="AH60" i="20"/>
  <c r="AH104" i="20"/>
  <c r="AH19" i="20"/>
  <c r="AH77" i="20"/>
  <c r="AH130" i="15"/>
  <c r="AH61" i="15"/>
  <c r="AH44" i="20"/>
  <c r="AH29" i="20"/>
  <c r="AH50" i="20"/>
  <c r="AH91" i="20"/>
  <c r="AH13" i="20"/>
  <c r="N37" i="20"/>
  <c r="AH105" i="20"/>
  <c r="AH103" i="20"/>
  <c r="AH20" i="20"/>
  <c r="AH86" i="20"/>
  <c r="AH71" i="20"/>
  <c r="AH120" i="20"/>
  <c r="AH106" i="20"/>
  <c r="AH89" i="20"/>
  <c r="AH31" i="20"/>
  <c r="AH74" i="20"/>
  <c r="AH112" i="20"/>
  <c r="AH126" i="20"/>
  <c r="AH26" i="20"/>
  <c r="AH111" i="20"/>
  <c r="AH46" i="20"/>
  <c r="AH58" i="20"/>
  <c r="AH22" i="20"/>
  <c r="AH27" i="20"/>
  <c r="AH24" i="20"/>
  <c r="AH100" i="20"/>
  <c r="AH128" i="20"/>
  <c r="AH39" i="20"/>
  <c r="AH73" i="17"/>
  <c r="AH125" i="20"/>
  <c r="AH21" i="20"/>
  <c r="AH85" i="20"/>
  <c r="AH78" i="20"/>
  <c r="AH114" i="20"/>
  <c r="AH87" i="20"/>
  <c r="AH131" i="16"/>
  <c r="O131" i="16"/>
  <c r="AJ131" i="19"/>
  <c r="C117" i="20"/>
  <c r="C132" i="20" s="1"/>
  <c r="C133" i="20" s="1"/>
  <c r="V137" i="20"/>
  <c r="Y137" i="20"/>
  <c r="AD137" i="20"/>
  <c r="E65" i="20"/>
  <c r="E117" i="20"/>
  <c r="E132" i="20" s="1"/>
  <c r="E133" i="20" s="1"/>
  <c r="O73" i="16"/>
  <c r="O37" i="15"/>
  <c r="AH122" i="20"/>
  <c r="AJ122" i="20"/>
  <c r="AG137" i="17"/>
  <c r="AJ52" i="17"/>
  <c r="F117" i="20"/>
  <c r="F132" i="20" s="1"/>
  <c r="F133" i="20" s="1"/>
  <c r="F65" i="20"/>
  <c r="AC33" i="20"/>
  <c r="AC137" i="19"/>
  <c r="AG33" i="19"/>
  <c r="O130" i="16"/>
  <c r="O36" i="16"/>
  <c r="AJ16" i="16"/>
  <c r="AH61" i="17"/>
  <c r="AE137" i="20"/>
  <c r="B63" i="20"/>
  <c r="N63" i="20" s="1"/>
  <c r="AB137" i="20"/>
  <c r="B64" i="18"/>
  <c r="N64" i="18" s="1"/>
  <c r="O64" i="18" s="1"/>
  <c r="AG52" i="20"/>
  <c r="Z15" i="1"/>
  <c r="AH37" i="17"/>
  <c r="O55" i="15"/>
  <c r="AG137" i="16"/>
  <c r="AJ67" i="16"/>
  <c r="Z137" i="20"/>
  <c r="N63" i="17"/>
  <c r="B64" i="17"/>
  <c r="AG64" i="18"/>
  <c r="AH53" i="15"/>
  <c r="AH35" i="15"/>
  <c r="AJ16" i="15"/>
  <c r="AH52" i="15"/>
  <c r="AH33" i="15"/>
  <c r="AH34" i="15"/>
  <c r="AH54" i="15"/>
  <c r="AH36" i="15"/>
  <c r="AH55" i="15"/>
  <c r="AH70" i="15"/>
  <c r="AH67" i="15"/>
  <c r="AH124" i="15"/>
  <c r="AH128" i="15"/>
  <c r="AH91" i="15"/>
  <c r="AH58" i="15"/>
  <c r="AH49" i="15"/>
  <c r="AH112" i="15"/>
  <c r="AH105" i="15"/>
  <c r="AH100" i="15"/>
  <c r="AH28" i="15"/>
  <c r="AH89" i="15"/>
  <c r="AH24" i="15"/>
  <c r="AH129" i="15"/>
  <c r="AH115" i="15"/>
  <c r="AH71" i="15"/>
  <c r="AH104" i="15"/>
  <c r="AH110" i="15"/>
  <c r="AH102" i="15"/>
  <c r="AH31" i="15"/>
  <c r="AH94" i="15"/>
  <c r="AH93" i="15"/>
  <c r="AH30" i="15"/>
  <c r="AH76" i="15"/>
  <c r="AH44" i="15"/>
  <c r="AH98" i="15"/>
  <c r="AH86" i="15"/>
  <c r="AH19" i="15"/>
  <c r="AH107" i="15"/>
  <c r="AH46" i="15"/>
  <c r="AH38" i="15"/>
  <c r="AH12" i="15"/>
  <c r="AH85" i="15"/>
  <c r="AH75" i="15"/>
  <c r="AH120" i="15"/>
  <c r="AH108" i="15"/>
  <c r="AH95" i="15"/>
  <c r="AH101" i="15"/>
  <c r="AH22" i="15"/>
  <c r="AH39" i="15"/>
  <c r="AH82" i="15"/>
  <c r="AH99" i="15"/>
  <c r="AH103" i="15"/>
  <c r="AH45" i="15"/>
  <c r="AH20" i="15"/>
  <c r="AH59" i="15"/>
  <c r="AH21" i="15"/>
  <c r="AH79" i="15"/>
  <c r="AH50" i="15"/>
  <c r="AH42" i="15"/>
  <c r="AH78" i="15"/>
  <c r="AH121" i="15"/>
  <c r="AH84" i="15"/>
  <c r="AH77" i="15"/>
  <c r="AH47" i="15"/>
  <c r="AH25" i="15"/>
  <c r="AH29" i="15"/>
  <c r="AH90" i="15"/>
  <c r="AH126" i="15"/>
  <c r="AH125" i="15"/>
  <c r="AH13" i="15"/>
  <c r="AH109" i="15"/>
  <c r="AH80" i="15"/>
  <c r="AH15" i="15"/>
  <c r="AH88" i="15"/>
  <c r="AH74" i="15"/>
  <c r="AH83" i="15"/>
  <c r="AH106" i="15"/>
  <c r="AH114" i="15"/>
  <c r="AH40" i="15"/>
  <c r="AH111" i="15"/>
  <c r="AH113" i="15"/>
  <c r="AH97" i="15"/>
  <c r="AH96" i="15"/>
  <c r="AH92" i="15"/>
  <c r="AH48" i="15"/>
  <c r="AH41" i="15"/>
  <c r="AH26" i="15"/>
  <c r="AH72" i="15"/>
  <c r="AH60" i="15"/>
  <c r="AH62" i="15"/>
  <c r="O124" i="15"/>
  <c r="O58" i="15"/>
  <c r="O92" i="15"/>
  <c r="O70" i="15"/>
  <c r="O21" i="15"/>
  <c r="O30" i="15"/>
  <c r="O80" i="15"/>
  <c r="O53" i="15"/>
  <c r="O98" i="15"/>
  <c r="O77" i="15"/>
  <c r="O72" i="15"/>
  <c r="O121" i="15"/>
  <c r="O22" i="15"/>
  <c r="O15" i="15"/>
  <c r="O52" i="15"/>
  <c r="O45" i="15"/>
  <c r="O48" i="15"/>
  <c r="O31" i="15"/>
  <c r="O91" i="15"/>
  <c r="O12" i="15"/>
  <c r="O33" i="15"/>
  <c r="O47" i="15"/>
  <c r="O110" i="15"/>
  <c r="O25" i="15"/>
  <c r="O36" i="15"/>
  <c r="O13" i="15"/>
  <c r="O113" i="15"/>
  <c r="O102" i="15"/>
  <c r="O71" i="15"/>
  <c r="O97" i="15"/>
  <c r="O49" i="15"/>
  <c r="O114" i="15"/>
  <c r="O99" i="15"/>
  <c r="O101" i="15"/>
  <c r="O96" i="15"/>
  <c r="O34" i="15"/>
  <c r="O88" i="15"/>
  <c r="O93" i="15"/>
  <c r="O100" i="15"/>
  <c r="O87" i="15"/>
  <c r="O44" i="15"/>
  <c r="O20" i="15"/>
  <c r="O108" i="15"/>
  <c r="O83" i="15"/>
  <c r="O84" i="15"/>
  <c r="O106" i="15"/>
  <c r="O90" i="15"/>
  <c r="O40" i="15"/>
  <c r="O94" i="15"/>
  <c r="O28" i="15"/>
  <c r="O105" i="15"/>
  <c r="O129" i="15"/>
  <c r="O68" i="15"/>
  <c r="O19" i="15"/>
  <c r="O59" i="15"/>
  <c r="O79" i="15"/>
  <c r="O69" i="15"/>
  <c r="O41" i="15"/>
  <c r="O74" i="15"/>
  <c r="O126" i="15"/>
  <c r="O67" i="15"/>
  <c r="O82" i="15"/>
  <c r="O50" i="15"/>
  <c r="O76" i="15"/>
  <c r="O120" i="15"/>
  <c r="O29" i="15"/>
  <c r="O39" i="15"/>
  <c r="O38" i="15"/>
  <c r="O54" i="15"/>
  <c r="O115" i="15"/>
  <c r="O107" i="15"/>
  <c r="O111" i="15"/>
  <c r="O104" i="15"/>
  <c r="O128" i="15"/>
  <c r="O89" i="15"/>
  <c r="O42" i="15"/>
  <c r="O46" i="15"/>
  <c r="O125" i="15"/>
  <c r="O26" i="15"/>
  <c r="O61" i="15"/>
  <c r="O85" i="15"/>
  <c r="O62" i="15"/>
  <c r="O109" i="15"/>
  <c r="O78" i="15"/>
  <c r="O112" i="15"/>
  <c r="O60" i="15"/>
  <c r="O24" i="15"/>
  <c r="O103" i="15"/>
  <c r="O95" i="15"/>
  <c r="O86" i="15"/>
  <c r="O35" i="15"/>
  <c r="O75" i="15"/>
  <c r="AH122" i="15"/>
  <c r="AG64" i="16"/>
  <c r="AJ63" i="16"/>
  <c r="O63" i="16"/>
  <c r="AJ16" i="18"/>
  <c r="N64" i="15"/>
  <c r="O64" i="15" s="1"/>
  <c r="B117" i="15"/>
  <c r="O87" i="18"/>
  <c r="O122" i="16"/>
  <c r="AH63" i="15"/>
  <c r="O116" i="18"/>
  <c r="O37" i="16"/>
  <c r="AJ37" i="16"/>
  <c r="O37" i="19"/>
  <c r="O124" i="16"/>
  <c r="O40" i="16"/>
  <c r="O39" i="16"/>
  <c r="O58" i="16"/>
  <c r="O54" i="16"/>
  <c r="O41" i="16"/>
  <c r="O104" i="16"/>
  <c r="O94" i="16"/>
  <c r="O91" i="16"/>
  <c r="O89" i="16"/>
  <c r="O90" i="16"/>
  <c r="O50" i="16"/>
  <c r="O83" i="16"/>
  <c r="O93" i="16"/>
  <c r="O84" i="16"/>
  <c r="O112" i="16"/>
  <c r="O15" i="16"/>
  <c r="O75" i="16"/>
  <c r="O114" i="16"/>
  <c r="O59" i="16"/>
  <c r="O19" i="16"/>
  <c r="O128" i="16"/>
  <c r="O101" i="16"/>
  <c r="O71" i="16"/>
  <c r="O129" i="16"/>
  <c r="O62" i="16"/>
  <c r="O92" i="16"/>
  <c r="O42" i="16"/>
  <c r="O98" i="16"/>
  <c r="O108" i="16"/>
  <c r="O80" i="16"/>
  <c r="O86" i="16"/>
  <c r="O13" i="16"/>
  <c r="O102" i="16"/>
  <c r="O72" i="16"/>
  <c r="O53" i="16"/>
  <c r="O111" i="16"/>
  <c r="O113" i="16"/>
  <c r="O60" i="16"/>
  <c r="O107" i="16"/>
  <c r="O85" i="16"/>
  <c r="O44" i="16"/>
  <c r="O96" i="16"/>
  <c r="O78" i="16"/>
  <c r="O97" i="16"/>
  <c r="O115" i="16"/>
  <c r="O121" i="16"/>
  <c r="O103" i="16"/>
  <c r="O46" i="16"/>
  <c r="O67" i="16"/>
  <c r="O55" i="16"/>
  <c r="O88" i="16"/>
  <c r="O68" i="16"/>
  <c r="O21" i="16"/>
  <c r="O45" i="16"/>
  <c r="O30" i="16"/>
  <c r="O100" i="16"/>
  <c r="O95" i="16"/>
  <c r="O24" i="16"/>
  <c r="O110" i="16"/>
  <c r="O49" i="16"/>
  <c r="O26" i="16"/>
  <c r="O82" i="16"/>
  <c r="O106" i="16"/>
  <c r="O47" i="16"/>
  <c r="O61" i="16"/>
  <c r="O22" i="16"/>
  <c r="O76" i="16"/>
  <c r="O20" i="16"/>
  <c r="O27" i="16"/>
  <c r="O105" i="16"/>
  <c r="O35" i="16"/>
  <c r="O29" i="16"/>
  <c r="O126" i="16"/>
  <c r="O120" i="16"/>
  <c r="O99" i="16"/>
  <c r="O87" i="16"/>
  <c r="O70" i="16"/>
  <c r="O69" i="16"/>
  <c r="O79" i="16"/>
  <c r="O52" i="16"/>
  <c r="O31" i="16"/>
  <c r="O28" i="16"/>
  <c r="O38" i="16"/>
  <c r="O109" i="16"/>
  <c r="O77" i="16"/>
  <c r="O125" i="16"/>
  <c r="O48" i="16"/>
  <c r="O33" i="16"/>
  <c r="O25" i="16"/>
  <c r="O12" i="16"/>
  <c r="O74" i="16"/>
  <c r="O34" i="16"/>
  <c r="AJ63" i="15"/>
  <c r="O63" i="15"/>
  <c r="AG64" i="15"/>
  <c r="O56" i="15"/>
  <c r="B64" i="16"/>
  <c r="N63" i="19"/>
  <c r="B64" i="19"/>
  <c r="O116" i="19"/>
  <c r="AJ116" i="19"/>
  <c r="O116" i="17"/>
  <c r="AJ116" i="17"/>
  <c r="O122" i="18"/>
  <c r="AH87" i="15"/>
  <c r="AJ131" i="15"/>
  <c r="AH131" i="15"/>
  <c r="AJ37" i="17"/>
  <c r="O37" i="17"/>
  <c r="AJ16" i="17"/>
  <c r="AH52" i="17"/>
  <c r="AH112" i="17"/>
  <c r="AH47" i="17"/>
  <c r="AH100" i="17"/>
  <c r="AH109" i="17"/>
  <c r="AH71" i="17"/>
  <c r="AH97" i="17"/>
  <c r="AH94" i="17"/>
  <c r="AH110" i="17"/>
  <c r="AH29" i="17"/>
  <c r="AH99" i="17"/>
  <c r="AH77" i="17"/>
  <c r="AH82" i="17"/>
  <c r="AH60" i="17"/>
  <c r="AH98" i="17"/>
  <c r="AH74" i="17"/>
  <c r="AH28" i="17"/>
  <c r="AH111" i="17"/>
  <c r="AH85" i="17"/>
  <c r="AH128" i="17"/>
  <c r="AH49" i="17"/>
  <c r="AH104" i="17"/>
  <c r="AH67" i="17"/>
  <c r="AH42" i="17"/>
  <c r="AH31" i="17"/>
  <c r="AH20" i="17"/>
  <c r="AH72" i="17"/>
  <c r="AH39" i="17"/>
  <c r="AH34" i="17"/>
  <c r="AH44" i="17"/>
  <c r="AH50" i="17"/>
  <c r="AH124" i="17"/>
  <c r="AH88" i="17"/>
  <c r="AH33" i="17"/>
  <c r="AH26" i="17"/>
  <c r="AH35" i="17"/>
  <c r="AH78" i="17"/>
  <c r="AH129" i="17"/>
  <c r="AH91" i="17"/>
  <c r="AH83" i="17"/>
  <c r="AH58" i="17"/>
  <c r="AH90" i="17"/>
  <c r="AH27" i="17"/>
  <c r="AH38" i="17"/>
  <c r="AH84" i="17"/>
  <c r="AH126" i="17"/>
  <c r="AH106" i="17"/>
  <c r="AH25" i="17"/>
  <c r="AH62" i="17"/>
  <c r="AH80" i="17"/>
  <c r="AH69" i="17"/>
  <c r="AH13" i="17"/>
  <c r="AH121" i="17"/>
  <c r="AH105" i="17"/>
  <c r="AH19" i="17"/>
  <c r="AH89" i="17"/>
  <c r="AH22" i="17"/>
  <c r="AH108" i="17"/>
  <c r="AH79" i="17"/>
  <c r="AH21" i="17"/>
  <c r="AH96" i="17"/>
  <c r="AH92" i="17"/>
  <c r="AH45" i="17"/>
  <c r="AH107" i="17"/>
  <c r="AH70" i="17"/>
  <c r="AH102" i="17"/>
  <c r="AH36" i="17"/>
  <c r="AH59" i="17"/>
  <c r="AH15" i="17"/>
  <c r="AH48" i="17"/>
  <c r="AH41" i="17"/>
  <c r="AH122" i="17"/>
  <c r="AH40" i="17"/>
  <c r="AH115" i="17"/>
  <c r="AH131" i="17"/>
  <c r="AH12" i="17"/>
  <c r="AH114" i="17"/>
  <c r="AH24" i="17"/>
  <c r="AH120" i="17"/>
  <c r="AH75" i="17"/>
  <c r="AH86" i="17"/>
  <c r="AH101" i="17"/>
  <c r="AH93" i="17"/>
  <c r="AH76" i="17"/>
  <c r="AH113" i="17"/>
  <c r="AH125" i="17"/>
  <c r="AH46" i="17"/>
  <c r="AH103" i="17"/>
  <c r="AH30" i="17"/>
  <c r="AH95" i="17"/>
  <c r="AJ73" i="17"/>
  <c r="O116" i="15"/>
  <c r="O124" i="18"/>
  <c r="O105" i="18"/>
  <c r="O48" i="18"/>
  <c r="O67" i="18"/>
  <c r="O111" i="18"/>
  <c r="O41" i="18"/>
  <c r="O49" i="18"/>
  <c r="O115" i="18"/>
  <c r="O99" i="18"/>
  <c r="O40" i="18"/>
  <c r="O101" i="18"/>
  <c r="O114" i="18"/>
  <c r="O90" i="18"/>
  <c r="O71" i="18"/>
  <c r="O69" i="18"/>
  <c r="O102" i="18"/>
  <c r="O42" i="18"/>
  <c r="O59" i="18"/>
  <c r="O45" i="18"/>
  <c r="O120" i="18"/>
  <c r="O15" i="18"/>
  <c r="O128" i="18"/>
  <c r="O93" i="18"/>
  <c r="O80" i="18"/>
  <c r="O47" i="18"/>
  <c r="O46" i="18"/>
  <c r="O53" i="18"/>
  <c r="O22" i="18"/>
  <c r="O104" i="18"/>
  <c r="O89" i="18"/>
  <c r="O28" i="18"/>
  <c r="O21" i="18"/>
  <c r="O38" i="18"/>
  <c r="O26" i="18"/>
  <c r="O96" i="18"/>
  <c r="O72" i="18"/>
  <c r="O88" i="18"/>
  <c r="O78" i="18"/>
  <c r="O86" i="18"/>
  <c r="O95" i="18"/>
  <c r="O74" i="18"/>
  <c r="O68" i="18"/>
  <c r="O77" i="18"/>
  <c r="O55" i="18"/>
  <c r="O112" i="18"/>
  <c r="O61" i="18"/>
  <c r="O19" i="18"/>
  <c r="O121" i="18"/>
  <c r="O125" i="18"/>
  <c r="O110" i="18"/>
  <c r="O29" i="18"/>
  <c r="O126" i="18"/>
  <c r="O108" i="18"/>
  <c r="O103" i="18"/>
  <c r="O79" i="18"/>
  <c r="O83" i="18"/>
  <c r="O106" i="18"/>
  <c r="O85" i="18"/>
  <c r="O39" i="18"/>
  <c r="O50" i="18"/>
  <c r="O75" i="18"/>
  <c r="O113" i="18"/>
  <c r="O97" i="18"/>
  <c r="O107" i="18"/>
  <c r="O20" i="18"/>
  <c r="O91" i="18"/>
  <c r="O98" i="18"/>
  <c r="O84" i="18"/>
  <c r="O24" i="18"/>
  <c r="O76" i="18"/>
  <c r="O13" i="18"/>
  <c r="O58" i="18"/>
  <c r="O70" i="18"/>
  <c r="O35" i="18"/>
  <c r="O25" i="18"/>
  <c r="O92" i="18"/>
  <c r="O100" i="18"/>
  <c r="O44" i="18"/>
  <c r="O109" i="18"/>
  <c r="O30" i="18"/>
  <c r="O52" i="18"/>
  <c r="O54" i="18"/>
  <c r="O62" i="18"/>
  <c r="O31" i="18"/>
  <c r="O130" i="18"/>
  <c r="O82" i="18"/>
  <c r="O129" i="18"/>
  <c r="O34" i="18"/>
  <c r="O94" i="18"/>
  <c r="O56" i="18"/>
  <c r="O60" i="18"/>
  <c r="O73" i="18"/>
  <c r="O12" i="18"/>
  <c r="O33" i="18"/>
  <c r="O37" i="18"/>
  <c r="AJ37" i="18"/>
  <c r="O36" i="18"/>
  <c r="O124" i="17"/>
  <c r="O128" i="17"/>
  <c r="O53" i="17"/>
  <c r="O52" i="17"/>
  <c r="O54" i="17"/>
  <c r="O78" i="17"/>
  <c r="O100" i="17"/>
  <c r="O34" i="17"/>
  <c r="O33" i="17"/>
  <c r="O35" i="17"/>
  <c r="O111" i="17"/>
  <c r="O80" i="17"/>
  <c r="O28" i="17"/>
  <c r="O102" i="17"/>
  <c r="O48" i="17"/>
  <c r="O113" i="17"/>
  <c r="O26" i="17"/>
  <c r="O79" i="17"/>
  <c r="O72" i="17"/>
  <c r="O38" i="17"/>
  <c r="O49" i="17"/>
  <c r="O96" i="17"/>
  <c r="O41" i="17"/>
  <c r="O30" i="17"/>
  <c r="O112" i="17"/>
  <c r="O60" i="17"/>
  <c r="O15" i="17"/>
  <c r="O101" i="17"/>
  <c r="O59" i="17"/>
  <c r="O75" i="17"/>
  <c r="O86" i="17"/>
  <c r="O99" i="17"/>
  <c r="O76" i="17"/>
  <c r="O98" i="17"/>
  <c r="O88" i="17"/>
  <c r="O90" i="17"/>
  <c r="O129" i="17"/>
  <c r="O109" i="17"/>
  <c r="O50" i="17"/>
  <c r="O20" i="17"/>
  <c r="O92" i="17"/>
  <c r="O25" i="17"/>
  <c r="O114" i="17"/>
  <c r="O71" i="17"/>
  <c r="O110" i="17"/>
  <c r="O115" i="17"/>
  <c r="O107" i="17"/>
  <c r="O89" i="17"/>
  <c r="O125" i="17"/>
  <c r="O77" i="17"/>
  <c r="O24" i="17"/>
  <c r="O67" i="17"/>
  <c r="O39" i="17"/>
  <c r="O19" i="17"/>
  <c r="O58" i="17"/>
  <c r="O74" i="17"/>
  <c r="O69" i="17"/>
  <c r="O105" i="17"/>
  <c r="O44" i="17"/>
  <c r="O106" i="17"/>
  <c r="O13" i="17"/>
  <c r="O97" i="17"/>
  <c r="O21" i="17"/>
  <c r="O126" i="17"/>
  <c r="O108" i="17"/>
  <c r="O12" i="17"/>
  <c r="O82" i="17"/>
  <c r="O70" i="17"/>
  <c r="O29" i="17"/>
  <c r="O121" i="17"/>
  <c r="O42" i="17"/>
  <c r="O45" i="17"/>
  <c r="O83" i="17"/>
  <c r="O84" i="17"/>
  <c r="O91" i="17"/>
  <c r="O55" i="17"/>
  <c r="O103" i="17"/>
  <c r="O46" i="17"/>
  <c r="O130" i="17"/>
  <c r="O87" i="17"/>
  <c r="O56" i="17"/>
  <c r="O93" i="17"/>
  <c r="O27" i="17"/>
  <c r="O47" i="17"/>
  <c r="O95" i="17"/>
  <c r="O36" i="17"/>
  <c r="O120" i="17"/>
  <c r="O94" i="17"/>
  <c r="O22" i="17"/>
  <c r="O85" i="17"/>
  <c r="O61" i="17"/>
  <c r="O40" i="17"/>
  <c r="O31" i="17"/>
  <c r="O68" i="17"/>
  <c r="O104" i="17"/>
  <c r="O122" i="17"/>
  <c r="O62" i="17"/>
  <c r="O73" i="17"/>
  <c r="AH116" i="17"/>
  <c r="AH14" i="18"/>
  <c r="AH16" i="18" s="1"/>
  <c r="O116" i="16"/>
  <c r="M19" i="1"/>
  <c r="Z14" i="1"/>
  <c r="O101" i="20" l="1"/>
  <c r="O77" i="20"/>
  <c r="O79" i="20"/>
  <c r="O44" i="20"/>
  <c r="O30" i="20"/>
  <c r="O129" i="20"/>
  <c r="O125" i="20"/>
  <c r="O112" i="20"/>
  <c r="O50" i="20"/>
  <c r="O40" i="20"/>
  <c r="O92" i="20"/>
  <c r="X76" i="1"/>
  <c r="Z75" i="1"/>
  <c r="O25" i="20"/>
  <c r="O124" i="20"/>
  <c r="O111" i="20"/>
  <c r="O29" i="20"/>
  <c r="Z19" i="1"/>
  <c r="O83" i="20"/>
  <c r="O54" i="20"/>
  <c r="O53" i="20"/>
  <c r="O63" i="20"/>
  <c r="O60" i="20"/>
  <c r="O56" i="20"/>
  <c r="O80" i="20"/>
  <c r="AJ131" i="20"/>
  <c r="O93" i="20"/>
  <c r="O90" i="20"/>
  <c r="O115" i="20"/>
  <c r="O38" i="20"/>
  <c r="B117" i="18"/>
  <c r="B132" i="18" s="1"/>
  <c r="N132" i="18" s="1"/>
  <c r="O132" i="18" s="1"/>
  <c r="O67" i="20"/>
  <c r="O46" i="20"/>
  <c r="O76" i="20"/>
  <c r="O78" i="20"/>
  <c r="O61" i="20"/>
  <c r="O95" i="20"/>
  <c r="O31" i="20"/>
  <c r="O48" i="20"/>
  <c r="O127" i="20"/>
  <c r="O74" i="20"/>
  <c r="O20" i="20"/>
  <c r="O82" i="20"/>
  <c r="O39" i="20"/>
  <c r="O63" i="18"/>
  <c r="O70" i="20"/>
  <c r="O42" i="20"/>
  <c r="O28" i="20"/>
  <c r="O22" i="20"/>
  <c r="O114" i="20"/>
  <c r="O128" i="20"/>
  <c r="O59" i="20"/>
  <c r="O45" i="20"/>
  <c r="O19" i="20"/>
  <c r="O86" i="20"/>
  <c r="O121" i="20"/>
  <c r="O34" i="20"/>
  <c r="AJ16" i="20"/>
  <c r="I117" i="20"/>
  <c r="I132" i="20" s="1"/>
  <c r="I133" i="20" s="1"/>
  <c r="O13" i="20"/>
  <c r="O87" i="20"/>
  <c r="O126" i="20"/>
  <c r="O33" i="20"/>
  <c r="O47" i="20"/>
  <c r="O99" i="20"/>
  <c r="O88" i="20"/>
  <c r="O71" i="20"/>
  <c r="O106" i="20"/>
  <c r="O131" i="20"/>
  <c r="O36" i="20"/>
  <c r="O21" i="20"/>
  <c r="O109" i="20"/>
  <c r="O110" i="20"/>
  <c r="O108" i="20"/>
  <c r="O52" i="20"/>
  <c r="O113" i="20"/>
  <c r="O130" i="20"/>
  <c r="O116" i="20"/>
  <c r="O35" i="20"/>
  <c r="O96" i="20"/>
  <c r="O12" i="20"/>
  <c r="O49" i="20"/>
  <c r="O107" i="20"/>
  <c r="O91" i="20"/>
  <c r="O85" i="20"/>
  <c r="O37" i="20"/>
  <c r="O122" i="20"/>
  <c r="O27" i="20"/>
  <c r="O72" i="20"/>
  <c r="O102" i="20"/>
  <c r="O105" i="20"/>
  <c r="O15" i="20"/>
  <c r="O26" i="20"/>
  <c r="O104" i="20"/>
  <c r="O103" i="20"/>
  <c r="O41" i="20"/>
  <c r="O100" i="20"/>
  <c r="O97" i="20"/>
  <c r="O62" i="20"/>
  <c r="O24" i="20"/>
  <c r="O98" i="20"/>
  <c r="O75" i="20"/>
  <c r="O84" i="20"/>
  <c r="O55" i="20"/>
  <c r="O89" i="20"/>
  <c r="O120" i="20"/>
  <c r="O58" i="20"/>
  <c r="O94" i="20"/>
  <c r="O68" i="20"/>
  <c r="O69" i="20"/>
  <c r="AH67" i="20"/>
  <c r="AH14" i="17"/>
  <c r="AH16" i="17" s="1"/>
  <c r="B64" i="20"/>
  <c r="B117" i="20" s="1"/>
  <c r="AH14" i="20"/>
  <c r="AH16" i="20" s="1"/>
  <c r="AG137" i="19"/>
  <c r="AJ33" i="19"/>
  <c r="AH33" i="19"/>
  <c r="O14" i="18"/>
  <c r="O16" i="18" s="1"/>
  <c r="AJ52" i="20"/>
  <c r="AH52" i="20"/>
  <c r="AC137" i="20"/>
  <c r="AG33" i="20"/>
  <c r="AH64" i="15"/>
  <c r="AJ64" i="15"/>
  <c r="N64" i="17"/>
  <c r="O64" i="17" s="1"/>
  <c r="B117" i="17"/>
  <c r="O63" i="17"/>
  <c r="AJ64" i="18"/>
  <c r="AH64" i="18"/>
  <c r="B132" i="15"/>
  <c r="N132" i="15" s="1"/>
  <c r="O132" i="15" s="1"/>
  <c r="N117" i="15"/>
  <c r="O117" i="15" s="1"/>
  <c r="B117" i="19"/>
  <c r="N64" i="19"/>
  <c r="O64" i="19" s="1"/>
  <c r="AH64" i="16"/>
  <c r="AH14" i="15"/>
  <c r="AH16" i="15" s="1"/>
  <c r="O14" i="17"/>
  <c r="O16" i="17" s="1"/>
  <c r="O63" i="19"/>
  <c r="N64" i="16"/>
  <c r="O64" i="16" s="1"/>
  <c r="B117" i="16"/>
  <c r="O14" i="16"/>
  <c r="O16" i="16" s="1"/>
  <c r="O14" i="15"/>
  <c r="O16" i="15" s="1"/>
  <c r="N117" i="18" l="1"/>
  <c r="O117" i="18" s="1"/>
  <c r="O14" i="20"/>
  <c r="O16" i="20" s="1"/>
  <c r="AJ64" i="16"/>
  <c r="B65" i="20"/>
  <c r="N64" i="20"/>
  <c r="N65" i="20" s="1"/>
  <c r="AG137" i="20"/>
  <c r="AJ33" i="20"/>
  <c r="AH33" i="20"/>
  <c r="N117" i="20"/>
  <c r="O117" i="20" s="1"/>
  <c r="B132" i="20"/>
  <c r="B132" i="17"/>
  <c r="N132" i="17" s="1"/>
  <c r="O132" i="17" s="1"/>
  <c r="N117" i="17"/>
  <c r="O117" i="17" s="1"/>
  <c r="N117" i="16"/>
  <c r="O117" i="16" s="1"/>
  <c r="B132" i="16"/>
  <c r="N132" i="16" s="1"/>
  <c r="O132" i="16" s="1"/>
  <c r="N117" i="19"/>
  <c r="O117" i="19" s="1"/>
  <c r="B132" i="19"/>
  <c r="N132" i="19" s="1"/>
  <c r="O132" i="19" s="1"/>
  <c r="O64" i="20" l="1"/>
  <c r="N132" i="20"/>
  <c r="B133" i="20"/>
  <c r="O132" i="20" l="1"/>
  <c r="N133" i="20"/>
  <c r="D7" i="2" l="1"/>
  <c r="D7" i="6" l="1"/>
  <c r="Q69" i="6" s="1"/>
  <c r="D7" i="3"/>
  <c r="X69" i="3" s="1"/>
  <c r="U69" i="2"/>
  <c r="R69" i="2"/>
  <c r="X69" i="2"/>
  <c r="V69" i="2"/>
  <c r="W69" i="2"/>
  <c r="M69" i="2"/>
  <c r="K69" i="2"/>
  <c r="K30" i="1" s="1"/>
  <c r="L69" i="2"/>
  <c r="L30" i="1" s="1"/>
  <c r="I69" i="2"/>
  <c r="I30" i="1" s="1"/>
  <c r="S69" i="2"/>
  <c r="N69" i="2"/>
  <c r="Q69" i="2"/>
  <c r="J69" i="2"/>
  <c r="J30" i="1" s="1"/>
  <c r="T69" i="2"/>
  <c r="O69" i="2"/>
  <c r="P69" i="2"/>
  <c r="K69" i="3"/>
  <c r="K31" i="1" s="1"/>
  <c r="L69" i="3"/>
  <c r="L31" i="1" s="1"/>
  <c r="U69" i="3"/>
  <c r="I69" i="3"/>
  <c r="I31" i="1" s="1"/>
  <c r="P69" i="3"/>
  <c r="L69" i="6"/>
  <c r="L34" i="1" s="1"/>
  <c r="W69" i="6"/>
  <c r="N69" i="6"/>
  <c r="V69" i="6"/>
  <c r="S69" i="6"/>
  <c r="K69" i="6"/>
  <c r="K34" i="1" s="1"/>
  <c r="P69" i="6"/>
  <c r="X69" i="6"/>
  <c r="M69" i="6"/>
  <c r="J69" i="6"/>
  <c r="J34" i="1" s="1"/>
  <c r="T69" i="6"/>
  <c r="R69" i="6"/>
  <c r="U69" i="6"/>
  <c r="D6" i="6"/>
  <c r="D6" i="4"/>
  <c r="D7" i="4"/>
  <c r="D7" i="5"/>
  <c r="I69" i="6" l="1"/>
  <c r="I34" i="1" s="1"/>
  <c r="Q69" i="3"/>
  <c r="O69" i="6"/>
  <c r="O69" i="3"/>
  <c r="J69" i="3"/>
  <c r="J31" i="1" s="1"/>
  <c r="T69" i="3"/>
  <c r="R69" i="3"/>
  <c r="R31" i="1" s="1"/>
  <c r="V69" i="3"/>
  <c r="V31" i="1" s="1"/>
  <c r="M69" i="3"/>
  <c r="U54" i="17" s="1"/>
  <c r="W69" i="3"/>
  <c r="W31" i="1" s="1"/>
  <c r="N69" i="3"/>
  <c r="V54" i="17" s="1"/>
  <c r="S69" i="3"/>
  <c r="AA54" i="17" s="1"/>
  <c r="D6" i="5"/>
  <c r="V35" i="19"/>
  <c r="N30" i="1"/>
  <c r="S34" i="1"/>
  <c r="AA69" i="15"/>
  <c r="AA35" i="19"/>
  <c r="S30" i="1"/>
  <c r="Q31" i="1"/>
  <c r="Y54" i="17"/>
  <c r="U69" i="4"/>
  <c r="P69" i="4"/>
  <c r="K69" i="4"/>
  <c r="K32" i="1" s="1"/>
  <c r="J69" i="4"/>
  <c r="J32" i="1" s="1"/>
  <c r="S69" i="4"/>
  <c r="T69" i="4"/>
  <c r="X69" i="4"/>
  <c r="V69" i="4"/>
  <c r="I69" i="4"/>
  <c r="I32" i="1" s="1"/>
  <c r="W69" i="4"/>
  <c r="Q69" i="4"/>
  <c r="N69" i="4"/>
  <c r="O69" i="4"/>
  <c r="L69" i="4"/>
  <c r="L32" i="1" s="1"/>
  <c r="M69" i="4"/>
  <c r="R69" i="4"/>
  <c r="AC69" i="15"/>
  <c r="U34" i="1"/>
  <c r="O34" i="1"/>
  <c r="W69" i="15"/>
  <c r="U35" i="19"/>
  <c r="M30" i="1"/>
  <c r="Z69" i="2"/>
  <c r="M31" i="1"/>
  <c r="N34" i="1"/>
  <c r="V69" i="15"/>
  <c r="Z69" i="15"/>
  <c r="R34" i="1"/>
  <c r="Q34" i="1"/>
  <c r="Y69" i="15"/>
  <c r="AC54" i="17"/>
  <c r="U31" i="1"/>
  <c r="AE35" i="19"/>
  <c r="W30" i="1"/>
  <c r="AB69" i="15"/>
  <c r="T34" i="1"/>
  <c r="W34" i="1"/>
  <c r="AE69" i="15"/>
  <c r="X35" i="19"/>
  <c r="P30" i="1"/>
  <c r="AD35" i="19"/>
  <c r="V30" i="1"/>
  <c r="X54" i="17"/>
  <c r="P31" i="1"/>
  <c r="O31" i="1"/>
  <c r="W54" i="17"/>
  <c r="O30" i="1"/>
  <c r="W35" i="19"/>
  <c r="X30" i="1"/>
  <c r="AF35" i="19"/>
  <c r="X31" i="1"/>
  <c r="AF54" i="17"/>
  <c r="I69" i="5"/>
  <c r="I33" i="1" s="1"/>
  <c r="M69" i="5"/>
  <c r="W69" i="5"/>
  <c r="J69" i="5"/>
  <c r="J33" i="1" s="1"/>
  <c r="T69" i="5"/>
  <c r="N69" i="5"/>
  <c r="O69" i="5"/>
  <c r="U69" i="5"/>
  <c r="X69" i="5"/>
  <c r="P69" i="5"/>
  <c r="L69" i="5"/>
  <c r="L33" i="1" s="1"/>
  <c r="S69" i="5"/>
  <c r="Q69" i="5"/>
  <c r="K69" i="5"/>
  <c r="K33" i="1" s="1"/>
  <c r="V69" i="5"/>
  <c r="R69" i="5"/>
  <c r="D6" i="2"/>
  <c r="U69" i="15"/>
  <c r="M34" i="1"/>
  <c r="Z69" i="6"/>
  <c r="T30" i="1"/>
  <c r="AB35" i="19"/>
  <c r="Z35" i="19"/>
  <c r="R30" i="1"/>
  <c r="D6" i="3"/>
  <c r="V34" i="1"/>
  <c r="AD69" i="15"/>
  <c r="Q68" i="6"/>
  <c r="I68" i="6"/>
  <c r="K68" i="6"/>
  <c r="V68" i="6"/>
  <c r="L68" i="6"/>
  <c r="X68" i="6"/>
  <c r="W68" i="6"/>
  <c r="N68" i="6"/>
  <c r="J68" i="6"/>
  <c r="P68" i="6"/>
  <c r="M68" i="6"/>
  <c r="O68" i="6"/>
  <c r="S68" i="6"/>
  <c r="R68" i="6"/>
  <c r="U68" i="6"/>
  <c r="T68" i="6"/>
  <c r="AF69" i="15"/>
  <c r="X34" i="1"/>
  <c r="T31" i="1"/>
  <c r="AB54" i="17"/>
  <c r="AC35" i="19"/>
  <c r="U30" i="1"/>
  <c r="S68" i="4"/>
  <c r="P68" i="4"/>
  <c r="Q68" i="4"/>
  <c r="O68" i="4"/>
  <c r="U68" i="4"/>
  <c r="V68" i="4"/>
  <c r="L68" i="4"/>
  <c r="J68" i="4"/>
  <c r="M68" i="4"/>
  <c r="N68" i="4"/>
  <c r="X68" i="4"/>
  <c r="R68" i="4"/>
  <c r="K68" i="4"/>
  <c r="I68" i="4"/>
  <c r="W68" i="4"/>
  <c r="T68" i="4"/>
  <c r="P34" i="1"/>
  <c r="X69" i="15"/>
  <c r="Y35" i="19"/>
  <c r="Q30" i="1"/>
  <c r="Z54" i="17" l="1"/>
  <c r="AD54" i="17"/>
  <c r="L35" i="1"/>
  <c r="K35" i="1"/>
  <c r="Z69" i="3"/>
  <c r="AE54" i="17"/>
  <c r="S31" i="1"/>
  <c r="N31" i="1"/>
  <c r="J35" i="1"/>
  <c r="I35" i="1"/>
  <c r="T24" i="1"/>
  <c r="T70" i="4"/>
  <c r="T40" i="1" s="1"/>
  <c r="AB68" i="16"/>
  <c r="W68" i="16"/>
  <c r="O70" i="4"/>
  <c r="O40" i="1" s="1"/>
  <c r="O24" i="1"/>
  <c r="Z34" i="1"/>
  <c r="AA69" i="18"/>
  <c r="S33" i="1"/>
  <c r="W35" i="20"/>
  <c r="W140" i="19"/>
  <c r="AF69" i="16"/>
  <c r="X32" i="1"/>
  <c r="P26" i="1"/>
  <c r="X68" i="15"/>
  <c r="P70" i="6"/>
  <c r="P42" i="1" s="1"/>
  <c r="Y68" i="16"/>
  <c r="Q24" i="1"/>
  <c r="Q70" i="4"/>
  <c r="Q40" i="1" s="1"/>
  <c r="AA68" i="16"/>
  <c r="S24" i="1"/>
  <c r="S70" i="4"/>
  <c r="S40" i="1" s="1"/>
  <c r="AC35" i="20"/>
  <c r="AC140" i="19"/>
  <c r="AE68" i="15"/>
  <c r="W70" i="6"/>
  <c r="W42" i="1" s="1"/>
  <c r="W26" i="1"/>
  <c r="X33" i="1"/>
  <c r="AF69" i="18"/>
  <c r="Z68" i="16"/>
  <c r="R70" i="4"/>
  <c r="R40" i="1" s="1"/>
  <c r="R24" i="1"/>
  <c r="X70" i="6"/>
  <c r="X42" i="1" s="1"/>
  <c r="X26" i="1"/>
  <c r="AF68" i="15"/>
  <c r="AD54" i="20"/>
  <c r="AD140" i="17"/>
  <c r="U33" i="1"/>
  <c r="AC69" i="18"/>
  <c r="U69" i="16"/>
  <c r="M32" i="1"/>
  <c r="Z69" i="4"/>
  <c r="X24" i="1"/>
  <c r="AF68" i="16"/>
  <c r="X70" i="4"/>
  <c r="X40" i="1" s="1"/>
  <c r="AF140" i="15"/>
  <c r="L26" i="1"/>
  <c r="L70" i="6"/>
  <c r="L42" i="1" s="1"/>
  <c r="AD140" i="15"/>
  <c r="W69" i="18"/>
  <c r="O33" i="1"/>
  <c r="P32" i="1"/>
  <c r="X69" i="16"/>
  <c r="I24" i="1"/>
  <c r="I70" i="4"/>
  <c r="I40" i="1" s="1"/>
  <c r="N26" i="1"/>
  <c r="V68" i="15"/>
  <c r="N70" i="6"/>
  <c r="N42" i="1" s="1"/>
  <c r="W140" i="17"/>
  <c r="W54" i="20"/>
  <c r="Z54" i="20"/>
  <c r="Z140" i="17"/>
  <c r="V54" i="20"/>
  <c r="V140" i="17"/>
  <c r="AC54" i="20"/>
  <c r="AC140" i="17"/>
  <c r="R32" i="1"/>
  <c r="Z69" i="16"/>
  <c r="V68" i="16"/>
  <c r="N24" i="1"/>
  <c r="N70" i="4"/>
  <c r="N40" i="1" s="1"/>
  <c r="AB68" i="15"/>
  <c r="T70" i="6"/>
  <c r="T42" i="1" s="1"/>
  <c r="T26" i="1"/>
  <c r="AD68" i="15"/>
  <c r="V70" i="6"/>
  <c r="V42" i="1" s="1"/>
  <c r="V26" i="1"/>
  <c r="V68" i="3"/>
  <c r="W68" i="3"/>
  <c r="L68" i="3"/>
  <c r="K68" i="3"/>
  <c r="X68" i="3"/>
  <c r="S68" i="3"/>
  <c r="T68" i="3"/>
  <c r="J68" i="3"/>
  <c r="N68" i="3"/>
  <c r="O68" i="3"/>
  <c r="I68" i="3"/>
  <c r="Q68" i="3"/>
  <c r="U68" i="3"/>
  <c r="R68" i="3"/>
  <c r="P68" i="3"/>
  <c r="M68" i="3"/>
  <c r="O32" i="1"/>
  <c r="W69" i="16"/>
  <c r="I68" i="5"/>
  <c r="M68" i="5"/>
  <c r="O68" i="5"/>
  <c r="P68" i="5"/>
  <c r="V68" i="5"/>
  <c r="W68" i="5"/>
  <c r="K68" i="5"/>
  <c r="Q68" i="5"/>
  <c r="N68" i="5"/>
  <c r="L68" i="5"/>
  <c r="S68" i="5"/>
  <c r="T68" i="5"/>
  <c r="J68" i="5"/>
  <c r="R68" i="5"/>
  <c r="X68" i="5"/>
  <c r="U68" i="5"/>
  <c r="M24" i="1"/>
  <c r="Z68" i="4"/>
  <c r="M70" i="4"/>
  <c r="U68" i="16"/>
  <c r="AC68" i="15"/>
  <c r="U70" i="6"/>
  <c r="U42" i="1" s="1"/>
  <c r="U26" i="1"/>
  <c r="K26" i="1"/>
  <c r="K70" i="6"/>
  <c r="K42" i="1" s="1"/>
  <c r="AB69" i="18"/>
  <c r="T33" i="1"/>
  <c r="AD140" i="19"/>
  <c r="AD35" i="20"/>
  <c r="Y140" i="15"/>
  <c r="Z30" i="1"/>
  <c r="N32" i="1"/>
  <c r="V69" i="16"/>
  <c r="AE68" i="16"/>
  <c r="W24" i="1"/>
  <c r="W70" i="4"/>
  <c r="W40" i="1" s="1"/>
  <c r="U140" i="15"/>
  <c r="AG69" i="15"/>
  <c r="K68" i="2"/>
  <c r="L68" i="2"/>
  <c r="O68" i="2"/>
  <c r="P68" i="2"/>
  <c r="I68" i="2"/>
  <c r="U68" i="2"/>
  <c r="R68" i="2"/>
  <c r="N68" i="2"/>
  <c r="M68" i="2"/>
  <c r="W68" i="2"/>
  <c r="Q68" i="2"/>
  <c r="T68" i="2"/>
  <c r="X68" i="2"/>
  <c r="V68" i="2"/>
  <c r="S68" i="2"/>
  <c r="J68" i="2"/>
  <c r="N33" i="1"/>
  <c r="V69" i="18"/>
  <c r="AF54" i="20"/>
  <c r="AF140" i="17"/>
  <c r="AC69" i="16"/>
  <c r="U32" i="1"/>
  <c r="AE140" i="17"/>
  <c r="J24" i="1"/>
  <c r="J70" i="4"/>
  <c r="J40" i="1" s="1"/>
  <c r="R26" i="1"/>
  <c r="Z68" i="15"/>
  <c r="R70" i="6"/>
  <c r="R42" i="1" s="1"/>
  <c r="I26" i="1"/>
  <c r="I70" i="6"/>
  <c r="I42" i="1" s="1"/>
  <c r="R33" i="1"/>
  <c r="Z69" i="18"/>
  <c r="AE140" i="15"/>
  <c r="U35" i="20"/>
  <c r="U140" i="19"/>
  <c r="AG35" i="19"/>
  <c r="Q32" i="1"/>
  <c r="Y69" i="16"/>
  <c r="Y54" i="20"/>
  <c r="Y140" i="17"/>
  <c r="L24" i="1"/>
  <c r="L70" i="4"/>
  <c r="L40" i="1" s="1"/>
  <c r="AB54" i="20"/>
  <c r="AB140" i="17"/>
  <c r="S70" i="6"/>
  <c r="S42" i="1" s="1"/>
  <c r="AA68" i="15"/>
  <c r="S26" i="1"/>
  <c r="Q70" i="6"/>
  <c r="Q42" i="1" s="1"/>
  <c r="Q26" i="1"/>
  <c r="Y68" i="15"/>
  <c r="V33" i="1"/>
  <c r="AD69" i="18"/>
  <c r="W33" i="1"/>
  <c r="AE69" i="18"/>
  <c r="X35" i="20"/>
  <c r="X140" i="19"/>
  <c r="V140" i="15"/>
  <c r="AE69" i="16"/>
  <c r="W32" i="1"/>
  <c r="W35" i="1" s="1"/>
  <c r="X140" i="15"/>
  <c r="AD68" i="16"/>
  <c r="V24" i="1"/>
  <c r="V70" i="4"/>
  <c r="V40" i="1" s="1"/>
  <c r="W68" i="15"/>
  <c r="O26" i="1"/>
  <c r="O70" i="6"/>
  <c r="O42" i="1" s="1"/>
  <c r="Z140" i="19"/>
  <c r="Z35" i="20"/>
  <c r="U69" i="18"/>
  <c r="M33" i="1"/>
  <c r="Z69" i="5"/>
  <c r="AF35" i="20"/>
  <c r="AF140" i="19"/>
  <c r="AE35" i="20"/>
  <c r="AE140" i="19"/>
  <c r="Z140" i="15"/>
  <c r="AA35" i="20"/>
  <c r="AA140" i="19"/>
  <c r="J26" i="1"/>
  <c r="J70" i="6"/>
  <c r="J42" i="1" s="1"/>
  <c r="AA54" i="20"/>
  <c r="AA140" i="17"/>
  <c r="AB69" i="16"/>
  <c r="T32" i="1"/>
  <c r="P70" i="4"/>
  <c r="P40" i="1" s="1"/>
  <c r="P24" i="1"/>
  <c r="X68" i="16"/>
  <c r="P33" i="1"/>
  <c r="X69" i="18"/>
  <c r="X54" i="20"/>
  <c r="X140" i="17"/>
  <c r="U54" i="20"/>
  <c r="U140" i="17"/>
  <c r="AG54" i="17"/>
  <c r="AC140" i="15"/>
  <c r="AA69" i="16"/>
  <c r="S32" i="1"/>
  <c r="V35" i="20"/>
  <c r="V140" i="19"/>
  <c r="K24" i="1"/>
  <c r="K70" i="4"/>
  <c r="K40" i="1" s="1"/>
  <c r="Y35" i="20"/>
  <c r="Y140" i="19"/>
  <c r="U70" i="4"/>
  <c r="U40" i="1" s="1"/>
  <c r="U24" i="1"/>
  <c r="AC68" i="16"/>
  <c r="U68" i="15"/>
  <c r="M70" i="6"/>
  <c r="M26" i="1"/>
  <c r="Z68" i="6"/>
  <c r="AB140" i="19"/>
  <c r="AB35" i="20"/>
  <c r="Q33" i="1"/>
  <c r="Y69" i="18"/>
  <c r="AB140" i="15"/>
  <c r="W140" i="15"/>
  <c r="AD69" i="16"/>
  <c r="V32" i="1"/>
  <c r="AA140" i="15"/>
  <c r="S35" i="1" l="1"/>
  <c r="Z31" i="1"/>
  <c r="AE54" i="20"/>
  <c r="P35" i="1"/>
  <c r="AD69" i="20"/>
  <c r="AD140" i="20" s="1"/>
  <c r="W69" i="20"/>
  <c r="W140" i="20" s="1"/>
  <c r="AA69" i="20"/>
  <c r="AA140" i="20" s="1"/>
  <c r="AC69" i="20"/>
  <c r="AC140" i="20" s="1"/>
  <c r="O35" i="1"/>
  <c r="N35" i="1"/>
  <c r="U35" i="1"/>
  <c r="V35" i="1"/>
  <c r="Q35" i="1"/>
  <c r="AE69" i="20"/>
  <c r="T35" i="1"/>
  <c r="R35" i="1"/>
  <c r="Z33" i="1"/>
  <c r="X35" i="1"/>
  <c r="Q22" i="1"/>
  <c r="Y34" i="19"/>
  <c r="Q70" i="2"/>
  <c r="Q38" i="1" s="1"/>
  <c r="U140" i="18"/>
  <c r="AG69" i="18"/>
  <c r="AF140" i="18"/>
  <c r="X140" i="18"/>
  <c r="X69" i="20"/>
  <c r="X140" i="20" s="1"/>
  <c r="L25" i="1"/>
  <c r="L70" i="5"/>
  <c r="L41" i="1" s="1"/>
  <c r="L47" i="1" s="1"/>
  <c r="X53" i="17"/>
  <c r="P23" i="1"/>
  <c r="P70" i="3"/>
  <c r="P39" i="1" s="1"/>
  <c r="L23" i="1"/>
  <c r="L70" i="3"/>
  <c r="L39" i="1" s="1"/>
  <c r="AG140" i="17"/>
  <c r="AH54" i="17"/>
  <c r="AJ54" i="17"/>
  <c r="X73" i="16"/>
  <c r="X116" i="16" s="1"/>
  <c r="X117" i="16" s="1"/>
  <c r="X132" i="16" s="1"/>
  <c r="X139" i="16"/>
  <c r="Y73" i="15"/>
  <c r="Y116" i="15" s="1"/>
  <c r="Y117" i="15" s="1"/>
  <c r="Y132" i="15" s="1"/>
  <c r="Y139" i="15"/>
  <c r="Y142" i="15" s="1"/>
  <c r="N22" i="1"/>
  <c r="N70" i="2"/>
  <c r="N38" i="1" s="1"/>
  <c r="V34" i="19"/>
  <c r="AE139" i="16"/>
  <c r="AE73" i="16"/>
  <c r="AE116" i="16" s="1"/>
  <c r="AE117" i="16" s="1"/>
  <c r="AE132" i="16" s="1"/>
  <c r="V140" i="16"/>
  <c r="AB140" i="18"/>
  <c r="N25" i="1"/>
  <c r="N70" i="5"/>
  <c r="N41" i="1" s="1"/>
  <c r="N47" i="1" s="1"/>
  <c r="V68" i="18"/>
  <c r="R23" i="1"/>
  <c r="Z53" i="17"/>
  <c r="R70" i="3"/>
  <c r="R39" i="1" s="1"/>
  <c r="AE53" i="17"/>
  <c r="W23" i="1"/>
  <c r="W70" i="3"/>
  <c r="W39" i="1" s="1"/>
  <c r="Y140" i="18"/>
  <c r="R70" i="2"/>
  <c r="R38" i="1" s="1"/>
  <c r="Z34" i="19"/>
  <c r="R22" i="1"/>
  <c r="Z26" i="1"/>
  <c r="Q25" i="1"/>
  <c r="Q70" i="5"/>
  <c r="Q41" i="1" s="1"/>
  <c r="Q47" i="1" s="1"/>
  <c r="Y68" i="18"/>
  <c r="W140" i="16"/>
  <c r="U23" i="1"/>
  <c r="U70" i="3"/>
  <c r="U39" i="1" s="1"/>
  <c r="AC53" i="17"/>
  <c r="V23" i="1"/>
  <c r="AD53" i="17"/>
  <c r="V70" i="3"/>
  <c r="V39" i="1" s="1"/>
  <c r="AF139" i="16"/>
  <c r="AF73" i="16"/>
  <c r="AF116" i="16" s="1"/>
  <c r="AF117" i="16" s="1"/>
  <c r="AF132" i="16" s="1"/>
  <c r="Z32" i="1"/>
  <c r="AG54" i="20"/>
  <c r="V69" i="20"/>
  <c r="V140" i="20" s="1"/>
  <c r="AD140" i="18"/>
  <c r="V140" i="18"/>
  <c r="U70" i="2"/>
  <c r="U38" i="1" s="1"/>
  <c r="U22" i="1"/>
  <c r="AC34" i="19"/>
  <c r="AJ69" i="15"/>
  <c r="AH69" i="15"/>
  <c r="AG140" i="15"/>
  <c r="M35" i="1"/>
  <c r="K25" i="1"/>
  <c r="K70" i="5"/>
  <c r="K41" i="1" s="1"/>
  <c r="K47" i="1" s="1"/>
  <c r="Y53" i="17"/>
  <c r="Q70" i="3"/>
  <c r="Q39" i="1" s="1"/>
  <c r="Q23" i="1"/>
  <c r="U140" i="16"/>
  <c r="AG69" i="16"/>
  <c r="AA139" i="16"/>
  <c r="AA73" i="16"/>
  <c r="AA116" i="16" s="1"/>
  <c r="AA117" i="16" s="1"/>
  <c r="AA132" i="16" s="1"/>
  <c r="T25" i="1"/>
  <c r="AB68" i="18"/>
  <c r="T70" i="5"/>
  <c r="T41" i="1" s="1"/>
  <c r="T47" i="1" s="1"/>
  <c r="AF53" i="17"/>
  <c r="X23" i="1"/>
  <c r="X70" i="3"/>
  <c r="X39" i="1" s="1"/>
  <c r="U53" i="17"/>
  <c r="M23" i="1"/>
  <c r="Z68" i="3"/>
  <c r="M70" i="3"/>
  <c r="U34" i="19"/>
  <c r="M22" i="1"/>
  <c r="M70" i="2"/>
  <c r="Z68" i="2"/>
  <c r="W139" i="16"/>
  <c r="W73" i="16"/>
  <c r="W116" i="16" s="1"/>
  <c r="W117" i="16" s="1"/>
  <c r="W132" i="16" s="1"/>
  <c r="AE140" i="18"/>
  <c r="Z139" i="15"/>
  <c r="Z142" i="15" s="1"/>
  <c r="Z73" i="15"/>
  <c r="Z116" i="15" s="1"/>
  <c r="Z117" i="15" s="1"/>
  <c r="Z132" i="15" s="1"/>
  <c r="AC140" i="16"/>
  <c r="AB139" i="16"/>
  <c r="AB73" i="16"/>
  <c r="AB116" i="16" s="1"/>
  <c r="AB117" i="16" s="1"/>
  <c r="AB132" i="16" s="1"/>
  <c r="I22" i="1"/>
  <c r="I70" i="2"/>
  <c r="I38" i="1" s="1"/>
  <c r="AC139" i="15"/>
  <c r="AC142" i="15" s="1"/>
  <c r="AC73" i="15"/>
  <c r="AC116" i="15" s="1"/>
  <c r="AC117" i="15" s="1"/>
  <c r="AC132" i="15" s="1"/>
  <c r="W70" i="5"/>
  <c r="W41" i="1" s="1"/>
  <c r="W47" i="1" s="1"/>
  <c r="AE68" i="18"/>
  <c r="W25" i="1"/>
  <c r="I23" i="1"/>
  <c r="I70" i="3"/>
  <c r="I39" i="1" s="1"/>
  <c r="V139" i="15"/>
  <c r="V142" i="15" s="1"/>
  <c r="V73" i="15"/>
  <c r="V116" i="15" s="1"/>
  <c r="V117" i="15" s="1"/>
  <c r="V132" i="15" s="1"/>
  <c r="W140" i="18"/>
  <c r="X139" i="15"/>
  <c r="X142" i="15" s="1"/>
  <c r="X73" i="15"/>
  <c r="X116" i="15" s="1"/>
  <c r="X117" i="15" s="1"/>
  <c r="X132" i="15" s="1"/>
  <c r="AA139" i="15"/>
  <c r="AA142" i="15" s="1"/>
  <c r="AA73" i="15"/>
  <c r="AA116" i="15" s="1"/>
  <c r="AA117" i="15" s="1"/>
  <c r="AA132" i="15" s="1"/>
  <c r="J22" i="1"/>
  <c r="J70" i="2"/>
  <c r="J38" i="1" s="1"/>
  <c r="P22" i="1"/>
  <c r="P70" i="2"/>
  <c r="P38" i="1" s="1"/>
  <c r="X34" i="19"/>
  <c r="U69" i="20"/>
  <c r="U140" i="20" s="1"/>
  <c r="V70" i="5"/>
  <c r="V41" i="1" s="1"/>
  <c r="V47" i="1" s="1"/>
  <c r="V25" i="1"/>
  <c r="AD68" i="18"/>
  <c r="O23" i="1"/>
  <c r="W53" i="17"/>
  <c r="O70" i="3"/>
  <c r="O39" i="1" s="1"/>
  <c r="AD139" i="15"/>
  <c r="AD142" i="15" s="1"/>
  <c r="AD73" i="15"/>
  <c r="AD116" i="15" s="1"/>
  <c r="AD117" i="15" s="1"/>
  <c r="AD132" i="15" s="1"/>
  <c r="Z140" i="16"/>
  <c r="AF73" i="15"/>
  <c r="AF116" i="15" s="1"/>
  <c r="AF117" i="15" s="1"/>
  <c r="AF132" i="15" s="1"/>
  <c r="AF139" i="15"/>
  <c r="AF142" i="15" s="1"/>
  <c r="AH35" i="19"/>
  <c r="AG140" i="19"/>
  <c r="AJ35" i="19"/>
  <c r="M42" i="1"/>
  <c r="Z42" i="1" s="1"/>
  <c r="Z70" i="6"/>
  <c r="AB140" i="16"/>
  <c r="W139" i="15"/>
  <c r="W142" i="15" s="1"/>
  <c r="W73" i="15"/>
  <c r="W116" i="15" s="1"/>
  <c r="W117" i="15" s="1"/>
  <c r="W132" i="15" s="1"/>
  <c r="AA34" i="19"/>
  <c r="S70" i="2"/>
  <c r="S38" i="1" s="1"/>
  <c r="S22" i="1"/>
  <c r="W34" i="19"/>
  <c r="O70" i="2"/>
  <c r="O38" i="1" s="1"/>
  <c r="O22" i="1"/>
  <c r="U25" i="1"/>
  <c r="U70" i="5"/>
  <c r="U41" i="1" s="1"/>
  <c r="U47" i="1" s="1"/>
  <c r="AC68" i="18"/>
  <c r="P25" i="1"/>
  <c r="P70" i="5"/>
  <c r="P41" i="1" s="1"/>
  <c r="P47" i="1" s="1"/>
  <c r="X68" i="18"/>
  <c r="N23" i="1"/>
  <c r="N70" i="3"/>
  <c r="N39" i="1" s="1"/>
  <c r="V53" i="17"/>
  <c r="X140" i="16"/>
  <c r="AA140" i="18"/>
  <c r="U139" i="15"/>
  <c r="U142" i="15" s="1"/>
  <c r="U73" i="15"/>
  <c r="AG68" i="15"/>
  <c r="Y140" i="16"/>
  <c r="V22" i="1"/>
  <c r="V70" i="2"/>
  <c r="V38" i="1" s="1"/>
  <c r="AD34" i="19"/>
  <c r="L22" i="1"/>
  <c r="L70" i="2"/>
  <c r="L38" i="1" s="1"/>
  <c r="X25" i="1"/>
  <c r="AF68" i="18"/>
  <c r="X70" i="5"/>
  <c r="X41" i="1" s="1"/>
  <c r="X47" i="1" s="1"/>
  <c r="O25" i="1"/>
  <c r="O70" i="5"/>
  <c r="O41" i="1" s="1"/>
  <c r="O47" i="1" s="1"/>
  <c r="W68" i="18"/>
  <c r="J23" i="1"/>
  <c r="J70" i="3"/>
  <c r="J39" i="1" s="1"/>
  <c r="AD73" i="16"/>
  <c r="AD116" i="16" s="1"/>
  <c r="AD117" i="16" s="1"/>
  <c r="AD132" i="16" s="1"/>
  <c r="AD139" i="16"/>
  <c r="AE140" i="16"/>
  <c r="Z140" i="18"/>
  <c r="AA140" i="16"/>
  <c r="AF34" i="19"/>
  <c r="X22" i="1"/>
  <c r="X70" i="2"/>
  <c r="X38" i="1" s="1"/>
  <c r="K22" i="1"/>
  <c r="K70" i="2"/>
  <c r="K38" i="1" s="1"/>
  <c r="U73" i="16"/>
  <c r="AG68" i="16"/>
  <c r="U139" i="16"/>
  <c r="Z68" i="18"/>
  <c r="R25" i="1"/>
  <c r="R70" i="5"/>
  <c r="R41" i="1" s="1"/>
  <c r="R47" i="1" s="1"/>
  <c r="M25" i="1"/>
  <c r="M70" i="5"/>
  <c r="U68" i="18"/>
  <c r="Z68" i="5"/>
  <c r="T70" i="3"/>
  <c r="T39" i="1" s="1"/>
  <c r="AB53" i="17"/>
  <c r="T23" i="1"/>
  <c r="AB73" i="15"/>
  <c r="AB116" i="15" s="1"/>
  <c r="AB117" i="15" s="1"/>
  <c r="AB132" i="15" s="1"/>
  <c r="AB139" i="15"/>
  <c r="AB142" i="15" s="1"/>
  <c r="AC140" i="18"/>
  <c r="AC139" i="16"/>
  <c r="AC73" i="16"/>
  <c r="AC116" i="16" s="1"/>
  <c r="AC117" i="16" s="1"/>
  <c r="AC132" i="16" s="1"/>
  <c r="Z139" i="16"/>
  <c r="Z73" i="16"/>
  <c r="Z116" i="16" s="1"/>
  <c r="Z117" i="16" s="1"/>
  <c r="Z132" i="16" s="1"/>
  <c r="AE34" i="19"/>
  <c r="W22" i="1"/>
  <c r="W70" i="2"/>
  <c r="W38" i="1" s="1"/>
  <c r="Z24" i="1"/>
  <c r="AA68" i="18"/>
  <c r="S25" i="1"/>
  <c r="S70" i="5"/>
  <c r="S41" i="1" s="1"/>
  <c r="S47" i="1" s="1"/>
  <c r="K23" i="1"/>
  <c r="K70" i="3"/>
  <c r="K39" i="1" s="1"/>
  <c r="V139" i="16"/>
  <c r="V73" i="16"/>
  <c r="V116" i="16" s="1"/>
  <c r="V117" i="16" s="1"/>
  <c r="V132" i="16" s="1"/>
  <c r="AG35" i="20"/>
  <c r="Z69" i="20"/>
  <c r="Z140" i="20" s="1"/>
  <c r="AD140" i="16"/>
  <c r="AB69" i="20"/>
  <c r="AB140" i="20" s="1"/>
  <c r="AB34" i="19"/>
  <c r="T22" i="1"/>
  <c r="T70" i="2"/>
  <c r="T38" i="1" s="1"/>
  <c r="Y69" i="20"/>
  <c r="Y140" i="20" s="1"/>
  <c r="M40" i="1"/>
  <c r="Z70" i="4"/>
  <c r="J25" i="1"/>
  <c r="J70" i="5"/>
  <c r="J41" i="1" s="1"/>
  <c r="J47" i="1" s="1"/>
  <c r="I25" i="1"/>
  <c r="I70" i="5"/>
  <c r="I41" i="1" s="1"/>
  <c r="I47" i="1" s="1"/>
  <c r="S23" i="1"/>
  <c r="AA53" i="17"/>
  <c r="S70" i="3"/>
  <c r="S39" i="1" s="1"/>
  <c r="AF69" i="20"/>
  <c r="AF140" i="20" s="1"/>
  <c r="AE73" i="15"/>
  <c r="AE116" i="15" s="1"/>
  <c r="AE117" i="15" s="1"/>
  <c r="AE132" i="15" s="1"/>
  <c r="AE139" i="15"/>
  <c r="AE142" i="15" s="1"/>
  <c r="Y73" i="16"/>
  <c r="Y116" i="16" s="1"/>
  <c r="Y117" i="16" s="1"/>
  <c r="Y132" i="16" s="1"/>
  <c r="Y139" i="16"/>
  <c r="AF140" i="16"/>
  <c r="AE140" i="20" l="1"/>
  <c r="V68" i="20"/>
  <c r="AB68" i="20"/>
  <c r="AB73" i="20" s="1"/>
  <c r="AB116" i="20" s="1"/>
  <c r="W68" i="20"/>
  <c r="W73" i="20" s="1"/>
  <c r="W116" i="20" s="1"/>
  <c r="W27" i="1"/>
  <c r="AD68" i="20"/>
  <c r="AD73" i="20" s="1"/>
  <c r="AD116" i="20" s="1"/>
  <c r="AE68" i="20"/>
  <c r="AE73" i="20" s="1"/>
  <c r="AE116" i="20" s="1"/>
  <c r="Y68" i="20"/>
  <c r="Y73" i="20" s="1"/>
  <c r="Y116" i="20" s="1"/>
  <c r="AF68" i="20"/>
  <c r="AF73" i="20" s="1"/>
  <c r="AF116" i="20" s="1"/>
  <c r="AC68" i="20"/>
  <c r="AC73" i="20" s="1"/>
  <c r="AC116" i="20" s="1"/>
  <c r="Z142" i="16"/>
  <c r="O27" i="1"/>
  <c r="Z35" i="1"/>
  <c r="AC142" i="16"/>
  <c r="T27" i="1"/>
  <c r="AB142" i="16"/>
  <c r="Q27" i="1"/>
  <c r="U142" i="16"/>
  <c r="W142" i="16"/>
  <c r="P27" i="1"/>
  <c r="V27" i="1"/>
  <c r="AA139" i="17"/>
  <c r="AA141" i="17" s="1"/>
  <c r="AA53" i="20"/>
  <c r="AA55" i="20" s="1"/>
  <c r="AA56" i="20" s="1"/>
  <c r="AA55" i="17"/>
  <c r="AA56" i="17" s="1"/>
  <c r="AA63" i="17" s="1"/>
  <c r="AA64" i="17" s="1"/>
  <c r="AA117" i="17" s="1"/>
  <c r="AA132" i="17" s="1"/>
  <c r="AE34" i="20"/>
  <c r="AE139" i="19"/>
  <c r="AE142" i="19" s="1"/>
  <c r="AE36" i="19"/>
  <c r="AE37" i="19" s="1"/>
  <c r="AE63" i="19" s="1"/>
  <c r="AE64" i="19" s="1"/>
  <c r="AE117" i="19" s="1"/>
  <c r="AE132" i="19" s="1"/>
  <c r="M41" i="1"/>
  <c r="Z41" i="1" s="1"/>
  <c r="Z70" i="5"/>
  <c r="K27" i="1"/>
  <c r="S27" i="1"/>
  <c r="J27" i="1"/>
  <c r="V73" i="20"/>
  <c r="V116" i="20" s="1"/>
  <c r="AE139" i="18"/>
  <c r="AE142" i="18" s="1"/>
  <c r="AE73" i="18"/>
  <c r="AE116" i="18" s="1"/>
  <c r="AE117" i="18" s="1"/>
  <c r="AE132" i="18" s="1"/>
  <c r="I27" i="1"/>
  <c r="M39" i="1"/>
  <c r="Z39" i="1" s="1"/>
  <c r="Z70" i="3"/>
  <c r="AA142" i="16"/>
  <c r="Y53" i="20"/>
  <c r="Y55" i="20" s="1"/>
  <c r="Y56" i="20" s="1"/>
  <c r="Y55" i="17"/>
  <c r="Y56" i="17" s="1"/>
  <c r="Y63" i="17" s="1"/>
  <c r="Y64" i="17" s="1"/>
  <c r="Y117" i="17" s="1"/>
  <c r="Y132" i="17" s="1"/>
  <c r="Y139" i="17"/>
  <c r="Y141" i="17" s="1"/>
  <c r="U27" i="1"/>
  <c r="R46" i="1"/>
  <c r="R48" i="1" s="1"/>
  <c r="R43" i="1"/>
  <c r="V73" i="18"/>
  <c r="V116" i="18" s="1"/>
  <c r="V117" i="18" s="1"/>
  <c r="V132" i="18" s="1"/>
  <c r="V139" i="18"/>
  <c r="V142" i="18" s="1"/>
  <c r="X139" i="17"/>
  <c r="X141" i="17" s="1"/>
  <c r="X53" i="20"/>
  <c r="X55" i="20" s="1"/>
  <c r="X56" i="20" s="1"/>
  <c r="X55" i="17"/>
  <c r="X56" i="17" s="1"/>
  <c r="X63" i="17" s="1"/>
  <c r="X64" i="17" s="1"/>
  <c r="X117" i="17" s="1"/>
  <c r="X132" i="17" s="1"/>
  <c r="V142" i="16"/>
  <c r="AA139" i="19"/>
  <c r="AA142" i="19" s="1"/>
  <c r="AA36" i="19"/>
  <c r="AA37" i="19" s="1"/>
  <c r="AA63" i="19" s="1"/>
  <c r="AA64" i="19" s="1"/>
  <c r="AA117" i="19" s="1"/>
  <c r="AA132" i="19" s="1"/>
  <c r="AA34" i="20"/>
  <c r="W139" i="17"/>
  <c r="W141" i="17" s="1"/>
  <c r="W53" i="20"/>
  <c r="W55" i="20" s="1"/>
  <c r="W56" i="20" s="1"/>
  <c r="W55" i="17"/>
  <c r="W56" i="17" s="1"/>
  <c r="W63" i="17" s="1"/>
  <c r="W64" i="17" s="1"/>
  <c r="W117" i="17" s="1"/>
  <c r="W132" i="17" s="1"/>
  <c r="U139" i="19"/>
  <c r="U142" i="19" s="1"/>
  <c r="U34" i="20"/>
  <c r="U36" i="19"/>
  <c r="AG34" i="19"/>
  <c r="U53" i="20"/>
  <c r="U55" i="17"/>
  <c r="U139" i="17"/>
  <c r="U141" i="17" s="1"/>
  <c r="AG53" i="17"/>
  <c r="X142" i="16"/>
  <c r="U116" i="15"/>
  <c r="AG73" i="15"/>
  <c r="W139" i="19"/>
  <c r="W142" i="19" s="1"/>
  <c r="W36" i="19"/>
  <c r="W37" i="19" s="1"/>
  <c r="W63" i="19" s="1"/>
  <c r="W64" i="19" s="1"/>
  <c r="W117" i="19" s="1"/>
  <c r="W132" i="19" s="1"/>
  <c r="W34" i="20"/>
  <c r="J43" i="1"/>
  <c r="J46" i="1"/>
  <c r="J48" i="1" s="1"/>
  <c r="I43" i="1"/>
  <c r="I46" i="1"/>
  <c r="I48" i="1" s="1"/>
  <c r="M38" i="1"/>
  <c r="Z70" i="2"/>
  <c r="X27" i="1"/>
  <c r="Z25" i="1"/>
  <c r="Z73" i="18"/>
  <c r="Z116" i="18" s="1"/>
  <c r="Z117" i="18" s="1"/>
  <c r="Z132" i="18" s="1"/>
  <c r="Z139" i="18"/>
  <c r="Z142" i="18" s="1"/>
  <c r="Y139" i="18"/>
  <c r="Y142" i="18" s="1"/>
  <c r="Y73" i="18"/>
  <c r="Y116" i="18" s="1"/>
  <c r="Y117" i="18" s="1"/>
  <c r="Y132" i="18" s="1"/>
  <c r="AE142" i="16"/>
  <c r="Q43" i="1"/>
  <c r="Q46" i="1"/>
  <c r="Q48" i="1" s="1"/>
  <c r="AH35" i="20"/>
  <c r="AJ35" i="20"/>
  <c r="K46" i="1"/>
  <c r="K48" i="1" s="1"/>
  <c r="K43" i="1"/>
  <c r="Y142" i="16"/>
  <c r="AB34" i="20"/>
  <c r="AB139" i="19"/>
  <c r="AB142" i="19" s="1"/>
  <c r="AB36" i="19"/>
  <c r="AB37" i="19" s="1"/>
  <c r="AB63" i="19" s="1"/>
  <c r="AB64" i="19" s="1"/>
  <c r="AB117" i="19" s="1"/>
  <c r="AB132" i="19" s="1"/>
  <c r="AD139" i="18"/>
  <c r="AD142" i="18" s="1"/>
  <c r="AD73" i="18"/>
  <c r="AD116" i="18" s="1"/>
  <c r="AD117" i="18" s="1"/>
  <c r="AD132" i="18" s="1"/>
  <c r="AF139" i="17"/>
  <c r="AF141" i="17" s="1"/>
  <c r="AF53" i="20"/>
  <c r="AF55" i="20" s="1"/>
  <c r="AF56" i="20" s="1"/>
  <c r="AF55" i="17"/>
  <c r="AF56" i="17" s="1"/>
  <c r="AF63" i="17" s="1"/>
  <c r="AF64" i="17" s="1"/>
  <c r="AF117" i="17" s="1"/>
  <c r="AF132" i="17" s="1"/>
  <c r="AG140" i="16"/>
  <c r="AJ69" i="16"/>
  <c r="AH69" i="16"/>
  <c r="V36" i="19"/>
  <c r="V37" i="19" s="1"/>
  <c r="V63" i="19" s="1"/>
  <c r="V64" i="19" s="1"/>
  <c r="V117" i="19" s="1"/>
  <c r="V132" i="19" s="1"/>
  <c r="V139" i="19"/>
  <c r="V142" i="19" s="1"/>
  <c r="V34" i="20"/>
  <c r="Y36" i="19"/>
  <c r="Y37" i="19" s="1"/>
  <c r="Y63" i="19" s="1"/>
  <c r="Y64" i="19" s="1"/>
  <c r="Y117" i="19" s="1"/>
  <c r="Y132" i="19" s="1"/>
  <c r="Y139" i="19"/>
  <c r="Y142" i="19" s="1"/>
  <c r="Y34" i="20"/>
  <c r="T43" i="1"/>
  <c r="T46" i="1"/>
  <c r="T48" i="1" s="1"/>
  <c r="AD142" i="16"/>
  <c r="W73" i="18"/>
  <c r="W116" i="18" s="1"/>
  <c r="W117" i="18" s="1"/>
  <c r="W132" i="18" s="1"/>
  <c r="W139" i="18"/>
  <c r="W142" i="18" s="1"/>
  <c r="N43" i="1"/>
  <c r="N46" i="1"/>
  <c r="N48" i="1" s="1"/>
  <c r="X43" i="1"/>
  <c r="X46" i="1"/>
  <c r="X48" i="1" s="1"/>
  <c r="S46" i="1"/>
  <c r="S48" i="1" s="1"/>
  <c r="S43" i="1"/>
  <c r="U43" i="1"/>
  <c r="U46" i="1"/>
  <c r="U48" i="1" s="1"/>
  <c r="AF34" i="20"/>
  <c r="AF139" i="19"/>
  <c r="AF142" i="19" s="1"/>
  <c r="AF36" i="19"/>
  <c r="AF37" i="19" s="1"/>
  <c r="AF63" i="19" s="1"/>
  <c r="AF64" i="19" s="1"/>
  <c r="AF117" i="19" s="1"/>
  <c r="AF132" i="19" s="1"/>
  <c r="AA73" i="18"/>
  <c r="AA116" i="18" s="1"/>
  <c r="AA117" i="18" s="1"/>
  <c r="AA132" i="18" s="1"/>
  <c r="AA139" i="18"/>
  <c r="AA142" i="18" s="1"/>
  <c r="L43" i="1"/>
  <c r="L46" i="1"/>
  <c r="L48" i="1" s="1"/>
  <c r="V139" i="17"/>
  <c r="V141" i="17" s="1"/>
  <c r="V53" i="20"/>
  <c r="V55" i="20" s="1"/>
  <c r="V56" i="20" s="1"/>
  <c r="V55" i="17"/>
  <c r="V56" i="17" s="1"/>
  <c r="V63" i="17" s="1"/>
  <c r="V64" i="17" s="1"/>
  <c r="V117" i="17" s="1"/>
  <c r="V132" i="17" s="1"/>
  <c r="AG69" i="20"/>
  <c r="AA68" i="20"/>
  <c r="AA73" i="20" s="1"/>
  <c r="AA116" i="20" s="1"/>
  <c r="AB139" i="18"/>
  <c r="AB142" i="18" s="1"/>
  <c r="AB73" i="18"/>
  <c r="AB116" i="18" s="1"/>
  <c r="AB117" i="18" s="1"/>
  <c r="AB132" i="18" s="1"/>
  <c r="N27" i="1"/>
  <c r="AC139" i="19"/>
  <c r="AC142" i="19" s="1"/>
  <c r="AC34" i="20"/>
  <c r="AC36" i="19"/>
  <c r="AC37" i="19" s="1"/>
  <c r="AC63" i="19" s="1"/>
  <c r="AC64" i="19" s="1"/>
  <c r="AC117" i="19" s="1"/>
  <c r="AC132" i="19" s="1"/>
  <c r="Z36" i="19"/>
  <c r="Z37" i="19" s="1"/>
  <c r="Z63" i="19" s="1"/>
  <c r="Z64" i="19" s="1"/>
  <c r="Z117" i="19" s="1"/>
  <c r="Z132" i="19" s="1"/>
  <c r="Z139" i="19"/>
  <c r="Z142" i="19" s="1"/>
  <c r="Z34" i="20"/>
  <c r="Z22" i="1"/>
  <c r="M27" i="1"/>
  <c r="Z23" i="1"/>
  <c r="AJ54" i="20"/>
  <c r="AH54" i="20"/>
  <c r="Z40" i="1"/>
  <c r="AB139" i="17"/>
  <c r="AB141" i="17" s="1"/>
  <c r="AB55" i="17"/>
  <c r="AB56" i="17" s="1"/>
  <c r="AB63" i="17" s="1"/>
  <c r="AB64" i="17" s="1"/>
  <c r="AB117" i="17" s="1"/>
  <c r="AB132" i="17" s="1"/>
  <c r="AB53" i="20"/>
  <c r="AB55" i="20" s="1"/>
  <c r="AB56" i="20" s="1"/>
  <c r="L27" i="1"/>
  <c r="X34" i="20"/>
  <c r="X139" i="19"/>
  <c r="X142" i="19" s="1"/>
  <c r="X36" i="19"/>
  <c r="X37" i="19" s="1"/>
  <c r="X63" i="19" s="1"/>
  <c r="X64" i="19" s="1"/>
  <c r="X117" i="19" s="1"/>
  <c r="X132" i="19" s="1"/>
  <c r="Z68" i="20"/>
  <c r="Z73" i="20" s="1"/>
  <c r="Z116" i="20" s="1"/>
  <c r="AF142" i="16"/>
  <c r="AE139" i="17"/>
  <c r="AE141" i="17" s="1"/>
  <c r="AE55" i="17"/>
  <c r="AE56" i="17" s="1"/>
  <c r="AE63" i="17" s="1"/>
  <c r="AE64" i="17" s="1"/>
  <c r="AE117" i="17" s="1"/>
  <c r="AE132" i="17" s="1"/>
  <c r="AE53" i="20"/>
  <c r="AE55" i="20" s="1"/>
  <c r="AE56" i="20" s="1"/>
  <c r="AH69" i="18"/>
  <c r="AG140" i="18"/>
  <c r="AJ69" i="18"/>
  <c r="AJ68" i="16"/>
  <c r="AG139" i="16"/>
  <c r="AH68" i="16"/>
  <c r="AD139" i="19"/>
  <c r="AD142" i="19" s="1"/>
  <c r="AD36" i="19"/>
  <c r="AD37" i="19" s="1"/>
  <c r="AD63" i="19" s="1"/>
  <c r="AD64" i="19" s="1"/>
  <c r="AD117" i="19" s="1"/>
  <c r="AD132" i="19" s="1"/>
  <c r="AD34" i="20"/>
  <c r="AG139" i="15"/>
  <c r="AG142" i="15" s="1"/>
  <c r="AJ68" i="15"/>
  <c r="AH68" i="15"/>
  <c r="P46" i="1"/>
  <c r="P48" i="1" s="1"/>
  <c r="P43" i="1"/>
  <c r="AD53" i="20"/>
  <c r="AD55" i="20" s="1"/>
  <c r="AD56" i="20" s="1"/>
  <c r="AD139" i="17"/>
  <c r="AD141" i="17" s="1"/>
  <c r="AD55" i="17"/>
  <c r="AD56" i="17" s="1"/>
  <c r="AD63" i="17" s="1"/>
  <c r="AD64" i="17" s="1"/>
  <c r="AD117" i="17" s="1"/>
  <c r="AD132" i="17" s="1"/>
  <c r="U73" i="18"/>
  <c r="U139" i="18"/>
  <c r="U142" i="18" s="1"/>
  <c r="AG68" i="18"/>
  <c r="AC53" i="20"/>
  <c r="AC55" i="20" s="1"/>
  <c r="AC56" i="20" s="1"/>
  <c r="AC139" i="17"/>
  <c r="AC141" i="17" s="1"/>
  <c r="AC55" i="17"/>
  <c r="AC56" i="17" s="1"/>
  <c r="AC63" i="17" s="1"/>
  <c r="AC64" i="17" s="1"/>
  <c r="AC117" i="17" s="1"/>
  <c r="AC132" i="17" s="1"/>
  <c r="AC139" i="18"/>
  <c r="AC142" i="18" s="1"/>
  <c r="AC73" i="18"/>
  <c r="AC116" i="18" s="1"/>
  <c r="AC117" i="18" s="1"/>
  <c r="AC132" i="18" s="1"/>
  <c r="W46" i="1"/>
  <c r="W48" i="1" s="1"/>
  <c r="W43" i="1"/>
  <c r="U116" i="16"/>
  <c r="AG73" i="16"/>
  <c r="AF73" i="18"/>
  <c r="AF116" i="18" s="1"/>
  <c r="AF117" i="18" s="1"/>
  <c r="AF132" i="18" s="1"/>
  <c r="AF139" i="18"/>
  <c r="AF142" i="18" s="1"/>
  <c r="V46" i="1"/>
  <c r="V48" i="1" s="1"/>
  <c r="V43" i="1"/>
  <c r="U68" i="20"/>
  <c r="X139" i="18"/>
  <c r="X142" i="18" s="1"/>
  <c r="X73" i="18"/>
  <c r="X116" i="18" s="1"/>
  <c r="X117" i="18" s="1"/>
  <c r="X132" i="18" s="1"/>
  <c r="O43" i="1"/>
  <c r="O46" i="1"/>
  <c r="O48" i="1" s="1"/>
  <c r="X68" i="20"/>
  <c r="X73" i="20" s="1"/>
  <c r="X116" i="20" s="1"/>
  <c r="R27" i="1"/>
  <c r="Z139" i="17"/>
  <c r="Z141" i="17" s="1"/>
  <c r="Z55" i="17"/>
  <c r="Z56" i="17" s="1"/>
  <c r="Z63" i="17" s="1"/>
  <c r="Z64" i="17" s="1"/>
  <c r="Z117" i="17" s="1"/>
  <c r="Z132" i="17" s="1"/>
  <c r="Z53" i="20"/>
  <c r="Z55" i="20" s="1"/>
  <c r="Z56" i="20" s="1"/>
  <c r="X49" i="1" l="1"/>
  <c r="Q49" i="1"/>
  <c r="K49" i="1"/>
  <c r="J49" i="1"/>
  <c r="U49" i="1"/>
  <c r="V49" i="1"/>
  <c r="O49" i="1"/>
  <c r="AJ53" i="17"/>
  <c r="AH53" i="17"/>
  <c r="AG139" i="17"/>
  <c r="AG141" i="17" s="1"/>
  <c r="AH73" i="15"/>
  <c r="AJ73" i="15"/>
  <c r="U56" i="17"/>
  <c r="AG55" i="17"/>
  <c r="X139" i="20"/>
  <c r="X141" i="20" s="1"/>
  <c r="X36" i="20"/>
  <c r="X37" i="20" s="1"/>
  <c r="X63" i="20" s="1"/>
  <c r="X64" i="20" s="1"/>
  <c r="Z36" i="20"/>
  <c r="Z37" i="20" s="1"/>
  <c r="Z63" i="20" s="1"/>
  <c r="Z64" i="20" s="1"/>
  <c r="Z139" i="20"/>
  <c r="Z141" i="20" s="1"/>
  <c r="AD36" i="20"/>
  <c r="AD37" i="20" s="1"/>
  <c r="AD63" i="20" s="1"/>
  <c r="AD64" i="20" s="1"/>
  <c r="AD139" i="20"/>
  <c r="AD141" i="20" s="1"/>
  <c r="U55" i="20"/>
  <c r="AG53" i="20"/>
  <c r="AH34" i="19"/>
  <c r="AG139" i="19"/>
  <c r="AG142" i="19" s="1"/>
  <c r="AJ34" i="19"/>
  <c r="AE139" i="20"/>
  <c r="AE141" i="20" s="1"/>
  <c r="AE36" i="20"/>
  <c r="AE37" i="20" s="1"/>
  <c r="AE63" i="20" s="1"/>
  <c r="AE64" i="20" s="1"/>
  <c r="U117" i="15"/>
  <c r="AG116" i="15"/>
  <c r="AA36" i="20"/>
  <c r="AA37" i="20" s="1"/>
  <c r="AA63" i="20" s="1"/>
  <c r="AA64" i="20" s="1"/>
  <c r="AA139" i="20"/>
  <c r="AA141" i="20" s="1"/>
  <c r="W49" i="1"/>
  <c r="Y36" i="20"/>
  <c r="Y37" i="20" s="1"/>
  <c r="Y63" i="20" s="1"/>
  <c r="Y64" i="20" s="1"/>
  <c r="Y139" i="20"/>
  <c r="Y141" i="20" s="1"/>
  <c r="AG142" i="16"/>
  <c r="U73" i="20"/>
  <c r="AG68" i="20"/>
  <c r="AH68" i="18"/>
  <c r="AG139" i="18"/>
  <c r="AG142" i="18" s="1"/>
  <c r="AJ68" i="18"/>
  <c r="P49" i="1"/>
  <c r="AF139" i="20"/>
  <c r="AF141" i="20" s="1"/>
  <c r="AF36" i="20"/>
  <c r="AF37" i="20" s="1"/>
  <c r="AF63" i="20" s="1"/>
  <c r="AF64" i="20" s="1"/>
  <c r="S49" i="1"/>
  <c r="U37" i="19"/>
  <c r="AG36" i="19"/>
  <c r="R49" i="1"/>
  <c r="AC36" i="20"/>
  <c r="AC37" i="20" s="1"/>
  <c r="AC63" i="20" s="1"/>
  <c r="AC64" i="20" s="1"/>
  <c r="AC139" i="20"/>
  <c r="AC141" i="20" s="1"/>
  <c r="T49" i="1"/>
  <c r="Z38" i="1"/>
  <c r="M46" i="1"/>
  <c r="M43" i="1"/>
  <c r="Z43" i="1" s="1"/>
  <c r="U36" i="20"/>
  <c r="U139" i="20"/>
  <c r="U141" i="20" s="1"/>
  <c r="AG34" i="20"/>
  <c r="AH69" i="20"/>
  <c r="AJ69" i="20"/>
  <c r="AH73" i="16"/>
  <c r="AJ73" i="16"/>
  <c r="N49" i="1"/>
  <c r="W36" i="20"/>
  <c r="W37" i="20" s="1"/>
  <c r="W63" i="20" s="1"/>
  <c r="W64" i="20" s="1"/>
  <c r="W139" i="20"/>
  <c r="W141" i="20" s="1"/>
  <c r="U116" i="18"/>
  <c r="AG73" i="18"/>
  <c r="U117" i="16"/>
  <c r="AG116" i="16"/>
  <c r="M47" i="1"/>
  <c r="Z47" i="1" s="1"/>
  <c r="Z27" i="1"/>
  <c r="AB36" i="20"/>
  <c r="AB37" i="20" s="1"/>
  <c r="AB63" i="20" s="1"/>
  <c r="AB64" i="20" s="1"/>
  <c r="AB139" i="20"/>
  <c r="AB141" i="20" s="1"/>
  <c r="L49" i="1"/>
  <c r="V36" i="20"/>
  <c r="V37" i="20" s="1"/>
  <c r="V63" i="20" s="1"/>
  <c r="V64" i="20" s="1"/>
  <c r="V139" i="20"/>
  <c r="V141" i="20" s="1"/>
  <c r="AG140" i="20"/>
  <c r="I49" i="1"/>
  <c r="AB65" i="20" l="1"/>
  <c r="AB117" i="20"/>
  <c r="AB132" i="20" s="1"/>
  <c r="AB133" i="20" s="1"/>
  <c r="Z117" i="20"/>
  <c r="Z132" i="20" s="1"/>
  <c r="Z133" i="20" s="1"/>
  <c r="Z65" i="20"/>
  <c r="Y65" i="20"/>
  <c r="Y117" i="20"/>
  <c r="Y132" i="20" s="1"/>
  <c r="Y133" i="20" s="1"/>
  <c r="W65" i="20"/>
  <c r="W117" i="20"/>
  <c r="W132" i="20" s="1"/>
  <c r="W133" i="20" s="1"/>
  <c r="V65" i="20"/>
  <c r="V117" i="20"/>
  <c r="V132" i="20" s="1"/>
  <c r="V133" i="20" s="1"/>
  <c r="U116" i="20"/>
  <c r="AG116" i="20" s="1"/>
  <c r="AG73" i="20"/>
  <c r="M48" i="1"/>
  <c r="Z46" i="1"/>
  <c r="U132" i="15"/>
  <c r="AG132" i="15" s="1"/>
  <c r="AG117" i="15"/>
  <c r="U56" i="20"/>
  <c r="AG55" i="20"/>
  <c r="AD117" i="20"/>
  <c r="AD132" i="20" s="1"/>
  <c r="AD133" i="20" s="1"/>
  <c r="AD65" i="20"/>
  <c r="AJ116" i="16"/>
  <c r="AH116" i="16"/>
  <c r="U63" i="17"/>
  <c r="AG56" i="17"/>
  <c r="AH116" i="15"/>
  <c r="AJ116" i="15"/>
  <c r="AA117" i="20"/>
  <c r="AA132" i="20" s="1"/>
  <c r="AA133" i="20" s="1"/>
  <c r="AA65" i="20"/>
  <c r="AC65" i="20"/>
  <c r="AC117" i="20"/>
  <c r="AC132" i="20" s="1"/>
  <c r="AC133" i="20" s="1"/>
  <c r="AJ36" i="19"/>
  <c r="AH36" i="19"/>
  <c r="U132" i="16"/>
  <c r="AG132" i="16" s="1"/>
  <c r="AG117" i="16"/>
  <c r="AH55" i="17"/>
  <c r="AJ55" i="17"/>
  <c r="AE117" i="20"/>
  <c r="AE132" i="20" s="1"/>
  <c r="AE133" i="20" s="1"/>
  <c r="AE65" i="20"/>
  <c r="X65" i="20"/>
  <c r="X117" i="20"/>
  <c r="X132" i="20" s="1"/>
  <c r="X133" i="20" s="1"/>
  <c r="AH34" i="20"/>
  <c r="AJ34" i="20"/>
  <c r="AG139" i="20"/>
  <c r="AG141" i="20" s="1"/>
  <c r="U37" i="20"/>
  <c r="AG37" i="20" s="1"/>
  <c r="AG36" i="20"/>
  <c r="U63" i="19"/>
  <c r="AG37" i="19"/>
  <c r="AH68" i="20"/>
  <c r="AJ68" i="20"/>
  <c r="AH53" i="20"/>
  <c r="AJ53" i="20"/>
  <c r="AH73" i="18"/>
  <c r="AJ73" i="18"/>
  <c r="AF65" i="20"/>
  <c r="AF117" i="20"/>
  <c r="AF132" i="20" s="1"/>
  <c r="AF133" i="20" s="1"/>
  <c r="U117" i="18"/>
  <c r="AG116" i="18"/>
  <c r="AH36" i="20" l="1"/>
  <c r="AJ36" i="20"/>
  <c r="AH55" i="20"/>
  <c r="AJ55" i="20"/>
  <c r="AJ56" i="17"/>
  <c r="AH56" i="17"/>
  <c r="AG117" i="18"/>
  <c r="U132" i="18"/>
  <c r="AG132" i="18" s="1"/>
  <c r="U64" i="17"/>
  <c r="AG63" i="17"/>
  <c r="AH73" i="20"/>
  <c r="AJ73" i="20"/>
  <c r="AH117" i="16"/>
  <c r="AJ117" i="16"/>
  <c r="AH116" i="18"/>
  <c r="AJ116" i="18"/>
  <c r="AH116" i="20"/>
  <c r="AJ116" i="20"/>
  <c r="AH37" i="20"/>
  <c r="AJ37" i="20"/>
  <c r="AH132" i="16"/>
  <c r="AJ132" i="16"/>
  <c r="Z48" i="1"/>
  <c r="M49" i="1"/>
  <c r="AJ132" i="15"/>
  <c r="AH132" i="15"/>
  <c r="U63" i="20"/>
  <c r="AG56" i="20"/>
  <c r="AH117" i="15"/>
  <c r="AJ117" i="15"/>
  <c r="AJ37" i="19"/>
  <c r="AH37" i="19"/>
  <c r="U64" i="19"/>
  <c r="AG63" i="19"/>
  <c r="U117" i="19" l="1"/>
  <c r="AG64" i="19"/>
  <c r="AH132" i="18"/>
  <c r="AJ132" i="18"/>
  <c r="AJ117" i="18"/>
  <c r="AH117" i="18"/>
  <c r="AH56" i="20"/>
  <c r="AJ56" i="20"/>
  <c r="U64" i="20"/>
  <c r="AG63" i="20"/>
  <c r="AH63" i="17"/>
  <c r="AJ63" i="17"/>
  <c r="AH63" i="19"/>
  <c r="AJ63" i="19"/>
  <c r="U117" i="17"/>
  <c r="AG64" i="17"/>
  <c r="AH64" i="19" l="1"/>
  <c r="AJ64" i="19"/>
  <c r="U132" i="17"/>
  <c r="AG132" i="17" s="1"/>
  <c r="AG117" i="17"/>
  <c r="U117" i="20"/>
  <c r="U65" i="20"/>
  <c r="AG64" i="20"/>
  <c r="U132" i="19"/>
  <c r="AG132" i="19" s="1"/>
  <c r="AG117" i="19"/>
  <c r="AJ64" i="17"/>
  <c r="AH64" i="17"/>
  <c r="AH63" i="20"/>
  <c r="AJ63" i="20"/>
  <c r="AH117" i="19" l="1"/>
  <c r="AJ117" i="19"/>
  <c r="AG65" i="20"/>
  <c r="AJ64" i="20"/>
  <c r="AH64" i="20"/>
  <c r="AJ132" i="19"/>
  <c r="AH132" i="19"/>
  <c r="U132" i="20"/>
  <c r="AG117" i="20"/>
  <c r="AH117" i="17"/>
  <c r="AJ117" i="17"/>
  <c r="AH132" i="17"/>
  <c r="AJ132" i="17"/>
  <c r="AH117" i="20" l="1"/>
  <c r="AJ117" i="20"/>
  <c r="U133" i="20"/>
  <c r="AG132" i="20"/>
  <c r="AH132" i="20" l="1"/>
  <c r="AJ132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Kent Turner</author>
  </authors>
  <commentList>
    <comment ref="Z65" authorId="0" shapeId="0" xr:uid="{AC955586-52C4-459B-82F3-4A7199A75ECD}">
      <text>
        <r>
          <rPr>
            <b/>
            <sz val="9"/>
            <color indexed="81"/>
            <rFont val="Tahoma"/>
            <family val="2"/>
          </rPr>
          <t>Kent Turner:</t>
        </r>
        <r>
          <rPr>
            <sz val="9"/>
            <color indexed="81"/>
            <rFont val="Tahoma"/>
            <family val="2"/>
          </rPr>
          <t xml:space="preserve">
Ending headcount at Dec-2027 (point in time, not a sum of months).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Kent Turner</author>
  </authors>
  <commentList>
    <comment ref="D10" authorId="0" shapeId="0" xr:uid="{74A64B50-3B6B-4514-9866-951D6640B59B}">
      <text>
        <r>
          <rPr>
            <sz val="11"/>
            <color indexed="81"/>
            <rFont val="Tahoma"/>
            <family val="2"/>
          </rPr>
          <t xml:space="preserve">Kent Turner:
</t>
        </r>
        <r>
          <rPr>
            <b/>
            <sz val="11"/>
            <color indexed="81"/>
            <rFont val="Tahoma"/>
            <family val="2"/>
          </rPr>
          <t xml:space="preserve">Salaries as of October 1, 2026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Kent Turner</author>
  </authors>
  <commentList>
    <comment ref="D10" authorId="0" shapeId="0" xr:uid="{ACD287C7-131E-4D75-9338-80965342B17D}">
      <text>
        <r>
          <rPr>
            <sz val="11"/>
            <color indexed="81"/>
            <rFont val="Tahoma"/>
            <family val="2"/>
          </rPr>
          <t xml:space="preserve">Kent Turner:
</t>
        </r>
        <r>
          <rPr>
            <b/>
            <sz val="11"/>
            <color indexed="81"/>
            <rFont val="Tahoma"/>
            <family val="2"/>
          </rPr>
          <t xml:space="preserve">Salaries as of October 1, 2026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Kent Turner</author>
  </authors>
  <commentList>
    <comment ref="D10" authorId="0" shapeId="0" xr:uid="{7CEB30A8-33F1-4608-BA7B-137218BD6EE0}">
      <text>
        <r>
          <rPr>
            <sz val="11"/>
            <color indexed="81"/>
            <rFont val="Tahoma"/>
            <family val="2"/>
          </rPr>
          <t xml:space="preserve">Kent Turner:
</t>
        </r>
        <r>
          <rPr>
            <b/>
            <sz val="11"/>
            <color indexed="81"/>
            <rFont val="Tahoma"/>
            <family val="2"/>
          </rPr>
          <t xml:space="preserve">Salaries as of October 1, 2026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Kent Turner</author>
  </authors>
  <commentList>
    <comment ref="D10" authorId="0" shapeId="0" xr:uid="{14CC315E-4EBF-4B91-A905-54F594FD019E}">
      <text>
        <r>
          <rPr>
            <sz val="11"/>
            <color indexed="81"/>
            <rFont val="Tahoma"/>
            <family val="2"/>
          </rPr>
          <t xml:space="preserve">Kent Turner:
</t>
        </r>
        <r>
          <rPr>
            <b/>
            <sz val="11"/>
            <color indexed="81"/>
            <rFont val="Tahoma"/>
            <family val="2"/>
          </rPr>
          <t xml:space="preserve">Salaries as of October 1, 2026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Kent Turner</author>
  </authors>
  <commentList>
    <comment ref="D10" authorId="0" shapeId="0" xr:uid="{EAAB4692-4626-45FB-9268-96889F8976E4}">
      <text>
        <r>
          <rPr>
            <sz val="11"/>
            <color indexed="81"/>
            <rFont val="Tahoma"/>
            <family val="2"/>
          </rPr>
          <t xml:space="preserve">Kent Turner:
</t>
        </r>
        <r>
          <rPr>
            <b/>
            <sz val="11"/>
            <color indexed="81"/>
            <rFont val="Tahoma"/>
            <family val="2"/>
          </rPr>
          <t xml:space="preserve">Salaries as of October 1, 2026
</t>
        </r>
      </text>
    </comment>
  </commentList>
</comments>
</file>

<file path=xl/sharedStrings.xml><?xml version="1.0" encoding="utf-8"?>
<sst xmlns="http://schemas.openxmlformats.org/spreadsheetml/2006/main" count="2012" uniqueCount="367">
  <si>
    <t>Slip Robotics, Inc.</t>
  </si>
  <si>
    <t>COO — ORGANIZATION ROLL-UP  |  Sep-2026 → Dec-2027  |  2027 Budget Planning</t>
  </si>
  <si>
    <t>Rolls up the department tabs in this workbook. All figures are formulas — edit the department tabs, not this one. Transfers between departments net to zero only at the total-company level (Org Total tab).</t>
  </si>
  <si>
    <t>Dept</t>
  </si>
  <si>
    <t>Department Name</t>
  </si>
  <si>
    <t>P&amp;L</t>
  </si>
  <si>
    <t>2027 Total</t>
  </si>
  <si>
    <t>Total Salaries &amp; Wages</t>
  </si>
  <si>
    <t>PO</t>
  </si>
  <si>
    <t>Production Operations</t>
  </si>
  <si>
    <t>COGS</t>
  </si>
  <si>
    <t>FO</t>
  </si>
  <si>
    <t>Field Operations</t>
  </si>
  <si>
    <t>FE</t>
  </si>
  <si>
    <t>Field Engineering</t>
  </si>
  <si>
    <t>SG&amp;A</t>
  </si>
  <si>
    <t>PE</t>
  </si>
  <si>
    <t>Production Engineering</t>
  </si>
  <si>
    <t>CO</t>
  </si>
  <si>
    <t>Central Operations</t>
  </si>
  <si>
    <t>Total Salaries &amp; Wages — COO Total</t>
  </si>
  <si>
    <t>Payroll Taxes</t>
  </si>
  <si>
    <t>Payroll Taxes — COO Total</t>
  </si>
  <si>
    <t>Benefits</t>
  </si>
  <si>
    <t>Benefits — COO Total</t>
  </si>
  <si>
    <t>Total Payroll</t>
  </si>
  <si>
    <t>Total Payroll — COO Total</t>
  </si>
  <si>
    <t>Total Payroll by P&amp;L Classification</t>
  </si>
  <si>
    <t>Total Payroll — COO</t>
  </si>
  <si>
    <t>Check: ties to Total Payroll above (should be zero)</t>
  </si>
  <si>
    <t>Transfers In — Cost Landing in This Organization ($)</t>
  </si>
  <si>
    <t>Total Transfers In — COO</t>
  </si>
  <si>
    <t>Transfer Headcount Activity (people moving, by effective month)</t>
  </si>
  <si>
    <t>Transfers In (headcount)</t>
  </si>
  <si>
    <t>Transfers Out (headcount)</t>
  </si>
  <si>
    <t>Net Headcount Change from Transfers</t>
  </si>
  <si>
    <t>PRODUCTION OPERATIONS (PO) — 16 Month Headcount &amp; Labor Build  (Sep-2026 → Dec-2027)</t>
  </si>
  <si>
    <t>Build labor by employee for 16 months: Sep-2026 through Dec-2027. Pick Start and End months from the dropdown (End defaults to Dec-27). Leave Start blank for unfilled positions. Salaries / Taxes / Benefits flow to the Budget file.</t>
  </si>
  <si>
    <t>Leader: COO    |    Dept Code: PO    |    P&amp;L Classification: COGS    |    GL Accounts — Salaries 5110 · Taxes 5130 · Benefits 5140</t>
  </si>
  <si>
    <t>ASSUMPTIONS</t>
  </si>
  <si>
    <t>Employer payroll tax rate (% of wages)</t>
  </si>
  <si>
    <t>Benefits load (% of salary)</t>
  </si>
  <si>
    <t>Annual</t>
  </si>
  <si>
    <t>Increase</t>
  </si>
  <si>
    <t>Employee</t>
  </si>
  <si>
    <t>Title</t>
  </si>
  <si>
    <t>Annual Salary</t>
  </si>
  <si>
    <t>Start Month</t>
  </si>
  <si>
    <t>End Month</t>
  </si>
  <si>
    <t>Annual Increase</t>
  </si>
  <si>
    <t>Increase Month</t>
  </si>
  <si>
    <t>Input check</t>
  </si>
  <si>
    <t>(pick from list)</t>
  </si>
  <si>
    <t>Month index →</t>
  </si>
  <si>
    <t>Current Employees</t>
  </si>
  <si>
    <t>Open Positions</t>
  </si>
  <si>
    <t>New Hires</t>
  </si>
  <si>
    <t>From Dept</t>
  </si>
  <si>
    <t>Transfers In  (arriving from another department — cost starts here)</t>
  </si>
  <si>
    <t>To Dept</t>
  </si>
  <si>
    <t>Transfers Out  (leaving to another department — MEMO ONLY, no cost; set this person's End Month above to the month before they leave)</t>
  </si>
  <si>
    <t>FIELD OPERATIONS (FO) — 16 Month Headcount &amp; Labor Build  (Sep-2026 → Dec-2027)</t>
  </si>
  <si>
    <t>Leader: COO    |    Dept Code: FO    |    P&amp;L Classification: COGS    |    GL Accounts — Salaries 5510 · Taxes 5530 · Benefits 5540</t>
  </si>
  <si>
    <t>FIELD ENGINEERING (FE) — 16 Month Headcount &amp; Labor Build  (Sep-2026 → Dec-2027)</t>
  </si>
  <si>
    <t>Leader: COO    |    Dept Code: FE    |    P&amp;L Classification: SG&amp;A    |    GL Accounts — Salaries 6610 · Taxes 6630 · Benefits 6640</t>
  </si>
  <si>
    <t>PRODUCTION ENGINEERING (PE) — 16 Month Headcount &amp; Labor Build  (Sep-2026 → Dec-2027)</t>
  </si>
  <si>
    <t>Leader: COO    |    Dept Code: PE    |    P&amp;L Classification: SG&amp;A    |    GL Accounts — Salaries 6610 · Taxes 6630 · Benefits 6640</t>
  </si>
  <si>
    <t>CENTRAL OPERATIONS (CO) — 16 Month Headcount &amp; Labor Build  (Sep-2026 → Dec-2027)</t>
  </si>
  <si>
    <t>Leader: COO    |    Dept Code: CO    |    P&amp;L Classification: SG&amp;A    |    GL Accounts — Salaries 6610 · Taxes 6630 · Benefits 6640</t>
  </si>
  <si>
    <t>2026 Actuals/Forecast &amp; Budget</t>
  </si>
  <si>
    <t>Jeff</t>
  </si>
  <si>
    <t>Actual</t>
  </si>
  <si>
    <t>Forecast</t>
  </si>
  <si>
    <t>Annual Input</t>
  </si>
  <si>
    <t>YOY</t>
  </si>
  <si>
    <t>Budget</t>
  </si>
  <si>
    <t> 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</si>
  <si>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</si>
  <si>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</si>
  <si>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</si>
  <si>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</si>
  <si>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</si>
  <si>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</si>
  <si>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</si>
  <si>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</si>
  <si>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</si>
  <si>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</si>
  <si>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</si>
  <si>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</si>
  <si>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% Total Rev</t>
  </si>
  <si>
    <t>Input Method</t>
  </si>
  <si>
    <t>"Even" spread</t>
  </si>
  <si>
    <t>Growth %</t>
  </si>
  <si>
    <t>2027</t>
  </si>
  <si>
    <t>Fav / (Unfav)</t>
  </si>
  <si>
    <t>Ordinary Income/Expense</t>
  </si>
  <si>
    <t>Income</t>
  </si>
  <si>
    <t>4000 - Sales</t>
  </si>
  <si>
    <t>4100 - Subscription/Platform Fees</t>
  </si>
  <si>
    <t>Even</t>
  </si>
  <si>
    <t>4500 - Implementation Fees</t>
  </si>
  <si>
    <t>Total - 4000 - Sales</t>
  </si>
  <si>
    <t>4900 - One-Time Revenue</t>
  </si>
  <si>
    <t>Total - Income</t>
  </si>
  <si>
    <t>Cost Of Sales</t>
  </si>
  <si>
    <t>5000 - Robot Production and Deployment</t>
  </si>
  <si>
    <t>5010 - SlipBot Depreciation</t>
  </si>
  <si>
    <t>5011 - SlipLift Depreciation</t>
  </si>
  <si>
    <t>5012 - SlipCarrier Depreciation</t>
  </si>
  <si>
    <t>5020 - Robot Peripherals Depreciation</t>
  </si>
  <si>
    <t>5025 - Freight and Delivery - Production (Summary)</t>
  </si>
  <si>
    <t>5026 - Freight and Delivery - Production - Expedited</t>
  </si>
  <si>
    <t>5027 - Freight and Delivery - Production - Standard</t>
  </si>
  <si>
    <t>Total - 5025 - Freight and Delivery - Production (Summary)</t>
  </si>
  <si>
    <t>5030 - Production Tools and Supplies</t>
  </si>
  <si>
    <t>5040 - Freight &amp; Delivery - Deployment</t>
  </si>
  <si>
    <t>5050 - Travel - Deployment</t>
  </si>
  <si>
    <t>5060 - Meals - Deployment</t>
  </si>
  <si>
    <t>5100 - Labor Expense - Production</t>
  </si>
  <si>
    <t>5110 - Salaries and Wages - Production</t>
  </si>
  <si>
    <t>5130 - Payroll Taxes - Production</t>
  </si>
  <si>
    <t>5140 - Benefits - Production</t>
  </si>
  <si>
    <t>Total - 5100 - Labor Expense - Production</t>
  </si>
  <si>
    <t>Total - 5000 - Robot Production and Deployment</t>
  </si>
  <si>
    <t>5015 - Supplies and Materials</t>
  </si>
  <si>
    <t>5028 - Duties &amp; Tariffs - Production</t>
  </si>
  <si>
    <t>5029 - Processing Fee - Production</t>
  </si>
  <si>
    <t>5070 - Scrap</t>
  </si>
  <si>
    <t>5201 - Inventory Adjustments</t>
  </si>
  <si>
    <t>5300 - Maintenance</t>
  </si>
  <si>
    <t>5310 - Contractors - Field</t>
  </si>
  <si>
    <t>5320 - Freight &amp; Delivery - Maintenance</t>
  </si>
  <si>
    <t>5330 - Maintenance Tools and Supplies</t>
  </si>
  <si>
    <t>5340 - Spare Parts</t>
  </si>
  <si>
    <t>5350 - Warehouse</t>
  </si>
  <si>
    <t>5360 - Travel - Maintenance</t>
  </si>
  <si>
    <t>5370 - Meals - Maintenance</t>
  </si>
  <si>
    <t>5500 - Labor Expense - Field Operations</t>
  </si>
  <si>
    <t>5510 - :Salaries and Wages - Field Operations</t>
  </si>
  <si>
    <t>5530 - :Payroll Taxes - Field Operations</t>
  </si>
  <si>
    <t>5540 - :Benefits - Field Operations</t>
  </si>
  <si>
    <t>Total - 5500 - Labor Expense - Field Operations</t>
  </si>
  <si>
    <t>Total - 5300 - Maintenance</t>
  </si>
  <si>
    <t>5900 - Other COGS</t>
  </si>
  <si>
    <t>5920 - Software - COGS</t>
  </si>
  <si>
    <t>5950 - Certification Expense</t>
  </si>
  <si>
    <t>5980 - Employee Meals</t>
  </si>
  <si>
    <t>Total - 5900 - Other COGS</t>
  </si>
  <si>
    <t>5990 - Purchase Discounts</t>
  </si>
  <si>
    <t>Total - Cost Of Sales</t>
  </si>
  <si>
    <t>Gross Profit</t>
  </si>
  <si>
    <t>Expense</t>
  </si>
  <si>
    <t>6000 - Labor Expense - SG&amp;A</t>
  </si>
  <si>
    <t>6610 - Salaries and Wages - SG&amp;A</t>
  </si>
  <si>
    <t>6630 - Payroll Taxes - SG&amp;A</t>
  </si>
  <si>
    <t>6640 - Benefits - SG&amp;A</t>
  </si>
  <si>
    <t>6650 - Commissions - SG&amp;A</t>
  </si>
  <si>
    <t>6660 - Recruiting</t>
  </si>
  <si>
    <t>6670 - Stock Compensation Expense</t>
  </si>
  <si>
    <t>Total - 6000 - Labor Expense - SG&amp;A</t>
  </si>
  <si>
    <t>6100 - Travel</t>
  </si>
  <si>
    <t>6110 - Travel Meals</t>
  </si>
  <si>
    <t>6120 - Meals and Entertainment</t>
  </si>
  <si>
    <t>6200 - Advertising</t>
  </si>
  <si>
    <t>6210 - Marketing Expense</t>
  </si>
  <si>
    <t>6220 - Trade Shows</t>
  </si>
  <si>
    <t>6400 - Memberships and Subscriptions</t>
  </si>
  <si>
    <t>6500 - Demos</t>
  </si>
  <si>
    <t>6510 - Storage Facilities - Demos</t>
  </si>
  <si>
    <t>6520 - Truck Rental - Demos</t>
  </si>
  <si>
    <t>6530 - Other Demo Expense</t>
  </si>
  <si>
    <t>6540 - Travel - Demos</t>
  </si>
  <si>
    <t>6550 - Meals - Demos</t>
  </si>
  <si>
    <t>Total - 6500 - Demos</t>
  </si>
  <si>
    <t>7000 - Professional Fees</t>
  </si>
  <si>
    <t>7050 - Education</t>
  </si>
  <si>
    <t>7100 - Legal Expense</t>
  </si>
  <si>
    <t>7200 - Contractors</t>
  </si>
  <si>
    <t>7300 - R&amp;D Expense</t>
  </si>
  <si>
    <t>7500 - Facility Expenses</t>
  </si>
  <si>
    <t>7510 - Custodial</t>
  </si>
  <si>
    <t>7550 - Tools and Equipment</t>
  </si>
  <si>
    <t>7600 - Freight &amp; Delivery</t>
  </si>
  <si>
    <t>7610 - Duties &amp; Tariffs - Other</t>
  </si>
  <si>
    <t>7700 - Inventory Obsolescence-old</t>
  </si>
  <si>
    <t>8100 - Technology</t>
  </si>
  <si>
    <t>8200 - Building Rent or Lease</t>
  </si>
  <si>
    <t>8250 - Equipment/Vehicle Rentals</t>
  </si>
  <si>
    <t>8300 - Office Expenses</t>
  </si>
  <si>
    <t>8400 - Office Equipment and Small Furniture</t>
  </si>
  <si>
    <t>8450 - Postage &amp; Shipping</t>
  </si>
  <si>
    <t>8500 - Commercial Insurance</t>
  </si>
  <si>
    <t>8600 - Repairs and Maintenance</t>
  </si>
  <si>
    <t>8700 - Utilities and Telecom Expense</t>
  </si>
  <si>
    <t>8800 - Bank Charges</t>
  </si>
  <si>
    <t>8810 - Processing Fee - Other</t>
  </si>
  <si>
    <t>8900 - Payroll Fees</t>
  </si>
  <si>
    <t>8950 - Financing Taxes</t>
  </si>
  <si>
    <t>8955 - Other Taxes and Licenses</t>
  </si>
  <si>
    <t>8960 - Bad Debts</t>
  </si>
  <si>
    <t>8995 - Miscellaneous Expense</t>
  </si>
  <si>
    <t>9999 - Uncategorized Expenses</t>
  </si>
  <si>
    <t>Total - Expense</t>
  </si>
  <si>
    <t>Net Ordinary Income</t>
  </si>
  <si>
    <t>Other Income and Expenses</t>
  </si>
  <si>
    <t>Other Income</t>
  </si>
  <si>
    <t>9100 - Interest Earned</t>
  </si>
  <si>
    <t>9150 - Other Income</t>
  </si>
  <si>
    <t>Total - Other Income</t>
  </si>
  <si>
    <t>Other Expense</t>
  </si>
  <si>
    <t>9200 - Cash Sweep Fees</t>
  </si>
  <si>
    <t>9300 - Interest Expense</t>
  </si>
  <si>
    <t>9401 - Depreciation Expenses</t>
  </si>
  <si>
    <t>9450 - Loss on Disposal of Fixed Assets</t>
  </si>
  <si>
    <t>9600 - Income Tax Expense</t>
  </si>
  <si>
    <t>9710 - Rounding Gain/Loss</t>
  </si>
  <si>
    <t>Total - Other Expense</t>
  </si>
  <si>
    <t>Net Other Income</t>
  </si>
  <si>
    <t>Net Income</t>
  </si>
  <si>
    <t>Salaries and Wages</t>
  </si>
  <si>
    <t>Commissions</t>
  </si>
  <si>
    <t>Taxes and Benefits % of Salaries, Wages &amp; Commissions</t>
  </si>
  <si>
    <t>Total COO Departments</t>
  </si>
  <si>
    <t>check</t>
  </si>
  <si>
    <t>Turn #</t>
  </si>
  <si>
    <t>Date</t>
  </si>
  <si>
    <t>User Request</t>
  </si>
  <si>
    <t>Action Taken</t>
  </si>
  <si>
    <t>Details</t>
  </si>
  <si>
    <t>Outcome</t>
  </si>
  <si>
    <t>Make the COO P&amp;L tab the sum of FO, PO, CO, FE and PE; also asked that all sheets be formatted the same.</t>
  </si>
  <si>
    <t>Rewrote all single-sheet pull formulas on COO; compared formatting across the six P&amp;L tabs.</t>
  </si>
  <si>
    <t>2,142 cells in COO!A9:AJ145 changed from =SUM(PO!x) to =SUM(FO!x,PO!x,CO!x,FE!x,PE!x). Formatting: user chose fonts/number formats/column widths only (no fill changes). Set uniform column widths on all six P&amp;L tabs (A=301.5; month cols 62.5; N=78; O=70; P/Q=41.5; R=82.5; S=75; T=70.5; AG=78), body font Calibri 10 in A9:AJ145, and copied COO's line-item number formats to B9:Q142 and U9:AJ142 on FO/PO/CO/FE/PE. Excluded dept-only budget driver columns R:T and header rows 1:8; left all cell fills and font colors (blue = input convention) untouched.</t>
  </si>
  <si>
    <t>Verified: no error values on any of the six tabs; COO tie-out check row 133 nets to ~0 in every column; number formats in the shared body now identical across all six tabs; % rows (e.g. row 65 margins) now render as percentages on the dept tabs. Fill/highlight differences intentionally left as-is.</t>
  </si>
  <si>
    <t>Annual Increase Month in Budget year</t>
  </si>
  <si>
    <t>Gavin Grizzle</t>
  </si>
  <si>
    <t>James Murphy</t>
  </si>
  <si>
    <t>Adam Trostle</t>
  </si>
  <si>
    <t>Joe Byers</t>
  </si>
  <si>
    <t>Chad Seyfried</t>
  </si>
  <si>
    <t>Benjamin Phillips</t>
  </si>
  <si>
    <t>Brian McSween</t>
  </si>
  <si>
    <t>Rebecca Tien</t>
  </si>
  <si>
    <t>Juan Rodriguez</t>
  </si>
  <si>
    <t>Shanndon Ferguson</t>
  </si>
  <si>
    <t>Bernadette Sanchez</t>
  </si>
  <si>
    <t>Isaiah Swallow</t>
  </si>
  <si>
    <t>Nathan Copas</t>
  </si>
  <si>
    <t>Rohail Ayyub</t>
  </si>
  <si>
    <t>Fayzel De Leon</t>
  </si>
  <si>
    <t>Michael Yunker</t>
  </si>
  <si>
    <t>Field Technician</t>
  </si>
  <si>
    <t>Operations Coordinator</t>
  </si>
  <si>
    <t>Field Maintenance Manager</t>
  </si>
  <si>
    <t>Jose Pagan</t>
  </si>
  <si>
    <t>JB Bryant</t>
  </si>
  <si>
    <t>Servando Flores Barrios</t>
  </si>
  <si>
    <t>Oz Exposito</t>
  </si>
  <si>
    <t>Todd VanDyke</t>
  </si>
  <si>
    <t>Johnathan Argueta</t>
  </si>
  <si>
    <t>Austin Steed</t>
  </si>
  <si>
    <t>Jason Price</t>
  </si>
  <si>
    <t>Mose Carter</t>
  </si>
  <si>
    <t>Team Lead</t>
  </si>
  <si>
    <t>Material Handling Team Lead</t>
  </si>
  <si>
    <t>Senior Production Technician</t>
  </si>
  <si>
    <t>Production Technician</t>
  </si>
  <si>
    <t>Material Handler</t>
  </si>
  <si>
    <t>Production Associate</t>
  </si>
  <si>
    <t>Ada Sierraalta</t>
  </si>
  <si>
    <t>Thomas Disney</t>
  </si>
  <si>
    <t>Aaron Smith</t>
  </si>
  <si>
    <t>William Welser</t>
  </si>
  <si>
    <t>Blake Bertero</t>
  </si>
  <si>
    <t>Senior Strategic Program Manager, Operations</t>
  </si>
  <si>
    <t>Digital Operations Automation Engineer</t>
  </si>
  <si>
    <t>Engineering Technician</t>
  </si>
  <si>
    <t>Field Logistics Manager</t>
  </si>
  <si>
    <t>Operations Project Manager</t>
  </si>
  <si>
    <t>Hogan Welch</t>
  </si>
  <si>
    <t>James Mead</t>
  </si>
  <si>
    <t>Rasheen Henry</t>
  </si>
  <si>
    <t>Seng Goo</t>
  </si>
  <si>
    <t>Jessica Landaverde</t>
  </si>
  <si>
    <t>Elizabeth Ferry</t>
  </si>
  <si>
    <t>Senior Field Robotics Engineer</t>
  </si>
  <si>
    <t>Associate Field Robotics Engineer</t>
  </si>
  <si>
    <t>Head of Service Delivery</t>
  </si>
  <si>
    <t>Customer Support Manager</t>
  </si>
  <si>
    <t>Customer Support Specialist</t>
  </si>
  <si>
    <t>Headcount (#) — Active Employees by Month</t>
  </si>
  <si>
    <t>Total Headcount — COO Total</t>
  </si>
  <si>
    <t>Headcount by P&amp;L Classification (#)</t>
  </si>
  <si>
    <t>Total Headcount — COO</t>
  </si>
  <si>
    <t>Check: ties to Total Headcount above (should be zero)</t>
  </si>
  <si>
    <t>Dec-27 Ending</t>
  </si>
  <si>
    <t>Add a headcount (#) summary to the COO HC total tab.</t>
  </si>
  <si>
    <t>Built a monthly active-headcount roll-up by department plus a COGS/SG&amp;A split on COO HC rows 64-76.</t>
  </si>
  <si>
    <t>Rows 65-69 use =COUNTIF('&lt;Dept&gt; HC'!I$14:I$57,"&gt;0") per month (counts any employee/new hire/transfer-in row carrying salary in that month; transfer-out memo rows carry no cost so they aren't double-counted). Row 70 totals; rows 73-74 split via SUMIF on the D65:D69 P&amp;L classification; row 75 total and row 76 tie-out check. Column Z shows Dec-27 ending headcount (point in time) rather than a sum of months, labeled in Z64.</t>
  </si>
  <si>
    <t>COO HC!B64:Z76. Sep-26 total 35 (PO 9, FO 16, FE 6, PE 0, CO 4); Dec-27 ending 36. Tie-out row 76 = 0 in every month. Verified I65:X76 and Z65:Z75 read back with no errors.</t>
  </si>
  <si>
    <t>Katie Landers</t>
  </si>
  <si>
    <t>Adam Hawkins</t>
  </si>
  <si>
    <t>Lan Le</t>
  </si>
  <si>
    <t>Marques Reed</t>
  </si>
  <si>
    <t>Daniel Broadnax</t>
  </si>
  <si>
    <t>Grant Wilson</t>
  </si>
  <si>
    <t>Stephanie Smith</t>
  </si>
  <si>
    <t>Will Long</t>
  </si>
  <si>
    <t>Drew Nelson</t>
  </si>
  <si>
    <t>Senior Industrial Engineer</t>
  </si>
  <si>
    <t>Manufacturing Engineer</t>
  </si>
  <si>
    <t>Purchasing Analyst</t>
  </si>
  <si>
    <t>Head of Quality</t>
  </si>
  <si>
    <t>Quality Inspector</t>
  </si>
  <si>
    <t>Supply Chain Project Manager</t>
  </si>
  <si>
    <t>Strategic Sourcing Analyst</t>
  </si>
  <si>
    <t>Industrial Engineer</t>
  </si>
  <si>
    <t>Head of Production and Delivery</t>
  </si>
  <si>
    <t>Excel agent (CRO HC and PL workfile) asked for the COO HC headcount summary so it could replicate the block on its CRO HC tab.</t>
  </si>
  <si>
    <t>Read the block with styles plus surrounding context and shared it as a file with the other Excel file; no changes made to this workbook.</t>
  </si>
  <si>
    <t>Shared coo-hc-headcount-summary.json containing values, formulas, displayed text, number formats, styling and layout notes for COO HC!B62:Z78 and the row 8-12 header context. Documented the COUNTIF('&lt;Dept&gt; HC'!I$14:I$57,"&gt;0") pattern, the SUMIF P&amp;L split off D65:D69, and that column Z is Dec-27 ending headcount rather than a sum.</t>
  </si>
  <si>
    <t>File shared and message sent to the CRO workbook agent. Note: PE HC now has 9 staffed rows (added outside this chat), so COO totals now read 44 in Sep-26 and 45 from Oct-26 on; tie-out row 76 still 0 in every month.</t>
  </si>
  <si>
    <t>Status update from the CRO workbook agent confirming it replicated the headcount summary; no action requested.</t>
  </si>
  <si>
    <t>Absorbed the update; no changes to this workbook beyond this log entry.</t>
  </si>
  <si>
    <t>CRO built the block at CRO HC!B54:Z64 (offset because CRO's grid ends at row 52): row 54 header, 55-57 AM/MK/SL, 58 total, 60 header, 61 COGS, 62 SG&amp;A, 63 total, 64 check. It used =COUNTIF('&lt;Dept&gt; HC'!I$14:I$52,"&gt;0") since CRO dept tabs are cost-bearing through row 52 (transfers-in 47:52, transfer-out memo 54:59) versus 14:57 here. Same SUMIF split, Z as point-in-time, same formats.</t>
  </si>
  <si>
    <t>Noted: the row-range difference is a correct adaptation to CRO's tab layout, not an inconsistency. CRO reports no errors and a zero check row across all 16 months.</t>
  </si>
  <si>
    <t>A Total Company roll-up workbook (Book1) asked for a structure map of this file so it can point external-link formulas at the right cells; explicitly no changes to this workbook.</t>
  </si>
  <si>
    <t>Read the layout of all five department HC tabs to confirm they are identical, then shared coo-map.json. No cells in this workbook were modified.</t>
  </si>
  <si>
    <t>Map covers: month grid (dates row 10, index row 11, columns I=Sep-26 through X=Dec-27, Y spacer), roster blocks (current employees 14-33, open positions 35-39, new hires 41-50, transfers-in 52-57 cost-bearing, transfers-out 59-64 memo-only, effective month in column E and end month in F), totals rows 67 S&amp;W / 68 taxes / 69 benefits / 70 total payroll, per-dept names, codes, P&amp;L class (PO+FO = COGS; FE, PE, CO = SG&amp;A) and GL accounts, plus the COO HC roll-up row map.</t>
  </si>
  <si>
    <t>File shared and message sent to the Book1 agent, recommending it link to the COO HC roll-up rather than re-summing the department tabs. Verified all five dept tabs use the same row layout and =SUM(I14:I57) for Total Salaries &amp; Wages.</t>
  </si>
  <si>
    <t>CEO workbook agent asked for a hc-transfers.csv listing every transfer-in/out row and any current employee flagged "Transfer out" in column A, for a cross-file transfer reconciliation.</t>
  </si>
  <si>
    <t>Scanned column A and the transfers sections of all five department HC tabs (FO, PO, CO, FE, PE) plus the COO HC roll-up; shared hc-transfers.csv (header row only). No changes to workbook data.</t>
  </si>
  <si>
    <t>Transfers-In block sits at rows 52-57 and Transfers-Out memo block at rows 59-64 on each dept tab; all of these rows are blank (name, title, salary, start/end all empty). No current-employee row on any tab carries a "Transfer out" flag in column A - column A holds only the "From Dept"/"To Dept" section labels. COO HC is a formula roll-up with no employee rows.</t>
  </si>
  <si>
    <t>hc-transfers.csv shared with headers block,dept_code,counterparty_dept,employee,title,annual_salary,start_month,end_month and zero data rows: the COO workbook currently has no inter-department transfer activity.</t>
  </si>
  <si>
    <t>CEO workbook agent asked (read-only) for hc-transfers.csv in a new column layout: sheet, row, block (IN/OUT/ROSTER), own_dept, counterparty_dept, employee, title, annual_salary, start_month, end_month.</t>
  </si>
  <si>
    <t>Re-scanned FO/PO/CO/FE/PE HC tabs and shared hc-transfers.csv (header row only). No workbook data changed.</t>
  </si>
  <si>
    <t>Blocks located by their headers on each tab: Transfers In rows 52-57 (header row 51), Transfers Out rows 59-66 (header row 58), totals from row 67. Rows counted as populated if cols A-E had any content (F:H hold template defaults for end month / increase % / increase month). Column A of roster rows checked for any 'Transfer' flag - none found.</t>
  </si>
  <si>
    <t>Zero transfer rows across all five tabs; confirmed to CEO agent. Correction to turn 5 map: Transfers Out memo block runs rows 59-66, not 59-64.</t>
  </si>
  <si>
    <t>CEO workbook agent asked (read-only) to re-share hc-transfers.csv from FO/PO/CO/FE/PE HC in the same columns and say whether anything changed since the last extract.</t>
  </si>
  <si>
    <t>Re-scanned the five dept HC tabs and re-shared hc-transfers.csv (header row only). No workbook data changed.</t>
  </si>
  <si>
    <t>Same logic as turn 8: blocks located by header (Transfers In header row 51 / rows 52-57; Transfers Out header row 58 / rows 59-66; totals row 67 on every tab). Checked cols A-E for content, Transfers In F:H for any non-default values, and roster column A for any 'Transfer' flag.</t>
  </si>
  <si>
    <t>No change since turn 8: zero transfer rows, no transfer-out flags, block positions unchanged, F:H still template defaults. Reported to CEO agent.</t>
  </si>
  <si>
    <t>CEO workfile (Excel peer) requested read-only export of all Transfers In/Out rows and 'Transfer out'-flagged current employees on each HC tab as hc-transfers.csv.</t>
  </si>
  <si>
    <t>Scanned HC tabs and shared hc-transfers.csv (header only).</t>
  </si>
  <si>
    <t>Checked FO/PO/CO/FE/PE HC Transfers In (rows 52-57) and Transfers Out (rows 59-66) for any entries in cols A-D; searched all cells for 'transfer' flags on current employees. COO HC is a formula roll-up with no transfer rows. No workbook data edited.</t>
  </si>
  <si>
    <t>No transfer activity found; header-only CSV shared and CEO agent notified.</t>
  </si>
  <si>
    <t>Peer (TC PL Rollup Excel) requested read-only layout export of the 2027 Budget P&amp;L tabs for linking.</t>
  </si>
  <si>
    <t>Wrote shared file layout-COO.json; no workbook data changed</t>
  </si>
  <si>
    <t>Tabs: COO P&amp;L, FO, PO, CO, FE, PE. Budget Jan-Dec = U:AF, FY2027 = AG, Net Income row 132. Budget cells almost all formulas (COO P&amp;L has 12 hardcoded zeros in U124:AF124).</t>
  </si>
  <si>
    <t>File shared with rollup agent; reply sent</t>
  </si>
  <si>
    <t>Rollup Excel agent (read-only request): report HC tabs A1:H10, D5/D6 labels &amp; references, external links, sheet names; write hc_info_COO.json</t>
  </si>
  <si>
    <t>Read-only scan; wrote shared file hc_info_COO.json; replied to Rollup agent</t>
  </si>
  <si>
    <t>HC tabs: COO HC (summary, D5/D6 blank), FO/PO/CO/FE/PE HC. D5 blank (B5 'ASSUMPTIONS'); D6=0.04 payroll tax rate, referenced 16x per tab in row 68 (=I67*$D$6). External links: ~2,160 formulas per P&amp;L tab to [2027B Expense TC Prep w Aug Act.xlsx]; none to 2027B TC PL Rollup.</t>
  </si>
  <si>
    <t>No workbook data changed (only this log row added)</t>
  </si>
  <si>
    <t>Rollup Excel agent asked to apply hc_rate_links.json: link D6 (payroll tax) and D7 (benefits) on CO/FE/FO/PE/PO HC to the rollup's T&amp;B rates, green font, 0.0%</t>
  </si>
  <si>
    <t>Replaced hardcoded 4%/9% in D6:D7 on 5 HC tabs with external INDEX/MATCH links</t>
  </si>
  <si>
    <t>Formula: =INDEX('G:\My Drive\SLIP Folders\Budget\2027\[2027B TC PL Rollup.xlsx]T&amp;B'!$S$104:$S$120 (D6) / $T (D7), MATCH(dept code, $R$104:$R$120,0)). Prior values 0.04/0.09 on all 5 tabs. COO HC untouched.</t>
  </si>
  <si>
    <t>CO 5.2%/11.9%, FE 4.1%/7.2%, FO 6.8%/16.4%, PE 3.6%/8.8%, PO 3.6%/6.2%; all match expected, no errors</t>
  </si>
  <si>
    <t>Rollup agent asked to read back (no edits) D6/D7 T&amp;B formulas on CO/FE/FO/PE/PO HC after rollup summary moved to R11:T27, confirm refs and values, then save.</t>
  </si>
  <si>
    <t>Read-only verification of D6:D7 on 5 HC sheets; saved workbook</t>
  </si>
  <si>
    <t>Formulas use INDEX/MATCH on '[2027B TC PL Rollup.xlsx]T&amp;B' with ranges $R$11:$R$120 / $S$11:$S$120 / $T$11:$T$120 (not $11:$27 as expected). No errors. Values: CO 5.2%/11.9%, FE 4.1%/7.2%, FO 6.8%/16.4%, PE 3.6%/8.8%, PO 3.6%/20.6%.</t>
  </si>
  <si>
    <t>All values match expected; range end-row discrepancy ($120 vs $27) reported to rollup agent, not edited</t>
  </si>
  <si>
    <t>x</t>
  </si>
  <si>
    <t>Field Engineer Manager</t>
  </si>
  <si>
    <t>backfill</t>
  </si>
  <si>
    <t>Field Engineer</t>
  </si>
  <si>
    <t>transfer?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</si>
</sst>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;\(&quot;$&quot;#,##0\);&quot;-&quot;"/>
    <numFmt numFmtId="165" formatCode="0;\(0\);&quot;-&quot;"/>
    <numFmt numFmtId="166" formatCode="0.0%"/>
    <numFmt numFmtId="167" formatCode="&quot;$&quot;#,##0"/>
    <numFmt numFmtId="168" formatCode="&quot;$&quot;#,##0;\(&quot;$&quot;#,##0\);0"/>
    <numFmt numFmtId="169" formatCode="#,##0.00;\(#,##0.00\);\-"/>
  </numFmts>
  <fonts count="44" x14ac:knownFonts="1"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i/>
      <sz val="9"/>
      <color rgb="FF666666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i/>
      <sz val="11"/>
      <color rgb="FF385723"/>
      <name val="Calibri"/>
      <family val="2"/>
    </font>
    <font>
      <i/>
      <sz val="11"/>
      <color theme="1"/>
      <name val="Calibri"/>
      <family val="2"/>
    </font>
    <font>
      <b/>
      <sz val="11"/>
      <color rgb="FF1F4E78"/>
      <name val="Calibri"/>
      <family val="2"/>
    </font>
    <font>
      <b/>
      <sz val="11"/>
      <color rgb="FF0000CC"/>
      <name val="Calibri"/>
      <family val="2"/>
    </font>
    <font>
      <b/>
      <sz val="11"/>
      <name val="Calibri"/>
      <family val="2"/>
    </font>
    <font>
      <b/>
      <sz val="11"/>
      <color rgb="FF999999"/>
      <name val="Calibri"/>
      <family val="2"/>
    </font>
    <font>
      <sz val="11"/>
      <color rgb="FF0000FF"/>
      <name val="Calibri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sz val="11"/>
      <color rgb="FF000000"/>
      <name val="Calibri"/>
      <family val="2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sz val="8"/>
      <name val="Arial"/>
      <family val="2"/>
    </font>
    <font>
      <b/>
      <sz val="16"/>
      <color rgb="FF0000CC"/>
      <name val="Calibri"/>
      <family val="2"/>
    </font>
    <font>
      <sz val="10"/>
      <name val="Calibri"/>
      <family val="2"/>
    </font>
    <font>
      <sz val="10"/>
      <color rgb="FF0000CC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b/>
      <sz val="10"/>
      <color rgb="FF0000CC"/>
      <name val="Calibri"/>
      <family val="2"/>
    </font>
    <font>
      <b/>
      <sz val="10"/>
      <color indexed="60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0"/>
      <color theme="6"/>
      <name val="Calibri"/>
      <family val="2"/>
    </font>
    <font>
      <b/>
      <sz val="16"/>
      <name val="Calibri"/>
      <family val="2"/>
    </font>
    <font>
      <b/>
      <sz val="10"/>
      <color rgb="FF0070C0"/>
      <name val="Calibri"/>
      <family val="2"/>
    </font>
    <font>
      <i/>
      <sz val="10"/>
      <name val="Calibri"/>
      <family val="2"/>
    </font>
    <font>
      <sz val="10"/>
      <color rgb="FF008000"/>
      <name val="Calibri"/>
      <family val="2"/>
    </font>
    <font>
      <sz val="10"/>
      <color rgb="FF060606"/>
      <name val="Calibri"/>
      <family val="2"/>
    </font>
    <font>
      <b/>
      <sz val="12"/>
      <color rgb="FFC00000"/>
      <name val="Calibri"/>
      <family val="2"/>
    </font>
    <font>
      <b/>
      <i/>
      <sz val="11"/>
      <color rgb="FF385723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8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7D6"/>
        <bgColor indexed="64"/>
      </patternFill>
    </fill>
    <fill>
      <patternFill patternType="solid">
        <fgColor rgb="FF385723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tted">
        <color rgb="FFC0C0C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tted">
        <color rgb="FF969696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0" fillId="0" borderId="0"/>
    <xf numFmtId="9" fontId="20" fillId="0" borderId="0" applyFont="0" applyFill="0" applyBorder="0" applyAlignment="0" applyProtection="0"/>
  </cellStyleXfs>
  <cellXfs count="181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0" xfId="0" applyFont="1" applyFill="1"/>
    <xf numFmtId="17" fontId="5" fillId="2" borderId="0" xfId="0" applyNumberFormat="1" applyFont="1" applyFill="1" applyAlignment="1">
      <alignment horizontal="center"/>
    </xf>
    <xf numFmtId="17" fontId="6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" fontId="7" fillId="0" borderId="0" xfId="0" applyNumberFormat="1" applyFont="1" applyAlignment="1">
      <alignment horizontal="center"/>
    </xf>
    <xf numFmtId="0" fontId="8" fillId="0" borderId="0" xfId="0" applyFont="1"/>
    <xf numFmtId="164" fontId="0" fillId="0" borderId="0" xfId="0" applyNumberFormat="1"/>
    <xf numFmtId="0" fontId="2" fillId="4" borderId="0" xfId="0" applyFont="1" applyFill="1"/>
    <xf numFmtId="164" fontId="2" fillId="4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0" fontId="9" fillId="0" borderId="0" xfId="0" applyFont="1"/>
    <xf numFmtId="165" fontId="0" fillId="0" borderId="0" xfId="0" applyNumberFormat="1"/>
    <xf numFmtId="0" fontId="2" fillId="0" borderId="0" xfId="0" applyFont="1"/>
    <xf numFmtId="165" fontId="2" fillId="0" borderId="0" xfId="0" applyNumberFormat="1" applyFont="1"/>
    <xf numFmtId="0" fontId="0" fillId="0" borderId="0" xfId="0" applyAlignment="1">
      <alignment horizontal="center"/>
    </xf>
    <xf numFmtId="0" fontId="2" fillId="6" borderId="0" xfId="0" applyFont="1" applyFill="1"/>
    <xf numFmtId="0" fontId="1" fillId="0" borderId="0" xfId="0" applyFont="1" applyAlignment="1">
      <alignment horizontal="left"/>
    </xf>
    <xf numFmtId="17" fontId="11" fillId="7" borderId="3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5" fillId="2" borderId="0" xfId="0" applyFont="1" applyFill="1" applyAlignment="1">
      <alignment wrapText="1"/>
    </xf>
    <xf numFmtId="0" fontId="5" fillId="2" borderId="0" xfId="0" applyFont="1" applyFill="1" applyAlignment="1">
      <alignment horizontal="center" wrapText="1"/>
    </xf>
    <xf numFmtId="49" fontId="5" fillId="2" borderId="0" xfId="0" applyNumberFormat="1" applyFont="1" applyFill="1" applyAlignment="1">
      <alignment horizontal="center" wrapText="1"/>
    </xf>
    <xf numFmtId="17" fontId="5" fillId="2" borderId="0" xfId="0" applyNumberFormat="1" applyFont="1" applyFill="1" applyAlignment="1">
      <alignment horizontal="center" wrapText="1"/>
    </xf>
    <xf numFmtId="17" fontId="12" fillId="3" borderId="0" xfId="0" applyNumberFormat="1" applyFont="1" applyFill="1" applyAlignment="1">
      <alignment horizontal="center" wrapText="1"/>
    </xf>
    <xf numFmtId="17" fontId="5" fillId="0" borderId="0" xfId="0" applyNumberFormat="1" applyFont="1" applyAlignment="1">
      <alignment horizontal="center" wrapText="1"/>
    </xf>
    <xf numFmtId="0" fontId="12" fillId="3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13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5" fillId="8" borderId="0" xfId="0" applyFont="1" applyFill="1"/>
    <xf numFmtId="0" fontId="5" fillId="8" borderId="0" xfId="0" applyFont="1" applyFill="1" applyAlignment="1">
      <alignment horizontal="center"/>
    </xf>
    <xf numFmtId="0" fontId="5" fillId="0" borderId="0" xfId="0" applyFont="1"/>
    <xf numFmtId="0" fontId="14" fillId="7" borderId="0" xfId="0" applyFont="1" applyFill="1"/>
    <xf numFmtId="167" fontId="14" fillId="7" borderId="0" xfId="0" applyNumberFormat="1" applyFont="1" applyFill="1"/>
    <xf numFmtId="17" fontId="14" fillId="7" borderId="0" xfId="0" applyNumberFormat="1" applyFont="1" applyFill="1" applyAlignment="1">
      <alignment horizontal="center"/>
    </xf>
    <xf numFmtId="166" fontId="14" fillId="7" borderId="0" xfId="0" applyNumberFormat="1" applyFont="1" applyFill="1" applyAlignment="1">
      <alignment horizontal="center"/>
    </xf>
    <xf numFmtId="17" fontId="15" fillId="7" borderId="0" xfId="0" applyNumberFormat="1" applyFont="1" applyFill="1" applyAlignment="1">
      <alignment horizontal="center"/>
    </xf>
    <xf numFmtId="168" fontId="0" fillId="0" borderId="0" xfId="0" applyNumberFormat="1"/>
    <xf numFmtId="168" fontId="15" fillId="0" borderId="0" xfId="0" applyNumberFormat="1" applyFont="1"/>
    <xf numFmtId="0" fontId="16" fillId="0" borderId="0" xfId="0" applyFont="1"/>
    <xf numFmtId="167" fontId="0" fillId="0" borderId="0" xfId="0" applyNumberFormat="1"/>
    <xf numFmtId="1" fontId="0" fillId="0" borderId="0" xfId="0" applyNumberFormat="1" applyAlignment="1">
      <alignment horizontal="center"/>
    </xf>
    <xf numFmtId="167" fontId="8" fillId="0" borderId="0" xfId="0" applyNumberFormat="1" applyFont="1"/>
    <xf numFmtId="1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168" fontId="8" fillId="0" borderId="0" xfId="0" applyNumberFormat="1" applyFont="1"/>
    <xf numFmtId="0" fontId="14" fillId="4" borderId="0" xfId="0" applyFont="1" applyFill="1"/>
    <xf numFmtId="167" fontId="14" fillId="4" borderId="0" xfId="0" applyNumberFormat="1" applyFont="1" applyFill="1"/>
    <xf numFmtId="17" fontId="14" fillId="4" borderId="0" xfId="0" applyNumberFormat="1" applyFont="1" applyFill="1" applyAlignment="1">
      <alignment horizontal="center"/>
    </xf>
    <xf numFmtId="1" fontId="14" fillId="4" borderId="0" xfId="0" applyNumberFormat="1" applyFont="1" applyFill="1" applyAlignment="1">
      <alignment horizontal="center"/>
    </xf>
    <xf numFmtId="166" fontId="14" fillId="4" borderId="0" xfId="0" applyNumberFormat="1" applyFont="1" applyFill="1" applyAlignment="1">
      <alignment horizontal="center"/>
    </xf>
    <xf numFmtId="0" fontId="17" fillId="0" borderId="0" xfId="0" applyFont="1"/>
    <xf numFmtId="167" fontId="17" fillId="0" borderId="0" xfId="0" applyNumberFormat="1" applyFont="1"/>
    <xf numFmtId="1" fontId="17" fillId="0" borderId="0" xfId="0" applyNumberFormat="1" applyFont="1" applyAlignment="1">
      <alignment horizontal="center"/>
    </xf>
    <xf numFmtId="166" fontId="17" fillId="0" borderId="0" xfId="0" applyNumberFormat="1" applyFont="1" applyAlignment="1">
      <alignment horizontal="center"/>
    </xf>
    <xf numFmtId="168" fontId="17" fillId="0" borderId="0" xfId="0" applyNumberFormat="1" applyFont="1"/>
    <xf numFmtId="167" fontId="2" fillId="4" borderId="0" xfId="0" applyNumberFormat="1" applyFont="1" applyFill="1"/>
    <xf numFmtId="1" fontId="2" fillId="4" borderId="0" xfId="0" applyNumberFormat="1" applyFont="1" applyFill="1" applyAlignment="1">
      <alignment horizontal="center"/>
    </xf>
    <xf numFmtId="168" fontId="2" fillId="4" borderId="0" xfId="0" applyNumberFormat="1" applyFont="1" applyFill="1"/>
    <xf numFmtId="168" fontId="2" fillId="0" borderId="0" xfId="0" applyNumberFormat="1" applyFont="1"/>
    <xf numFmtId="0" fontId="2" fillId="5" borderId="4" xfId="0" applyFont="1" applyFill="1" applyBorder="1"/>
    <xf numFmtId="167" fontId="2" fillId="5" borderId="4" xfId="0" applyNumberFormat="1" applyFont="1" applyFill="1" applyBorder="1"/>
    <xf numFmtId="1" fontId="2" fillId="5" borderId="4" xfId="0" applyNumberFormat="1" applyFont="1" applyFill="1" applyBorder="1" applyAlignment="1">
      <alignment horizontal="center"/>
    </xf>
    <xf numFmtId="168" fontId="2" fillId="5" borderId="4" xfId="0" applyNumberFormat="1" applyFont="1" applyFill="1" applyBorder="1"/>
    <xf numFmtId="167" fontId="2" fillId="0" borderId="0" xfId="0" applyNumberFormat="1" applyFont="1"/>
    <xf numFmtId="1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8" fillId="0" borderId="0" xfId="0" applyFont="1" applyAlignment="1">
      <alignment horizontal="left"/>
    </xf>
    <xf numFmtId="0" fontId="14" fillId="7" borderId="0" xfId="0" applyFont="1" applyFill="1" applyAlignment="1">
      <alignment horizontal="left"/>
    </xf>
    <xf numFmtId="0" fontId="14" fillId="4" borderId="0" xfId="0" applyFont="1" applyFill="1" applyAlignment="1">
      <alignment horizontal="left"/>
    </xf>
    <xf numFmtId="0" fontId="17" fillId="0" borderId="0" xfId="0" applyFont="1" applyAlignment="1">
      <alignment horizontal="left"/>
    </xf>
    <xf numFmtId="0" fontId="21" fillId="9" borderId="0" xfId="1" applyFont="1" applyFill="1" applyAlignment="1">
      <alignment horizontal="left"/>
    </xf>
    <xf numFmtId="0" fontId="22" fillId="0" borderId="0" xfId="1" applyFont="1"/>
    <xf numFmtId="37" fontId="22" fillId="0" borderId="0" xfId="1" applyNumberFormat="1" applyFont="1"/>
    <xf numFmtId="9" fontId="23" fillId="0" borderId="0" xfId="2" applyFont="1" applyAlignment="1">
      <alignment horizontal="center"/>
    </xf>
    <xf numFmtId="0" fontId="24" fillId="0" borderId="0" xfId="1" applyFont="1"/>
    <xf numFmtId="0" fontId="15" fillId="0" borderId="0" xfId="1" applyFont="1"/>
    <xf numFmtId="166" fontId="23" fillId="0" borderId="0" xfId="2" applyNumberFormat="1" applyFont="1"/>
    <xf numFmtId="0" fontId="25" fillId="0" borderId="0" xfId="1" applyFont="1" applyAlignment="1">
      <alignment horizontal="left"/>
    </xf>
    <xf numFmtId="0" fontId="25" fillId="10" borderId="0" xfId="1" applyFont="1" applyFill="1" applyAlignment="1">
      <alignment horizontal="center"/>
    </xf>
    <xf numFmtId="0" fontId="26" fillId="10" borderId="0" xfId="1" applyFont="1" applyFill="1" applyAlignment="1">
      <alignment horizontal="center"/>
    </xf>
    <xf numFmtId="0" fontId="27" fillId="11" borderId="0" xfId="1" applyFont="1" applyFill="1"/>
    <xf numFmtId="0" fontId="27" fillId="11" borderId="0" xfId="1" applyFont="1" applyFill="1" applyAlignment="1">
      <alignment horizontal="center"/>
    </xf>
    <xf numFmtId="0" fontId="26" fillId="12" borderId="0" xfId="1" applyFont="1" applyFill="1" applyAlignment="1">
      <alignment horizontal="center"/>
    </xf>
    <xf numFmtId="0" fontId="25" fillId="0" borderId="0" xfId="1" applyFont="1" applyAlignment="1">
      <alignment horizontal="center"/>
    </xf>
    <xf numFmtId="17" fontId="25" fillId="10" borderId="0" xfId="1" applyNumberFormat="1" applyFont="1" applyFill="1" applyAlignment="1">
      <alignment horizontal="center"/>
    </xf>
    <xf numFmtId="17" fontId="25" fillId="12" borderId="0" xfId="1" applyNumberFormat="1" applyFont="1" applyFill="1" applyAlignment="1">
      <alignment horizontal="center"/>
    </xf>
    <xf numFmtId="17" fontId="25" fillId="12" borderId="0" xfId="1" quotePrefix="1" applyNumberFormat="1" applyFont="1" applyFill="1" applyAlignment="1">
      <alignment horizontal="center"/>
    </xf>
    <xf numFmtId="0" fontId="25" fillId="0" borderId="5" xfId="1" applyFont="1" applyBorder="1" applyAlignment="1">
      <alignment horizontal="center"/>
    </xf>
    <xf numFmtId="0" fontId="28" fillId="0" borderId="0" xfId="1" applyFont="1" applyAlignment="1">
      <alignment horizontal="left" vertical="center"/>
    </xf>
    <xf numFmtId="0" fontId="28" fillId="0" borderId="0" xfId="1" applyFont="1" applyAlignment="1">
      <alignment horizontal="left" indent="1"/>
    </xf>
    <xf numFmtId="0" fontId="28" fillId="0" borderId="0" xfId="1" applyFont="1" applyAlignment="1">
      <alignment horizontal="left" indent="2"/>
    </xf>
    <xf numFmtId="0" fontId="29" fillId="0" borderId="0" xfId="1" applyFont="1" applyAlignment="1">
      <alignment horizontal="left" indent="3"/>
    </xf>
    <xf numFmtId="37" fontId="23" fillId="13" borderId="0" xfId="1" applyNumberFormat="1" applyFont="1" applyFill="1"/>
    <xf numFmtId="166" fontId="22" fillId="0" borderId="0" xfId="2" applyNumberFormat="1" applyFont="1"/>
    <xf numFmtId="0" fontId="23" fillId="11" borderId="0" xfId="1" applyFont="1" applyFill="1"/>
    <xf numFmtId="164" fontId="23" fillId="11" borderId="0" xfId="1" applyNumberFormat="1" applyFont="1" applyFill="1"/>
    <xf numFmtId="166" fontId="23" fillId="11" borderId="0" xfId="1" applyNumberFormat="1" applyFont="1" applyFill="1" applyAlignment="1">
      <alignment horizontal="center"/>
    </xf>
    <xf numFmtId="0" fontId="28" fillId="0" borderId="6" xfId="1" applyFont="1" applyBorder="1" applyAlignment="1">
      <alignment horizontal="left" indent="2"/>
    </xf>
    <xf numFmtId="37" fontId="25" fillId="0" borderId="7" xfId="1" applyNumberFormat="1" applyFont="1" applyBorder="1"/>
    <xf numFmtId="166" fontId="25" fillId="0" borderId="7" xfId="2" applyNumberFormat="1" applyFont="1" applyBorder="1"/>
    <xf numFmtId="37" fontId="23" fillId="0" borderId="0" xfId="1" applyNumberFormat="1" applyFont="1"/>
    <xf numFmtId="0" fontId="29" fillId="0" borderId="0" xfId="1" applyFont="1" applyAlignment="1">
      <alignment horizontal="left" indent="2"/>
    </xf>
    <xf numFmtId="0" fontId="28" fillId="0" borderId="6" xfId="1" applyFont="1" applyBorder="1" applyAlignment="1">
      <alignment horizontal="left" indent="1"/>
    </xf>
    <xf numFmtId="0" fontId="28" fillId="0" borderId="0" xfId="1" applyFont="1" applyAlignment="1">
      <alignment horizontal="left" indent="3"/>
    </xf>
    <xf numFmtId="0" fontId="29" fillId="0" borderId="0" xfId="1" applyFont="1" applyAlignment="1">
      <alignment horizontal="left" indent="4"/>
    </xf>
    <xf numFmtId="37" fontId="30" fillId="13" borderId="0" xfId="1" applyNumberFormat="1" applyFont="1" applyFill="1"/>
    <xf numFmtId="0" fontId="28" fillId="0" borderId="6" xfId="1" applyFont="1" applyBorder="1" applyAlignment="1">
      <alignment horizontal="left" indent="3"/>
    </xf>
    <xf numFmtId="37" fontId="25" fillId="0" borderId="8" xfId="1" applyNumberFormat="1" applyFont="1" applyBorder="1"/>
    <xf numFmtId="166" fontId="25" fillId="0" borderId="8" xfId="2" applyNumberFormat="1" applyFont="1" applyBorder="1"/>
    <xf numFmtId="0" fontId="28" fillId="0" borderId="9" xfId="1" applyFont="1" applyBorder="1" applyAlignment="1">
      <alignment horizontal="left" indent="1"/>
    </xf>
    <xf numFmtId="0" fontId="28" fillId="0" borderId="9" xfId="1" applyFont="1" applyBorder="1" applyAlignment="1">
      <alignment horizontal="left" vertical="center"/>
    </xf>
    <xf numFmtId="37" fontId="25" fillId="0" borderId="10" xfId="1" applyNumberFormat="1" applyFont="1" applyBorder="1"/>
    <xf numFmtId="166" fontId="25" fillId="0" borderId="10" xfId="2" applyNumberFormat="1" applyFont="1" applyBorder="1"/>
    <xf numFmtId="0" fontId="29" fillId="0" borderId="0" xfId="1" applyFont="1" applyAlignment="1">
      <alignment horizontal="left"/>
    </xf>
    <xf numFmtId="0" fontId="23" fillId="0" borderId="0" xfId="1" applyFont="1"/>
    <xf numFmtId="0" fontId="31" fillId="9" borderId="0" xfId="1" applyFont="1" applyFill="1" applyAlignment="1">
      <alignment horizontal="left"/>
    </xf>
    <xf numFmtId="0" fontId="22" fillId="0" borderId="0" xfId="1" applyFont="1" applyAlignment="1">
      <alignment horizontal="center"/>
    </xf>
    <xf numFmtId="166" fontId="22" fillId="0" borderId="0" xfId="2" applyNumberFormat="1" applyFont="1" applyAlignment="1">
      <alignment horizontal="center"/>
    </xf>
    <xf numFmtId="0" fontId="28" fillId="14" borderId="6" xfId="1" applyFont="1" applyFill="1" applyBorder="1" applyAlignment="1">
      <alignment horizontal="left" indent="1"/>
    </xf>
    <xf numFmtId="37" fontId="25" fillId="14" borderId="7" xfId="1" applyNumberFormat="1" applyFont="1" applyFill="1" applyBorder="1"/>
    <xf numFmtId="166" fontId="25" fillId="14" borderId="7" xfId="2" applyNumberFormat="1" applyFont="1" applyFill="1" applyBorder="1"/>
    <xf numFmtId="166" fontId="32" fillId="0" borderId="0" xfId="2" applyNumberFormat="1" applyFont="1"/>
    <xf numFmtId="37" fontId="32" fillId="0" borderId="0" xfId="1" applyNumberFormat="1" applyFont="1"/>
    <xf numFmtId="0" fontId="32" fillId="0" borderId="0" xfId="1" applyFont="1"/>
    <xf numFmtId="0" fontId="28" fillId="15" borderId="6" xfId="1" applyFont="1" applyFill="1" applyBorder="1" applyAlignment="1">
      <alignment horizontal="left" indent="2"/>
    </xf>
    <xf numFmtId="37" fontId="25" fillId="15" borderId="7" xfId="1" applyNumberFormat="1" applyFont="1" applyFill="1" applyBorder="1"/>
    <xf numFmtId="166" fontId="25" fillId="15" borderId="7" xfId="2" applyNumberFormat="1" applyFont="1" applyFill="1" applyBorder="1"/>
    <xf numFmtId="0" fontId="22" fillId="0" borderId="11" xfId="1" applyFont="1" applyBorder="1"/>
    <xf numFmtId="169" fontId="32" fillId="0" borderId="11" xfId="2" applyNumberFormat="1" applyFont="1" applyBorder="1"/>
    <xf numFmtId="169" fontId="33" fillId="0" borderId="11" xfId="2" applyNumberFormat="1" applyFont="1" applyBorder="1" applyAlignment="1">
      <alignment horizontal="right"/>
    </xf>
    <xf numFmtId="169" fontId="33" fillId="0" borderId="11" xfId="1" applyNumberFormat="1" applyFont="1" applyBorder="1" applyAlignment="1">
      <alignment horizontal="right"/>
    </xf>
    <xf numFmtId="166" fontId="32" fillId="0" borderId="11" xfId="2" applyNumberFormat="1" applyFont="1" applyBorder="1"/>
    <xf numFmtId="37" fontId="33" fillId="0" borderId="11" xfId="1" applyNumberFormat="1" applyFont="1" applyBorder="1" applyAlignment="1">
      <alignment horizontal="right"/>
    </xf>
    <xf numFmtId="0" fontId="33" fillId="0" borderId="0" xfId="1" applyFont="1" applyAlignment="1">
      <alignment horizontal="right"/>
    </xf>
    <xf numFmtId="37" fontId="33" fillId="0" borderId="0" xfId="1" applyNumberFormat="1" applyFont="1" applyAlignment="1">
      <alignment horizontal="right"/>
    </xf>
    <xf numFmtId="0" fontId="25" fillId="0" borderId="0" xfId="1" applyFont="1"/>
    <xf numFmtId="166" fontId="22" fillId="0" borderId="0" xfId="2" applyNumberFormat="1" applyFont="1" applyBorder="1"/>
    <xf numFmtId="0" fontId="22" fillId="0" borderId="0" xfId="1" applyFont="1" applyAlignment="1">
      <alignment horizontal="left" indent="1"/>
    </xf>
    <xf numFmtId="37" fontId="22" fillId="0" borderId="0" xfId="2" applyNumberFormat="1" applyFont="1"/>
    <xf numFmtId="0" fontId="22" fillId="0" borderId="0" xfId="1" applyFont="1" applyAlignment="1">
      <alignment horizontal="left" indent="2"/>
    </xf>
    <xf numFmtId="37" fontId="22" fillId="0" borderId="5" xfId="2" applyNumberFormat="1" applyFont="1" applyBorder="1"/>
    <xf numFmtId="37" fontId="22" fillId="0" borderId="5" xfId="1" applyNumberFormat="1" applyFont="1" applyBorder="1"/>
    <xf numFmtId="37" fontId="22" fillId="0" borderId="8" xfId="2" applyNumberFormat="1" applyFont="1" applyBorder="1"/>
    <xf numFmtId="37" fontId="22" fillId="0" borderId="8" xfId="1" applyNumberFormat="1" applyFont="1" applyBorder="1"/>
    <xf numFmtId="37" fontId="23" fillId="10" borderId="0" xfId="1" applyNumberFormat="1" applyFont="1" applyFill="1"/>
    <xf numFmtId="37" fontId="30" fillId="10" borderId="0" xfId="1" applyNumberFormat="1" applyFont="1" applyFill="1"/>
    <xf numFmtId="0" fontId="2" fillId="9" borderId="0" xfId="0" applyFont="1" applyFill="1"/>
    <xf numFmtId="14" fontId="0" fillId="0" borderId="0" xfId="0" applyNumberFormat="1"/>
    <xf numFmtId="37" fontId="34" fillId="0" borderId="0" xfId="1" applyNumberFormat="1" applyFont="1"/>
    <xf numFmtId="0" fontId="35" fillId="0" borderId="0" xfId="1" applyFont="1" applyAlignment="1">
      <alignment horizontal="left" vertical="center" indent="2"/>
    </xf>
    <xf numFmtId="166" fontId="22" fillId="0" borderId="0" xfId="1" applyNumberFormat="1" applyFont="1"/>
    <xf numFmtId="169" fontId="22" fillId="0" borderId="0" xfId="1" applyNumberFormat="1" applyFont="1"/>
    <xf numFmtId="169" fontId="22" fillId="0" borderId="0" xfId="2" applyNumberFormat="1" applyFont="1"/>
    <xf numFmtId="0" fontId="22" fillId="0" borderId="0" xfId="1" applyFont="1" applyAlignment="1">
      <alignment horizontal="left"/>
    </xf>
    <xf numFmtId="166" fontId="22" fillId="0" borderId="0" xfId="2" applyNumberFormat="1" applyFont="1" applyAlignment="1">
      <alignment horizontal="left" indent="1"/>
    </xf>
    <xf numFmtId="37" fontId="30" fillId="0" borderId="0" xfId="1" applyNumberFormat="1" applyFont="1"/>
    <xf numFmtId="37" fontId="23" fillId="15" borderId="0" xfId="1" applyNumberFormat="1" applyFont="1" applyFill="1"/>
    <xf numFmtId="0" fontId="36" fillId="0" borderId="0" xfId="0" applyFont="1" applyAlignment="1">
      <alignment horizontal="left"/>
    </xf>
    <xf numFmtId="0" fontId="36" fillId="0" borderId="0" xfId="0" applyFont="1"/>
    <xf numFmtId="0" fontId="37" fillId="0" borderId="0" xfId="0" applyFont="1"/>
    <xf numFmtId="0" fontId="39" fillId="5" borderId="0" xfId="0" applyFont="1" applyFill="1"/>
    <xf numFmtId="0" fontId="0" fillId="5" borderId="0" xfId="0" applyFill="1"/>
    <xf numFmtId="0" fontId="40" fillId="0" borderId="0" xfId="0" applyFont="1"/>
    <xf numFmtId="0" fontId="39" fillId="3" borderId="0" xfId="0" applyFont="1" applyFill="1" applyAlignment="1">
      <alignment horizontal="center"/>
    </xf>
    <xf numFmtId="165" fontId="38" fillId="0" borderId="0" xfId="0" applyNumberFormat="1" applyFont="1"/>
    <xf numFmtId="165" fontId="39" fillId="5" borderId="0" xfId="0" applyNumberFormat="1" applyFont="1" applyFill="1"/>
    <xf numFmtId="166" fontId="43" fillId="7" borderId="1" xfId="0" applyNumberFormat="1" applyFont="1" applyFill="1" applyBorder="1" applyAlignment="1">
      <alignment horizontal="center"/>
    </xf>
    <xf numFmtId="166" fontId="43" fillId="7" borderId="2" xfId="0" applyNumberFormat="1" applyFont="1" applyFill="1" applyBorder="1" applyAlignment="1">
      <alignment horizontal="center"/>
    </xf>
    <xf numFmtId="37" fontId="25" fillId="0" borderId="0" xfId="1" applyNumberFormat="1" applyFont="1"/>
  </cellXfs>
  <cellStyles count="3">
    <cellStyle name="Normal" xfId="0" builtinId="0"/>
    <cellStyle name="Normal 2" xfId="1" xr:uid="{2BA31C6E-E193-4870-9251-FD3C1715D674}"/>
    <cellStyle name="Percent 2" xfId="2" xr:uid="{E8A51E54-3542-4E85-940B-CC8E72B317DC}"/>
  </cellStyles>
  <dxfs count="75"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7B%20TC%20PL%20Rollup.xlsx" TargetMode="External"/><Relationship Id="rId2" Type="http://schemas.openxmlformats.org/officeDocument/2006/relationships/externalLinkPath" Target="file:///G:\My%20Drive\SLIP%20Folders\Budget\2027\2027B%20TC%20PL%20Rollup.xlsx" TargetMode="External"/><Relationship Id="rId1" Type="http://schemas.openxmlformats.org/officeDocument/2006/relationships/externalLinkPath" Target="/My%20Drive/SLIP%20Folders/Budget/2027/2027B%20TC%20PL%20Rollup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Prep%20Files/2027B%20Expense%20TC%20Prep%20w%20Aug%20Act.xlsx" TargetMode="External"/><Relationship Id="rId2" Type="http://schemas.openxmlformats.org/officeDocument/2006/relationships/externalLinkPath" Target="file:///G:\My%20Drive\SLIP%20Folders\Budget\2027\Prep%20Files\2027B%20Expense%20TC%20Prep%20w%20Aug%20Act.xlsx" TargetMode="External"/><Relationship Id="rId1" Type="http://schemas.openxmlformats.org/officeDocument/2006/relationships/externalLinkPath" Target="/My%20Drive/SLIP%20Folders/Budget/2027/Prep%20Files/2027B%20Expense%20TC%20Prep%20w%20Aug%20A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commendations"/>
      <sheetName val="DR Recon"/>
      <sheetName val="Debt Funding"/>
      <sheetName val="Sum P&amp;L"/>
      <sheetName val="Sum BS&amp;CF"/>
      <sheetName val="BS CF"/>
      <sheetName val="Total Company"/>
      <sheetName val="AM"/>
      <sheetName val="MK"/>
      <sheetName val="SL"/>
      <sheetName val="ST"/>
      <sheetName val="CO"/>
      <sheetName val="FE"/>
      <sheetName val="FO"/>
      <sheetName val="PE"/>
      <sheetName val="PO"/>
      <sheetName val="RD"/>
      <sheetName val="IS"/>
      <sheetName val="GA"/>
      <sheetName val="HR"/>
      <sheetName val="ND"/>
      <sheetName val="Emerging"/>
      <sheetName val="CRO"/>
      <sheetName val="COO"/>
      <sheetName val="CTO"/>
      <sheetName val="Contractors"/>
      <sheetName val="Salary Sum"/>
      <sheetName val="T&amp;B"/>
      <sheetName val="Debt"/>
      <sheetName val="Detail---&gt;"/>
      <sheetName val="Jan26A"/>
      <sheetName val="Feb26A"/>
      <sheetName val="Mar26A"/>
      <sheetName val="Apr26A"/>
      <sheetName val="May26A"/>
      <sheetName val="Jun26A"/>
      <sheetName val="Jul26A"/>
      <sheetName val="Aug26A"/>
      <sheetName val="Sep26A"/>
      <sheetName val="Oct26A"/>
      <sheetName val="Nov26A"/>
      <sheetName val="Dec26A"/>
      <sheetName val="PL QB 25A"/>
      <sheetName val="BS"/>
      <sheetName val="Claude Lo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3">
          <cell r="R13" t="str">
            <v>AM</v>
          </cell>
          <cell r="S13">
            <v>5.2778680120578639E-2</v>
          </cell>
          <cell r="T13">
            <v>0.12917111459767783</v>
          </cell>
        </row>
        <row r="14">
          <cell r="R14" t="str">
            <v>MK</v>
          </cell>
          <cell r="S14">
            <v>5.8553859714109452E-2</v>
          </cell>
          <cell r="T14">
            <v>0.14581922170232203</v>
          </cell>
        </row>
        <row r="15">
          <cell r="R15" t="str">
            <v>SL</v>
          </cell>
          <cell r="S15">
            <v>8.1264764695454766E-2</v>
          </cell>
          <cell r="T15">
            <v>4.9336529397607742E-2</v>
          </cell>
        </row>
        <row r="16">
          <cell r="R16" t="str">
            <v>ST</v>
          </cell>
          <cell r="S16">
            <v>8.1264764695454766E-2</v>
          </cell>
          <cell r="T16">
            <v>4.9336529397607742E-2</v>
          </cell>
        </row>
        <row r="17">
          <cell r="R17" t="str">
            <v>CO</v>
          </cell>
          <cell r="S17">
            <v>5.221456081868095E-2</v>
          </cell>
          <cell r="T17">
            <v>0.11905805336231291</v>
          </cell>
        </row>
        <row r="18">
          <cell r="R18" t="str">
            <v>FE</v>
          </cell>
          <cell r="S18">
            <v>4.0692069161390718E-2</v>
          </cell>
          <cell r="T18">
            <v>7.222908537898412E-2</v>
          </cell>
        </row>
        <row r="19">
          <cell r="R19" t="str">
            <v>FO</v>
          </cell>
          <cell r="S19">
            <v>6.8470908430436739E-2</v>
          </cell>
          <cell r="T19">
            <v>0.16405370751499249</v>
          </cell>
        </row>
        <row r="20">
          <cell r="R20" t="str">
            <v>PE</v>
          </cell>
          <cell r="S20">
            <v>3.5714662078943617E-2</v>
          </cell>
          <cell r="T20">
            <v>8.8232326796867933E-2</v>
          </cell>
        </row>
        <row r="21">
          <cell r="R21" t="str">
            <v>PO</v>
          </cell>
          <cell r="S21">
            <v>3.6368896884417502E-2</v>
          </cell>
          <cell r="T21">
            <v>0.20636268701944149</v>
          </cell>
        </row>
        <row r="22">
          <cell r="R22" t="str">
            <v>RD</v>
          </cell>
          <cell r="S22">
            <v>3.7302159999073603E-2</v>
          </cell>
          <cell r="T22">
            <v>5.6560138565240906E-2</v>
          </cell>
        </row>
        <row r="23">
          <cell r="R23" t="str">
            <v>IS</v>
          </cell>
          <cell r="S23">
            <v>3.7302159999073603E-2</v>
          </cell>
          <cell r="T23">
            <v>5.6560138565240906E-2</v>
          </cell>
        </row>
        <row r="24">
          <cell r="R24" t="str">
            <v>GA</v>
          </cell>
          <cell r="S24">
            <v>3.2799687048529445E-2</v>
          </cell>
          <cell r="T24">
            <v>4.2977758357317999E-2</v>
          </cell>
        </row>
        <row r="25">
          <cell r="R25" t="str">
            <v>HR</v>
          </cell>
          <cell r="S25">
            <v>3.2799687048529445E-2</v>
          </cell>
          <cell r="T25">
            <v>4.2977758357317999E-2</v>
          </cell>
        </row>
        <row r="32">
          <cell r="R32" t="str">
            <v>Budget</v>
          </cell>
          <cell r="S32" t="str">
            <v>Budget</v>
          </cell>
          <cell r="T32" t="str">
            <v>Budget</v>
          </cell>
        </row>
        <row r="33">
          <cell r="R33" t="str">
            <v>Jan</v>
          </cell>
          <cell r="S33" t="str">
            <v>Feb</v>
          </cell>
          <cell r="T33" t="str">
            <v>Mar</v>
          </cell>
        </row>
        <row r="36">
          <cell r="R36">
            <v>38750</v>
          </cell>
          <cell r="S36">
            <v>38750</v>
          </cell>
          <cell r="T36">
            <v>38750</v>
          </cell>
        </row>
        <row r="37">
          <cell r="R37">
            <v>40270</v>
          </cell>
          <cell r="S37">
            <v>40270</v>
          </cell>
          <cell r="T37">
            <v>40270</v>
          </cell>
        </row>
        <row r="38">
          <cell r="R38">
            <v>79125</v>
          </cell>
          <cell r="S38">
            <v>79125</v>
          </cell>
          <cell r="T38">
            <v>79125</v>
          </cell>
        </row>
        <row r="39">
          <cell r="R39">
            <v>79125</v>
          </cell>
          <cell r="S39">
            <v>79125</v>
          </cell>
          <cell r="T39">
            <v>79125</v>
          </cell>
        </row>
        <row r="40">
          <cell r="R40">
            <v>43709.833333333328</v>
          </cell>
          <cell r="S40">
            <v>43709.833333333328</v>
          </cell>
          <cell r="T40">
            <v>43709.833333333328</v>
          </cell>
        </row>
        <row r="41">
          <cell r="R41">
            <v>55889.25</v>
          </cell>
          <cell r="S41">
            <v>55889.25</v>
          </cell>
          <cell r="T41">
            <v>55889.25</v>
          </cell>
        </row>
        <row r="42">
          <cell r="R42">
            <v>90012.583333333343</v>
          </cell>
          <cell r="S42">
            <v>90012.583333333343</v>
          </cell>
          <cell r="T42">
            <v>90012.583333333343</v>
          </cell>
        </row>
        <row r="43">
          <cell r="R43">
            <v>89166.25</v>
          </cell>
          <cell r="S43">
            <v>89166.25</v>
          </cell>
          <cell r="T43">
            <v>89166.25</v>
          </cell>
        </row>
        <row r="44">
          <cell r="R44">
            <v>43450</v>
          </cell>
          <cell r="S44">
            <v>43450</v>
          </cell>
          <cell r="T44">
            <v>43450</v>
          </cell>
        </row>
        <row r="45">
          <cell r="R45">
            <v>285331.33333333331</v>
          </cell>
          <cell r="S45">
            <v>285331.33333333331</v>
          </cell>
          <cell r="T45">
            <v>285331.33333333331</v>
          </cell>
        </row>
        <row r="46">
          <cell r="R46">
            <v>67458.333333333328</v>
          </cell>
          <cell r="S46">
            <v>67458.333333333328</v>
          </cell>
          <cell r="T46">
            <v>67458.333333333328</v>
          </cell>
        </row>
        <row r="47">
          <cell r="R47">
            <v>229520.83333333334</v>
          </cell>
          <cell r="S47">
            <v>229520.83333333334</v>
          </cell>
          <cell r="T47">
            <v>229520.83333333334</v>
          </cell>
        </row>
        <row r="48">
          <cell r="R48">
            <v>30500</v>
          </cell>
          <cell r="S48">
            <v>30500</v>
          </cell>
          <cell r="T48">
            <v>30500</v>
          </cell>
        </row>
        <row r="49">
          <cell r="R49">
            <v>1172308.4166666667</v>
          </cell>
          <cell r="S49">
            <v>1172308.4166666667</v>
          </cell>
          <cell r="T49">
            <v>1172308.4166666667</v>
          </cell>
        </row>
        <row r="52">
          <cell r="R52">
            <v>2045.1738546724223</v>
          </cell>
          <cell r="S52">
            <v>2045.1738546724223</v>
          </cell>
          <cell r="T52">
            <v>2045.1738546724223</v>
          </cell>
        </row>
        <row r="53">
          <cell r="R53">
            <v>2357.9639306871877</v>
          </cell>
          <cell r="S53">
            <v>2357.9639306871877</v>
          </cell>
          <cell r="T53">
            <v>2357.9639306871877</v>
          </cell>
        </row>
        <row r="54">
          <cell r="R54">
            <v>6430.0745065278588</v>
          </cell>
          <cell r="S54">
            <v>6430.0745065278588</v>
          </cell>
          <cell r="T54">
            <v>6430.0745065278588</v>
          </cell>
        </row>
        <row r="55">
          <cell r="R55">
            <v>6430.0745065278588</v>
          </cell>
          <cell r="S55">
            <v>6430.0745065278588</v>
          </cell>
          <cell r="T55">
            <v>6430.0745065278588</v>
          </cell>
        </row>
        <row r="56">
          <cell r="R56">
            <v>2282.289750957741</v>
          </cell>
          <cell r="S56">
            <v>2282.289750957741</v>
          </cell>
          <cell r="T56">
            <v>2282.289750957741</v>
          </cell>
        </row>
        <row r="57">
          <cell r="R57">
            <v>2274.249226378256</v>
          </cell>
          <cell r="S57">
            <v>2274.249226378256</v>
          </cell>
          <cell r="T57">
            <v>2274.249226378256</v>
          </cell>
        </row>
        <row r="58">
          <cell r="R58">
            <v>6163.2433510037235</v>
          </cell>
          <cell r="S58">
            <v>6163.2433510037235</v>
          </cell>
          <cell r="T58">
            <v>6163.2433510037235</v>
          </cell>
        </row>
        <row r="59">
          <cell r="R59">
            <v>3184.5424875966064</v>
          </cell>
          <cell r="S59">
            <v>3184.5424875966064</v>
          </cell>
          <cell r="T59">
            <v>3184.5424875966064</v>
          </cell>
        </row>
        <row r="60">
          <cell r="R60">
            <v>1580.2285696279405</v>
          </cell>
          <cell r="S60">
            <v>1580.2285696279405</v>
          </cell>
          <cell r="T60">
            <v>1580.2285696279405</v>
          </cell>
        </row>
        <row r="61">
          <cell r="R61">
            <v>10643.475048749002</v>
          </cell>
          <cell r="S61">
            <v>10643.475048749002</v>
          </cell>
          <cell r="T61">
            <v>10643.475048749002</v>
          </cell>
        </row>
        <row r="62">
          <cell r="R62">
            <v>2516.3415432708398</v>
          </cell>
          <cell r="S62">
            <v>2516.3415432708398</v>
          </cell>
          <cell r="T62">
            <v>2516.3415432708398</v>
          </cell>
        </row>
        <row r="63">
          <cell r="R63">
            <v>7528.2115044510192</v>
          </cell>
          <cell r="S63">
            <v>7528.2115044510192</v>
          </cell>
          <cell r="T63">
            <v>7528.2115044510192</v>
          </cell>
        </row>
        <row r="64">
          <cell r="R64">
            <v>1000.3904549801481</v>
          </cell>
          <cell r="S64">
            <v>1000.3904549801481</v>
          </cell>
          <cell r="T64">
            <v>1000.3904549801481</v>
          </cell>
        </row>
        <row r="65">
          <cell r="R65">
            <v>54436.258735430602</v>
          </cell>
          <cell r="S65">
            <v>54436.258735430602</v>
          </cell>
          <cell r="T65">
            <v>54436.258735430602</v>
          </cell>
        </row>
        <row r="68">
          <cell r="R68">
            <v>5.2778680120578639E-2</v>
          </cell>
          <cell r="S68">
            <v>5.2778680120578639E-2</v>
          </cell>
          <cell r="T68">
            <v>5.2778680120578639E-2</v>
          </cell>
        </row>
        <row r="69">
          <cell r="R69">
            <v>5.8553859714109452E-2</v>
          </cell>
          <cell r="S69">
            <v>5.8553859714109452E-2</v>
          </cell>
          <cell r="T69">
            <v>5.8553859714109452E-2</v>
          </cell>
        </row>
        <row r="70">
          <cell r="R70">
            <v>8.1264764695454766E-2</v>
          </cell>
          <cell r="S70">
            <v>8.1264764695454766E-2</v>
          </cell>
          <cell r="T70">
            <v>8.1264764695454766E-2</v>
          </cell>
        </row>
        <row r="71">
          <cell r="R71">
            <v>8.1264764695454766E-2</v>
          </cell>
          <cell r="S71">
            <v>8.1264764695454766E-2</v>
          </cell>
          <cell r="T71">
            <v>8.1264764695454766E-2</v>
          </cell>
        </row>
        <row r="72">
          <cell r="R72">
            <v>5.221456081868095E-2</v>
          </cell>
          <cell r="S72">
            <v>5.221456081868095E-2</v>
          </cell>
          <cell r="T72">
            <v>5.221456081868095E-2</v>
          </cell>
        </row>
        <row r="73">
          <cell r="R73">
            <v>4.0692069161390718E-2</v>
          </cell>
          <cell r="S73">
            <v>4.0692069161390718E-2</v>
          </cell>
          <cell r="T73">
            <v>4.0692069161390718E-2</v>
          </cell>
        </row>
        <row r="74">
          <cell r="R74">
            <v>6.8470908430436739E-2</v>
          </cell>
          <cell r="S74">
            <v>6.8470908430436739E-2</v>
          </cell>
          <cell r="T74">
            <v>6.8470908430436739E-2</v>
          </cell>
        </row>
        <row r="75">
          <cell r="R75">
            <v>3.5714662078943617E-2</v>
          </cell>
          <cell r="S75">
            <v>3.5714662078943617E-2</v>
          </cell>
          <cell r="T75">
            <v>3.5714662078943617E-2</v>
          </cell>
        </row>
        <row r="76">
          <cell r="R76">
            <v>3.6368896884417502E-2</v>
          </cell>
          <cell r="S76">
            <v>3.6368896884417502E-2</v>
          </cell>
          <cell r="T76">
            <v>3.6368896884417502E-2</v>
          </cell>
        </row>
        <row r="77">
          <cell r="R77">
            <v>3.7302159999073603E-2</v>
          </cell>
          <cell r="S77">
            <v>3.7302159999073603E-2</v>
          </cell>
          <cell r="T77">
            <v>3.7302159999073603E-2</v>
          </cell>
        </row>
        <row r="78">
          <cell r="R78">
            <v>3.7302159999073603E-2</v>
          </cell>
          <cell r="S78">
            <v>3.7302159999073603E-2</v>
          </cell>
          <cell r="T78">
            <v>3.7302159999073603E-2</v>
          </cell>
        </row>
        <row r="79">
          <cell r="R79">
            <v>3.2799687048529445E-2</v>
          </cell>
          <cell r="S79">
            <v>3.2799687048529445E-2</v>
          </cell>
          <cell r="T79">
            <v>3.2799687048529445E-2</v>
          </cell>
        </row>
        <row r="80">
          <cell r="R80">
            <v>3.2799687048529445E-2</v>
          </cell>
          <cell r="S80">
            <v>3.2799687048529445E-2</v>
          </cell>
          <cell r="T80">
            <v>3.2799687048529445E-2</v>
          </cell>
        </row>
        <row r="81">
          <cell r="R81">
            <v>4.6435100150704595E-2</v>
          </cell>
          <cell r="S81">
            <v>4.6435100150704595E-2</v>
          </cell>
          <cell r="T81">
            <v>4.6435100150704595E-2</v>
          </cell>
        </row>
        <row r="84">
          <cell r="R84">
            <v>5005.3806906600157</v>
          </cell>
          <cell r="S84">
            <v>5005.3806906600157</v>
          </cell>
          <cell r="T84">
            <v>5005.3806906600157</v>
          </cell>
        </row>
        <row r="85">
          <cell r="R85">
            <v>5872.140057952508</v>
          </cell>
          <cell r="S85">
            <v>5872.140057952508</v>
          </cell>
          <cell r="T85">
            <v>5872.140057952508</v>
          </cell>
        </row>
        <row r="86">
          <cell r="R86">
            <v>3903.7528885857128</v>
          </cell>
          <cell r="S86">
            <v>3903.7528885857128</v>
          </cell>
          <cell r="T86">
            <v>3903.7528885857128</v>
          </cell>
        </row>
        <row r="87">
          <cell r="R87">
            <v>3903.7528885857128</v>
          </cell>
          <cell r="S87">
            <v>3903.7528885857128</v>
          </cell>
          <cell r="T87">
            <v>3903.7528885857128</v>
          </cell>
        </row>
        <row r="88">
          <cell r="R88">
            <v>5204.0076694578029</v>
          </cell>
          <cell r="S88">
            <v>5204.0076694578029</v>
          </cell>
          <cell r="T88">
            <v>5204.0076694578029</v>
          </cell>
        </row>
        <row r="89">
          <cell r="R89">
            <v>4036.8294100173885</v>
          </cell>
          <cell r="S89">
            <v>4036.8294100173885</v>
          </cell>
          <cell r="T89">
            <v>4036.8294100173885</v>
          </cell>
        </row>
        <row r="90">
          <cell r="R90">
            <v>14766.898018835556</v>
          </cell>
          <cell r="S90">
            <v>14766.898018835556</v>
          </cell>
          <cell r="T90">
            <v>14766.898018835556</v>
          </cell>
        </row>
        <row r="91">
          <cell r="R91">
            <v>7867.3457092512253</v>
          </cell>
          <cell r="S91">
            <v>7867.3457092512253</v>
          </cell>
          <cell r="T91">
            <v>7867.3457092512253</v>
          </cell>
        </row>
        <row r="92">
          <cell r="R92">
            <v>8966.4587509947323</v>
          </cell>
          <cell r="S92">
            <v>8966.4587509947323</v>
          </cell>
          <cell r="T92">
            <v>8966.4587509947323</v>
          </cell>
        </row>
        <row r="93">
          <cell r="R93">
            <v>16138.379750338274</v>
          </cell>
          <cell r="S93">
            <v>16138.379750338274</v>
          </cell>
          <cell r="T93">
            <v>16138.379750338274</v>
          </cell>
        </row>
        <row r="94">
          <cell r="R94">
            <v>3815.4526807135426</v>
          </cell>
          <cell r="S94">
            <v>3815.4526807135426</v>
          </cell>
          <cell r="T94">
            <v>3815.4526807135426</v>
          </cell>
        </row>
        <row r="95">
          <cell r="R95">
            <v>9864.2909129702584</v>
          </cell>
          <cell r="S95">
            <v>9864.2909129702584</v>
          </cell>
          <cell r="T95">
            <v>9864.2909129702584</v>
          </cell>
        </row>
        <row r="96">
          <cell r="R96">
            <v>1310.821629898199</v>
          </cell>
          <cell r="S96">
            <v>1310.821629898199</v>
          </cell>
          <cell r="T96">
            <v>1310.821629898199</v>
          </cell>
        </row>
        <row r="97">
          <cell r="R97">
            <v>90655.51105826092</v>
          </cell>
          <cell r="S97">
            <v>90655.51105826092</v>
          </cell>
          <cell r="T97">
            <v>90655.51105826092</v>
          </cell>
        </row>
        <row r="100">
          <cell r="R100">
            <v>0.12917111459767783</v>
          </cell>
          <cell r="S100">
            <v>0.12917111459767783</v>
          </cell>
          <cell r="T100">
            <v>0.12917111459767783</v>
          </cell>
        </row>
        <row r="101">
          <cell r="R101">
            <v>0.14581922170232203</v>
          </cell>
          <cell r="S101">
            <v>0.14581922170232203</v>
          </cell>
          <cell r="T101">
            <v>0.14581922170232203</v>
          </cell>
        </row>
        <row r="102">
          <cell r="R102">
            <v>4.9336529397607742E-2</v>
          </cell>
          <cell r="S102">
            <v>4.9336529397607742E-2</v>
          </cell>
          <cell r="T102">
            <v>4.9336529397607742E-2</v>
          </cell>
        </row>
        <row r="103">
          <cell r="R103">
            <v>4.9336529397607742E-2</v>
          </cell>
          <cell r="S103">
            <v>4.9336529397607742E-2</v>
          </cell>
          <cell r="T103">
            <v>4.9336529397607742E-2</v>
          </cell>
        </row>
        <row r="104">
          <cell r="R104">
            <v>0.11905805336231291</v>
          </cell>
          <cell r="S104">
            <v>0.11905805336231291</v>
          </cell>
          <cell r="T104">
            <v>0.11905805336231291</v>
          </cell>
        </row>
        <row r="105">
          <cell r="R105">
            <v>7.222908537898412E-2</v>
          </cell>
          <cell r="S105">
            <v>7.222908537898412E-2</v>
          </cell>
          <cell r="T105">
            <v>7.222908537898412E-2</v>
          </cell>
        </row>
        <row r="106">
          <cell r="R106">
            <v>0.16405370751499249</v>
          </cell>
          <cell r="S106">
            <v>0.16405370751499249</v>
          </cell>
          <cell r="T106">
            <v>0.16405370751499249</v>
          </cell>
        </row>
        <row r="107">
          <cell r="R107">
            <v>8.8232326796867933E-2</v>
          </cell>
          <cell r="S107">
            <v>8.8232326796867933E-2</v>
          </cell>
          <cell r="T107">
            <v>8.8232326796867933E-2</v>
          </cell>
        </row>
        <row r="108">
          <cell r="R108">
            <v>0.20636268701944149</v>
          </cell>
          <cell r="S108">
            <v>0.20636268701944149</v>
          </cell>
          <cell r="T108">
            <v>0.20636268701944149</v>
          </cell>
        </row>
        <row r="109">
          <cell r="R109">
            <v>5.6560138565240906E-2</v>
          </cell>
          <cell r="S109">
            <v>5.6560138565240906E-2</v>
          </cell>
          <cell r="T109">
            <v>5.6560138565240906E-2</v>
          </cell>
        </row>
        <row r="110">
          <cell r="R110">
            <v>5.6560138565240906E-2</v>
          </cell>
          <cell r="S110">
            <v>5.6560138565240906E-2</v>
          </cell>
          <cell r="T110">
            <v>5.6560138565240906E-2</v>
          </cell>
        </row>
        <row r="111">
          <cell r="R111">
            <v>4.2977758357317999E-2</v>
          </cell>
          <cell r="S111">
            <v>4.2977758357317999E-2</v>
          </cell>
          <cell r="T111">
            <v>4.2977758357317999E-2</v>
          </cell>
        </row>
        <row r="112">
          <cell r="R112">
            <v>4.2977758357317999E-2</v>
          </cell>
          <cell r="S112">
            <v>4.2977758357317999E-2</v>
          </cell>
          <cell r="T112">
            <v>4.2977758357317999E-2</v>
          </cell>
        </row>
        <row r="113">
          <cell r="R113">
            <v>7.7330768737488162E-2</v>
          </cell>
          <cell r="S113">
            <v>7.7330768737488162E-2</v>
          </cell>
          <cell r="T113">
            <v>7.7330768737488162E-2</v>
          </cell>
        </row>
        <row r="116">
          <cell r="R116">
            <v>0</v>
          </cell>
          <cell r="S116">
            <v>0</v>
          </cell>
          <cell r="T116">
            <v>0</v>
          </cell>
        </row>
        <row r="117">
          <cell r="R117">
            <v>0</v>
          </cell>
          <cell r="S117">
            <v>0</v>
          </cell>
          <cell r="T117">
            <v>0</v>
          </cell>
        </row>
        <row r="118">
          <cell r="R118">
            <v>0</v>
          </cell>
          <cell r="S118">
            <v>0</v>
          </cell>
          <cell r="T118">
            <v>0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commendations"/>
      <sheetName val="DR Recon"/>
      <sheetName val="Debt Funding"/>
      <sheetName val="Sum P&amp;L"/>
      <sheetName val="Sum BS&amp;CF"/>
      <sheetName val="BS CF"/>
      <sheetName val="Total Company"/>
      <sheetName val="AM"/>
      <sheetName val="MK"/>
      <sheetName val="SL"/>
      <sheetName val="ST"/>
      <sheetName val="CO"/>
      <sheetName val="FE"/>
      <sheetName val="FO"/>
      <sheetName val="PE"/>
      <sheetName val="PO"/>
      <sheetName val="RD"/>
      <sheetName val="IS"/>
      <sheetName val="GA"/>
      <sheetName val="HR"/>
      <sheetName val="ND"/>
      <sheetName val="Emerging"/>
      <sheetName val="CRO"/>
      <sheetName val="COO"/>
      <sheetName val="CTO"/>
      <sheetName val="Contractors"/>
      <sheetName val="Salary Sum"/>
      <sheetName val="Debt"/>
      <sheetName val="Detail---&gt;"/>
      <sheetName val="Jan26A"/>
      <sheetName val="Feb26A"/>
      <sheetName val="Mar26A"/>
      <sheetName val="Apr26A"/>
      <sheetName val="May26A"/>
      <sheetName val="Jun26A"/>
      <sheetName val="Jul26A"/>
      <sheetName val="Aug26A"/>
      <sheetName val="Sep26A"/>
      <sheetName val="Oct26A"/>
      <sheetName val="Nov26A"/>
      <sheetName val="Dec26A"/>
      <sheetName val="PL QB 25A"/>
      <sheetName val="BS"/>
      <sheetName val="Claude Lo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29">
          <cell r="W229">
            <v>0</v>
          </cell>
          <cell r="X229">
            <v>0</v>
          </cell>
          <cell r="Y229">
            <v>0</v>
          </cell>
          <cell r="Z229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 t="str">
            <v>Slip Robotics Inc.</v>
          </cell>
        </row>
        <row r="2">
          <cell r="A2" t="str">
            <v>Slip Robotics, Inc.</v>
          </cell>
        </row>
        <row r="3">
          <cell r="A3" t="str">
            <v>SR Income Statement</v>
          </cell>
        </row>
        <row r="4">
          <cell r="A4" t="str">
            <v>Jan 2026</v>
          </cell>
        </row>
        <row r="5">
          <cell r="A5" t="str">
            <v/>
          </cell>
        </row>
        <row r="6">
          <cell r="A6" t="str">
            <v>Options: Show Zeros, Activity Only</v>
          </cell>
        </row>
        <row r="7">
          <cell r="A7" t="str">
            <v>Financial Row</v>
          </cell>
          <cell r="B7" t="str">
            <v>- No Department -</v>
          </cell>
          <cell r="C7" t="str">
            <v>Account Management</v>
          </cell>
          <cell r="D7" t="str">
            <v>Central Operations</v>
          </cell>
          <cell r="E7" t="str">
            <v>Field Engineering</v>
          </cell>
          <cell r="F7" t="str">
            <v>Field Operations</v>
          </cell>
          <cell r="G7" t="str">
            <v>G&amp;A</v>
          </cell>
          <cell r="H7" t="str">
            <v>Marketing</v>
          </cell>
          <cell r="I7" t="str">
            <v>Production Engineering</v>
          </cell>
          <cell r="J7" t="str">
            <v>Production Operations</v>
          </cell>
          <cell r="K7" t="str">
            <v>R&amp;D</v>
          </cell>
          <cell r="L7" t="str">
            <v>Sales</v>
          </cell>
          <cell r="M7" t="str">
            <v>Total</v>
          </cell>
        </row>
        <row r="8">
          <cell r="A8" t="str">
            <v> </v>
          </cell>
          <cell r="B8" t="str">
            <v>Amount</v>
          </cell>
          <cell r="C8" t="str">
            <v>Amount</v>
          </cell>
          <cell r="D8" t="str">
            <v>Amount</v>
          </cell>
          <cell r="E8" t="str">
            <v>Amount</v>
          </cell>
          <cell r="F8" t="str">
            <v>Amount</v>
          </cell>
          <cell r="G8" t="str">
            <v>Amount</v>
          </cell>
          <cell r="H8" t="str">
            <v>Amount</v>
          </cell>
          <cell r="I8" t="str">
            <v>Amount</v>
          </cell>
          <cell r="J8" t="str">
            <v>Amount</v>
          </cell>
          <cell r="K8" t="str">
            <v>Amount</v>
          </cell>
          <cell r="L8" t="str">
            <v>Amount</v>
          </cell>
          <cell r="M8" t="str">
            <v>Amount</v>
          </cell>
        </row>
        <row r="9">
          <cell r="A9" t="str">
            <v>Ordinary Income/Expense</v>
          </cell>
        </row>
        <row r="10">
          <cell r="A10" t="str">
            <v>Income</v>
          </cell>
        </row>
        <row r="11">
          <cell r="A11" t="str">
            <v>4000 - Sales</v>
          </cell>
        </row>
        <row r="12">
          <cell r="A12" t="str">
            <v>4100 - Subscription/Platform Fees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534716.78</v>
          </cell>
          <cell r="K12">
            <v>0</v>
          </cell>
          <cell r="L12">
            <v>0</v>
          </cell>
          <cell r="M12">
            <v>534716.78</v>
          </cell>
        </row>
        <row r="13">
          <cell r="A13" t="str">
            <v>4500 - Implementation Fees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8277.7800000000007</v>
          </cell>
          <cell r="K13">
            <v>0</v>
          </cell>
          <cell r="L13">
            <v>0</v>
          </cell>
          <cell r="M13">
            <v>8277.7800000000007</v>
          </cell>
        </row>
        <row r="14">
          <cell r="A14" t="str">
            <v>Total - 4000 - Sales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542994.56000000006</v>
          </cell>
          <cell r="K14">
            <v>0</v>
          </cell>
          <cell r="L14">
            <v>0</v>
          </cell>
          <cell r="M14">
            <v>542994.56000000006</v>
          </cell>
        </row>
        <row r="15">
          <cell r="A15" t="str">
            <v>Total - Income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542994.56000000006</v>
          </cell>
          <cell r="K15">
            <v>0</v>
          </cell>
          <cell r="L15">
            <v>0</v>
          </cell>
          <cell r="M15">
            <v>542994.56000000006</v>
          </cell>
        </row>
        <row r="16">
          <cell r="A16" t="str">
            <v>Cost Of Sales</v>
          </cell>
        </row>
        <row r="17">
          <cell r="A17" t="str">
            <v>5000 - Robot Production and Deployment</v>
          </cell>
        </row>
        <row r="18">
          <cell r="A18" t="str">
            <v>5010 - SlipBot Depreciation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141122.35</v>
          </cell>
          <cell r="K18">
            <v>0</v>
          </cell>
          <cell r="L18">
            <v>0</v>
          </cell>
          <cell r="M18">
            <v>141122.35</v>
          </cell>
        </row>
        <row r="19">
          <cell r="A19" t="str">
            <v>5020 - Robot Peripherals Depreciation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8211.9</v>
          </cell>
          <cell r="K19">
            <v>0</v>
          </cell>
          <cell r="L19">
            <v>0</v>
          </cell>
          <cell r="M19">
            <v>8211.9</v>
          </cell>
        </row>
        <row r="20">
          <cell r="A20" t="str">
            <v>5025 - Freight and Delivery - Production (Summary)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376</v>
          </cell>
          <cell r="G20">
            <v>0</v>
          </cell>
          <cell r="H20">
            <v>0</v>
          </cell>
          <cell r="I20">
            <v>0</v>
          </cell>
          <cell r="J20">
            <v>1994.3</v>
          </cell>
          <cell r="K20">
            <v>0</v>
          </cell>
          <cell r="L20">
            <v>0</v>
          </cell>
          <cell r="M20">
            <v>2370.3000000000002</v>
          </cell>
        </row>
        <row r="21">
          <cell r="A21" t="str">
            <v>5030 - Production Tools and Supplies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39.880000000000003</v>
          </cell>
          <cell r="J21">
            <v>3083.02</v>
          </cell>
          <cell r="K21">
            <v>0</v>
          </cell>
          <cell r="L21">
            <v>0</v>
          </cell>
          <cell r="M21">
            <v>3122.9</v>
          </cell>
        </row>
        <row r="22">
          <cell r="A22" t="str">
            <v>5040 - Freight &amp; Delivery - Deployment</v>
          </cell>
          <cell r="B22">
            <v>0</v>
          </cell>
          <cell r="C22">
            <v>0</v>
          </cell>
          <cell r="D22">
            <v>0</v>
          </cell>
          <cell r="E22">
            <v>118.63</v>
          </cell>
          <cell r="F22">
            <v>7000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7118.63</v>
          </cell>
        </row>
        <row r="23">
          <cell r="A23" t="str">
            <v>5050 - Travel - Deployment</v>
          </cell>
          <cell r="B23">
            <v>0</v>
          </cell>
          <cell r="C23">
            <v>1015</v>
          </cell>
          <cell r="D23">
            <v>290.38</v>
          </cell>
          <cell r="E23">
            <v>6093.31</v>
          </cell>
          <cell r="F23">
            <v>0</v>
          </cell>
          <cell r="G23">
            <v>170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7568.6900000000005</v>
          </cell>
        </row>
        <row r="24">
          <cell r="A24" t="str">
            <v>5060 - Meals - Deployment</v>
          </cell>
          <cell r="B24">
            <v>0</v>
          </cell>
          <cell r="C24">
            <v>190.94</v>
          </cell>
          <cell r="D24">
            <v>12.4</v>
          </cell>
          <cell r="E24">
            <v>623.1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51.72</v>
          </cell>
          <cell r="L24">
            <v>0</v>
          </cell>
          <cell r="M24">
            <v>878.16000000000008</v>
          </cell>
        </row>
        <row r="25">
          <cell r="A25" t="str">
            <v>5100 - Labor Expense - Production</v>
          </cell>
        </row>
        <row r="26">
          <cell r="A26" t="str">
            <v>5110 - Salaries and Wages - Production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A27" t="str">
            <v>5130 - Payroll Taxes - Production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A28" t="str">
            <v>5140 - Benefits - Production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-54670.96</v>
          </cell>
          <cell r="J28">
            <v>35767.69</v>
          </cell>
          <cell r="K28">
            <v>0</v>
          </cell>
          <cell r="L28">
            <v>0</v>
          </cell>
          <cell r="M28">
            <v>-18903.269999999997</v>
          </cell>
        </row>
        <row r="29">
          <cell r="A29" t="str">
            <v>Total - 5100 - Labor Expense - Production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-54670.96</v>
          </cell>
          <cell r="J29">
            <v>35767.69</v>
          </cell>
          <cell r="K29">
            <v>0</v>
          </cell>
          <cell r="L29">
            <v>0</v>
          </cell>
          <cell r="M29">
            <v>-18903.269999999997</v>
          </cell>
        </row>
        <row r="30">
          <cell r="A30" t="str">
            <v>Total - 5000 - Robot Production and Deployment</v>
          </cell>
          <cell r="B30">
            <v>0</v>
          </cell>
          <cell r="C30">
            <v>1205.94</v>
          </cell>
          <cell r="D30">
            <v>302.77999999999997</v>
          </cell>
          <cell r="E30">
            <v>6835.0400000000009</v>
          </cell>
          <cell r="F30">
            <v>7376</v>
          </cell>
          <cell r="G30">
            <v>170</v>
          </cell>
          <cell r="H30">
            <v>0</v>
          </cell>
          <cell r="I30">
            <v>-54631.08</v>
          </cell>
          <cell r="J30">
            <v>190179.25999999998</v>
          </cell>
          <cell r="K30">
            <v>51.72</v>
          </cell>
          <cell r="L30">
            <v>0</v>
          </cell>
          <cell r="M30">
            <v>151489.66</v>
          </cell>
        </row>
        <row r="31">
          <cell r="A31" t="str">
            <v>5015 - Supplies and Materials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A32" t="str">
            <v>5201 - Inventory Adjustments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A33" t="str">
            <v>5300 - Maintenance</v>
          </cell>
        </row>
        <row r="34">
          <cell r="A34" t="str">
            <v>5320 - Freight &amp; Delivery - Maintenance</v>
          </cell>
          <cell r="B34">
            <v>0</v>
          </cell>
          <cell r="C34">
            <v>0</v>
          </cell>
          <cell r="D34">
            <v>416.9</v>
          </cell>
          <cell r="E34">
            <v>166.17</v>
          </cell>
          <cell r="F34">
            <v>5823.29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6406.36</v>
          </cell>
        </row>
        <row r="35">
          <cell r="A35" t="str">
            <v>5330 - Maintenance Tools and Supplies</v>
          </cell>
          <cell r="B35">
            <v>0</v>
          </cell>
          <cell r="C35">
            <v>0</v>
          </cell>
          <cell r="D35">
            <v>0</v>
          </cell>
          <cell r="E35">
            <v>2183.21</v>
          </cell>
          <cell r="F35">
            <v>1378.29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3561.5</v>
          </cell>
        </row>
        <row r="36">
          <cell r="A36" t="str">
            <v>5340 - Spare Parts</v>
          </cell>
          <cell r="B36">
            <v>0</v>
          </cell>
          <cell r="C36">
            <v>0</v>
          </cell>
          <cell r="D36">
            <v>0</v>
          </cell>
          <cell r="E36">
            <v>245.8</v>
          </cell>
          <cell r="F36">
            <v>13329.1</v>
          </cell>
          <cell r="G36">
            <v>0</v>
          </cell>
          <cell r="H36">
            <v>0</v>
          </cell>
          <cell r="I36">
            <v>0</v>
          </cell>
          <cell r="J36">
            <v>1101.49</v>
          </cell>
          <cell r="K36">
            <v>0</v>
          </cell>
          <cell r="L36">
            <v>0</v>
          </cell>
          <cell r="M36">
            <v>14676.39</v>
          </cell>
        </row>
        <row r="37">
          <cell r="A37" t="str">
            <v>5350 - Warehouse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1000</v>
          </cell>
          <cell r="G37">
            <v>0</v>
          </cell>
          <cell r="H37">
            <v>0</v>
          </cell>
          <cell r="I37">
            <v>0</v>
          </cell>
          <cell r="J37">
            <v>1745.99</v>
          </cell>
          <cell r="K37">
            <v>0</v>
          </cell>
          <cell r="L37">
            <v>0</v>
          </cell>
          <cell r="M37">
            <v>2745.99</v>
          </cell>
        </row>
        <row r="38">
          <cell r="A38" t="str">
            <v>5360 - Travel - Maintenance</v>
          </cell>
          <cell r="B38">
            <v>0</v>
          </cell>
          <cell r="C38">
            <v>0</v>
          </cell>
          <cell r="D38">
            <v>0</v>
          </cell>
          <cell r="E38">
            <v>60</v>
          </cell>
          <cell r="F38">
            <v>1900.25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1960.25</v>
          </cell>
        </row>
        <row r="39">
          <cell r="A39" t="str">
            <v>5370 - Meals - Maintenance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A40" t="str">
            <v>5500 - Labor Expense - Field Operations</v>
          </cell>
        </row>
        <row r="41">
          <cell r="A41" t="str">
            <v>5510 - :Salaries and Wages - Field Operations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41771.03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41771.03</v>
          </cell>
        </row>
        <row r="42">
          <cell r="A42" t="str">
            <v>5520 - :Bonus - Field Operations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A43" t="str">
            <v>5530 - :Payroll Taxes - Field Operations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3714.57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3714.57</v>
          </cell>
        </row>
        <row r="44">
          <cell r="A44" t="str">
            <v>5540 - :Benefits - Field Operations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30690.720000000001</v>
          </cell>
          <cell r="G44">
            <v>0</v>
          </cell>
          <cell r="H44">
            <v>0</v>
          </cell>
          <cell r="I44">
            <v>0</v>
          </cell>
          <cell r="J44">
            <v>647.35</v>
          </cell>
          <cell r="K44">
            <v>0</v>
          </cell>
          <cell r="L44">
            <v>0</v>
          </cell>
          <cell r="M44">
            <v>31338.07</v>
          </cell>
        </row>
        <row r="45">
          <cell r="A45" t="str">
            <v>Total - 5500 - Labor Expense - Field Operations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76176.320000000007</v>
          </cell>
          <cell r="G45">
            <v>0</v>
          </cell>
          <cell r="H45">
            <v>0</v>
          </cell>
          <cell r="I45">
            <v>0</v>
          </cell>
          <cell r="J45">
            <v>647.35</v>
          </cell>
          <cell r="K45">
            <v>0</v>
          </cell>
          <cell r="L45">
            <v>0</v>
          </cell>
          <cell r="M45">
            <v>76823.67</v>
          </cell>
        </row>
        <row r="46">
          <cell r="A46" t="str">
            <v>Total - 5300 - Maintenance</v>
          </cell>
          <cell r="B46">
            <v>0</v>
          </cell>
          <cell r="C46">
            <v>0</v>
          </cell>
          <cell r="D46">
            <v>416.9</v>
          </cell>
          <cell r="E46">
            <v>2655.1800000000003</v>
          </cell>
          <cell r="F46">
            <v>99607.25</v>
          </cell>
          <cell r="G46">
            <v>0</v>
          </cell>
          <cell r="H46">
            <v>0</v>
          </cell>
          <cell r="I46">
            <v>0</v>
          </cell>
          <cell r="J46">
            <v>3494.83</v>
          </cell>
          <cell r="K46">
            <v>0</v>
          </cell>
          <cell r="L46">
            <v>0</v>
          </cell>
          <cell r="M46">
            <v>106174.16</v>
          </cell>
        </row>
        <row r="47">
          <cell r="A47" t="str">
            <v>5900 - Other COGS</v>
          </cell>
        </row>
        <row r="48">
          <cell r="A48" t="str">
            <v>5900 - Other COGS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A49" t="str">
            <v>5920 - Software - COGS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10955.85</v>
          </cell>
          <cell r="G49">
            <v>10550</v>
          </cell>
          <cell r="H49">
            <v>0</v>
          </cell>
          <cell r="I49">
            <v>0</v>
          </cell>
          <cell r="J49">
            <v>1020</v>
          </cell>
          <cell r="K49">
            <v>93.99</v>
          </cell>
          <cell r="L49">
            <v>0</v>
          </cell>
          <cell r="M49">
            <v>22619.84</v>
          </cell>
        </row>
        <row r="50">
          <cell r="A50" t="str">
            <v>5950 - Certification Expense</v>
          </cell>
          <cell r="B50">
            <v>0</v>
          </cell>
          <cell r="C50">
            <v>0</v>
          </cell>
          <cell r="D50">
            <v>0</v>
          </cell>
          <cell r="E50">
            <v>65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65</v>
          </cell>
        </row>
        <row r="51">
          <cell r="A51" t="str">
            <v>5980 - Employee Meals</v>
          </cell>
          <cell r="B51">
            <v>0</v>
          </cell>
          <cell r="C51">
            <v>0</v>
          </cell>
          <cell r="D51">
            <v>281.95999999999998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281.95999999999998</v>
          </cell>
        </row>
        <row r="52">
          <cell r="A52" t="str">
            <v>Total - 5900 - Other COGS</v>
          </cell>
          <cell r="B52">
            <v>0</v>
          </cell>
          <cell r="C52">
            <v>0</v>
          </cell>
          <cell r="D52">
            <v>281.95999999999998</v>
          </cell>
          <cell r="E52">
            <v>65</v>
          </cell>
          <cell r="F52">
            <v>10955.85</v>
          </cell>
          <cell r="G52">
            <v>10550</v>
          </cell>
          <cell r="H52">
            <v>0</v>
          </cell>
          <cell r="I52">
            <v>0</v>
          </cell>
          <cell r="J52">
            <v>1020</v>
          </cell>
          <cell r="K52">
            <v>93.99</v>
          </cell>
          <cell r="L52">
            <v>0</v>
          </cell>
          <cell r="M52">
            <v>22966.799999999999</v>
          </cell>
        </row>
        <row r="53">
          <cell r="A53" t="str">
            <v>Total - Cost Of Sales</v>
          </cell>
          <cell r="B53">
            <v>0</v>
          </cell>
          <cell r="C53">
            <v>1205.94</v>
          </cell>
          <cell r="D53">
            <v>1001.6399999999999</v>
          </cell>
          <cell r="E53">
            <v>9555.2200000000012</v>
          </cell>
          <cell r="F53">
            <v>117939.1</v>
          </cell>
          <cell r="G53">
            <v>10720</v>
          </cell>
          <cell r="H53">
            <v>0</v>
          </cell>
          <cell r="I53">
            <v>-54631.08</v>
          </cell>
          <cell r="J53">
            <v>194694.08999999997</v>
          </cell>
          <cell r="K53">
            <v>145.70999999999998</v>
          </cell>
          <cell r="L53">
            <v>0</v>
          </cell>
          <cell r="M53">
            <v>280630.62</v>
          </cell>
        </row>
        <row r="54">
          <cell r="A54" t="str">
            <v>Gross Profit</v>
          </cell>
          <cell r="B54">
            <v>0</v>
          </cell>
          <cell r="C54">
            <v>-1205.94</v>
          </cell>
          <cell r="D54">
            <v>-1001.6399999999999</v>
          </cell>
          <cell r="E54">
            <v>-9555.2200000000012</v>
          </cell>
          <cell r="F54">
            <v>-117939.1</v>
          </cell>
          <cell r="G54">
            <v>-10720</v>
          </cell>
          <cell r="H54">
            <v>0</v>
          </cell>
          <cell r="I54">
            <v>54631.08</v>
          </cell>
          <cell r="J54">
            <v>348300.47000000009</v>
          </cell>
          <cell r="K54">
            <v>-145.70999999999998</v>
          </cell>
          <cell r="L54">
            <v>0</v>
          </cell>
          <cell r="M54">
            <v>262363.94000000006</v>
          </cell>
        </row>
        <row r="55">
          <cell r="A55" t="str">
            <v>Expense</v>
          </cell>
        </row>
        <row r="56">
          <cell r="A56" t="str">
            <v>6000 - Labor Expense - SG&amp;A</v>
          </cell>
        </row>
        <row r="57">
          <cell r="A57" t="str">
            <v>6610 - Salaries and Wages - SG&amp;A</v>
          </cell>
          <cell r="B57">
            <v>0</v>
          </cell>
          <cell r="C57">
            <v>18149.89</v>
          </cell>
          <cell r="D57">
            <v>55695.15</v>
          </cell>
          <cell r="E57">
            <v>38333.32</v>
          </cell>
          <cell r="F57">
            <v>28787.31</v>
          </cell>
          <cell r="G57">
            <v>91375</v>
          </cell>
          <cell r="H57">
            <v>36875.01</v>
          </cell>
          <cell r="I57">
            <v>73651.56</v>
          </cell>
          <cell r="J57">
            <v>-142290.68</v>
          </cell>
          <cell r="K57">
            <v>290912.17</v>
          </cell>
          <cell r="L57">
            <v>52916.66</v>
          </cell>
          <cell r="M57">
            <v>544405.39</v>
          </cell>
        </row>
        <row r="58">
          <cell r="A58" t="str">
            <v>6620 - Bonus - SG&amp;A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A59" t="str">
            <v>6630 - Payroll Taxes - SG&amp;A</v>
          </cell>
          <cell r="B59">
            <v>0</v>
          </cell>
          <cell r="C59">
            <v>1244.8</v>
          </cell>
          <cell r="D59">
            <v>4847.17</v>
          </cell>
          <cell r="E59">
            <v>2025.41</v>
          </cell>
          <cell r="F59">
            <v>2063.17</v>
          </cell>
          <cell r="G59">
            <v>-20136.86</v>
          </cell>
          <cell r="H59">
            <v>2750.59</v>
          </cell>
          <cell r="I59">
            <v>3695.16</v>
          </cell>
          <cell r="J59">
            <v>1615.95</v>
          </cell>
          <cell r="K59">
            <v>13005.28</v>
          </cell>
          <cell r="L59">
            <v>6220.37</v>
          </cell>
          <cell r="M59">
            <v>17331.04</v>
          </cell>
        </row>
        <row r="60">
          <cell r="A60" t="str">
            <v>6640 - Benefits - SG&amp;A</v>
          </cell>
          <cell r="B60">
            <v>0</v>
          </cell>
          <cell r="C60">
            <v>3464.26</v>
          </cell>
          <cell r="D60">
            <v>-3426.05</v>
          </cell>
          <cell r="E60">
            <v>2047.73</v>
          </cell>
          <cell r="F60">
            <v>167.72</v>
          </cell>
          <cell r="G60">
            <v>-252.01</v>
          </cell>
          <cell r="H60">
            <v>3422.57</v>
          </cell>
          <cell r="I60">
            <v>61159.6</v>
          </cell>
          <cell r="J60">
            <v>-3646.58</v>
          </cell>
          <cell r="K60">
            <v>5346.83</v>
          </cell>
          <cell r="L60">
            <v>3137.62</v>
          </cell>
          <cell r="M60">
            <v>71421.689999999988</v>
          </cell>
        </row>
        <row r="61">
          <cell r="A61" t="str">
            <v>6650 - Commissions - SG&amp;A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29932.61</v>
          </cell>
          <cell r="M61">
            <v>29932.61</v>
          </cell>
        </row>
        <row r="62">
          <cell r="A62" t="str">
            <v>6660 - Recruiting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</row>
        <row r="63">
          <cell r="A63" t="str">
            <v>6670 - Stock Compensation Expense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64">
          <cell r="A64" t="str">
            <v>Total - 6000 - Labor Expense - SG&amp;A</v>
          </cell>
          <cell r="B64">
            <v>0</v>
          </cell>
          <cell r="C64">
            <v>22858.949999999997</v>
          </cell>
          <cell r="D64">
            <v>57116.27</v>
          </cell>
          <cell r="E64">
            <v>42406.460000000006</v>
          </cell>
          <cell r="F64">
            <v>31018.200000000004</v>
          </cell>
          <cell r="G64">
            <v>70986.13</v>
          </cell>
          <cell r="H64">
            <v>43048.170000000006</v>
          </cell>
          <cell r="I64">
            <v>138506.32</v>
          </cell>
          <cell r="J64">
            <v>-144321.30999999997</v>
          </cell>
          <cell r="K64">
            <v>309264.28000000003</v>
          </cell>
          <cell r="L64">
            <v>92207.260000000009</v>
          </cell>
          <cell r="M64">
            <v>663090.73</v>
          </cell>
        </row>
        <row r="65">
          <cell r="A65" t="str">
            <v>6100 - Travel</v>
          </cell>
          <cell r="B65">
            <v>0</v>
          </cell>
          <cell r="C65">
            <v>2221.4299999999998</v>
          </cell>
          <cell r="D65">
            <v>1863.53</v>
          </cell>
          <cell r="E65">
            <v>0</v>
          </cell>
          <cell r="F65">
            <v>11.96</v>
          </cell>
          <cell r="G65">
            <v>12862.65</v>
          </cell>
          <cell r="H65">
            <v>-2473.67</v>
          </cell>
          <cell r="I65">
            <v>0</v>
          </cell>
          <cell r="J65">
            <v>0</v>
          </cell>
          <cell r="K65">
            <v>7370.93</v>
          </cell>
          <cell r="L65">
            <v>5661.94</v>
          </cell>
          <cell r="M65">
            <v>27518.77</v>
          </cell>
        </row>
        <row r="66">
          <cell r="A66" t="str">
            <v>6110 - Travel Meals</v>
          </cell>
          <cell r="B66">
            <v>0</v>
          </cell>
          <cell r="C66">
            <v>413.76</v>
          </cell>
          <cell r="D66">
            <v>387.38</v>
          </cell>
          <cell r="E66">
            <v>12.29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56.19</v>
          </cell>
          <cell r="L66">
            <v>240.76</v>
          </cell>
          <cell r="M66">
            <v>1110.3799999999999</v>
          </cell>
        </row>
        <row r="67">
          <cell r="A67" t="str">
            <v>6120 - Meals and Entertainment</v>
          </cell>
          <cell r="B67">
            <v>0</v>
          </cell>
          <cell r="C67">
            <v>97.92</v>
          </cell>
          <cell r="D67">
            <v>0</v>
          </cell>
          <cell r="E67">
            <v>0</v>
          </cell>
          <cell r="F67">
            <v>0</v>
          </cell>
          <cell r="G67">
            <v>1098.48</v>
          </cell>
          <cell r="H67">
            <v>0</v>
          </cell>
          <cell r="I67">
            <v>68.3</v>
          </cell>
          <cell r="J67">
            <v>341.94</v>
          </cell>
          <cell r="K67">
            <v>217.39</v>
          </cell>
          <cell r="L67">
            <v>0</v>
          </cell>
          <cell r="M67">
            <v>1824.0300000000002</v>
          </cell>
        </row>
        <row r="68">
          <cell r="A68" t="str">
            <v>6200 - Advertising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23729.53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23729.53</v>
          </cell>
        </row>
        <row r="69">
          <cell r="A69" t="str">
            <v>6210 - Marketing Expense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2282.0100000000002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2282.0100000000002</v>
          </cell>
        </row>
        <row r="70">
          <cell r="A70" t="str">
            <v>6220 - Trade Shows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17917.560000000001</v>
          </cell>
          <cell r="I70">
            <v>0</v>
          </cell>
          <cell r="J70">
            <v>0</v>
          </cell>
          <cell r="K70">
            <v>0</v>
          </cell>
          <cell r="L70">
            <v>473.84</v>
          </cell>
          <cell r="M70">
            <v>18391.400000000001</v>
          </cell>
        </row>
        <row r="71">
          <cell r="A71" t="str">
            <v>6300 - Trade Publications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</row>
        <row r="72">
          <cell r="A72" t="str">
            <v>6400 - Memberships and Subscriptions</v>
          </cell>
          <cell r="B72">
            <v>0</v>
          </cell>
          <cell r="C72">
            <v>20</v>
          </cell>
          <cell r="D72">
            <v>0</v>
          </cell>
          <cell r="E72">
            <v>35.89</v>
          </cell>
          <cell r="F72">
            <v>0</v>
          </cell>
          <cell r="G72">
            <v>716.67</v>
          </cell>
          <cell r="H72">
            <v>711.42</v>
          </cell>
          <cell r="I72">
            <v>34.99</v>
          </cell>
          <cell r="J72">
            <v>0</v>
          </cell>
          <cell r="K72">
            <v>220</v>
          </cell>
          <cell r="L72">
            <v>127.91</v>
          </cell>
          <cell r="M72">
            <v>1866.88</v>
          </cell>
        </row>
        <row r="73">
          <cell r="A73" t="str">
            <v>6500 - Demos</v>
          </cell>
        </row>
        <row r="74">
          <cell r="A74" t="str">
            <v>6510 - Storage Facilities - Demos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6283.38</v>
          </cell>
          <cell r="M74">
            <v>6283.38</v>
          </cell>
        </row>
        <row r="75">
          <cell r="A75" t="str">
            <v>6520 - Truck Rental - Demos</v>
          </cell>
          <cell r="B75">
            <v>0</v>
          </cell>
          <cell r="C75">
            <v>0</v>
          </cell>
          <cell r="D75">
            <v>1716.81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1716.81</v>
          </cell>
        </row>
        <row r="76">
          <cell r="A76" t="str">
            <v>6530 - Other Demo Expense</v>
          </cell>
          <cell r="B76">
            <v>0</v>
          </cell>
          <cell r="C76">
            <v>0</v>
          </cell>
          <cell r="D76">
            <v>153.63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153.63</v>
          </cell>
        </row>
        <row r="77">
          <cell r="A77" t="str">
            <v>6540 - Travel - Demos</v>
          </cell>
          <cell r="B77">
            <v>0</v>
          </cell>
          <cell r="C77">
            <v>0</v>
          </cell>
          <cell r="D77">
            <v>1067.24</v>
          </cell>
          <cell r="E77">
            <v>1118.97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25</v>
          </cell>
          <cell r="M77">
            <v>2211.21</v>
          </cell>
        </row>
        <row r="78">
          <cell r="A78" t="str">
            <v>6550 - Meals - Demos</v>
          </cell>
          <cell r="B78">
            <v>0</v>
          </cell>
          <cell r="C78">
            <v>0</v>
          </cell>
          <cell r="D78">
            <v>143.34</v>
          </cell>
          <cell r="E78">
            <v>0</v>
          </cell>
          <cell r="F78">
            <v>0</v>
          </cell>
          <cell r="G78">
            <v>0</v>
          </cell>
          <cell r="H78">
            <v>59</v>
          </cell>
          <cell r="I78">
            <v>0</v>
          </cell>
          <cell r="J78">
            <v>0</v>
          </cell>
          <cell r="K78">
            <v>0</v>
          </cell>
          <cell r="L78">
            <v>14.88</v>
          </cell>
          <cell r="M78">
            <v>217.22</v>
          </cell>
        </row>
        <row r="79">
          <cell r="A79" t="str">
            <v>Total - 6500 - Demos</v>
          </cell>
          <cell r="B79">
            <v>0</v>
          </cell>
          <cell r="C79">
            <v>0</v>
          </cell>
          <cell r="D79">
            <v>3081.0200000000004</v>
          </cell>
          <cell r="E79">
            <v>1118.97</v>
          </cell>
          <cell r="F79">
            <v>0</v>
          </cell>
          <cell r="G79">
            <v>0</v>
          </cell>
          <cell r="H79">
            <v>59</v>
          </cell>
          <cell r="I79">
            <v>0</v>
          </cell>
          <cell r="J79">
            <v>0</v>
          </cell>
          <cell r="K79">
            <v>0</v>
          </cell>
          <cell r="L79">
            <v>6323.26</v>
          </cell>
          <cell r="M79">
            <v>10582.25</v>
          </cell>
        </row>
        <row r="80">
          <cell r="A80" t="str">
            <v>7000 - Professional Fees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21405.39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21405.39</v>
          </cell>
        </row>
        <row r="81">
          <cell r="A81" t="str">
            <v>7050 - Education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</row>
        <row r="82">
          <cell r="A82" t="str">
            <v>7100 - Legal Expense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1617.11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1617.11</v>
          </cell>
        </row>
        <row r="83">
          <cell r="A83" t="str">
            <v>7200 - Contractors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19182.41</v>
          </cell>
          <cell r="H83">
            <v>0</v>
          </cell>
          <cell r="I83">
            <v>0</v>
          </cell>
          <cell r="J83">
            <v>0</v>
          </cell>
          <cell r="K83">
            <v>51994.55</v>
          </cell>
          <cell r="L83">
            <v>0</v>
          </cell>
          <cell r="M83">
            <v>71176.960000000006</v>
          </cell>
        </row>
        <row r="84">
          <cell r="A84" t="str">
            <v>7300 - R&amp;D Expense</v>
          </cell>
          <cell r="B84">
            <v>0</v>
          </cell>
          <cell r="C84">
            <v>0</v>
          </cell>
          <cell r="D84">
            <v>0</v>
          </cell>
          <cell r="E84">
            <v>281.89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2274.7199999999998</v>
          </cell>
          <cell r="K84">
            <v>32734.26</v>
          </cell>
          <cell r="L84">
            <v>0</v>
          </cell>
          <cell r="M84">
            <v>35290.869999999995</v>
          </cell>
        </row>
        <row r="85">
          <cell r="A85" t="str">
            <v>7500 - Facility Expenses</v>
          </cell>
          <cell r="B85">
            <v>0</v>
          </cell>
          <cell r="C85">
            <v>0</v>
          </cell>
          <cell r="D85">
            <v>322.8</v>
          </cell>
          <cell r="E85">
            <v>373</v>
          </cell>
          <cell r="F85">
            <v>0</v>
          </cell>
          <cell r="G85">
            <v>15459.9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16155.699999999999</v>
          </cell>
        </row>
        <row r="86">
          <cell r="A86" t="str">
            <v>7510 - Custodial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</row>
        <row r="87">
          <cell r="A87" t="str">
            <v>7550 - Tools and Equipment</v>
          </cell>
          <cell r="B87">
            <v>0</v>
          </cell>
          <cell r="C87">
            <v>0</v>
          </cell>
          <cell r="D87">
            <v>1185.22</v>
          </cell>
          <cell r="E87">
            <v>1254.52</v>
          </cell>
          <cell r="F87">
            <v>0</v>
          </cell>
          <cell r="G87">
            <v>0</v>
          </cell>
          <cell r="H87">
            <v>0</v>
          </cell>
          <cell r="I87">
            <v>2825.54</v>
          </cell>
          <cell r="J87">
            <v>0</v>
          </cell>
          <cell r="K87">
            <v>74.180000000000007</v>
          </cell>
          <cell r="L87">
            <v>0</v>
          </cell>
          <cell r="M87">
            <v>5339.46</v>
          </cell>
        </row>
        <row r="88">
          <cell r="A88" t="str">
            <v>7600 - Freight &amp; Delivery</v>
          </cell>
          <cell r="B88">
            <v>0</v>
          </cell>
          <cell r="C88">
            <v>34.950000000000003</v>
          </cell>
          <cell r="D88">
            <v>0</v>
          </cell>
          <cell r="E88">
            <v>0</v>
          </cell>
          <cell r="F88">
            <v>4965.6899999999996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408</v>
          </cell>
          <cell r="L88">
            <v>0</v>
          </cell>
          <cell r="M88">
            <v>5408.6399999999994</v>
          </cell>
        </row>
        <row r="89">
          <cell r="A89" t="str">
            <v>7700 - Inventory Obsolescence-old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</row>
        <row r="90">
          <cell r="A90" t="str">
            <v>8100 - Technology</v>
          </cell>
          <cell r="B90">
            <v>0</v>
          </cell>
          <cell r="C90">
            <v>21.28</v>
          </cell>
          <cell r="D90">
            <v>0</v>
          </cell>
          <cell r="E90">
            <v>55</v>
          </cell>
          <cell r="F90">
            <v>0</v>
          </cell>
          <cell r="G90">
            <v>39588.92</v>
          </cell>
          <cell r="H90">
            <v>3289.7</v>
          </cell>
          <cell r="I90">
            <v>108.95</v>
          </cell>
          <cell r="J90">
            <v>4876.8</v>
          </cell>
          <cell r="K90">
            <v>3398.11</v>
          </cell>
          <cell r="L90">
            <v>718.4</v>
          </cell>
          <cell r="M90">
            <v>52057.159999999996</v>
          </cell>
        </row>
        <row r="91">
          <cell r="A91" t="str">
            <v>8200 - Building Rent or Lease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83290.289999999994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83290.289999999994</v>
          </cell>
        </row>
        <row r="92">
          <cell r="A92" t="str">
            <v>8250 - Equipment/Vehicle Rentals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2546.6999999999998</v>
          </cell>
          <cell r="K92">
            <v>0</v>
          </cell>
          <cell r="L92">
            <v>0</v>
          </cell>
          <cell r="M92">
            <v>2546.6999999999998</v>
          </cell>
        </row>
        <row r="93">
          <cell r="A93" t="str">
            <v>8300 - Office Expenses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5245.34</v>
          </cell>
          <cell r="H93">
            <v>0</v>
          </cell>
          <cell r="I93">
            <v>0</v>
          </cell>
          <cell r="J93">
            <v>0</v>
          </cell>
          <cell r="K93">
            <v>18.86</v>
          </cell>
          <cell r="L93">
            <v>0</v>
          </cell>
          <cell r="M93">
            <v>5264.2</v>
          </cell>
        </row>
        <row r="94">
          <cell r="A94" t="str">
            <v>8400 - Office Equipment and Small Furniture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202.98</v>
          </cell>
          <cell r="L94">
            <v>0</v>
          </cell>
          <cell r="M94">
            <v>202.98</v>
          </cell>
        </row>
        <row r="95">
          <cell r="A95" t="str">
            <v>8450 - Postage &amp; Shipping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 t="str">
            <v>8500 - Commercial Insurance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14746.52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14746.52</v>
          </cell>
        </row>
        <row r="97">
          <cell r="A97" t="str">
            <v>8600 - Repairs and Maintenance</v>
          </cell>
          <cell r="B97">
            <v>0</v>
          </cell>
          <cell r="C97">
            <v>0</v>
          </cell>
          <cell r="D97">
            <v>1353.84</v>
          </cell>
          <cell r="E97">
            <v>917.16</v>
          </cell>
          <cell r="F97">
            <v>0</v>
          </cell>
          <cell r="G97">
            <v>1195.83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3466.83</v>
          </cell>
        </row>
        <row r="98">
          <cell r="A98" t="str">
            <v>8700 - Utilities and Telecom Expense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6887.38</v>
          </cell>
          <cell r="H98">
            <v>0</v>
          </cell>
          <cell r="I98">
            <v>0</v>
          </cell>
          <cell r="J98">
            <v>4830.25</v>
          </cell>
          <cell r="K98">
            <v>0</v>
          </cell>
          <cell r="L98">
            <v>0</v>
          </cell>
          <cell r="M98">
            <v>11717.630000000001</v>
          </cell>
        </row>
        <row r="99">
          <cell r="A99" t="str">
            <v>8800 - Bank Charges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1938.54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1938.54</v>
          </cell>
        </row>
        <row r="100">
          <cell r="A100" t="str">
            <v>8900 - Payroll Fees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1734.78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1734.78</v>
          </cell>
        </row>
        <row r="101">
          <cell r="A101" t="str">
            <v>8955 - Other Taxes and Licenses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143.28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143.28</v>
          </cell>
        </row>
        <row r="102">
          <cell r="A102" t="str">
            <v>8990 - Charitable Contributions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 t="str">
            <v>9999 - Uncategorized Expenses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 t="str">
            <v>Total - Expense</v>
          </cell>
          <cell r="B104">
            <v>0</v>
          </cell>
          <cell r="C104">
            <v>25668.289999999994</v>
          </cell>
          <cell r="D104">
            <v>65310.06</v>
          </cell>
          <cell r="E104">
            <v>46455.180000000008</v>
          </cell>
          <cell r="F104">
            <v>35995.850000000006</v>
          </cell>
          <cell r="G104">
            <v>298099.62000000005</v>
          </cell>
          <cell r="H104">
            <v>88563.72</v>
          </cell>
          <cell r="I104">
            <v>141544.1</v>
          </cell>
          <cell r="J104">
            <v>-129450.89999999997</v>
          </cell>
          <cell r="K104">
            <v>405959.73</v>
          </cell>
          <cell r="L104">
            <v>105753.37</v>
          </cell>
          <cell r="M104">
            <v>1083899.02</v>
          </cell>
        </row>
        <row r="105">
          <cell r="A105" t="str">
            <v>Net Ordinary Income</v>
          </cell>
          <cell r="B105">
            <v>0</v>
          </cell>
          <cell r="C105">
            <v>-26874.229999999992</v>
          </cell>
          <cell r="D105">
            <v>-66311.7</v>
          </cell>
          <cell r="E105">
            <v>-56010.400000000009</v>
          </cell>
          <cell r="F105">
            <v>-153934.95000000001</v>
          </cell>
          <cell r="G105">
            <v>-308819.62000000005</v>
          </cell>
          <cell r="H105">
            <v>-88563.72</v>
          </cell>
          <cell r="I105">
            <v>-86913.02</v>
          </cell>
          <cell r="J105">
            <v>477751.37000000005</v>
          </cell>
          <cell r="K105">
            <v>-406105.44</v>
          </cell>
          <cell r="L105">
            <v>-105753.37</v>
          </cell>
          <cell r="M105">
            <v>-821535.08</v>
          </cell>
        </row>
        <row r="106">
          <cell r="A106" t="str">
            <v>Other Income and Expenses</v>
          </cell>
        </row>
        <row r="107">
          <cell r="A107" t="str">
            <v>Other Income</v>
          </cell>
        </row>
        <row r="108">
          <cell r="A108" t="str">
            <v>9100 - Interest Earned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23940.27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23940.27</v>
          </cell>
        </row>
        <row r="109">
          <cell r="A109" t="str">
            <v>9150 - Other Income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 t="str">
            <v>Total - Other Income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23940.27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23940.27</v>
          </cell>
        </row>
        <row r="111">
          <cell r="A111" t="str">
            <v>Other Expense</v>
          </cell>
        </row>
        <row r="112">
          <cell r="A112" t="str">
            <v>9200 - Cash Sweep Fees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1436.03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1436.03</v>
          </cell>
        </row>
        <row r="113">
          <cell r="A113" t="str">
            <v>9300 - Interest Expense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33039.760000000002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33039.760000000002</v>
          </cell>
        </row>
        <row r="114">
          <cell r="A114" t="str">
            <v>9401 - Depreciation Expenses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67354.64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67354.64</v>
          </cell>
        </row>
        <row r="115">
          <cell r="A115" t="str">
            <v>9600 - Income Tax Expense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 t="str">
            <v>Total - Other Expense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101830.43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101830.43</v>
          </cell>
        </row>
        <row r="117">
          <cell r="A117" t="str">
            <v>Net Other Income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-77890.159999999989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-77890.159999999989</v>
          </cell>
        </row>
        <row r="118">
          <cell r="A118" t="str">
            <v>Net Income</v>
          </cell>
          <cell r="B118">
            <v>0</v>
          </cell>
          <cell r="C118">
            <v>-26874.229999999992</v>
          </cell>
          <cell r="D118">
            <v>-66311.7</v>
          </cell>
          <cell r="E118">
            <v>-56010.400000000009</v>
          </cell>
          <cell r="F118">
            <v>-153934.95000000001</v>
          </cell>
          <cell r="G118">
            <v>-386709.78</v>
          </cell>
          <cell r="H118">
            <v>-88563.72</v>
          </cell>
          <cell r="I118">
            <v>-86913.02</v>
          </cell>
          <cell r="J118">
            <v>477751.37000000005</v>
          </cell>
          <cell r="K118">
            <v>-406105.44</v>
          </cell>
          <cell r="L118">
            <v>-105753.37</v>
          </cell>
          <cell r="M118">
            <v>-899425.24</v>
          </cell>
        </row>
      </sheetData>
      <sheetData sheetId="30">
        <row r="1">
          <cell r="A1" t="str">
            <v>Slip Robotics Inc.</v>
          </cell>
        </row>
        <row r="2">
          <cell r="A2" t="str">
            <v>Slip Robotics, Inc.</v>
          </cell>
        </row>
        <row r="3">
          <cell r="A3" t="str">
            <v>SR Income Statement</v>
          </cell>
        </row>
        <row r="4">
          <cell r="A4" t="str">
            <v>Feb 2026</v>
          </cell>
        </row>
        <row r="5">
          <cell r="A5" t="str">
            <v/>
          </cell>
        </row>
        <row r="6">
          <cell r="A6" t="str">
            <v>Options: Show Zeros, Activity Only</v>
          </cell>
        </row>
        <row r="7">
          <cell r="A7" t="str">
            <v>Financial Row</v>
          </cell>
          <cell r="B7" t="str">
            <v>- No Department -</v>
          </cell>
          <cell r="C7" t="str">
            <v>Account Management</v>
          </cell>
          <cell r="D7" t="str">
            <v>Central Operations</v>
          </cell>
          <cell r="E7" t="str">
            <v>Field Engineering</v>
          </cell>
          <cell r="F7" t="str">
            <v>Field Operations</v>
          </cell>
          <cell r="G7" t="str">
            <v>G&amp;A</v>
          </cell>
          <cell r="H7" t="str">
            <v>Marketing</v>
          </cell>
          <cell r="I7" t="str">
            <v>Production Engineering</v>
          </cell>
          <cell r="J7" t="str">
            <v>Production Operations</v>
          </cell>
          <cell r="K7" t="str">
            <v>R&amp;D</v>
          </cell>
          <cell r="L7" t="str">
            <v>Sales</v>
          </cell>
          <cell r="M7" t="str">
            <v>Total</v>
          </cell>
        </row>
        <row r="8">
          <cell r="A8" t="str">
            <v> </v>
          </cell>
          <cell r="B8" t="str">
            <v>Amount</v>
          </cell>
          <cell r="C8" t="str">
            <v>Amount</v>
          </cell>
          <cell r="D8" t="str">
            <v>Amount</v>
          </cell>
          <cell r="E8" t="str">
            <v>Amount</v>
          </cell>
          <cell r="F8" t="str">
            <v>Amount</v>
          </cell>
          <cell r="G8" t="str">
            <v>Amount</v>
          </cell>
          <cell r="H8" t="str">
            <v>Amount</v>
          </cell>
          <cell r="I8" t="str">
            <v>Amount</v>
          </cell>
          <cell r="J8" t="str">
            <v>Amount</v>
          </cell>
          <cell r="K8" t="str">
            <v>Amount</v>
          </cell>
          <cell r="L8" t="str">
            <v>Amount</v>
          </cell>
          <cell r="M8" t="str">
            <v>Amount</v>
          </cell>
        </row>
        <row r="9">
          <cell r="A9" t="str">
            <v>Ordinary Income/Expense</v>
          </cell>
        </row>
        <row r="10">
          <cell r="A10" t="str">
            <v>Income</v>
          </cell>
        </row>
        <row r="11">
          <cell r="A11" t="str">
            <v>4000 - Sales</v>
          </cell>
        </row>
        <row r="12">
          <cell r="A12" t="str">
            <v>4100 - Subscription/Platform Fees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494949.28</v>
          </cell>
          <cell r="K12">
            <v>0</v>
          </cell>
          <cell r="L12">
            <v>0</v>
          </cell>
          <cell r="M12">
            <v>494949.28</v>
          </cell>
        </row>
        <row r="13">
          <cell r="A13" t="str">
            <v>4500 - Implementation Fees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8277.7800000000007</v>
          </cell>
          <cell r="K13">
            <v>0</v>
          </cell>
          <cell r="L13">
            <v>0</v>
          </cell>
          <cell r="M13">
            <v>8277.7800000000007</v>
          </cell>
        </row>
        <row r="14">
          <cell r="A14" t="str">
            <v>Total - 4000 - Sales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503227.06000000006</v>
          </cell>
          <cell r="K14">
            <v>0</v>
          </cell>
          <cell r="L14">
            <v>0</v>
          </cell>
          <cell r="M14">
            <v>503227.06000000006</v>
          </cell>
        </row>
        <row r="15">
          <cell r="A15" t="str">
            <v>4050 - Shipping and Handling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Total - Income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503227.06000000006</v>
          </cell>
          <cell r="K16">
            <v>0</v>
          </cell>
          <cell r="L16">
            <v>0</v>
          </cell>
          <cell r="M16">
            <v>503227.06000000006</v>
          </cell>
        </row>
        <row r="17">
          <cell r="A17" t="str">
            <v>Cost Of Sales</v>
          </cell>
        </row>
        <row r="18">
          <cell r="A18" t="str">
            <v>5000 - Robot Production and Deployment</v>
          </cell>
        </row>
        <row r="19">
          <cell r="A19" t="str">
            <v>5010 - SlipBot Depreciation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122211.90000000001</v>
          </cell>
          <cell r="K19">
            <v>0</v>
          </cell>
          <cell r="L19">
            <v>0</v>
          </cell>
          <cell r="M19">
            <v>122211.90000000001</v>
          </cell>
        </row>
        <row r="20">
          <cell r="A20" t="str">
            <v>5020 - Robot Peripherals Depreciation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10913.63</v>
          </cell>
          <cell r="K20">
            <v>0</v>
          </cell>
          <cell r="L20">
            <v>0</v>
          </cell>
          <cell r="M20">
            <v>10913.63</v>
          </cell>
        </row>
        <row r="21">
          <cell r="A21" t="str">
            <v>5025 - Freight and Delivery - Production (Summary)</v>
          </cell>
        </row>
        <row r="22">
          <cell r="A22" t="str">
            <v>5025 - Freight and Delivery - Production (Summary)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850.7</v>
          </cell>
          <cell r="G22">
            <v>0</v>
          </cell>
          <cell r="H22">
            <v>0</v>
          </cell>
          <cell r="I22">
            <v>0</v>
          </cell>
          <cell r="J22">
            <v>2984.35</v>
          </cell>
          <cell r="K22">
            <v>0</v>
          </cell>
          <cell r="L22">
            <v>0</v>
          </cell>
          <cell r="M22">
            <v>3835.05</v>
          </cell>
        </row>
        <row r="23">
          <cell r="A23" t="str">
            <v>5026 - Freight and Delivery - Production - Expedited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250</v>
          </cell>
          <cell r="K23">
            <v>0</v>
          </cell>
          <cell r="L23">
            <v>0</v>
          </cell>
          <cell r="M23">
            <v>250</v>
          </cell>
        </row>
        <row r="24">
          <cell r="A24" t="str">
            <v>5027 - Freight and Delivery - Production - Standard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85</v>
          </cell>
          <cell r="K24">
            <v>0</v>
          </cell>
          <cell r="L24">
            <v>0</v>
          </cell>
          <cell r="M24">
            <v>85</v>
          </cell>
        </row>
        <row r="25">
          <cell r="A25" t="str">
            <v>Total - 5025 - Freight and Delivery - Production (Summary)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850.7</v>
          </cell>
          <cell r="G25">
            <v>0</v>
          </cell>
          <cell r="H25">
            <v>0</v>
          </cell>
          <cell r="I25">
            <v>0</v>
          </cell>
          <cell r="J25">
            <v>3319.35</v>
          </cell>
          <cell r="K25">
            <v>0</v>
          </cell>
          <cell r="L25">
            <v>0</v>
          </cell>
          <cell r="M25">
            <v>4170.05</v>
          </cell>
        </row>
        <row r="26">
          <cell r="A26" t="str">
            <v>5030 - Production Tools and Supplies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1540.02</v>
          </cell>
          <cell r="J26">
            <v>3250.63</v>
          </cell>
          <cell r="K26">
            <v>0</v>
          </cell>
          <cell r="L26">
            <v>0</v>
          </cell>
          <cell r="M26">
            <v>4790.6499999999996</v>
          </cell>
        </row>
        <row r="27">
          <cell r="A27" t="str">
            <v>5040 - Freight &amp; Delivery - Deployment</v>
          </cell>
          <cell r="B27">
            <v>0</v>
          </cell>
          <cell r="C27">
            <v>0</v>
          </cell>
          <cell r="D27">
            <v>2542.81</v>
          </cell>
          <cell r="E27">
            <v>0</v>
          </cell>
          <cell r="F27">
            <v>5000.95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6.67</v>
          </cell>
          <cell r="L27">
            <v>3.95</v>
          </cell>
          <cell r="M27">
            <v>7554.38</v>
          </cell>
        </row>
        <row r="28">
          <cell r="A28" t="str">
            <v>5050 - Travel - Deployment</v>
          </cell>
          <cell r="B28">
            <v>0</v>
          </cell>
          <cell r="C28">
            <v>4118.1000000000004</v>
          </cell>
          <cell r="D28">
            <v>1333.96</v>
          </cell>
          <cell r="E28">
            <v>3188.15</v>
          </cell>
          <cell r="F28">
            <v>0</v>
          </cell>
          <cell r="G28">
            <v>73.260000000000005</v>
          </cell>
          <cell r="H28">
            <v>0</v>
          </cell>
          <cell r="I28">
            <v>0</v>
          </cell>
          <cell r="J28">
            <v>0</v>
          </cell>
          <cell r="K28">
            <v>42.74</v>
          </cell>
          <cell r="L28">
            <v>0</v>
          </cell>
          <cell r="M28">
            <v>8756.2100000000009</v>
          </cell>
        </row>
        <row r="29">
          <cell r="A29" t="str">
            <v>5060 - Meals - Deployment</v>
          </cell>
          <cell r="B29">
            <v>0</v>
          </cell>
          <cell r="C29">
            <v>31.67</v>
          </cell>
          <cell r="D29">
            <v>232.07</v>
          </cell>
          <cell r="E29">
            <v>491.08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440.53</v>
          </cell>
          <cell r="L29">
            <v>0</v>
          </cell>
          <cell r="M29">
            <v>1195.3499999999999</v>
          </cell>
        </row>
        <row r="30">
          <cell r="A30" t="str">
            <v>5100 - Labor Expense - Production</v>
          </cell>
        </row>
        <row r="31">
          <cell r="A31" t="str">
            <v>5110 - Salaries and Wages - Production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29333.47</v>
          </cell>
          <cell r="K31">
            <v>0</v>
          </cell>
          <cell r="L31">
            <v>0</v>
          </cell>
          <cell r="M31">
            <v>29333.47</v>
          </cell>
        </row>
        <row r="32">
          <cell r="A32" t="str">
            <v>5130 - Payroll Taxes - Production</v>
          </cell>
          <cell r="B32">
            <v>0</v>
          </cell>
          <cell r="C32">
            <v>0</v>
          </cell>
          <cell r="D32">
            <v>-222.48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1065.32</v>
          </cell>
          <cell r="K32">
            <v>0</v>
          </cell>
          <cell r="L32">
            <v>0</v>
          </cell>
          <cell r="M32">
            <v>842.83999999999992</v>
          </cell>
        </row>
        <row r="33">
          <cell r="A33" t="str">
            <v>5140 - Benefits - Production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-7499.98</v>
          </cell>
          <cell r="K33">
            <v>0</v>
          </cell>
          <cell r="L33">
            <v>0</v>
          </cell>
          <cell r="M33">
            <v>-7499.98</v>
          </cell>
        </row>
        <row r="34">
          <cell r="A34" t="str">
            <v>Total - 5100 - Labor Expense - Production</v>
          </cell>
          <cell r="B34">
            <v>0</v>
          </cell>
          <cell r="C34">
            <v>0</v>
          </cell>
          <cell r="D34">
            <v>-222.48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22898.81</v>
          </cell>
          <cell r="K34">
            <v>0</v>
          </cell>
          <cell r="L34">
            <v>0</v>
          </cell>
          <cell r="M34">
            <v>22676.33</v>
          </cell>
        </row>
        <row r="35">
          <cell r="A35" t="str">
            <v>Total - 5000 - Robot Production and Deployment</v>
          </cell>
          <cell r="B35">
            <v>0</v>
          </cell>
          <cell r="C35">
            <v>4149.7700000000004</v>
          </cell>
          <cell r="D35">
            <v>3886.36</v>
          </cell>
          <cell r="E35">
            <v>3679.23</v>
          </cell>
          <cell r="F35">
            <v>5851.65</v>
          </cell>
          <cell r="G35">
            <v>73.260000000000005</v>
          </cell>
          <cell r="H35">
            <v>0</v>
          </cell>
          <cell r="I35">
            <v>1540.02</v>
          </cell>
          <cell r="J35">
            <v>162594.32</v>
          </cell>
          <cell r="K35">
            <v>489.94</v>
          </cell>
          <cell r="L35">
            <v>3.95</v>
          </cell>
          <cell r="M35">
            <v>182268.5</v>
          </cell>
        </row>
        <row r="36">
          <cell r="A36" t="str">
            <v>5015 - Supplies and Materials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A37" t="str">
            <v>5070 - Scrap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A38" t="str">
            <v>5201 - Inventory Adjustments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</row>
        <row r="39">
          <cell r="A39" t="str">
            <v>5300 - Maintenance</v>
          </cell>
        </row>
        <row r="40">
          <cell r="A40" t="str">
            <v>5320 - Freight &amp; Delivery - Maintenance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256.47000000000003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256.47000000000003</v>
          </cell>
        </row>
        <row r="41">
          <cell r="A41" t="str">
            <v>5330 - Maintenance Tools and Supplies</v>
          </cell>
          <cell r="B41">
            <v>0</v>
          </cell>
          <cell r="C41">
            <v>63.59</v>
          </cell>
          <cell r="D41">
            <v>0</v>
          </cell>
          <cell r="E41">
            <v>1487.15</v>
          </cell>
          <cell r="F41">
            <v>1054.5899999999999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2605.33</v>
          </cell>
        </row>
        <row r="42">
          <cell r="A42" t="str">
            <v>5340 - Spare Parts</v>
          </cell>
          <cell r="B42">
            <v>-10661.83</v>
          </cell>
          <cell r="C42">
            <v>0</v>
          </cell>
          <cell r="D42">
            <v>0</v>
          </cell>
          <cell r="E42">
            <v>0</v>
          </cell>
          <cell r="F42">
            <v>5064.2299999999996</v>
          </cell>
          <cell r="G42">
            <v>0</v>
          </cell>
          <cell r="H42">
            <v>0</v>
          </cell>
          <cell r="I42">
            <v>0</v>
          </cell>
          <cell r="J42">
            <v>14250.32</v>
          </cell>
          <cell r="K42">
            <v>0</v>
          </cell>
          <cell r="L42">
            <v>0</v>
          </cell>
          <cell r="M42">
            <v>8652.7199999999993</v>
          </cell>
        </row>
        <row r="43">
          <cell r="A43" t="str">
            <v>5350 - Warehouse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3800</v>
          </cell>
          <cell r="G43">
            <v>0</v>
          </cell>
          <cell r="H43">
            <v>0</v>
          </cell>
          <cell r="I43">
            <v>0</v>
          </cell>
          <cell r="J43">
            <v>1595</v>
          </cell>
          <cell r="K43">
            <v>0</v>
          </cell>
          <cell r="L43">
            <v>0</v>
          </cell>
          <cell r="M43">
            <v>5395</v>
          </cell>
        </row>
        <row r="44">
          <cell r="A44" t="str">
            <v>5360 - Travel - Maintenance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1371.12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30</v>
          </cell>
          <cell r="M44">
            <v>1401.12</v>
          </cell>
        </row>
        <row r="45">
          <cell r="A45" t="str">
            <v>5370 - Meals - Maintenance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121.5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121.5</v>
          </cell>
        </row>
        <row r="46">
          <cell r="A46" t="str">
            <v>5500 - Labor Expense - Field Operations</v>
          </cell>
        </row>
        <row r="47">
          <cell r="A47" t="str">
            <v>5510 - :Salaries and Wages - Field Operations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27453.8</v>
          </cell>
          <cell r="G47">
            <v>0</v>
          </cell>
          <cell r="H47">
            <v>0</v>
          </cell>
          <cell r="I47">
            <v>0</v>
          </cell>
          <cell r="J47">
            <v>11274.7</v>
          </cell>
          <cell r="K47">
            <v>0</v>
          </cell>
          <cell r="L47">
            <v>0</v>
          </cell>
          <cell r="M47">
            <v>38728.5</v>
          </cell>
        </row>
        <row r="48">
          <cell r="A48" t="str">
            <v>5530 - :Payroll Taxes - Field Operations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3251.23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3251.23</v>
          </cell>
        </row>
        <row r="49">
          <cell r="A49" t="str">
            <v>5540 - :Benefits - Field Operations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21236.59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21236.59</v>
          </cell>
        </row>
        <row r="50">
          <cell r="A50" t="str">
            <v>Total - 5500 - Labor Expense - Field Operations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51941.619999999995</v>
          </cell>
          <cell r="G50">
            <v>0</v>
          </cell>
          <cell r="H50">
            <v>0</v>
          </cell>
          <cell r="I50">
            <v>0</v>
          </cell>
          <cell r="J50">
            <v>11274.7</v>
          </cell>
          <cell r="K50">
            <v>0</v>
          </cell>
          <cell r="L50">
            <v>0</v>
          </cell>
          <cell r="M50">
            <v>63216.320000000007</v>
          </cell>
        </row>
        <row r="51">
          <cell r="A51" t="str">
            <v>Total - 5300 - Maintenance</v>
          </cell>
          <cell r="B51">
            <v>-10661.83</v>
          </cell>
          <cell r="C51">
            <v>63.59</v>
          </cell>
          <cell r="D51">
            <v>0</v>
          </cell>
          <cell r="E51">
            <v>1487.15</v>
          </cell>
          <cell r="F51">
            <v>63609.53</v>
          </cell>
          <cell r="G51">
            <v>0</v>
          </cell>
          <cell r="H51">
            <v>0</v>
          </cell>
          <cell r="I51">
            <v>0</v>
          </cell>
          <cell r="J51">
            <v>27120.02</v>
          </cell>
          <cell r="K51">
            <v>0</v>
          </cell>
          <cell r="L51">
            <v>30</v>
          </cell>
          <cell r="M51">
            <v>81648.460000000006</v>
          </cell>
        </row>
        <row r="52">
          <cell r="A52" t="str">
            <v>5900 - Other COGS</v>
          </cell>
        </row>
        <row r="53">
          <cell r="A53" t="str">
            <v>5920 - Software - COGS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11156.17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517.44000000000005</v>
          </cell>
          <cell r="L53">
            <v>0</v>
          </cell>
          <cell r="M53">
            <v>11673.61</v>
          </cell>
        </row>
        <row r="54">
          <cell r="A54" t="str">
            <v>5980 - Employee Meals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47.22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47.22</v>
          </cell>
        </row>
        <row r="55">
          <cell r="A55" t="str">
            <v>Total - 5900 - Other COGS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11203.39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517.44000000000005</v>
          </cell>
          <cell r="L55">
            <v>0</v>
          </cell>
          <cell r="M55">
            <v>11720.83</v>
          </cell>
        </row>
        <row r="56">
          <cell r="A56" t="str">
            <v>Total - Cost Of Sales</v>
          </cell>
          <cell r="B56">
            <v>-10661.83</v>
          </cell>
          <cell r="C56">
            <v>4213.3600000000006</v>
          </cell>
          <cell r="D56">
            <v>3886.36</v>
          </cell>
          <cell r="E56">
            <v>5166.38</v>
          </cell>
          <cell r="F56">
            <v>80664.569999999992</v>
          </cell>
          <cell r="G56">
            <v>73.260000000000005</v>
          </cell>
          <cell r="H56">
            <v>0</v>
          </cell>
          <cell r="I56">
            <v>1540.02</v>
          </cell>
          <cell r="J56">
            <v>189714.34</v>
          </cell>
          <cell r="K56">
            <v>1007.3800000000001</v>
          </cell>
          <cell r="L56">
            <v>33.950000000000003</v>
          </cell>
          <cell r="M56">
            <v>275637.79000000004</v>
          </cell>
        </row>
        <row r="57">
          <cell r="A57" t="str">
            <v>Gross Profit</v>
          </cell>
          <cell r="B57">
            <v>10661.83</v>
          </cell>
          <cell r="C57">
            <v>-4213.3600000000006</v>
          </cell>
          <cell r="D57">
            <v>-3886.36</v>
          </cell>
          <cell r="E57">
            <v>-5166.38</v>
          </cell>
          <cell r="F57">
            <v>-80664.569999999992</v>
          </cell>
          <cell r="G57">
            <v>-73.260000000000005</v>
          </cell>
          <cell r="H57">
            <v>0</v>
          </cell>
          <cell r="I57">
            <v>-1540.02</v>
          </cell>
          <cell r="J57">
            <v>313512.72000000009</v>
          </cell>
          <cell r="K57">
            <v>-1007.3800000000001</v>
          </cell>
          <cell r="L57">
            <v>-33.950000000000003</v>
          </cell>
          <cell r="M57">
            <v>227589.27000000002</v>
          </cell>
        </row>
        <row r="58">
          <cell r="A58" t="str">
            <v>Expense</v>
          </cell>
        </row>
        <row r="59">
          <cell r="A59" t="str">
            <v>6000 - Labor Expense - SG&amp;A</v>
          </cell>
        </row>
        <row r="60">
          <cell r="A60" t="str">
            <v>6610 - Salaries and Wages - SG&amp;A</v>
          </cell>
          <cell r="B60">
            <v>0</v>
          </cell>
          <cell r="C60">
            <v>8250</v>
          </cell>
          <cell r="D60">
            <v>27654.39</v>
          </cell>
          <cell r="E60">
            <v>27897.23</v>
          </cell>
          <cell r="F60">
            <v>8716.01</v>
          </cell>
          <cell r="G60">
            <v>49645.83</v>
          </cell>
          <cell r="H60">
            <v>16458.34</v>
          </cell>
          <cell r="I60">
            <v>27724.99</v>
          </cell>
          <cell r="J60">
            <v>-165768.20000000001</v>
          </cell>
          <cell r="K60">
            <v>407057.21</v>
          </cell>
          <cell r="L60">
            <v>40000</v>
          </cell>
          <cell r="M60">
            <v>447635.8</v>
          </cell>
        </row>
        <row r="61">
          <cell r="A61" t="str">
            <v>6630 - Payroll Taxes - SG&amp;A</v>
          </cell>
          <cell r="B61">
            <v>0</v>
          </cell>
          <cell r="C61">
            <v>462</v>
          </cell>
          <cell r="D61">
            <v>30724.639999999999</v>
          </cell>
          <cell r="E61">
            <v>6652.05</v>
          </cell>
          <cell r="F61">
            <v>0</v>
          </cell>
          <cell r="G61">
            <v>85074.39</v>
          </cell>
          <cell r="H61">
            <v>984.38</v>
          </cell>
          <cell r="I61">
            <v>1055.23</v>
          </cell>
          <cell r="J61">
            <v>0</v>
          </cell>
          <cell r="K61">
            <v>5668.92</v>
          </cell>
          <cell r="L61">
            <v>3352.8</v>
          </cell>
          <cell r="M61">
            <v>133974.41</v>
          </cell>
        </row>
        <row r="62">
          <cell r="A62" t="str">
            <v>6640 - Benefits - SG&amp;A</v>
          </cell>
          <cell r="B62">
            <v>0</v>
          </cell>
          <cell r="C62">
            <v>4335.45</v>
          </cell>
          <cell r="D62">
            <v>1939.53</v>
          </cell>
          <cell r="E62">
            <v>5252.34</v>
          </cell>
          <cell r="F62">
            <v>413.16</v>
          </cell>
          <cell r="G62">
            <v>-5093.92</v>
          </cell>
          <cell r="H62">
            <v>3060.98</v>
          </cell>
          <cell r="I62">
            <v>17771.740000000002</v>
          </cell>
          <cell r="J62">
            <v>218.75</v>
          </cell>
          <cell r="K62">
            <v>24515.87</v>
          </cell>
          <cell r="L62">
            <v>1107.9100000000001</v>
          </cell>
          <cell r="M62">
            <v>53521.81</v>
          </cell>
        </row>
        <row r="63">
          <cell r="A63" t="str">
            <v>6650 - Commissions - SG&amp;A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26228.31</v>
          </cell>
          <cell r="M63">
            <v>26228.31</v>
          </cell>
        </row>
        <row r="64">
          <cell r="A64" t="str">
            <v>6660 - Recruiting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169.99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65000</v>
          </cell>
          <cell r="M64">
            <v>65169.99</v>
          </cell>
        </row>
        <row r="65">
          <cell r="A65" t="str">
            <v>Total - 6000 - Labor Expense - SG&amp;A</v>
          </cell>
          <cell r="B65">
            <v>0</v>
          </cell>
          <cell r="C65">
            <v>13047.45</v>
          </cell>
          <cell r="D65">
            <v>60318.559999999998</v>
          </cell>
          <cell r="E65">
            <v>39801.619999999995</v>
          </cell>
          <cell r="F65">
            <v>9129.17</v>
          </cell>
          <cell r="G65">
            <v>129796.29000000001</v>
          </cell>
          <cell r="H65">
            <v>20503.7</v>
          </cell>
          <cell r="I65">
            <v>46551.960000000006</v>
          </cell>
          <cell r="J65">
            <v>-165549.45000000001</v>
          </cell>
          <cell r="K65">
            <v>437242</v>
          </cell>
          <cell r="L65">
            <v>135689.02000000002</v>
          </cell>
          <cell r="M65">
            <v>726530.32000000007</v>
          </cell>
        </row>
        <row r="66">
          <cell r="A66" t="str">
            <v>6100 - Travel</v>
          </cell>
          <cell r="B66">
            <v>0</v>
          </cell>
          <cell r="C66">
            <v>2577.54</v>
          </cell>
          <cell r="D66">
            <v>2554.7199999999998</v>
          </cell>
          <cell r="E66">
            <v>-773.5</v>
          </cell>
          <cell r="F66">
            <v>9.99</v>
          </cell>
          <cell r="G66">
            <v>4634.2</v>
          </cell>
          <cell r="H66">
            <v>2509.48</v>
          </cell>
          <cell r="I66">
            <v>0</v>
          </cell>
          <cell r="J66">
            <v>0</v>
          </cell>
          <cell r="K66">
            <v>3259.93</v>
          </cell>
          <cell r="L66">
            <v>2625.59</v>
          </cell>
          <cell r="M66">
            <v>17397.95</v>
          </cell>
        </row>
        <row r="67">
          <cell r="A67" t="str">
            <v>6110 - Travel Meals</v>
          </cell>
          <cell r="B67">
            <v>0</v>
          </cell>
          <cell r="C67">
            <v>512.79999999999995</v>
          </cell>
          <cell r="D67">
            <v>218.65</v>
          </cell>
          <cell r="E67">
            <v>0</v>
          </cell>
          <cell r="F67">
            <v>0</v>
          </cell>
          <cell r="G67">
            <v>1145.56</v>
          </cell>
          <cell r="H67">
            <v>899.25</v>
          </cell>
          <cell r="I67">
            <v>0</v>
          </cell>
          <cell r="J67">
            <v>0</v>
          </cell>
          <cell r="K67">
            <v>61.13</v>
          </cell>
          <cell r="L67">
            <v>250.3</v>
          </cell>
          <cell r="M67">
            <v>3087.69</v>
          </cell>
        </row>
        <row r="68">
          <cell r="A68" t="str">
            <v>6120 - Meals and Entertainment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128.62</v>
          </cell>
          <cell r="H68">
            <v>0</v>
          </cell>
          <cell r="I68">
            <v>0</v>
          </cell>
          <cell r="J68">
            <v>0</v>
          </cell>
          <cell r="K68">
            <v>220.11</v>
          </cell>
          <cell r="L68">
            <v>0</v>
          </cell>
          <cell r="M68">
            <v>348.73</v>
          </cell>
        </row>
        <row r="69">
          <cell r="A69" t="str">
            <v>6200 - Advertising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3500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3500</v>
          </cell>
        </row>
        <row r="70">
          <cell r="A70" t="str">
            <v>6210 - Marketing Expense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43740.720000000008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43740.720000000008</v>
          </cell>
        </row>
        <row r="71">
          <cell r="A71" t="str">
            <v>6220 - Trade Shows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28.87</v>
          </cell>
          <cell r="H71">
            <v>239262.36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239291.22999999998</v>
          </cell>
        </row>
        <row r="72">
          <cell r="A72" t="str">
            <v>6400 - Memberships and Subscriptions</v>
          </cell>
          <cell r="B72">
            <v>0</v>
          </cell>
          <cell r="C72">
            <v>20</v>
          </cell>
          <cell r="D72">
            <v>145.88</v>
          </cell>
          <cell r="E72">
            <v>0</v>
          </cell>
          <cell r="F72">
            <v>0</v>
          </cell>
          <cell r="G72">
            <v>1930.89</v>
          </cell>
          <cell r="H72">
            <v>711.42</v>
          </cell>
          <cell r="I72">
            <v>60</v>
          </cell>
          <cell r="J72">
            <v>0</v>
          </cell>
          <cell r="K72">
            <v>133.99</v>
          </cell>
          <cell r="L72">
            <v>0</v>
          </cell>
          <cell r="M72">
            <v>3002.1800000000003</v>
          </cell>
        </row>
        <row r="73">
          <cell r="A73" t="str">
            <v>6500 - Demos</v>
          </cell>
        </row>
        <row r="74">
          <cell r="A74" t="str">
            <v>6510 - Storage Facilities - Demos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2269.38</v>
          </cell>
          <cell r="M74">
            <v>2269.38</v>
          </cell>
        </row>
        <row r="75">
          <cell r="A75" t="str">
            <v>6520 - Truck Rental - Demos</v>
          </cell>
          <cell r="B75">
            <v>0</v>
          </cell>
          <cell r="C75">
            <v>0</v>
          </cell>
          <cell r="D75">
            <v>1639.89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1639.89</v>
          </cell>
        </row>
        <row r="76">
          <cell r="A76" t="str">
            <v>6530 - Other Demo Expense</v>
          </cell>
          <cell r="B76">
            <v>0</v>
          </cell>
          <cell r="C76">
            <v>0</v>
          </cell>
          <cell r="D76">
            <v>1867.65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1867.65</v>
          </cell>
        </row>
        <row r="77">
          <cell r="A77" t="str">
            <v>6540 - Travel - Demos</v>
          </cell>
          <cell r="B77">
            <v>0</v>
          </cell>
          <cell r="C77">
            <v>29</v>
          </cell>
          <cell r="D77">
            <v>1869.08</v>
          </cell>
          <cell r="E77">
            <v>1642.61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1633.26</v>
          </cell>
          <cell r="M77">
            <v>5173.95</v>
          </cell>
        </row>
        <row r="78">
          <cell r="A78" t="str">
            <v>6550 - Meals - Demos</v>
          </cell>
          <cell r="B78">
            <v>0</v>
          </cell>
          <cell r="C78">
            <v>114.47</v>
          </cell>
          <cell r="D78">
            <v>172.71</v>
          </cell>
          <cell r="E78">
            <v>196.09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1030.3599999999999</v>
          </cell>
          <cell r="M78">
            <v>1513.6299999999999</v>
          </cell>
        </row>
        <row r="79">
          <cell r="A79" t="str">
            <v>Total - 6500 - Demos</v>
          </cell>
          <cell r="B79">
            <v>0</v>
          </cell>
          <cell r="C79">
            <v>143.47</v>
          </cell>
          <cell r="D79">
            <v>5549.33</v>
          </cell>
          <cell r="E79">
            <v>1838.6999999999998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4933</v>
          </cell>
          <cell r="M79">
            <v>12464.499999999998</v>
          </cell>
        </row>
        <row r="80">
          <cell r="A80" t="str">
            <v>7000 - Professional Fees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24223.99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24223.99</v>
          </cell>
        </row>
        <row r="81">
          <cell r="A81" t="str">
            <v>7100 - Legal Expense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29396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29396</v>
          </cell>
        </row>
        <row r="82">
          <cell r="A82" t="str">
            <v>7200 - Contractors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11217.74</v>
          </cell>
          <cell r="G82">
            <v>4875</v>
          </cell>
          <cell r="H82">
            <v>0</v>
          </cell>
          <cell r="I82">
            <v>0</v>
          </cell>
          <cell r="J82">
            <v>0</v>
          </cell>
          <cell r="K82">
            <v>58506.06</v>
          </cell>
          <cell r="L82">
            <v>0</v>
          </cell>
          <cell r="M82">
            <v>74598.8</v>
          </cell>
        </row>
        <row r="83">
          <cell r="A83" t="str">
            <v>7300 - R&amp;D Expense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1173.3900000000001</v>
          </cell>
          <cell r="G83">
            <v>0</v>
          </cell>
          <cell r="H83">
            <v>0</v>
          </cell>
          <cell r="I83">
            <v>0</v>
          </cell>
          <cell r="J83">
            <v>1469.25</v>
          </cell>
          <cell r="K83">
            <v>240306.36</v>
          </cell>
          <cell r="L83">
            <v>0</v>
          </cell>
          <cell r="M83">
            <v>242949</v>
          </cell>
        </row>
        <row r="84">
          <cell r="A84" t="str">
            <v>7500 - Facility Expenses</v>
          </cell>
          <cell r="B84">
            <v>0</v>
          </cell>
          <cell r="C84">
            <v>0</v>
          </cell>
          <cell r="D84">
            <v>870.98</v>
          </cell>
          <cell r="E84">
            <v>0</v>
          </cell>
          <cell r="F84">
            <v>0</v>
          </cell>
          <cell r="G84">
            <v>3866.64</v>
          </cell>
          <cell r="H84">
            <v>0</v>
          </cell>
          <cell r="I84">
            <v>303.06</v>
          </cell>
          <cell r="J84">
            <v>0</v>
          </cell>
          <cell r="K84">
            <v>389.51</v>
          </cell>
          <cell r="L84">
            <v>0</v>
          </cell>
          <cell r="M84">
            <v>5430.1900000000005</v>
          </cell>
        </row>
        <row r="85">
          <cell r="A85" t="str">
            <v>7550 - Tools and Equipment</v>
          </cell>
          <cell r="B85">
            <v>0</v>
          </cell>
          <cell r="C85">
            <v>0</v>
          </cell>
          <cell r="D85">
            <v>2325.33</v>
          </cell>
          <cell r="E85">
            <v>126.85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545.74</v>
          </cell>
          <cell r="L85">
            <v>0</v>
          </cell>
          <cell r="M85">
            <v>2997.92</v>
          </cell>
        </row>
        <row r="86">
          <cell r="A86" t="str">
            <v>7600 - Freight &amp; Delivery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34.950000000000003</v>
          </cell>
          <cell r="H86">
            <v>0</v>
          </cell>
          <cell r="I86">
            <v>0</v>
          </cell>
          <cell r="J86">
            <v>15.09</v>
          </cell>
          <cell r="K86">
            <v>0</v>
          </cell>
          <cell r="L86">
            <v>0</v>
          </cell>
          <cell r="M86">
            <v>50.040000000000006</v>
          </cell>
        </row>
        <row r="87">
          <cell r="A87" t="str">
            <v>7700 - Inventory Obsolescence-old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</row>
        <row r="88">
          <cell r="A88" t="str">
            <v>8100 - Technology</v>
          </cell>
          <cell r="B88">
            <v>0</v>
          </cell>
          <cell r="C88">
            <v>21.28</v>
          </cell>
          <cell r="D88">
            <v>153.72999999999999</v>
          </cell>
          <cell r="E88">
            <v>20</v>
          </cell>
          <cell r="F88">
            <v>0</v>
          </cell>
          <cell r="G88">
            <v>29940.87</v>
          </cell>
          <cell r="H88">
            <v>2967.96</v>
          </cell>
          <cell r="I88">
            <v>653.16999999999996</v>
          </cell>
          <cell r="J88">
            <v>0</v>
          </cell>
          <cell r="K88">
            <v>14603</v>
          </cell>
          <cell r="L88">
            <v>946.3</v>
          </cell>
          <cell r="M88">
            <v>49306.31</v>
          </cell>
        </row>
        <row r="89">
          <cell r="A89" t="str">
            <v>8200 - Building Rent or Lease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82352.639999999999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82352.639999999999</v>
          </cell>
        </row>
        <row r="90">
          <cell r="A90" t="str">
            <v>8250 - Equipment/Vehicle Rentals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636</v>
          </cell>
          <cell r="H90">
            <v>0</v>
          </cell>
          <cell r="I90">
            <v>0</v>
          </cell>
          <cell r="J90">
            <v>1667.4</v>
          </cell>
          <cell r="K90">
            <v>0</v>
          </cell>
          <cell r="L90">
            <v>0</v>
          </cell>
          <cell r="M90">
            <v>2303.4</v>
          </cell>
        </row>
        <row r="91">
          <cell r="A91" t="str">
            <v>8300 - Office Expenses</v>
          </cell>
          <cell r="B91">
            <v>0</v>
          </cell>
          <cell r="C91">
            <v>2.4500000000000002</v>
          </cell>
          <cell r="D91">
            <v>0</v>
          </cell>
          <cell r="E91">
            <v>1.7</v>
          </cell>
          <cell r="F91">
            <v>79.8</v>
          </cell>
          <cell r="G91">
            <v>7111.89</v>
          </cell>
          <cell r="H91">
            <v>0</v>
          </cell>
          <cell r="I91">
            <v>188.66</v>
          </cell>
          <cell r="J91">
            <v>0</v>
          </cell>
          <cell r="K91">
            <v>-571.65</v>
          </cell>
          <cell r="L91">
            <v>0</v>
          </cell>
          <cell r="M91">
            <v>6812.85</v>
          </cell>
        </row>
        <row r="92">
          <cell r="A92" t="str">
            <v>8400 - Office Equipment and Small Furniture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233.06</v>
          </cell>
          <cell r="H92">
            <v>0</v>
          </cell>
          <cell r="I92">
            <v>0</v>
          </cell>
          <cell r="J92">
            <v>0</v>
          </cell>
          <cell r="K92">
            <v>1368.36</v>
          </cell>
          <cell r="L92">
            <v>0</v>
          </cell>
          <cell r="M92">
            <v>1601.4199999999998</v>
          </cell>
        </row>
        <row r="93">
          <cell r="A93" t="str">
            <v>8450 - Postage &amp; Shipping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15.6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15.6</v>
          </cell>
        </row>
        <row r="94">
          <cell r="A94" t="str">
            <v>8500 - Commercial Insurance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9357.2800000000007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9357.2800000000007</v>
          </cell>
        </row>
        <row r="95">
          <cell r="A95" t="str">
            <v>8600 - Repairs and Maintenance</v>
          </cell>
          <cell r="B95">
            <v>0</v>
          </cell>
          <cell r="C95">
            <v>0</v>
          </cell>
          <cell r="D95">
            <v>5023.49</v>
          </cell>
          <cell r="E95">
            <v>0</v>
          </cell>
          <cell r="F95">
            <v>5564.86</v>
          </cell>
          <cell r="G95">
            <v>2575.83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13164.179999999998</v>
          </cell>
        </row>
        <row r="96">
          <cell r="A96" t="str">
            <v>8700 - Utilities and Telecom Expense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5753.96</v>
          </cell>
          <cell r="H96">
            <v>0</v>
          </cell>
          <cell r="I96">
            <v>0</v>
          </cell>
          <cell r="J96">
            <v>5363.35</v>
          </cell>
          <cell r="K96">
            <v>0</v>
          </cell>
          <cell r="L96">
            <v>0</v>
          </cell>
          <cell r="M96">
            <v>11117.310000000001</v>
          </cell>
        </row>
        <row r="97">
          <cell r="A97" t="str">
            <v>8800 - Bank Charges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200.99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200.99</v>
          </cell>
        </row>
        <row r="98">
          <cell r="A98" t="str">
            <v>8900 - Payroll Fees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2923.09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2923.09</v>
          </cell>
        </row>
        <row r="99">
          <cell r="A99" t="str">
            <v>8950 - Financing Taxes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 t="str">
            <v>8955 - Other Taxes and Licenses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324.99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324.99</v>
          </cell>
        </row>
        <row r="101">
          <cell r="A101" t="str">
            <v>9999 - Uncategorized Expenses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 t="str">
            <v>Total - Expense</v>
          </cell>
          <cell r="B102">
            <v>0</v>
          </cell>
          <cell r="C102">
            <v>16324.990000000002</v>
          </cell>
          <cell r="D102">
            <v>77160.67</v>
          </cell>
          <cell r="E102">
            <v>41015.369999999988</v>
          </cell>
          <cell r="F102">
            <v>27174.95</v>
          </cell>
          <cell r="G102">
            <v>341487.21000000008</v>
          </cell>
          <cell r="H102">
            <v>314094.89</v>
          </cell>
          <cell r="I102">
            <v>47756.850000000006</v>
          </cell>
          <cell r="J102">
            <v>-157034.36000000002</v>
          </cell>
          <cell r="K102">
            <v>756064.53999999992</v>
          </cell>
          <cell r="L102">
            <v>144444.21</v>
          </cell>
          <cell r="M102">
            <v>1608489.3199999998</v>
          </cell>
        </row>
        <row r="103">
          <cell r="A103" t="str">
            <v>Net Ordinary Income</v>
          </cell>
          <cell r="B103">
            <v>10661.83</v>
          </cell>
          <cell r="C103">
            <v>-20538.350000000002</v>
          </cell>
          <cell r="D103">
            <v>-81047.03</v>
          </cell>
          <cell r="E103">
            <v>-46181.749999999985</v>
          </cell>
          <cell r="F103">
            <v>-107839.51999999999</v>
          </cell>
          <cell r="G103">
            <v>-341560.47000000009</v>
          </cell>
          <cell r="H103">
            <v>-314094.89</v>
          </cell>
          <cell r="I103">
            <v>-49296.87</v>
          </cell>
          <cell r="J103">
            <v>470547.08000000007</v>
          </cell>
          <cell r="K103">
            <v>-757071.91999999993</v>
          </cell>
          <cell r="L103">
            <v>-144478.16</v>
          </cell>
          <cell r="M103">
            <v>-1380900.0499999998</v>
          </cell>
        </row>
        <row r="104">
          <cell r="A104" t="str">
            <v>Other Income and Expenses</v>
          </cell>
        </row>
        <row r="105">
          <cell r="A105" t="str">
            <v>Other Income</v>
          </cell>
        </row>
        <row r="106">
          <cell r="A106" t="str">
            <v>9100 - Interest Earned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23448.76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23448.76</v>
          </cell>
        </row>
        <row r="107">
          <cell r="A107" t="str">
            <v>Total - Other Income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23448.76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23448.76</v>
          </cell>
        </row>
        <row r="108">
          <cell r="A108" t="str">
            <v>Other Expense</v>
          </cell>
        </row>
        <row r="109">
          <cell r="A109" t="str">
            <v>9200 - Cash Sweep Fees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1406.6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1406.6</v>
          </cell>
        </row>
        <row r="110">
          <cell r="A110" t="str">
            <v>9300 - Interest Expense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55919.13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55919.13</v>
          </cell>
        </row>
        <row r="111">
          <cell r="A111" t="str">
            <v>9401 - Depreciation Expenses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11161.630000000001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11161.630000000001</v>
          </cell>
        </row>
        <row r="112">
          <cell r="A112" t="str">
            <v>Total - Other Expense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68487.360000000001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68487.360000000001</v>
          </cell>
        </row>
        <row r="113">
          <cell r="A113" t="str">
            <v>Net Other Income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-45038.600000000006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-45038.600000000006</v>
          </cell>
        </row>
        <row r="114">
          <cell r="A114" t="str">
            <v>Net Income</v>
          </cell>
          <cell r="B114">
            <v>10661.83</v>
          </cell>
          <cell r="C114">
            <v>-20538.350000000002</v>
          </cell>
          <cell r="D114">
            <v>-81047.03</v>
          </cell>
          <cell r="E114">
            <v>-46181.749999999985</v>
          </cell>
          <cell r="F114">
            <v>-107839.51999999999</v>
          </cell>
          <cell r="G114">
            <v>-386599.07000000007</v>
          </cell>
          <cell r="H114">
            <v>-314094.89</v>
          </cell>
          <cell r="I114">
            <v>-49296.87</v>
          </cell>
          <cell r="J114">
            <v>470547.08000000007</v>
          </cell>
          <cell r="K114">
            <v>-757071.91999999993</v>
          </cell>
          <cell r="L114">
            <v>-144478.16</v>
          </cell>
          <cell r="M114">
            <v>-1425938.65</v>
          </cell>
        </row>
      </sheetData>
      <sheetData sheetId="31">
        <row r="1">
          <cell r="A1" t="str">
            <v>Slip Robotics Inc.</v>
          </cell>
        </row>
        <row r="2">
          <cell r="A2" t="str">
            <v>Slip Robotics, Inc.</v>
          </cell>
        </row>
        <row r="3">
          <cell r="A3" t="str">
            <v>SR Income Statement</v>
          </cell>
        </row>
        <row r="4">
          <cell r="A4" t="str">
            <v>Mar 2026</v>
          </cell>
        </row>
        <row r="5">
          <cell r="A5" t="str">
            <v/>
          </cell>
        </row>
        <row r="6">
          <cell r="A6" t="str">
            <v>Options: Show Zeros, Activity Only</v>
          </cell>
        </row>
        <row r="7">
          <cell r="A7" t="str">
            <v>Financial Row</v>
          </cell>
          <cell r="B7" t="str">
            <v>- No Department -</v>
          </cell>
          <cell r="C7" t="str">
            <v>Account Management</v>
          </cell>
          <cell r="D7" t="str">
            <v>Central Operations</v>
          </cell>
          <cell r="E7" t="str">
            <v>Field Engineering</v>
          </cell>
          <cell r="F7" t="str">
            <v>Field Operations</v>
          </cell>
          <cell r="G7" t="str">
            <v>G&amp;A</v>
          </cell>
          <cell r="H7" t="str">
            <v>HR</v>
          </cell>
          <cell r="I7" t="str">
            <v>Marketing</v>
          </cell>
          <cell r="J7" t="str">
            <v>Production Engineering</v>
          </cell>
          <cell r="K7" t="str">
            <v>Production Operations</v>
          </cell>
          <cell r="L7" t="str">
            <v>R&amp;D</v>
          </cell>
          <cell r="M7" t="str">
            <v>Sales</v>
          </cell>
          <cell r="N7" t="str">
            <v>Total</v>
          </cell>
        </row>
        <row r="8">
          <cell r="A8" t="str">
            <v> </v>
          </cell>
          <cell r="B8" t="str">
            <v>Amount</v>
          </cell>
          <cell r="C8" t="str">
            <v>Amount</v>
          </cell>
          <cell r="D8" t="str">
            <v>Amount</v>
          </cell>
          <cell r="E8" t="str">
            <v>Amount</v>
          </cell>
          <cell r="F8" t="str">
            <v>Amount</v>
          </cell>
          <cell r="G8" t="str">
            <v>Amount</v>
          </cell>
          <cell r="H8" t="str">
            <v>Amount</v>
          </cell>
          <cell r="I8" t="str">
            <v>Amount</v>
          </cell>
          <cell r="J8" t="str">
            <v>Amount</v>
          </cell>
          <cell r="K8" t="str">
            <v>Amount</v>
          </cell>
          <cell r="L8" t="str">
            <v>Amount</v>
          </cell>
          <cell r="M8" t="str">
            <v>Amount</v>
          </cell>
          <cell r="N8" t="str">
            <v>Amount</v>
          </cell>
        </row>
        <row r="9">
          <cell r="A9" t="str">
            <v>Ordinary Income/Expense</v>
          </cell>
        </row>
        <row r="10">
          <cell r="A10" t="str">
            <v>Income</v>
          </cell>
        </row>
        <row r="11">
          <cell r="A11" t="str">
            <v>4000 - Sales</v>
          </cell>
        </row>
        <row r="12">
          <cell r="A12" t="str">
            <v>4000 - Sales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4100 - Subscription/Platform Fees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468603.55</v>
          </cell>
          <cell r="L13">
            <v>0</v>
          </cell>
          <cell r="M13">
            <v>0</v>
          </cell>
          <cell r="N13">
            <v>468603.55</v>
          </cell>
        </row>
        <row r="14">
          <cell r="A14" t="str">
            <v>4500 - Implementation Fees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18277.78</v>
          </cell>
          <cell r="L14">
            <v>0</v>
          </cell>
          <cell r="M14">
            <v>0</v>
          </cell>
          <cell r="N14">
            <v>18277.78</v>
          </cell>
        </row>
        <row r="15">
          <cell r="A15" t="str">
            <v>Total - 4000 - Sales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486881.32999999996</v>
          </cell>
          <cell r="L15">
            <v>0</v>
          </cell>
          <cell r="M15">
            <v>0</v>
          </cell>
          <cell r="N15">
            <v>486881.32999999996</v>
          </cell>
        </row>
        <row r="16">
          <cell r="A16" t="str">
            <v>4700 - Professional Services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 t="str">
            <v>4900 - One-Time Revenue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60000</v>
          </cell>
          <cell r="L17">
            <v>0</v>
          </cell>
          <cell r="M17">
            <v>0</v>
          </cell>
          <cell r="N17">
            <v>60000</v>
          </cell>
        </row>
        <row r="18">
          <cell r="A18" t="str">
            <v>Total - Income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546881.32999999996</v>
          </cell>
          <cell r="L18">
            <v>0</v>
          </cell>
          <cell r="M18">
            <v>0</v>
          </cell>
          <cell r="N18">
            <v>546881.32999999996</v>
          </cell>
        </row>
        <row r="19">
          <cell r="A19" t="str">
            <v>Cost Of Sales</v>
          </cell>
        </row>
        <row r="20">
          <cell r="A20" t="str">
            <v>5000 - Robot Production and Deployment</v>
          </cell>
        </row>
        <row r="21">
          <cell r="A21" t="str">
            <v>5010 - SlipBot Depreciation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126630.20000000001</v>
          </cell>
          <cell r="L21">
            <v>0</v>
          </cell>
          <cell r="M21">
            <v>0</v>
          </cell>
          <cell r="N21">
            <v>126630.20000000001</v>
          </cell>
        </row>
        <row r="22">
          <cell r="A22" t="str">
            <v>5011 - SlipLift Depreciation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1677.96</v>
          </cell>
          <cell r="L22">
            <v>0</v>
          </cell>
          <cell r="M22">
            <v>0</v>
          </cell>
          <cell r="N22">
            <v>1677.96</v>
          </cell>
        </row>
        <row r="23">
          <cell r="A23" t="str">
            <v>5012 - SlipCarrier Depreciation</v>
          </cell>
          <cell r="B23">
            <v>696.6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696.6</v>
          </cell>
        </row>
        <row r="24">
          <cell r="A24" t="str">
            <v>5020 - Robot Peripherals Depreciation</v>
          </cell>
          <cell r="B24">
            <v>608.78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10939.43</v>
          </cell>
          <cell r="L24">
            <v>0</v>
          </cell>
          <cell r="M24">
            <v>0</v>
          </cell>
          <cell r="N24">
            <v>11548.210000000001</v>
          </cell>
        </row>
        <row r="25">
          <cell r="A25" t="str">
            <v>5025 - Freight and Delivery - Production (Summary)</v>
          </cell>
        </row>
        <row r="26">
          <cell r="A26" t="str">
            <v>5025 - Freight and Delivery - Production (Summary)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783.62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10270.19</v>
          </cell>
          <cell r="L26">
            <v>0</v>
          </cell>
          <cell r="M26">
            <v>0</v>
          </cell>
          <cell r="N26">
            <v>11053.810000000001</v>
          </cell>
        </row>
        <row r="27">
          <cell r="A27" t="str">
            <v>5026 - Freight and Delivery - Production - Expedited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2122.44</v>
          </cell>
          <cell r="L27">
            <v>0</v>
          </cell>
          <cell r="M27">
            <v>0</v>
          </cell>
          <cell r="N27">
            <v>2122.44</v>
          </cell>
        </row>
        <row r="28">
          <cell r="A28" t="str">
            <v>5027 - Freight and Delivery - Production - Standard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149.33000000000001</v>
          </cell>
          <cell r="L28">
            <v>0</v>
          </cell>
          <cell r="M28">
            <v>0</v>
          </cell>
          <cell r="N28">
            <v>149.33000000000001</v>
          </cell>
        </row>
        <row r="29">
          <cell r="A29" t="str">
            <v>Total - 5025 - Freight and Delivery - Production (Summary)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783.62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12541.960000000001</v>
          </cell>
          <cell r="L29">
            <v>0</v>
          </cell>
          <cell r="M29">
            <v>0</v>
          </cell>
          <cell r="N29">
            <v>13325.580000000002</v>
          </cell>
        </row>
        <row r="30">
          <cell r="A30" t="str">
            <v>5030 - Production Tools and Supplies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222.55</v>
          </cell>
          <cell r="J30">
            <v>137.24</v>
          </cell>
          <cell r="K30">
            <v>8171.08</v>
          </cell>
          <cell r="L30">
            <v>5552.09</v>
          </cell>
          <cell r="M30">
            <v>0</v>
          </cell>
          <cell r="N30">
            <v>14082.960000000001</v>
          </cell>
        </row>
        <row r="31">
          <cell r="A31" t="str">
            <v>5040 - Freight &amp; Delivery - Deployment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3522.7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1400</v>
          </cell>
          <cell r="L31">
            <v>0</v>
          </cell>
          <cell r="M31">
            <v>0</v>
          </cell>
          <cell r="N31">
            <v>4922.7</v>
          </cell>
        </row>
        <row r="32">
          <cell r="A32" t="str">
            <v>5050 - Travel - Deployment</v>
          </cell>
          <cell r="B32">
            <v>0</v>
          </cell>
          <cell r="C32">
            <v>2477.77</v>
          </cell>
          <cell r="D32">
            <v>0</v>
          </cell>
          <cell r="E32">
            <v>6516.64</v>
          </cell>
          <cell r="F32">
            <v>0</v>
          </cell>
          <cell r="G32">
            <v>0</v>
          </cell>
          <cell r="H32">
            <v>0</v>
          </cell>
          <cell r="I32">
            <v>252.82</v>
          </cell>
          <cell r="J32">
            <v>0</v>
          </cell>
          <cell r="K32">
            <v>0</v>
          </cell>
          <cell r="L32">
            <v>0</v>
          </cell>
          <cell r="M32">
            <v>180.97</v>
          </cell>
          <cell r="N32">
            <v>9428.1999999999989</v>
          </cell>
        </row>
        <row r="33">
          <cell r="A33" t="str">
            <v>5060 - Meals - Deployment</v>
          </cell>
          <cell r="B33">
            <v>0</v>
          </cell>
          <cell r="C33">
            <v>582.53</v>
          </cell>
          <cell r="D33">
            <v>0</v>
          </cell>
          <cell r="E33">
            <v>878.77</v>
          </cell>
          <cell r="F33">
            <v>0</v>
          </cell>
          <cell r="G33">
            <v>70</v>
          </cell>
          <cell r="H33">
            <v>0</v>
          </cell>
          <cell r="I33">
            <v>0</v>
          </cell>
          <cell r="J33">
            <v>0</v>
          </cell>
          <cell r="K33">
            <v>175</v>
          </cell>
          <cell r="L33">
            <v>754.48</v>
          </cell>
          <cell r="M33">
            <v>132.27000000000001</v>
          </cell>
          <cell r="N33">
            <v>2593.0499999999997</v>
          </cell>
        </row>
        <row r="34">
          <cell r="A34" t="str">
            <v>5100 - Labor Expense - Production</v>
          </cell>
        </row>
        <row r="35">
          <cell r="A35" t="str">
            <v>5110 - Salaries and Wages - Production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65376.84</v>
          </cell>
          <cell r="K35">
            <v>-53487.1</v>
          </cell>
          <cell r="L35">
            <v>0</v>
          </cell>
          <cell r="M35">
            <v>0</v>
          </cell>
          <cell r="N35">
            <v>11889.739999999998</v>
          </cell>
        </row>
        <row r="36">
          <cell r="A36" t="str">
            <v>5130 - Payroll Taxes - Production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2360.75</v>
          </cell>
          <cell r="K36">
            <v>-1003.17</v>
          </cell>
          <cell r="L36">
            <v>0</v>
          </cell>
          <cell r="M36">
            <v>0</v>
          </cell>
          <cell r="N36">
            <v>1357.58</v>
          </cell>
        </row>
        <row r="37">
          <cell r="A37" t="str">
            <v>5140 - Benefits - Production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-1593.15</v>
          </cell>
          <cell r="K37">
            <v>3057.92</v>
          </cell>
          <cell r="L37">
            <v>0</v>
          </cell>
          <cell r="M37">
            <v>0</v>
          </cell>
          <cell r="N37">
            <v>1464.77</v>
          </cell>
        </row>
        <row r="38">
          <cell r="A38" t="str">
            <v>Total - 5100 - Labor Expense - Production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66144.44</v>
          </cell>
          <cell r="K38">
            <v>-51432.35</v>
          </cell>
          <cell r="L38">
            <v>0</v>
          </cell>
          <cell r="M38">
            <v>0</v>
          </cell>
          <cell r="N38">
            <v>14712.089999999998</v>
          </cell>
        </row>
        <row r="39">
          <cell r="A39" t="str">
            <v>Total - 5000 - Robot Production and Deployment</v>
          </cell>
          <cell r="B39">
            <v>1305.3800000000001</v>
          </cell>
          <cell r="C39">
            <v>3060.3</v>
          </cell>
          <cell r="D39">
            <v>0</v>
          </cell>
          <cell r="E39">
            <v>7395.41</v>
          </cell>
          <cell r="F39">
            <v>4306.32</v>
          </cell>
          <cell r="G39">
            <v>70</v>
          </cell>
          <cell r="H39">
            <v>0</v>
          </cell>
          <cell r="I39">
            <v>475.37</v>
          </cell>
          <cell r="J39">
            <v>66281.680000000008</v>
          </cell>
          <cell r="K39">
            <v>110103.28</v>
          </cell>
          <cell r="L39">
            <v>6306.57</v>
          </cell>
          <cell r="M39">
            <v>313.24</v>
          </cell>
          <cell r="N39">
            <v>199617.55000000005</v>
          </cell>
        </row>
        <row r="40">
          <cell r="A40" t="str">
            <v>5015 - Supplies and Materials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1303.79</v>
          </cell>
          <cell r="H40">
            <v>0</v>
          </cell>
          <cell r="I40">
            <v>0</v>
          </cell>
          <cell r="J40">
            <v>0</v>
          </cell>
          <cell r="K40">
            <v>2782.65</v>
          </cell>
          <cell r="L40">
            <v>0</v>
          </cell>
          <cell r="M40">
            <v>0</v>
          </cell>
          <cell r="N40">
            <v>4086.44</v>
          </cell>
        </row>
        <row r="41">
          <cell r="A41" t="str">
            <v>5201 - Inventory Adjustments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 t="str">
            <v>5300 - Maintenance</v>
          </cell>
        </row>
        <row r="43">
          <cell r="A43" t="str">
            <v>5320 - Freight &amp; Delivery - Maintenance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1327.17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1327.17</v>
          </cell>
        </row>
        <row r="44">
          <cell r="A44" t="str">
            <v>5330 - Maintenance Tools and Supplies</v>
          </cell>
          <cell r="B44">
            <v>0</v>
          </cell>
          <cell r="C44">
            <v>0</v>
          </cell>
          <cell r="D44">
            <v>0</v>
          </cell>
          <cell r="E44">
            <v>1055.56</v>
          </cell>
          <cell r="F44">
            <v>2655.82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61.47</v>
          </cell>
          <cell r="M44">
            <v>0</v>
          </cell>
          <cell r="N44">
            <v>3772.85</v>
          </cell>
        </row>
        <row r="45">
          <cell r="A45" t="str">
            <v>5340 - Spare Parts</v>
          </cell>
          <cell r="B45">
            <v>0</v>
          </cell>
          <cell r="C45">
            <v>465.34</v>
          </cell>
          <cell r="D45">
            <v>0</v>
          </cell>
          <cell r="E45">
            <v>0</v>
          </cell>
          <cell r="F45">
            <v>58626.27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4902.7299999999996</v>
          </cell>
          <cell r="L45">
            <v>0</v>
          </cell>
          <cell r="M45">
            <v>0</v>
          </cell>
          <cell r="N45">
            <v>63994.34</v>
          </cell>
        </row>
        <row r="46">
          <cell r="A46" t="str">
            <v>5350 - Warehouse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4120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4120</v>
          </cell>
        </row>
        <row r="47">
          <cell r="A47" t="str">
            <v>5360 - Travel - Maintenance</v>
          </cell>
          <cell r="B47">
            <v>0</v>
          </cell>
          <cell r="C47">
            <v>0</v>
          </cell>
          <cell r="D47">
            <v>0</v>
          </cell>
          <cell r="E47">
            <v>281.44</v>
          </cell>
          <cell r="F47">
            <v>616.4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897.83999999999992</v>
          </cell>
        </row>
        <row r="48">
          <cell r="A48" t="str">
            <v>5370 - Meals - Maintenance</v>
          </cell>
          <cell r="B48">
            <v>0</v>
          </cell>
          <cell r="C48">
            <v>0</v>
          </cell>
          <cell r="D48">
            <v>0</v>
          </cell>
          <cell r="E48">
            <v>160.63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160.63</v>
          </cell>
        </row>
        <row r="49">
          <cell r="A49" t="str">
            <v>5500 - Labor Expense - Field Operations</v>
          </cell>
        </row>
        <row r="50">
          <cell r="A50" t="str">
            <v>5510 - :Salaries and Wages - Field Operations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55703.48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55703.48</v>
          </cell>
        </row>
        <row r="51">
          <cell r="A51" t="str">
            <v>5530 - :Payroll Taxes - Field Operations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3711.25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3711.25</v>
          </cell>
        </row>
        <row r="52">
          <cell r="A52" t="str">
            <v>5540 - :Benefits - Field Operations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9448.65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9448.65</v>
          </cell>
        </row>
        <row r="53">
          <cell r="A53" t="str">
            <v>Total - 5500 - Labor Expense - Field Operations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68863.38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68863.38</v>
          </cell>
        </row>
        <row r="54">
          <cell r="A54" t="str">
            <v>Total - 5300 - Maintenance</v>
          </cell>
          <cell r="B54">
            <v>0</v>
          </cell>
          <cell r="C54">
            <v>465.34</v>
          </cell>
          <cell r="D54">
            <v>0</v>
          </cell>
          <cell r="E54">
            <v>1497.63</v>
          </cell>
          <cell r="F54">
            <v>136209.03999999998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4902.7299999999996</v>
          </cell>
          <cell r="L54">
            <v>61.47</v>
          </cell>
          <cell r="M54">
            <v>0</v>
          </cell>
          <cell r="N54">
            <v>143136.21000000002</v>
          </cell>
        </row>
        <row r="55">
          <cell r="A55" t="str">
            <v>5900 - Other COGS</v>
          </cell>
        </row>
        <row r="56">
          <cell r="A56" t="str">
            <v>5920 - Software - COGS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11961.24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268.69</v>
          </cell>
          <cell r="M56">
            <v>0</v>
          </cell>
          <cell r="N56">
            <v>12229.93</v>
          </cell>
        </row>
        <row r="57">
          <cell r="A57" t="str">
            <v>5950 - Certification Expense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345</v>
          </cell>
          <cell r="M57">
            <v>0</v>
          </cell>
          <cell r="N57">
            <v>345</v>
          </cell>
        </row>
        <row r="58">
          <cell r="A58" t="str">
            <v>Total - 5900 - Other COGS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11961.24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613.69000000000005</v>
          </cell>
          <cell r="M58">
            <v>0</v>
          </cell>
          <cell r="N58">
            <v>12574.93</v>
          </cell>
        </row>
        <row r="59">
          <cell r="A59" t="str">
            <v>Total - Cost Of Sales</v>
          </cell>
          <cell r="B59">
            <v>1305.3800000000001</v>
          </cell>
          <cell r="C59">
            <v>3525.6400000000003</v>
          </cell>
          <cell r="D59">
            <v>0</v>
          </cell>
          <cell r="E59">
            <v>8893.0400000000009</v>
          </cell>
          <cell r="F59">
            <v>152476.59999999998</v>
          </cell>
          <cell r="G59">
            <v>1373.79</v>
          </cell>
          <cell r="H59">
            <v>0</v>
          </cell>
          <cell r="I59">
            <v>475.37</v>
          </cell>
          <cell r="J59">
            <v>66281.680000000008</v>
          </cell>
          <cell r="K59">
            <v>117788.65999999999</v>
          </cell>
          <cell r="L59">
            <v>6981.73</v>
          </cell>
          <cell r="M59">
            <v>313.24</v>
          </cell>
          <cell r="N59">
            <v>359415.13000000006</v>
          </cell>
        </row>
        <row r="60">
          <cell r="A60" t="str">
            <v>Gross Profit</v>
          </cell>
          <cell r="B60">
            <v>-1305.3800000000001</v>
          </cell>
          <cell r="C60">
            <v>-3525.6400000000003</v>
          </cell>
          <cell r="D60">
            <v>0</v>
          </cell>
          <cell r="E60">
            <v>-8893.0400000000009</v>
          </cell>
          <cell r="F60">
            <v>-152476.59999999998</v>
          </cell>
          <cell r="G60">
            <v>-1373.79</v>
          </cell>
          <cell r="H60">
            <v>0</v>
          </cell>
          <cell r="I60">
            <v>-475.37</v>
          </cell>
          <cell r="J60">
            <v>-66281.680000000008</v>
          </cell>
          <cell r="K60">
            <v>429092.67</v>
          </cell>
          <cell r="L60">
            <v>-6981.73</v>
          </cell>
          <cell r="M60">
            <v>-313.24</v>
          </cell>
          <cell r="N60">
            <v>187466.1999999999</v>
          </cell>
        </row>
        <row r="61">
          <cell r="A61" t="str">
            <v>Expense</v>
          </cell>
        </row>
        <row r="62">
          <cell r="A62" t="str">
            <v>6000 - Labor Expense - SG&amp;A</v>
          </cell>
        </row>
        <row r="63">
          <cell r="A63" t="str">
            <v>6610 - Salaries and Wages - SG&amp;A</v>
          </cell>
          <cell r="B63">
            <v>0</v>
          </cell>
          <cell r="C63">
            <v>15634.61</v>
          </cell>
          <cell r="D63">
            <v>61502.28</v>
          </cell>
          <cell r="E63">
            <v>38333.32</v>
          </cell>
          <cell r="F63">
            <v>13071.44</v>
          </cell>
          <cell r="G63">
            <v>102118.58</v>
          </cell>
          <cell r="H63">
            <v>0</v>
          </cell>
          <cell r="I63">
            <v>32916.68</v>
          </cell>
          <cell r="J63">
            <v>28018.639999999999</v>
          </cell>
          <cell r="K63">
            <v>0</v>
          </cell>
          <cell r="L63">
            <v>303091.59999999998</v>
          </cell>
          <cell r="M63">
            <v>82243.59</v>
          </cell>
          <cell r="N63">
            <v>676930.73999999987</v>
          </cell>
        </row>
        <row r="64">
          <cell r="A64" t="str">
            <v>6630 - Payroll Taxes - SG&amp;A</v>
          </cell>
          <cell r="B64">
            <v>0</v>
          </cell>
          <cell r="C64">
            <v>774.81</v>
          </cell>
          <cell r="D64">
            <v>2634.91</v>
          </cell>
          <cell r="E64">
            <v>1617.41</v>
          </cell>
          <cell r="F64">
            <v>1025.96</v>
          </cell>
          <cell r="G64">
            <v>-134918.72</v>
          </cell>
          <cell r="H64">
            <v>0</v>
          </cell>
          <cell r="I64">
            <v>1991.53</v>
          </cell>
          <cell r="J64">
            <v>1011.75</v>
          </cell>
          <cell r="K64">
            <v>0</v>
          </cell>
          <cell r="L64">
            <v>11731.09</v>
          </cell>
          <cell r="M64">
            <v>6676.77</v>
          </cell>
          <cell r="N64">
            <v>-107454.49</v>
          </cell>
        </row>
        <row r="65">
          <cell r="A65" t="str">
            <v>6640 - Benefits - SG&amp;A</v>
          </cell>
          <cell r="B65">
            <v>0</v>
          </cell>
          <cell r="C65">
            <v>2019.54</v>
          </cell>
          <cell r="D65">
            <v>6037.99</v>
          </cell>
          <cell r="E65">
            <v>3981.87</v>
          </cell>
          <cell r="F65">
            <v>-353.62</v>
          </cell>
          <cell r="G65">
            <v>-12538.64</v>
          </cell>
          <cell r="H65">
            <v>0</v>
          </cell>
          <cell r="I65">
            <v>4382.7299999999996</v>
          </cell>
          <cell r="J65">
            <v>10616.78</v>
          </cell>
          <cell r="K65">
            <v>0</v>
          </cell>
          <cell r="L65">
            <v>21452.77</v>
          </cell>
          <cell r="M65">
            <v>4863.0600000000004</v>
          </cell>
          <cell r="N65">
            <v>40462.479999999996</v>
          </cell>
        </row>
        <row r="66">
          <cell r="A66" t="str">
            <v>6650 - Commissions - SG&amp;A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19872.77</v>
          </cell>
          <cell r="N66">
            <v>19872.77</v>
          </cell>
        </row>
        <row r="67">
          <cell r="A67" t="str">
            <v>6660 - Recruiting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306.8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50000</v>
          </cell>
          <cell r="N67">
            <v>50306.8</v>
          </cell>
        </row>
        <row r="68">
          <cell r="A68" t="str">
            <v>6670 - Stock Compensation Expense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74096.97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74096.97</v>
          </cell>
        </row>
        <row r="69">
          <cell r="A69" t="str">
            <v>Total - 6000 - Labor Expense - SG&amp;A</v>
          </cell>
          <cell r="B69">
            <v>0</v>
          </cell>
          <cell r="C69">
            <v>18428.960000000003</v>
          </cell>
          <cell r="D69">
            <v>70175.180000000008</v>
          </cell>
          <cell r="E69">
            <v>43932.600000000006</v>
          </cell>
          <cell r="F69">
            <v>13743.78</v>
          </cell>
          <cell r="G69">
            <v>29064.990000000005</v>
          </cell>
          <cell r="H69">
            <v>0</v>
          </cell>
          <cell r="I69">
            <v>39290.94</v>
          </cell>
          <cell r="J69">
            <v>39647.17</v>
          </cell>
          <cell r="K69">
            <v>0</v>
          </cell>
          <cell r="L69">
            <v>336275.46</v>
          </cell>
          <cell r="M69">
            <v>163656.19</v>
          </cell>
          <cell r="N69">
            <v>754215.2699999999</v>
          </cell>
        </row>
        <row r="70">
          <cell r="A70" t="str">
            <v>6100 - Travel</v>
          </cell>
          <cell r="B70">
            <v>0</v>
          </cell>
          <cell r="C70">
            <v>1377.94</v>
          </cell>
          <cell r="D70">
            <v>31.98</v>
          </cell>
          <cell r="E70">
            <v>1130.73</v>
          </cell>
          <cell r="F70">
            <v>960.43</v>
          </cell>
          <cell r="G70">
            <v>7521.79</v>
          </cell>
          <cell r="H70">
            <v>0</v>
          </cell>
          <cell r="I70">
            <v>5137.26</v>
          </cell>
          <cell r="J70">
            <v>0</v>
          </cell>
          <cell r="K70">
            <v>0</v>
          </cell>
          <cell r="L70">
            <v>1585.28</v>
          </cell>
          <cell r="M70">
            <v>3264.12</v>
          </cell>
          <cell r="N70">
            <v>21009.53</v>
          </cell>
        </row>
        <row r="71">
          <cell r="A71" t="str">
            <v>6110 - Travel Meals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-13.62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2.59</v>
          </cell>
          <cell r="M71">
            <v>74.349999999999994</v>
          </cell>
          <cell r="N71">
            <v>63.319999999999993</v>
          </cell>
        </row>
        <row r="72">
          <cell r="A72" t="str">
            <v>6120 - Meals and Entertainment</v>
          </cell>
          <cell r="B72">
            <v>0</v>
          </cell>
          <cell r="C72">
            <v>0</v>
          </cell>
          <cell r="D72">
            <v>99.85</v>
          </cell>
          <cell r="E72">
            <v>0</v>
          </cell>
          <cell r="F72">
            <v>256.68</v>
          </cell>
          <cell r="G72">
            <v>2054.44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427.27</v>
          </cell>
          <cell r="M72">
            <v>0</v>
          </cell>
          <cell r="N72">
            <v>2838.2400000000002</v>
          </cell>
        </row>
        <row r="73">
          <cell r="A73" t="str">
            <v>6200 - Advertising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58720.160000000003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58720.160000000003</v>
          </cell>
        </row>
        <row r="74">
          <cell r="A74" t="str">
            <v>6210 - Marketing Expense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17912.77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17912.77</v>
          </cell>
        </row>
        <row r="75">
          <cell r="A75" t="str">
            <v>6220 - Trade Shows</v>
          </cell>
          <cell r="B75">
            <v>0</v>
          </cell>
          <cell r="C75">
            <v>0</v>
          </cell>
          <cell r="D75">
            <v>871.4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48219.040000000001</v>
          </cell>
          <cell r="J75">
            <v>0</v>
          </cell>
          <cell r="K75">
            <v>0</v>
          </cell>
          <cell r="L75">
            <v>0</v>
          </cell>
          <cell r="M75">
            <v>611.5</v>
          </cell>
          <cell r="N75">
            <v>49701.94</v>
          </cell>
        </row>
        <row r="76">
          <cell r="A76" t="str">
            <v>6400 - Memberships and Subscriptions</v>
          </cell>
          <cell r="B76">
            <v>0</v>
          </cell>
          <cell r="C76">
            <v>0</v>
          </cell>
          <cell r="D76">
            <v>115.89</v>
          </cell>
          <cell r="E76">
            <v>0</v>
          </cell>
          <cell r="F76">
            <v>0</v>
          </cell>
          <cell r="G76">
            <v>11326.48</v>
          </cell>
          <cell r="H76">
            <v>0</v>
          </cell>
          <cell r="I76">
            <v>723.38</v>
          </cell>
          <cell r="J76">
            <v>220</v>
          </cell>
          <cell r="K76">
            <v>20</v>
          </cell>
          <cell r="L76">
            <v>20</v>
          </cell>
          <cell r="M76">
            <v>0</v>
          </cell>
          <cell r="N76">
            <v>12425.749999999998</v>
          </cell>
        </row>
        <row r="77">
          <cell r="A77" t="str">
            <v>6500 - Demos</v>
          </cell>
        </row>
        <row r="78">
          <cell r="A78" t="str">
            <v>6510 - Storage Facilities - Demos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2269.38</v>
          </cell>
          <cell r="N78">
            <v>2269.38</v>
          </cell>
        </row>
        <row r="79">
          <cell r="A79" t="str">
            <v>6520 - Truck Rental - Demos</v>
          </cell>
          <cell r="B79">
            <v>0</v>
          </cell>
          <cell r="C79">
            <v>0</v>
          </cell>
          <cell r="D79">
            <v>654.95000000000005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3032.53</v>
          </cell>
          <cell r="M79">
            <v>0</v>
          </cell>
          <cell r="N79">
            <v>3687.4800000000005</v>
          </cell>
        </row>
        <row r="80">
          <cell r="A80" t="str">
            <v>6540 - Travel - Demos</v>
          </cell>
          <cell r="B80">
            <v>0</v>
          </cell>
          <cell r="C80">
            <v>0</v>
          </cell>
          <cell r="D80">
            <v>325.89999999999998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247.4</v>
          </cell>
          <cell r="N80">
            <v>573.29999999999995</v>
          </cell>
        </row>
        <row r="81">
          <cell r="A81" t="str">
            <v>6550 - Meals - Demos</v>
          </cell>
          <cell r="B81">
            <v>0</v>
          </cell>
          <cell r="C81">
            <v>0</v>
          </cell>
          <cell r="D81">
            <v>160.18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129.16999999999999</v>
          </cell>
          <cell r="N81">
            <v>289.35000000000002</v>
          </cell>
        </row>
        <row r="82">
          <cell r="A82" t="str">
            <v>Total - 6500 - Demos</v>
          </cell>
          <cell r="B82">
            <v>0</v>
          </cell>
          <cell r="C82">
            <v>0</v>
          </cell>
          <cell r="D82">
            <v>1141.03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3032.53</v>
          </cell>
          <cell r="M82">
            <v>2645.9500000000003</v>
          </cell>
          <cell r="N82">
            <v>6819.5100000000011</v>
          </cell>
        </row>
        <row r="83">
          <cell r="A83" t="str">
            <v>7000 - Professional Fees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43253.95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6750</v>
          </cell>
          <cell r="M83">
            <v>20309.75</v>
          </cell>
          <cell r="N83">
            <v>70313.7</v>
          </cell>
        </row>
        <row r="84">
          <cell r="A84" t="str">
            <v>7050 - Education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620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23.18</v>
          </cell>
          <cell r="M84">
            <v>0</v>
          </cell>
          <cell r="N84">
            <v>643.17999999999995</v>
          </cell>
        </row>
        <row r="85">
          <cell r="A85" t="str">
            <v>7100 - Legal Expense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7061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7061</v>
          </cell>
        </row>
        <row r="86">
          <cell r="A86" t="str">
            <v>7200 - Contractors</v>
          </cell>
          <cell r="B86">
            <v>0</v>
          </cell>
          <cell r="C86">
            <v>0</v>
          </cell>
          <cell r="D86">
            <v>0</v>
          </cell>
          <cell r="E86">
            <v>29232.26</v>
          </cell>
          <cell r="F86">
            <v>22578.69</v>
          </cell>
          <cell r="G86">
            <v>12416.92</v>
          </cell>
          <cell r="H86">
            <v>0</v>
          </cell>
          <cell r="I86">
            <v>19488.169999999998</v>
          </cell>
          <cell r="J86">
            <v>0</v>
          </cell>
          <cell r="K86">
            <v>0</v>
          </cell>
          <cell r="L86">
            <v>8.83</v>
          </cell>
          <cell r="M86">
            <v>0</v>
          </cell>
          <cell r="N86">
            <v>83724.87</v>
          </cell>
        </row>
        <row r="87">
          <cell r="A87" t="str">
            <v>7300 - R&amp;D Expense</v>
          </cell>
          <cell r="B87">
            <v>0</v>
          </cell>
          <cell r="C87">
            <v>0</v>
          </cell>
          <cell r="D87">
            <v>1496.61</v>
          </cell>
          <cell r="E87">
            <v>148.38</v>
          </cell>
          <cell r="F87">
            <v>-83.85</v>
          </cell>
          <cell r="G87">
            <v>395.82</v>
          </cell>
          <cell r="H87">
            <v>0</v>
          </cell>
          <cell r="I87">
            <v>3023.08</v>
          </cell>
          <cell r="J87">
            <v>0</v>
          </cell>
          <cell r="K87">
            <v>2581.6</v>
          </cell>
          <cell r="L87">
            <v>57121.13</v>
          </cell>
          <cell r="M87">
            <v>0</v>
          </cell>
          <cell r="N87">
            <v>64682.77</v>
          </cell>
        </row>
        <row r="88">
          <cell r="A88" t="str">
            <v>7500 - Facility Expenses</v>
          </cell>
          <cell r="B88">
            <v>0</v>
          </cell>
          <cell r="C88">
            <v>0</v>
          </cell>
          <cell r="D88">
            <v>946.56</v>
          </cell>
          <cell r="E88">
            <v>0</v>
          </cell>
          <cell r="F88">
            <v>0</v>
          </cell>
          <cell r="G88">
            <v>6450.09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7396.65</v>
          </cell>
        </row>
        <row r="89">
          <cell r="A89" t="str">
            <v>7550 - Tools and Equipment</v>
          </cell>
          <cell r="B89">
            <v>0</v>
          </cell>
          <cell r="C89">
            <v>-63.59</v>
          </cell>
          <cell r="D89">
            <v>2677.76</v>
          </cell>
          <cell r="E89">
            <v>0</v>
          </cell>
          <cell r="F89">
            <v>0</v>
          </cell>
          <cell r="G89">
            <v>4811.6400000000003</v>
          </cell>
          <cell r="H89">
            <v>0</v>
          </cell>
          <cell r="I89">
            <v>913.64</v>
          </cell>
          <cell r="J89">
            <v>1968.65</v>
          </cell>
          <cell r="K89">
            <v>316.43</v>
          </cell>
          <cell r="L89">
            <v>2589.3000000000002</v>
          </cell>
          <cell r="M89">
            <v>21.19</v>
          </cell>
          <cell r="N89">
            <v>13235.020000000002</v>
          </cell>
        </row>
        <row r="90">
          <cell r="A90" t="str">
            <v>7600 - Freight &amp; Delivery</v>
          </cell>
          <cell r="B90">
            <v>0</v>
          </cell>
          <cell r="C90">
            <v>18.920000000000002</v>
          </cell>
          <cell r="D90">
            <v>0</v>
          </cell>
          <cell r="E90">
            <v>0</v>
          </cell>
          <cell r="F90">
            <v>99.36</v>
          </cell>
          <cell r="G90">
            <v>34.950000000000003</v>
          </cell>
          <cell r="H90">
            <v>0</v>
          </cell>
          <cell r="I90">
            <v>0</v>
          </cell>
          <cell r="J90">
            <v>0</v>
          </cell>
          <cell r="K90">
            <v>665.79</v>
          </cell>
          <cell r="L90">
            <v>0</v>
          </cell>
          <cell r="M90">
            <v>0</v>
          </cell>
          <cell r="N90">
            <v>819.02</v>
          </cell>
        </row>
        <row r="91">
          <cell r="A91" t="str">
            <v>7700 - Inventory Obsolescence-old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A92" t="str">
            <v>8100 - Technology</v>
          </cell>
          <cell r="B92">
            <v>0</v>
          </cell>
          <cell r="C92">
            <v>21.28</v>
          </cell>
          <cell r="D92">
            <v>40</v>
          </cell>
          <cell r="E92">
            <v>80</v>
          </cell>
          <cell r="F92">
            <v>0</v>
          </cell>
          <cell r="G92">
            <v>22363.75</v>
          </cell>
          <cell r="H92">
            <v>0</v>
          </cell>
          <cell r="I92">
            <v>3085.64</v>
          </cell>
          <cell r="J92">
            <v>183.94</v>
          </cell>
          <cell r="K92">
            <v>0</v>
          </cell>
          <cell r="L92">
            <v>13425.31</v>
          </cell>
          <cell r="M92">
            <v>846.31</v>
          </cell>
          <cell r="N92">
            <v>40046.229999999996</v>
          </cell>
        </row>
        <row r="93">
          <cell r="A93" t="str">
            <v>8200 - Building Rent or Lease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930</v>
          </cell>
          <cell r="G93">
            <v>124379.87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125309.87</v>
          </cell>
        </row>
        <row r="94">
          <cell r="A94" t="str">
            <v>8250 - Equipment/Vehicle Rentals</v>
          </cell>
          <cell r="B94">
            <v>0</v>
          </cell>
          <cell r="C94">
            <v>0</v>
          </cell>
          <cell r="D94">
            <v>0</v>
          </cell>
          <cell r="E94">
            <v>67.12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2505.7399999999998</v>
          </cell>
          <cell r="L94">
            <v>0</v>
          </cell>
          <cell r="M94">
            <v>0</v>
          </cell>
          <cell r="N94">
            <v>2572.8599999999997</v>
          </cell>
        </row>
        <row r="95">
          <cell r="A95" t="str">
            <v>8300 - Office Expenses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-1707.75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-1707.75</v>
          </cell>
        </row>
        <row r="96">
          <cell r="A96" t="str">
            <v>8450 - Postage &amp; Shipping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17.239999999999998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17.239999999999998</v>
          </cell>
        </row>
        <row r="97">
          <cell r="A97" t="str">
            <v>8500 - Commercial Insurance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47189.74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47189.74</v>
          </cell>
        </row>
        <row r="98">
          <cell r="A98" t="str">
            <v>8600 - Repairs and Maintenance</v>
          </cell>
          <cell r="B98">
            <v>0</v>
          </cell>
          <cell r="C98">
            <v>0</v>
          </cell>
          <cell r="D98">
            <v>4997.13</v>
          </cell>
          <cell r="E98">
            <v>0</v>
          </cell>
          <cell r="F98">
            <v>0</v>
          </cell>
          <cell r="G98">
            <v>13871.64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18868.77</v>
          </cell>
        </row>
        <row r="99">
          <cell r="A99" t="str">
            <v>8700 - Utilities and Telecom Expense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15946.94</v>
          </cell>
          <cell r="H99">
            <v>0</v>
          </cell>
          <cell r="I99">
            <v>0</v>
          </cell>
          <cell r="J99">
            <v>0</v>
          </cell>
          <cell r="K99">
            <v>4304.45</v>
          </cell>
          <cell r="L99">
            <v>93.99</v>
          </cell>
          <cell r="M99">
            <v>0</v>
          </cell>
          <cell r="N99">
            <v>20345.38</v>
          </cell>
        </row>
        <row r="100">
          <cell r="A100" t="str">
            <v>8800 - Bank Charges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773.95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773.95</v>
          </cell>
        </row>
        <row r="101">
          <cell r="A101" t="str">
            <v>8900 - Payroll Fees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5315.96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5315.96</v>
          </cell>
        </row>
        <row r="102">
          <cell r="A102" t="str">
            <v>8955 - Other Taxes and Licenses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2784.97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2784.97</v>
          </cell>
        </row>
        <row r="103">
          <cell r="A103" t="str">
            <v>8995 - Miscellaneous Expense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500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500</v>
          </cell>
        </row>
        <row r="104">
          <cell r="A104" t="str">
            <v>9999 - Uncategorized Expenses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A105" t="str">
            <v>Total - Expense</v>
          </cell>
          <cell r="B105">
            <v>0</v>
          </cell>
          <cell r="C105">
            <v>19783.509999999998</v>
          </cell>
          <cell r="D105">
            <v>82593.39</v>
          </cell>
          <cell r="E105">
            <v>74591.090000000011</v>
          </cell>
          <cell r="F105">
            <v>38485.090000000004</v>
          </cell>
          <cell r="G105">
            <v>356434.76</v>
          </cell>
          <cell r="H105">
            <v>0</v>
          </cell>
          <cell r="I105">
            <v>196514.08000000005</v>
          </cell>
          <cell r="J105">
            <v>42019.76</v>
          </cell>
          <cell r="K105">
            <v>10394.009999999998</v>
          </cell>
          <cell r="L105">
            <v>421354.87000000011</v>
          </cell>
          <cell r="M105">
            <v>191429.36000000002</v>
          </cell>
          <cell r="N105">
            <v>1433599.9199999997</v>
          </cell>
        </row>
        <row r="106">
          <cell r="A106" t="str">
            <v>Net Ordinary Income</v>
          </cell>
          <cell r="B106">
            <v>-1305.3800000000001</v>
          </cell>
          <cell r="C106">
            <v>-23309.149999999998</v>
          </cell>
          <cell r="D106">
            <v>-82593.39</v>
          </cell>
          <cell r="E106">
            <v>-83484.13</v>
          </cell>
          <cell r="F106">
            <v>-190961.68999999997</v>
          </cell>
          <cell r="G106">
            <v>-357808.55</v>
          </cell>
          <cell r="H106">
            <v>0</v>
          </cell>
          <cell r="I106">
            <v>-196989.45000000004</v>
          </cell>
          <cell r="J106">
            <v>-108301.44</v>
          </cell>
          <cell r="K106">
            <v>418698.66</v>
          </cell>
          <cell r="L106">
            <v>-428336.60000000009</v>
          </cell>
          <cell r="M106">
            <v>-191742.6</v>
          </cell>
          <cell r="N106">
            <v>-1246133.7199999997</v>
          </cell>
        </row>
        <row r="107">
          <cell r="A107" t="str">
            <v>Other Income and Expenses</v>
          </cell>
        </row>
        <row r="108">
          <cell r="A108" t="str">
            <v>Other Income</v>
          </cell>
        </row>
        <row r="109">
          <cell r="A109" t="str">
            <v>9100 - Interest Earned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17051.43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17051.43</v>
          </cell>
        </row>
        <row r="110">
          <cell r="A110" t="str">
            <v>Total - Other Income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17051.43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17051.43</v>
          </cell>
        </row>
        <row r="111">
          <cell r="A111" t="str">
            <v>Other Expense</v>
          </cell>
        </row>
        <row r="112">
          <cell r="A112" t="str">
            <v>9200 - Cash Sweep Fees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1022.77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1022.77</v>
          </cell>
        </row>
        <row r="113">
          <cell r="A113" t="str">
            <v>9300 - Interest Expense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43542.7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43542.7</v>
          </cell>
        </row>
        <row r="114">
          <cell r="A114" t="str">
            <v>9401 - Depreciation Expenses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14631.939999999999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14631.939999999999</v>
          </cell>
        </row>
        <row r="115">
          <cell r="A115" t="str">
            <v>9600 - Income Tax Expense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</row>
        <row r="116">
          <cell r="A116" t="str">
            <v>9710 - Rounding Gain/Loss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-0.16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-0.16</v>
          </cell>
        </row>
        <row r="117">
          <cell r="A117" t="str">
            <v>Total - Other Expense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59197.249999999985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59197.249999999985</v>
          </cell>
        </row>
        <row r="118">
          <cell r="A118" t="str">
            <v>Net Other Income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-42145.819999999985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-42145.819999999985</v>
          </cell>
        </row>
        <row r="119">
          <cell r="A119" t="str">
            <v>Net Income</v>
          </cell>
          <cell r="B119">
            <v>-1305.3800000000001</v>
          </cell>
          <cell r="C119">
            <v>-23309.149999999998</v>
          </cell>
          <cell r="D119">
            <v>-82593.39</v>
          </cell>
          <cell r="E119">
            <v>-83484.13</v>
          </cell>
          <cell r="F119">
            <v>-190961.68999999997</v>
          </cell>
          <cell r="G119">
            <v>-399954.37</v>
          </cell>
          <cell r="H119">
            <v>0</v>
          </cell>
          <cell r="I119">
            <v>-196989.45000000004</v>
          </cell>
          <cell r="J119">
            <v>-108301.44</v>
          </cell>
          <cell r="K119">
            <v>418698.66</v>
          </cell>
          <cell r="L119">
            <v>-428336.60000000009</v>
          </cell>
          <cell r="M119">
            <v>-191742.6</v>
          </cell>
          <cell r="N119">
            <v>-1288279.5399999998</v>
          </cell>
        </row>
      </sheetData>
      <sheetData sheetId="32">
        <row r="1">
          <cell r="A1" t="str">
            <v>Slip Robotics Inc.</v>
          </cell>
        </row>
        <row r="2">
          <cell r="A2" t="str">
            <v>Slip Robotics, Inc.</v>
          </cell>
        </row>
        <row r="3">
          <cell r="A3" t="str">
            <v>SR Income Statement</v>
          </cell>
        </row>
        <row r="4">
          <cell r="A4" t="str">
            <v>Apr 2026</v>
          </cell>
        </row>
        <row r="5">
          <cell r="A5" t="str">
            <v/>
          </cell>
        </row>
        <row r="6">
          <cell r="A6" t="str">
            <v>Options: Show Zeros, Activity Only</v>
          </cell>
        </row>
        <row r="7">
          <cell r="A7" t="str">
            <v>Financial Row</v>
          </cell>
          <cell r="B7" t="str">
            <v>- No Department -</v>
          </cell>
          <cell r="C7" t="str">
            <v>Account Management</v>
          </cell>
          <cell r="D7" t="str">
            <v>Central Operations</v>
          </cell>
          <cell r="E7" t="str">
            <v>Field Engineering</v>
          </cell>
          <cell r="F7" t="str">
            <v>Field Operations</v>
          </cell>
          <cell r="G7" t="str">
            <v>G&amp;A</v>
          </cell>
          <cell r="H7" t="str">
            <v>HR</v>
          </cell>
          <cell r="I7" t="str">
            <v>Marketing</v>
          </cell>
          <cell r="J7" t="str">
            <v>Production Engineering</v>
          </cell>
          <cell r="K7" t="str">
            <v>Production Operations</v>
          </cell>
          <cell r="L7" t="str">
            <v>R&amp;D</v>
          </cell>
          <cell r="M7" t="str">
            <v>Sales</v>
          </cell>
          <cell r="N7" t="str">
            <v>Total</v>
          </cell>
        </row>
        <row r="8">
          <cell r="A8" t="str">
            <v> </v>
          </cell>
          <cell r="B8" t="str">
            <v>Amount</v>
          </cell>
          <cell r="C8" t="str">
            <v>Amount</v>
          </cell>
          <cell r="D8" t="str">
            <v>Amount</v>
          </cell>
          <cell r="E8" t="str">
            <v>Amount</v>
          </cell>
          <cell r="F8" t="str">
            <v>Amount</v>
          </cell>
          <cell r="G8" t="str">
            <v>Amount</v>
          </cell>
          <cell r="H8" t="str">
            <v>Amount</v>
          </cell>
          <cell r="I8" t="str">
            <v>Amount</v>
          </cell>
          <cell r="J8" t="str">
            <v>Amount</v>
          </cell>
          <cell r="K8" t="str">
            <v>Amount</v>
          </cell>
          <cell r="L8" t="str">
            <v>Amount</v>
          </cell>
          <cell r="M8" t="str">
            <v>Amount</v>
          </cell>
          <cell r="N8" t="str">
            <v>Amount</v>
          </cell>
        </row>
        <row r="9">
          <cell r="A9" t="str">
            <v>Ordinary Income/Expense</v>
          </cell>
        </row>
        <row r="10">
          <cell r="A10" t="str">
            <v>Income</v>
          </cell>
        </row>
        <row r="11">
          <cell r="A11" t="str">
            <v>4000 - Sales</v>
          </cell>
        </row>
        <row r="12">
          <cell r="A12" t="str">
            <v>4000 - Sales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4100 - Subscription/Platform Fees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481426.2</v>
          </cell>
          <cell r="L13">
            <v>0</v>
          </cell>
          <cell r="M13">
            <v>0</v>
          </cell>
          <cell r="N13">
            <v>481426.2</v>
          </cell>
        </row>
        <row r="14">
          <cell r="A14" t="str">
            <v>4500 - Implementation Fees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18277.78</v>
          </cell>
          <cell r="L14">
            <v>0</v>
          </cell>
          <cell r="M14">
            <v>0</v>
          </cell>
          <cell r="N14">
            <v>18277.78</v>
          </cell>
        </row>
        <row r="15">
          <cell r="A15" t="str">
            <v>Total - 4000 - Sales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499703.98</v>
          </cell>
          <cell r="L15">
            <v>0</v>
          </cell>
          <cell r="M15">
            <v>0</v>
          </cell>
          <cell r="N15">
            <v>499703.98</v>
          </cell>
        </row>
        <row r="16">
          <cell r="A16" t="str">
            <v>4050 - Shipping and Handling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 t="str">
            <v>4700 - Professional Services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A18" t="str">
            <v>4900 - One-Time Revenue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250000</v>
          </cell>
          <cell r="L18">
            <v>0</v>
          </cell>
          <cell r="M18">
            <v>0</v>
          </cell>
          <cell r="N18">
            <v>250000</v>
          </cell>
        </row>
        <row r="19">
          <cell r="A19" t="str">
            <v>Total - Income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749703.98</v>
          </cell>
          <cell r="L19">
            <v>0</v>
          </cell>
          <cell r="M19">
            <v>0</v>
          </cell>
          <cell r="N19">
            <v>749703.98</v>
          </cell>
        </row>
        <row r="20">
          <cell r="A20" t="str">
            <v>Cost Of Sales</v>
          </cell>
        </row>
        <row r="21">
          <cell r="A21" t="str">
            <v>5000 - Robot Production and Deployment</v>
          </cell>
        </row>
        <row r="22">
          <cell r="A22" t="str">
            <v>5010 - SlipBot Depreciation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128215.48000000001</v>
          </cell>
          <cell r="L22">
            <v>0</v>
          </cell>
          <cell r="M22">
            <v>0</v>
          </cell>
          <cell r="N22">
            <v>128215.48000000001</v>
          </cell>
        </row>
        <row r="23">
          <cell r="A23" t="str">
            <v>5011 - SlipLift Depreciation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3263.24</v>
          </cell>
          <cell r="L23">
            <v>0</v>
          </cell>
          <cell r="M23">
            <v>0</v>
          </cell>
          <cell r="N23">
            <v>3263.24</v>
          </cell>
        </row>
        <row r="24">
          <cell r="A24" t="str">
            <v>5012 - SlipCarrier Depreciation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1791.23</v>
          </cell>
          <cell r="L24">
            <v>0</v>
          </cell>
          <cell r="M24">
            <v>0</v>
          </cell>
          <cell r="N24">
            <v>1791.23</v>
          </cell>
        </row>
        <row r="25">
          <cell r="A25" t="str">
            <v>5020 - Robot Peripherals Depreciation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13555.74</v>
          </cell>
          <cell r="L25">
            <v>0</v>
          </cell>
          <cell r="M25">
            <v>0</v>
          </cell>
          <cell r="N25">
            <v>13555.74</v>
          </cell>
        </row>
        <row r="26">
          <cell r="A26" t="str">
            <v>5025 - Freight and Delivery - Production (Summary)</v>
          </cell>
        </row>
        <row r="27">
          <cell r="A27" t="str">
            <v>5025 - Freight and Delivery - Production (Summary)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1861.07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6439.02</v>
          </cell>
          <cell r="L27">
            <v>0</v>
          </cell>
          <cell r="M27">
            <v>0</v>
          </cell>
          <cell r="N27">
            <v>8300.09</v>
          </cell>
        </row>
        <row r="28">
          <cell r="A28" t="str">
            <v>5026 - Freight and Delivery - Production - Expedited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261.8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261.8</v>
          </cell>
        </row>
        <row r="29">
          <cell r="A29" t="str">
            <v>5027 - Freight and Delivery - Production - Standard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348.38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2145.88</v>
          </cell>
          <cell r="L29">
            <v>0</v>
          </cell>
          <cell r="M29">
            <v>0</v>
          </cell>
          <cell r="N29">
            <v>2494.2600000000002</v>
          </cell>
        </row>
        <row r="30">
          <cell r="A30" t="str">
            <v>Total - 5025 - Freight and Delivery - Production (Summary)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2471.25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8584.9000000000015</v>
          </cell>
          <cell r="L30">
            <v>0</v>
          </cell>
          <cell r="M30">
            <v>0</v>
          </cell>
          <cell r="N30">
            <v>11056.15</v>
          </cell>
        </row>
        <row r="31">
          <cell r="A31" t="str">
            <v>5030 - Production Tools and Supplies</v>
          </cell>
          <cell r="B31">
            <v>0</v>
          </cell>
          <cell r="C31">
            <v>0</v>
          </cell>
          <cell r="D31">
            <v>0</v>
          </cell>
          <cell r="E31">
            <v>1312.33</v>
          </cell>
          <cell r="F31">
            <v>2186.1799999999998</v>
          </cell>
          <cell r="G31">
            <v>0</v>
          </cell>
          <cell r="H31">
            <v>0</v>
          </cell>
          <cell r="I31">
            <v>0</v>
          </cell>
          <cell r="J31">
            <v>42.45</v>
          </cell>
          <cell r="K31">
            <v>4055.09</v>
          </cell>
          <cell r="L31">
            <v>150.69999999999999</v>
          </cell>
          <cell r="M31">
            <v>0</v>
          </cell>
          <cell r="N31">
            <v>7746.7499999999991</v>
          </cell>
        </row>
        <row r="32">
          <cell r="A32" t="str">
            <v>5040 - Freight &amp; Delivery - Deployment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3294.47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19879.38</v>
          </cell>
          <cell r="L32">
            <v>0</v>
          </cell>
          <cell r="M32">
            <v>0</v>
          </cell>
          <cell r="N32">
            <v>23173.850000000002</v>
          </cell>
        </row>
        <row r="33">
          <cell r="A33" t="str">
            <v>5050 - Travel - Deployment</v>
          </cell>
          <cell r="B33">
            <v>0</v>
          </cell>
          <cell r="C33">
            <v>5087.01</v>
          </cell>
          <cell r="D33">
            <v>0</v>
          </cell>
          <cell r="E33">
            <v>4232.2299999999996</v>
          </cell>
          <cell r="F33">
            <v>0</v>
          </cell>
          <cell r="G33">
            <v>842.15</v>
          </cell>
          <cell r="H33">
            <v>0</v>
          </cell>
          <cell r="I33">
            <v>334.91</v>
          </cell>
          <cell r="J33">
            <v>0</v>
          </cell>
          <cell r="K33">
            <v>0</v>
          </cell>
          <cell r="L33">
            <v>1008.66</v>
          </cell>
          <cell r="M33">
            <v>0</v>
          </cell>
          <cell r="N33">
            <v>11504.96</v>
          </cell>
        </row>
        <row r="34">
          <cell r="A34" t="str">
            <v>5060 - Meals - Deployment</v>
          </cell>
          <cell r="B34">
            <v>0</v>
          </cell>
          <cell r="C34">
            <v>321.82</v>
          </cell>
          <cell r="D34">
            <v>0</v>
          </cell>
          <cell r="E34">
            <v>846.11</v>
          </cell>
          <cell r="F34">
            <v>0</v>
          </cell>
          <cell r="G34">
            <v>74.87</v>
          </cell>
          <cell r="H34">
            <v>0</v>
          </cell>
          <cell r="I34">
            <v>433.43</v>
          </cell>
          <cell r="J34">
            <v>0</v>
          </cell>
          <cell r="K34">
            <v>44.2</v>
          </cell>
          <cell r="L34">
            <v>1322.45</v>
          </cell>
          <cell r="M34">
            <v>0</v>
          </cell>
          <cell r="N34">
            <v>3042.88</v>
          </cell>
        </row>
        <row r="35">
          <cell r="A35" t="str">
            <v>5100 - Labor Expense - Production</v>
          </cell>
        </row>
        <row r="36">
          <cell r="A36" t="str">
            <v>5110 - Salaries and Wages - Production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21646.720000000001</v>
          </cell>
          <cell r="L36">
            <v>0</v>
          </cell>
          <cell r="M36">
            <v>0</v>
          </cell>
          <cell r="N36">
            <v>21646.720000000001</v>
          </cell>
        </row>
        <row r="37">
          <cell r="A37" t="str">
            <v>5130 - Payroll Taxes - Production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703.54</v>
          </cell>
          <cell r="L37">
            <v>0</v>
          </cell>
          <cell r="M37">
            <v>0</v>
          </cell>
          <cell r="N37">
            <v>703.54</v>
          </cell>
        </row>
        <row r="38">
          <cell r="A38" t="str">
            <v>5140 - Benefits - Production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2876.74</v>
          </cell>
          <cell r="L38">
            <v>0</v>
          </cell>
          <cell r="M38">
            <v>0</v>
          </cell>
          <cell r="N38">
            <v>2876.74</v>
          </cell>
        </row>
        <row r="39">
          <cell r="A39" t="str">
            <v>Total - 5100 - Labor Expense - Production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25227</v>
          </cell>
          <cell r="L39">
            <v>0</v>
          </cell>
          <cell r="M39">
            <v>0</v>
          </cell>
          <cell r="N39">
            <v>25227</v>
          </cell>
        </row>
        <row r="40">
          <cell r="A40" t="str">
            <v>Total - 5000 - Robot Production and Deployment</v>
          </cell>
          <cell r="B40">
            <v>0</v>
          </cell>
          <cell r="C40">
            <v>5408.83</v>
          </cell>
          <cell r="D40">
            <v>0</v>
          </cell>
          <cell r="E40">
            <v>6390.6699999999992</v>
          </cell>
          <cell r="F40">
            <v>7951.9</v>
          </cell>
          <cell r="G40">
            <v>917.02</v>
          </cell>
          <cell r="H40">
            <v>0</v>
          </cell>
          <cell r="I40">
            <v>768.34</v>
          </cell>
          <cell r="J40">
            <v>42.45</v>
          </cell>
          <cell r="K40">
            <v>204616.26</v>
          </cell>
          <cell r="L40">
            <v>2481.81</v>
          </cell>
          <cell r="M40">
            <v>0</v>
          </cell>
          <cell r="N40">
            <v>228577.28</v>
          </cell>
        </row>
        <row r="41">
          <cell r="A41" t="str">
            <v>5015 - Supplies and Materials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56.1</v>
          </cell>
          <cell r="L41">
            <v>0</v>
          </cell>
          <cell r="M41">
            <v>0</v>
          </cell>
          <cell r="N41">
            <v>56.1</v>
          </cell>
        </row>
        <row r="42">
          <cell r="A42" t="str">
            <v>5029 - Processing Fee - Production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 t="str">
            <v>5070 - Scrap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 t="str">
            <v>5201 - Inventory Adjustments</v>
          </cell>
          <cell r="B44">
            <v>-468.86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-468.86</v>
          </cell>
        </row>
        <row r="45">
          <cell r="A45" t="str">
            <v>5300 - Maintenance</v>
          </cell>
        </row>
        <row r="46">
          <cell r="A46" t="str">
            <v>5320 - Freight &amp; Delivery - Maintenance</v>
          </cell>
          <cell r="B46">
            <v>0</v>
          </cell>
          <cell r="C46">
            <v>0</v>
          </cell>
          <cell r="D46">
            <v>257.75</v>
          </cell>
          <cell r="E46">
            <v>0</v>
          </cell>
          <cell r="F46">
            <v>6164.18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1100</v>
          </cell>
          <cell r="L46">
            <v>0</v>
          </cell>
          <cell r="M46">
            <v>0</v>
          </cell>
          <cell r="N46">
            <v>7521.93</v>
          </cell>
        </row>
        <row r="47">
          <cell r="A47" t="str">
            <v>5330 - Maintenance Tools and Supplies</v>
          </cell>
          <cell r="B47">
            <v>0</v>
          </cell>
          <cell r="C47">
            <v>0</v>
          </cell>
          <cell r="D47">
            <v>0</v>
          </cell>
          <cell r="E47">
            <v>37.64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37.64</v>
          </cell>
        </row>
        <row r="48">
          <cell r="A48" t="str">
            <v>5340 - Spare Parts</v>
          </cell>
          <cell r="B48">
            <v>0</v>
          </cell>
          <cell r="C48">
            <v>0</v>
          </cell>
          <cell r="D48">
            <v>0</v>
          </cell>
          <cell r="E48">
            <v>21.59</v>
          </cell>
          <cell r="F48">
            <v>12810.6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97.11</v>
          </cell>
          <cell r="L48">
            <v>0</v>
          </cell>
          <cell r="M48">
            <v>0</v>
          </cell>
          <cell r="N48">
            <v>12929.300000000001</v>
          </cell>
        </row>
        <row r="49">
          <cell r="A49" t="str">
            <v>5350 - Warehouse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2500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2500</v>
          </cell>
        </row>
        <row r="50">
          <cell r="A50" t="str">
            <v>5360 - Travel - Maintenance</v>
          </cell>
          <cell r="B50">
            <v>0</v>
          </cell>
          <cell r="C50">
            <v>0</v>
          </cell>
          <cell r="D50">
            <v>0</v>
          </cell>
          <cell r="E50">
            <v>302.02999999999997</v>
          </cell>
          <cell r="F50">
            <v>579.5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881.53</v>
          </cell>
        </row>
        <row r="51">
          <cell r="A51" t="str">
            <v>5500 - Labor Expense - Field Operations</v>
          </cell>
        </row>
        <row r="52">
          <cell r="A52" t="str">
            <v>5510 - :Salaries and Wages - Field Operations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77202.080000000002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77202.080000000002</v>
          </cell>
        </row>
        <row r="53">
          <cell r="A53" t="str">
            <v>5530 - :Payroll Taxes - Field Operations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5152.42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5152.42</v>
          </cell>
        </row>
        <row r="54">
          <cell r="A54" t="str">
            <v>5540 - :Benefits - Field Operations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12493.8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12493.8</v>
          </cell>
        </row>
        <row r="55">
          <cell r="A55" t="str">
            <v>Total - 5500 - Labor Expense - Field Operations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94848.3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94848.3</v>
          </cell>
        </row>
        <row r="56">
          <cell r="A56" t="str">
            <v>Total - 5300 - Maintenance</v>
          </cell>
          <cell r="B56">
            <v>0</v>
          </cell>
          <cell r="C56">
            <v>0</v>
          </cell>
          <cell r="D56">
            <v>257.75</v>
          </cell>
          <cell r="E56">
            <v>361.26</v>
          </cell>
          <cell r="F56">
            <v>116902.58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1197.1099999999999</v>
          </cell>
          <cell r="L56">
            <v>0</v>
          </cell>
          <cell r="M56">
            <v>0</v>
          </cell>
          <cell r="N56">
            <v>118718.70000000001</v>
          </cell>
        </row>
        <row r="57">
          <cell r="A57" t="str">
            <v>5900 - Other COGS</v>
          </cell>
        </row>
        <row r="58">
          <cell r="A58" t="str">
            <v>5920 - Software - COGS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7055.46</v>
          </cell>
          <cell r="G58">
            <v>1113.22</v>
          </cell>
          <cell r="H58">
            <v>0</v>
          </cell>
          <cell r="I58">
            <v>2134.79</v>
          </cell>
          <cell r="J58">
            <v>34.99</v>
          </cell>
          <cell r="K58">
            <v>0</v>
          </cell>
          <cell r="L58">
            <v>8548.92</v>
          </cell>
          <cell r="M58">
            <v>0</v>
          </cell>
          <cell r="N58">
            <v>18887.38</v>
          </cell>
        </row>
        <row r="59">
          <cell r="A59" t="str">
            <v>5950 - Certification Expense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56.34</v>
          </cell>
          <cell r="M59">
            <v>0</v>
          </cell>
          <cell r="N59">
            <v>56.34</v>
          </cell>
        </row>
        <row r="60">
          <cell r="A60" t="str">
            <v>5980 - Employee Meals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</row>
        <row r="61">
          <cell r="A61" t="str">
            <v>Total - 5900 - Other COGS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7055.46</v>
          </cell>
          <cell r="G61">
            <v>1113.22</v>
          </cell>
          <cell r="H61">
            <v>0</v>
          </cell>
          <cell r="I61">
            <v>2134.79</v>
          </cell>
          <cell r="J61">
            <v>34.99</v>
          </cell>
          <cell r="K61">
            <v>0</v>
          </cell>
          <cell r="L61">
            <v>8605.26</v>
          </cell>
          <cell r="M61">
            <v>0</v>
          </cell>
          <cell r="N61">
            <v>18943.72</v>
          </cell>
        </row>
        <row r="62">
          <cell r="A62" t="str">
            <v>Total - Cost Of Sales</v>
          </cell>
          <cell r="B62">
            <v>-468.86</v>
          </cell>
          <cell r="C62">
            <v>5408.83</v>
          </cell>
          <cell r="D62">
            <v>257.75</v>
          </cell>
          <cell r="E62">
            <v>6751.9299999999994</v>
          </cell>
          <cell r="F62">
            <v>131909.94</v>
          </cell>
          <cell r="G62">
            <v>2030.24</v>
          </cell>
          <cell r="H62">
            <v>0</v>
          </cell>
          <cell r="I62">
            <v>2903.13</v>
          </cell>
          <cell r="J62">
            <v>77.44</v>
          </cell>
          <cell r="K62">
            <v>205869.47</v>
          </cell>
          <cell r="L62">
            <v>11087.07</v>
          </cell>
          <cell r="M62">
            <v>0</v>
          </cell>
          <cell r="N62">
            <v>365826.94000000006</v>
          </cell>
        </row>
        <row r="63">
          <cell r="A63" t="str">
            <v>Gross Profit</v>
          </cell>
          <cell r="B63">
            <v>468.86</v>
          </cell>
          <cell r="C63">
            <v>-5408.83</v>
          </cell>
          <cell r="D63">
            <v>-257.75</v>
          </cell>
          <cell r="E63">
            <v>-6751.9299999999994</v>
          </cell>
          <cell r="F63">
            <v>-131909.94</v>
          </cell>
          <cell r="G63">
            <v>-2030.24</v>
          </cell>
          <cell r="H63">
            <v>0</v>
          </cell>
          <cell r="I63">
            <v>-2903.13</v>
          </cell>
          <cell r="J63">
            <v>-77.44</v>
          </cell>
          <cell r="K63">
            <v>543834.51</v>
          </cell>
          <cell r="L63">
            <v>-11087.07</v>
          </cell>
          <cell r="M63">
            <v>0</v>
          </cell>
          <cell r="N63">
            <v>383877.03999999992</v>
          </cell>
        </row>
        <row r="64">
          <cell r="A64" t="str">
            <v>Expense</v>
          </cell>
        </row>
        <row r="65">
          <cell r="A65" t="str">
            <v>6000 - Labor Expense - SG&amp;A</v>
          </cell>
        </row>
        <row r="66">
          <cell r="A66" t="str">
            <v>6610 - Salaries and Wages - SG&amp;A</v>
          </cell>
          <cell r="B66">
            <v>0</v>
          </cell>
          <cell r="C66">
            <v>24416.66</v>
          </cell>
          <cell r="D66">
            <v>55315.58</v>
          </cell>
          <cell r="E66">
            <v>48324.65</v>
          </cell>
          <cell r="F66">
            <v>0</v>
          </cell>
          <cell r="G66">
            <v>110765.2</v>
          </cell>
          <cell r="H66">
            <v>0</v>
          </cell>
          <cell r="I66">
            <v>32916.68</v>
          </cell>
          <cell r="J66">
            <v>30558.3</v>
          </cell>
          <cell r="K66">
            <v>0</v>
          </cell>
          <cell r="L66">
            <v>302245.5</v>
          </cell>
          <cell r="M66">
            <v>78750.02</v>
          </cell>
          <cell r="N66">
            <v>683292.59000000008</v>
          </cell>
        </row>
        <row r="67">
          <cell r="A67" t="str">
            <v>6630 - Payroll Taxes - SG&amp;A</v>
          </cell>
          <cell r="B67">
            <v>0</v>
          </cell>
          <cell r="C67">
            <v>794.5</v>
          </cell>
          <cell r="D67">
            <v>2624.16</v>
          </cell>
          <cell r="E67">
            <v>1966.43</v>
          </cell>
          <cell r="F67">
            <v>0</v>
          </cell>
          <cell r="G67">
            <v>3876.45</v>
          </cell>
          <cell r="H67">
            <v>0</v>
          </cell>
          <cell r="I67">
            <v>1952.13</v>
          </cell>
          <cell r="J67">
            <v>1042.8699999999999</v>
          </cell>
          <cell r="K67">
            <v>0</v>
          </cell>
          <cell r="L67">
            <v>11274.41</v>
          </cell>
          <cell r="M67">
            <v>5721.06</v>
          </cell>
          <cell r="N67">
            <v>29252.010000000002</v>
          </cell>
        </row>
        <row r="68">
          <cell r="A68" t="str">
            <v>6640 - Benefits - SG&amp;A</v>
          </cell>
          <cell r="B68">
            <v>0</v>
          </cell>
          <cell r="C68">
            <v>1284.1300000000001</v>
          </cell>
          <cell r="D68">
            <v>6694.27</v>
          </cell>
          <cell r="E68">
            <v>4255.59</v>
          </cell>
          <cell r="F68">
            <v>0</v>
          </cell>
          <cell r="G68">
            <v>4760.4399999999996</v>
          </cell>
          <cell r="H68">
            <v>853</v>
          </cell>
          <cell r="I68">
            <v>3892.12</v>
          </cell>
          <cell r="J68">
            <v>10961.94</v>
          </cell>
          <cell r="K68">
            <v>0</v>
          </cell>
          <cell r="L68">
            <v>25920.86</v>
          </cell>
          <cell r="M68">
            <v>3114.02</v>
          </cell>
          <cell r="N68">
            <v>61736.369999999995</v>
          </cell>
        </row>
        <row r="69">
          <cell r="A69" t="str">
            <v>6650 - Commissions - SG&amp;A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19763.97</v>
          </cell>
          <cell r="N69">
            <v>19763.97</v>
          </cell>
        </row>
        <row r="70">
          <cell r="A70" t="str">
            <v>6660 - Recruiting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3995.84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3995.84</v>
          </cell>
        </row>
        <row r="71">
          <cell r="A71" t="str">
            <v>Total - 6000 - Labor Expense - SG&amp;A</v>
          </cell>
          <cell r="B71">
            <v>0</v>
          </cell>
          <cell r="C71">
            <v>26495.29</v>
          </cell>
          <cell r="D71">
            <v>64634.010000000009</v>
          </cell>
          <cell r="E71">
            <v>54546.67</v>
          </cell>
          <cell r="F71">
            <v>0</v>
          </cell>
          <cell r="G71">
            <v>123397.93</v>
          </cell>
          <cell r="H71">
            <v>853</v>
          </cell>
          <cell r="I71">
            <v>38760.93</v>
          </cell>
          <cell r="J71">
            <v>42563.11</v>
          </cell>
          <cell r="K71">
            <v>0</v>
          </cell>
          <cell r="L71">
            <v>339440.76999999996</v>
          </cell>
          <cell r="M71">
            <v>107349.07</v>
          </cell>
          <cell r="N71">
            <v>798040.78</v>
          </cell>
        </row>
        <row r="72">
          <cell r="A72" t="str">
            <v>6100 - Travel</v>
          </cell>
          <cell r="B72">
            <v>0</v>
          </cell>
          <cell r="C72">
            <v>2365.73</v>
          </cell>
          <cell r="D72">
            <v>0</v>
          </cell>
          <cell r="E72">
            <v>8303.2199999999993</v>
          </cell>
          <cell r="F72">
            <v>1228.8599999999999</v>
          </cell>
          <cell r="G72">
            <v>13110.19</v>
          </cell>
          <cell r="H72">
            <v>0</v>
          </cell>
          <cell r="I72">
            <v>7766.3</v>
          </cell>
          <cell r="J72">
            <v>235.12</v>
          </cell>
          <cell r="K72">
            <v>0</v>
          </cell>
          <cell r="L72">
            <v>1909.25</v>
          </cell>
          <cell r="M72">
            <v>12488.4</v>
          </cell>
          <cell r="N72">
            <v>47407.070000000007</v>
          </cell>
        </row>
        <row r="73">
          <cell r="A73" t="str">
            <v>6110 - Travel Meals</v>
          </cell>
          <cell r="B73">
            <v>0</v>
          </cell>
          <cell r="C73">
            <v>1598.01</v>
          </cell>
          <cell r="D73">
            <v>0</v>
          </cell>
          <cell r="E73">
            <v>2986.15</v>
          </cell>
          <cell r="F73">
            <v>139.29</v>
          </cell>
          <cell r="G73">
            <v>56.72</v>
          </cell>
          <cell r="H73">
            <v>0</v>
          </cell>
          <cell r="I73">
            <v>0</v>
          </cell>
          <cell r="J73">
            <v>20</v>
          </cell>
          <cell r="K73">
            <v>0</v>
          </cell>
          <cell r="L73">
            <v>84.9</v>
          </cell>
          <cell r="M73">
            <v>180.59</v>
          </cell>
          <cell r="N73">
            <v>5065.66</v>
          </cell>
        </row>
        <row r="74">
          <cell r="A74" t="str">
            <v>6120 - Meals and Entertainment</v>
          </cell>
          <cell r="B74">
            <v>0</v>
          </cell>
          <cell r="C74">
            <v>0</v>
          </cell>
          <cell r="D74">
            <v>0</v>
          </cell>
          <cell r="E74">
            <v>28.2</v>
          </cell>
          <cell r="F74">
            <v>655.57</v>
          </cell>
          <cell r="G74">
            <v>941.67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183.68</v>
          </cell>
          <cell r="M74">
            <v>448.87</v>
          </cell>
          <cell r="N74">
            <v>2257.9900000000002</v>
          </cell>
        </row>
        <row r="75">
          <cell r="A75" t="str">
            <v>6200 - Advertising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57178.400000000001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57178.400000000001</v>
          </cell>
        </row>
        <row r="76">
          <cell r="A76" t="str">
            <v>6210 - Marketing Expense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20098.460000000003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20098.460000000003</v>
          </cell>
        </row>
        <row r="77">
          <cell r="A77" t="str">
            <v>6220 - Trade Shows</v>
          </cell>
          <cell r="B77">
            <v>0</v>
          </cell>
          <cell r="C77">
            <v>100</v>
          </cell>
          <cell r="D77">
            <v>37</v>
          </cell>
          <cell r="E77">
            <v>2674.33</v>
          </cell>
          <cell r="F77">
            <v>0</v>
          </cell>
          <cell r="G77">
            <v>22</v>
          </cell>
          <cell r="H77">
            <v>0</v>
          </cell>
          <cell r="I77">
            <v>279044.76</v>
          </cell>
          <cell r="J77">
            <v>0</v>
          </cell>
          <cell r="K77">
            <v>0</v>
          </cell>
          <cell r="L77">
            <v>0</v>
          </cell>
          <cell r="M77">
            <v>1003.79</v>
          </cell>
          <cell r="N77">
            <v>282881.88</v>
          </cell>
        </row>
        <row r="78">
          <cell r="A78" t="str">
            <v>6400 - Memberships and Subscriptions</v>
          </cell>
          <cell r="B78">
            <v>0</v>
          </cell>
          <cell r="C78">
            <v>0</v>
          </cell>
          <cell r="D78">
            <v>15.89</v>
          </cell>
          <cell r="E78">
            <v>0</v>
          </cell>
          <cell r="F78">
            <v>0</v>
          </cell>
          <cell r="G78">
            <v>13592.07</v>
          </cell>
          <cell r="H78">
            <v>0</v>
          </cell>
          <cell r="I78">
            <v>711.42</v>
          </cell>
          <cell r="J78">
            <v>240</v>
          </cell>
          <cell r="K78">
            <v>0</v>
          </cell>
          <cell r="L78">
            <v>174.95</v>
          </cell>
          <cell r="M78">
            <v>0</v>
          </cell>
          <cell r="N78">
            <v>14734.33</v>
          </cell>
        </row>
        <row r="79">
          <cell r="A79" t="str">
            <v>6500 - Demos</v>
          </cell>
        </row>
        <row r="80">
          <cell r="A80" t="str">
            <v>6510 - Storage Facilities - Demos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2269.38</v>
          </cell>
          <cell r="N80">
            <v>2269.38</v>
          </cell>
        </row>
        <row r="81">
          <cell r="A81" t="str">
            <v>6520 - Truck Rental - Demos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3071.01</v>
          </cell>
          <cell r="M81">
            <v>19.079999999999998</v>
          </cell>
          <cell r="N81">
            <v>3090.09</v>
          </cell>
        </row>
        <row r="82">
          <cell r="A82" t="str">
            <v>6540 - Travel - Demos</v>
          </cell>
          <cell r="B82">
            <v>0</v>
          </cell>
          <cell r="C82">
            <v>0</v>
          </cell>
          <cell r="D82">
            <v>0</v>
          </cell>
          <cell r="E82">
            <v>1638.14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1638.14</v>
          </cell>
        </row>
        <row r="83">
          <cell r="A83" t="str">
            <v>Total - 6500 - Demos</v>
          </cell>
          <cell r="B83">
            <v>0</v>
          </cell>
          <cell r="C83">
            <v>0</v>
          </cell>
          <cell r="D83">
            <v>0</v>
          </cell>
          <cell r="E83">
            <v>1638.14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3071.01</v>
          </cell>
          <cell r="M83">
            <v>2288.46</v>
          </cell>
          <cell r="N83">
            <v>6997.6100000000006</v>
          </cell>
        </row>
        <row r="84">
          <cell r="A84" t="str">
            <v>7000 - Professional Fees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21978.51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21978.51</v>
          </cell>
        </row>
        <row r="85">
          <cell r="A85" t="str">
            <v>7100 - Legal Expense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40059.5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40059.5</v>
          </cell>
        </row>
        <row r="86">
          <cell r="A86" t="str">
            <v>7200 - Contractors</v>
          </cell>
          <cell r="B86">
            <v>0</v>
          </cell>
          <cell r="C86">
            <v>0</v>
          </cell>
          <cell r="D86">
            <v>0</v>
          </cell>
          <cell r="E86">
            <v>32442.55</v>
          </cell>
          <cell r="F86">
            <v>2247.84</v>
          </cell>
          <cell r="G86">
            <v>4434.9399999999996</v>
          </cell>
          <cell r="H86">
            <v>0</v>
          </cell>
          <cell r="I86">
            <v>21628.36</v>
          </cell>
          <cell r="J86">
            <v>0</v>
          </cell>
          <cell r="K86">
            <v>0</v>
          </cell>
          <cell r="L86">
            <v>27151.1</v>
          </cell>
          <cell r="M86">
            <v>0</v>
          </cell>
          <cell r="N86">
            <v>87904.790000000008</v>
          </cell>
        </row>
        <row r="87">
          <cell r="A87" t="str">
            <v>7300 - R&amp;D Expense</v>
          </cell>
          <cell r="B87">
            <v>0</v>
          </cell>
          <cell r="C87">
            <v>0</v>
          </cell>
          <cell r="D87">
            <v>2182.0500000000002</v>
          </cell>
          <cell r="E87">
            <v>55.57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762.9</v>
          </cell>
          <cell r="L87">
            <v>1626.41</v>
          </cell>
          <cell r="M87">
            <v>0</v>
          </cell>
          <cell r="N87">
            <v>4626.93</v>
          </cell>
        </row>
        <row r="88">
          <cell r="A88" t="str">
            <v>7500 - Facility Expenses</v>
          </cell>
          <cell r="B88">
            <v>0</v>
          </cell>
          <cell r="C88">
            <v>0</v>
          </cell>
          <cell r="D88">
            <v>2409.75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2409.75</v>
          </cell>
        </row>
        <row r="89">
          <cell r="A89" t="str">
            <v>7550 - Tools and Equipment</v>
          </cell>
          <cell r="B89">
            <v>0</v>
          </cell>
          <cell r="C89">
            <v>0</v>
          </cell>
          <cell r="D89">
            <v>2564.29</v>
          </cell>
          <cell r="E89">
            <v>122.17</v>
          </cell>
          <cell r="F89">
            <v>1515.48</v>
          </cell>
          <cell r="G89">
            <v>5681.78</v>
          </cell>
          <cell r="H89">
            <v>0</v>
          </cell>
          <cell r="I89">
            <v>1054.56</v>
          </cell>
          <cell r="J89">
            <v>2282.91</v>
          </cell>
          <cell r="K89">
            <v>0</v>
          </cell>
          <cell r="L89">
            <v>5460.39</v>
          </cell>
          <cell r="M89">
            <v>0</v>
          </cell>
          <cell r="N89">
            <v>18681.580000000002</v>
          </cell>
        </row>
        <row r="90">
          <cell r="A90" t="str">
            <v>7600 - Freight &amp; Delivery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127.27</v>
          </cell>
          <cell r="G90">
            <v>34.950000000000003</v>
          </cell>
          <cell r="H90">
            <v>0</v>
          </cell>
          <cell r="I90">
            <v>0</v>
          </cell>
          <cell r="J90">
            <v>0</v>
          </cell>
          <cell r="K90">
            <v>9525.44</v>
          </cell>
          <cell r="L90">
            <v>75</v>
          </cell>
          <cell r="M90">
            <v>0</v>
          </cell>
          <cell r="N90">
            <v>9762.66</v>
          </cell>
        </row>
        <row r="91">
          <cell r="A91" t="str">
            <v>7700 - Inventory Obsolescence-old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A92" t="str">
            <v>8100 - Technology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12197.52</v>
          </cell>
          <cell r="H92">
            <v>0</v>
          </cell>
          <cell r="I92">
            <v>328.97</v>
          </cell>
          <cell r="J92">
            <v>108.95</v>
          </cell>
          <cell r="K92">
            <v>448.44</v>
          </cell>
          <cell r="L92">
            <v>9582.9500000000007</v>
          </cell>
          <cell r="M92">
            <v>726.32</v>
          </cell>
          <cell r="N92">
            <v>23393.15</v>
          </cell>
        </row>
        <row r="93">
          <cell r="A93" t="str">
            <v>8200 - Building Rent or Lease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450</v>
          </cell>
          <cell r="G93">
            <v>135666.37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136116.37</v>
          </cell>
        </row>
        <row r="94">
          <cell r="A94" t="str">
            <v>8250 - Equipment/Vehicle Rentals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2170.39</v>
          </cell>
          <cell r="L94">
            <v>0</v>
          </cell>
          <cell r="M94">
            <v>12.4</v>
          </cell>
          <cell r="N94">
            <v>2182.79</v>
          </cell>
        </row>
        <row r="95">
          <cell r="A95" t="str">
            <v>8300 - Office Expenses</v>
          </cell>
          <cell r="B95">
            <v>0</v>
          </cell>
          <cell r="C95">
            <v>0</v>
          </cell>
          <cell r="D95">
            <v>36.200000000000003</v>
          </cell>
          <cell r="E95">
            <v>0</v>
          </cell>
          <cell r="F95">
            <v>0</v>
          </cell>
          <cell r="G95">
            <v>12185.96</v>
          </cell>
          <cell r="H95">
            <v>0</v>
          </cell>
          <cell r="I95">
            <v>104.46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12326.619999999999</v>
          </cell>
        </row>
        <row r="96">
          <cell r="A96" t="str">
            <v>8450 - Postage &amp; Shipping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2070.0500000000002</v>
          </cell>
          <cell r="L96">
            <v>0</v>
          </cell>
          <cell r="M96">
            <v>0</v>
          </cell>
          <cell r="N96">
            <v>2070.0500000000002</v>
          </cell>
        </row>
        <row r="97">
          <cell r="A97" t="str">
            <v>8500 - Commercial Insurance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-30512.26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-30512.26</v>
          </cell>
        </row>
        <row r="98">
          <cell r="A98" t="str">
            <v>8600 - Repairs and Maintenance</v>
          </cell>
          <cell r="B98">
            <v>0</v>
          </cell>
          <cell r="C98">
            <v>0</v>
          </cell>
          <cell r="D98">
            <v>633.36</v>
          </cell>
          <cell r="E98">
            <v>0</v>
          </cell>
          <cell r="F98">
            <v>5954.4</v>
          </cell>
          <cell r="G98">
            <v>2295.7199999999998</v>
          </cell>
          <cell r="H98">
            <v>0</v>
          </cell>
          <cell r="I98">
            <v>750</v>
          </cell>
          <cell r="J98">
            <v>0</v>
          </cell>
          <cell r="K98">
            <v>0</v>
          </cell>
          <cell r="L98">
            <v>6006.11</v>
          </cell>
          <cell r="M98">
            <v>0</v>
          </cell>
          <cell r="N98">
            <v>15639.59</v>
          </cell>
        </row>
        <row r="99">
          <cell r="A99" t="str">
            <v>8700 - Utilities and Telecom Expense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11215.89</v>
          </cell>
          <cell r="H99">
            <v>0</v>
          </cell>
          <cell r="I99">
            <v>0</v>
          </cell>
          <cell r="J99">
            <v>0</v>
          </cell>
          <cell r="K99">
            <v>4118.95</v>
          </cell>
          <cell r="L99">
            <v>93.99</v>
          </cell>
          <cell r="M99">
            <v>0</v>
          </cell>
          <cell r="N99">
            <v>15428.83</v>
          </cell>
        </row>
        <row r="100">
          <cell r="A100" t="str">
            <v>8800 - Bank Charges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111.8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111.8</v>
          </cell>
        </row>
        <row r="101">
          <cell r="A101" t="str">
            <v>8900 - Payroll Fees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5</v>
          </cell>
          <cell r="G101">
            <v>1904.47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1909.47</v>
          </cell>
        </row>
        <row r="102">
          <cell r="A102" t="str">
            <v>8955 - Other Taxes and Licenses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11400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11400</v>
          </cell>
        </row>
        <row r="103">
          <cell r="A103" t="str">
            <v>9999 - Uncategorized Expenses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</row>
        <row r="104">
          <cell r="A104" t="str">
            <v>Total - Expense</v>
          </cell>
          <cell r="B104">
            <v>0</v>
          </cell>
          <cell r="C104">
            <v>30559.03</v>
          </cell>
          <cell r="D104">
            <v>72512.55</v>
          </cell>
          <cell r="E104">
            <v>102797</v>
          </cell>
          <cell r="F104">
            <v>12323.71</v>
          </cell>
          <cell r="G104">
            <v>379775.73</v>
          </cell>
          <cell r="H104">
            <v>853</v>
          </cell>
          <cell r="I104">
            <v>427426.62</v>
          </cell>
          <cell r="J104">
            <v>45450.09</v>
          </cell>
          <cell r="K104">
            <v>19096.170000000002</v>
          </cell>
          <cell r="L104">
            <v>394860.50999999995</v>
          </cell>
          <cell r="M104">
            <v>124658.9</v>
          </cell>
          <cell r="N104">
            <v>1610152.3100000008</v>
          </cell>
        </row>
        <row r="105">
          <cell r="A105" t="str">
            <v>Net Ordinary Income</v>
          </cell>
          <cell r="B105">
            <v>468.86</v>
          </cell>
          <cell r="C105">
            <v>-35967.86</v>
          </cell>
          <cell r="D105">
            <v>-72770.3</v>
          </cell>
          <cell r="E105">
            <v>-109548.93</v>
          </cell>
          <cell r="F105">
            <v>-144233.65</v>
          </cell>
          <cell r="G105">
            <v>-381805.97</v>
          </cell>
          <cell r="H105">
            <v>-853</v>
          </cell>
          <cell r="I105">
            <v>-430329.75</v>
          </cell>
          <cell r="J105">
            <v>-45527.53</v>
          </cell>
          <cell r="K105">
            <v>524738.34</v>
          </cell>
          <cell r="L105">
            <v>-405947.57999999996</v>
          </cell>
          <cell r="M105">
            <v>-124658.9</v>
          </cell>
          <cell r="N105">
            <v>-1226275.2700000009</v>
          </cell>
        </row>
        <row r="106">
          <cell r="A106" t="str">
            <v>Other Income and Expenses</v>
          </cell>
        </row>
        <row r="107">
          <cell r="A107" t="str">
            <v>Other Income</v>
          </cell>
        </row>
        <row r="108">
          <cell r="A108" t="str">
            <v>9100 - Interest Earned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17144.939999999999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17144.939999999999</v>
          </cell>
        </row>
        <row r="109">
          <cell r="A109" t="str">
            <v>9150 - Other Income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104811.32</v>
          </cell>
          <cell r="L109">
            <v>0</v>
          </cell>
          <cell r="M109">
            <v>0</v>
          </cell>
          <cell r="N109">
            <v>104811.32</v>
          </cell>
        </row>
        <row r="110">
          <cell r="A110" t="str">
            <v>Total - Other Income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17144.939999999999</v>
          </cell>
          <cell r="H110">
            <v>0</v>
          </cell>
          <cell r="I110">
            <v>0</v>
          </cell>
          <cell r="J110">
            <v>0</v>
          </cell>
          <cell r="K110">
            <v>104811.32</v>
          </cell>
          <cell r="L110">
            <v>0</v>
          </cell>
          <cell r="M110">
            <v>0</v>
          </cell>
          <cell r="N110">
            <v>121956.26000000001</v>
          </cell>
        </row>
        <row r="111">
          <cell r="A111" t="str">
            <v>Other Expense</v>
          </cell>
        </row>
        <row r="112">
          <cell r="A112" t="str">
            <v>9200 - Cash Sweep Fees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1028.45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1028.45</v>
          </cell>
        </row>
        <row r="113">
          <cell r="A113" t="str">
            <v>9300 - Interest Expense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52057.9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52057.9</v>
          </cell>
        </row>
        <row r="114">
          <cell r="A114" t="str">
            <v>9401 - Depreciation Expenses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16090.630000000001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16090.630000000001</v>
          </cell>
        </row>
        <row r="115">
          <cell r="A115" t="str">
            <v>9600 - Income Tax Expense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</row>
        <row r="116">
          <cell r="A116" t="str">
            <v>Total - Other Expense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69176.98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69176.98</v>
          </cell>
        </row>
        <row r="117">
          <cell r="A117" t="str">
            <v>Net Other Income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-52032.039999999994</v>
          </cell>
          <cell r="H117">
            <v>0</v>
          </cell>
          <cell r="I117">
            <v>0</v>
          </cell>
          <cell r="J117">
            <v>0</v>
          </cell>
          <cell r="K117">
            <v>104811.32</v>
          </cell>
          <cell r="L117">
            <v>0</v>
          </cell>
          <cell r="M117">
            <v>0</v>
          </cell>
          <cell r="N117">
            <v>52779.280000000013</v>
          </cell>
        </row>
        <row r="118">
          <cell r="A118" t="str">
            <v>Net Income</v>
          </cell>
          <cell r="B118">
            <v>468.86</v>
          </cell>
          <cell r="C118">
            <v>-35967.86</v>
          </cell>
          <cell r="D118">
            <v>-72770.3</v>
          </cell>
          <cell r="E118">
            <v>-109548.93</v>
          </cell>
          <cell r="F118">
            <v>-144233.65</v>
          </cell>
          <cell r="G118">
            <v>-433838.00999999995</v>
          </cell>
          <cell r="H118">
            <v>-853</v>
          </cell>
          <cell r="I118">
            <v>-430329.75</v>
          </cell>
          <cell r="J118">
            <v>-45527.53</v>
          </cell>
          <cell r="K118">
            <v>629549.65999999992</v>
          </cell>
          <cell r="L118">
            <v>-405947.57999999996</v>
          </cell>
          <cell r="M118">
            <v>-124658.9</v>
          </cell>
          <cell r="N118">
            <v>-1173495.9900000009</v>
          </cell>
        </row>
      </sheetData>
      <sheetData sheetId="33">
        <row r="1">
          <cell r="A1" t="str">
            <v>Slip Robotics Inc.</v>
          </cell>
        </row>
        <row r="2">
          <cell r="A2" t="str">
            <v>Slip Robotics, Inc.</v>
          </cell>
        </row>
        <row r="3">
          <cell r="A3" t="str">
            <v>SR Income Statement</v>
          </cell>
        </row>
        <row r="4">
          <cell r="A4" t="str">
            <v>May 2026</v>
          </cell>
        </row>
        <row r="5">
          <cell r="A5" t="str">
            <v/>
          </cell>
        </row>
        <row r="6">
          <cell r="A6" t="str">
            <v>Options: Show Zeros, Activity Only</v>
          </cell>
        </row>
        <row r="7">
          <cell r="A7" t="str">
            <v>Financial Row</v>
          </cell>
          <cell r="B7" t="str">
            <v>- No Department -</v>
          </cell>
          <cell r="C7" t="str">
            <v>Account Management</v>
          </cell>
          <cell r="D7" t="str">
            <v>Central Operations</v>
          </cell>
          <cell r="E7" t="str">
            <v>Field Engineering</v>
          </cell>
          <cell r="F7" t="str">
            <v>Field Operations</v>
          </cell>
          <cell r="G7" t="str">
            <v>G&amp;A</v>
          </cell>
          <cell r="H7" t="str">
            <v>HR</v>
          </cell>
          <cell r="I7" t="str">
            <v>Marketing</v>
          </cell>
          <cell r="J7" t="str">
            <v>Production Engineering</v>
          </cell>
          <cell r="K7" t="str">
            <v>Production Operations</v>
          </cell>
          <cell r="L7" t="str">
            <v>R&amp;D</v>
          </cell>
          <cell r="M7" t="str">
            <v>Sales</v>
          </cell>
          <cell r="N7" t="str">
            <v>Total</v>
          </cell>
        </row>
        <row r="8">
          <cell r="A8" t="str">
            <v> </v>
          </cell>
          <cell r="B8" t="str">
            <v>Amount</v>
          </cell>
          <cell r="C8" t="str">
            <v>Amount</v>
          </cell>
          <cell r="D8" t="str">
            <v>Amount</v>
          </cell>
          <cell r="E8" t="str">
            <v>Amount</v>
          </cell>
          <cell r="F8" t="str">
            <v>Amount</v>
          </cell>
          <cell r="G8" t="str">
            <v>Amount</v>
          </cell>
          <cell r="H8" t="str">
            <v>Amount</v>
          </cell>
          <cell r="I8" t="str">
            <v>Amount</v>
          </cell>
          <cell r="J8" t="str">
            <v>Amount</v>
          </cell>
          <cell r="K8" t="str">
            <v>Amount</v>
          </cell>
          <cell r="L8" t="str">
            <v>Amount</v>
          </cell>
          <cell r="M8" t="str">
            <v>Amount</v>
          </cell>
          <cell r="N8" t="str">
            <v>Amount</v>
          </cell>
        </row>
        <row r="9">
          <cell r="A9" t="str">
            <v>Ordinary Income/Expense</v>
          </cell>
        </row>
        <row r="10">
          <cell r="A10" t="str">
            <v>Income</v>
          </cell>
        </row>
        <row r="11">
          <cell r="A11" t="str">
            <v>4000 - Sales</v>
          </cell>
        </row>
        <row r="12">
          <cell r="A12" t="str">
            <v>4000 - Sales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4100 - Subscription/Platform Fees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501668.11</v>
          </cell>
          <cell r="L13">
            <v>0</v>
          </cell>
          <cell r="M13">
            <v>0</v>
          </cell>
          <cell r="N13">
            <v>501668.11</v>
          </cell>
        </row>
        <row r="14">
          <cell r="A14" t="str">
            <v>4500 - Implementation Fees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18277.78</v>
          </cell>
          <cell r="L14">
            <v>0</v>
          </cell>
          <cell r="M14">
            <v>0</v>
          </cell>
          <cell r="N14">
            <v>18277.78</v>
          </cell>
        </row>
        <row r="15">
          <cell r="A15" t="str">
            <v>Total - 4000 - Sales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519945.89</v>
          </cell>
          <cell r="L15">
            <v>0</v>
          </cell>
          <cell r="M15">
            <v>0</v>
          </cell>
          <cell r="N15">
            <v>519945.89</v>
          </cell>
        </row>
        <row r="16">
          <cell r="A16" t="str">
            <v>4700 - Professional Services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 t="str">
            <v>Total - Income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519945.89</v>
          </cell>
          <cell r="L17">
            <v>0</v>
          </cell>
          <cell r="M17">
            <v>0</v>
          </cell>
          <cell r="N17">
            <v>519945.89</v>
          </cell>
        </row>
        <row r="18">
          <cell r="A18" t="str">
            <v>Cost Of Sales</v>
          </cell>
        </row>
        <row r="19">
          <cell r="A19" t="str">
            <v>5000 - Robot Production and Deployment</v>
          </cell>
        </row>
        <row r="20">
          <cell r="A20" t="str">
            <v>5010 - SlipBot Depreciation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133968.64000000001</v>
          </cell>
          <cell r="L20">
            <v>0</v>
          </cell>
          <cell r="M20">
            <v>0</v>
          </cell>
          <cell r="N20">
            <v>133968.64000000001</v>
          </cell>
        </row>
        <row r="21">
          <cell r="A21" t="str">
            <v>5011 - SlipLift Depreciation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3263.24</v>
          </cell>
          <cell r="L21">
            <v>0</v>
          </cell>
          <cell r="M21">
            <v>0</v>
          </cell>
          <cell r="N21">
            <v>3263.24</v>
          </cell>
        </row>
        <row r="22">
          <cell r="A22" t="str">
            <v>5012 - SlipCarrier Depreciation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3124.54</v>
          </cell>
          <cell r="L22">
            <v>0</v>
          </cell>
          <cell r="M22">
            <v>0</v>
          </cell>
          <cell r="N22">
            <v>3124.54</v>
          </cell>
        </row>
        <row r="23">
          <cell r="A23" t="str">
            <v>5020 - Robot Peripherals Depreciation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13555.75</v>
          </cell>
          <cell r="L23">
            <v>0</v>
          </cell>
          <cell r="M23">
            <v>0</v>
          </cell>
          <cell r="N23">
            <v>13555.75</v>
          </cell>
        </row>
        <row r="24">
          <cell r="A24" t="str">
            <v>5025 - Freight and Delivery - Production (Summary)</v>
          </cell>
        </row>
        <row r="25">
          <cell r="A25" t="str">
            <v>5027 - Freight and Delivery - Production - Standard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79.47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98.2</v>
          </cell>
          <cell r="L25">
            <v>0</v>
          </cell>
          <cell r="M25">
            <v>0</v>
          </cell>
          <cell r="N25">
            <v>177.67000000000002</v>
          </cell>
        </row>
        <row r="26">
          <cell r="A26" t="str">
            <v>Total - 5025 - Freight and Delivery - Production (Summary)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79.47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98.2</v>
          </cell>
          <cell r="L26">
            <v>0</v>
          </cell>
          <cell r="M26">
            <v>0</v>
          </cell>
          <cell r="N26">
            <v>177.67000000000002</v>
          </cell>
        </row>
        <row r="27">
          <cell r="A27" t="str">
            <v>5030 - Production Tools and Supplies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983.17</v>
          </cell>
          <cell r="L27">
            <v>0</v>
          </cell>
          <cell r="M27">
            <v>0</v>
          </cell>
          <cell r="N27">
            <v>983.17</v>
          </cell>
        </row>
        <row r="28">
          <cell r="A28" t="str">
            <v>5040 - Freight &amp; Delivery - Deployment</v>
          </cell>
          <cell r="B28">
            <v>0</v>
          </cell>
          <cell r="C28">
            <v>0</v>
          </cell>
          <cell r="D28">
            <v>0</v>
          </cell>
          <cell r="E28">
            <v>14.38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84.54</v>
          </cell>
          <cell r="L28">
            <v>0</v>
          </cell>
          <cell r="M28">
            <v>0</v>
          </cell>
          <cell r="N28">
            <v>98.92</v>
          </cell>
        </row>
        <row r="29">
          <cell r="A29" t="str">
            <v>5050 - Travel - Deployment</v>
          </cell>
          <cell r="B29">
            <v>0</v>
          </cell>
          <cell r="C29">
            <v>199.49</v>
          </cell>
          <cell r="D29">
            <v>0</v>
          </cell>
          <cell r="E29">
            <v>13531.9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13731.39</v>
          </cell>
        </row>
        <row r="30">
          <cell r="A30" t="str">
            <v>5060 - Meals - Deployment</v>
          </cell>
          <cell r="B30">
            <v>0</v>
          </cell>
          <cell r="C30">
            <v>0</v>
          </cell>
          <cell r="D30">
            <v>0</v>
          </cell>
          <cell r="E30">
            <v>1479.8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1479.8</v>
          </cell>
        </row>
        <row r="31">
          <cell r="A31" t="str">
            <v>5100 - Labor Expense - Production</v>
          </cell>
        </row>
        <row r="32">
          <cell r="A32" t="str">
            <v>5110 - Salaries and Wages - Production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17259.93</v>
          </cell>
          <cell r="L32">
            <v>0</v>
          </cell>
          <cell r="M32">
            <v>0</v>
          </cell>
          <cell r="N32">
            <v>17259.93</v>
          </cell>
        </row>
        <row r="33">
          <cell r="A33" t="str">
            <v>5130 - Payroll Taxes - Production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618.04</v>
          </cell>
          <cell r="L33">
            <v>0</v>
          </cell>
          <cell r="M33">
            <v>0</v>
          </cell>
          <cell r="N33">
            <v>618.04</v>
          </cell>
        </row>
        <row r="34">
          <cell r="A34" t="str">
            <v>5140 - Benefits - Production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4138.12</v>
          </cell>
          <cell r="L34">
            <v>0</v>
          </cell>
          <cell r="M34">
            <v>0</v>
          </cell>
          <cell r="N34">
            <v>4138.12</v>
          </cell>
        </row>
        <row r="35">
          <cell r="A35" t="str">
            <v>Total - 5100 - Labor Expense - Production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22016.09</v>
          </cell>
          <cell r="L35">
            <v>0</v>
          </cell>
          <cell r="M35">
            <v>0</v>
          </cell>
          <cell r="N35">
            <v>22016.09</v>
          </cell>
        </row>
        <row r="36">
          <cell r="A36" t="str">
            <v>Total - 5000 - Robot Production and Deployment</v>
          </cell>
          <cell r="B36">
            <v>0</v>
          </cell>
          <cell r="C36">
            <v>199.49</v>
          </cell>
          <cell r="D36">
            <v>0</v>
          </cell>
          <cell r="E36">
            <v>15026.079999999998</v>
          </cell>
          <cell r="F36">
            <v>79.47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177094.17000000004</v>
          </cell>
          <cell r="L36">
            <v>0</v>
          </cell>
          <cell r="M36">
            <v>0</v>
          </cell>
          <cell r="N36">
            <v>192399.21000000005</v>
          </cell>
        </row>
        <row r="37">
          <cell r="A37" t="str">
            <v>5028 - Duties &amp; Tariffs - Production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6857.32</v>
          </cell>
          <cell r="L37">
            <v>0</v>
          </cell>
          <cell r="M37">
            <v>0</v>
          </cell>
          <cell r="N37">
            <v>6857.32</v>
          </cell>
        </row>
        <row r="38">
          <cell r="A38" t="str">
            <v>5029 - Processing Fee - Production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125</v>
          </cell>
          <cell r="L38">
            <v>0</v>
          </cell>
          <cell r="M38">
            <v>0</v>
          </cell>
          <cell r="N38">
            <v>125</v>
          </cell>
        </row>
        <row r="39">
          <cell r="A39" t="str">
            <v>5070 - Scrap</v>
          </cell>
          <cell r="B39">
            <v>205.54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205.54</v>
          </cell>
        </row>
        <row r="40">
          <cell r="A40" t="str">
            <v>5300 - Maintenance</v>
          </cell>
        </row>
        <row r="41">
          <cell r="A41" t="str">
            <v>5310 - Contractors - Field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19808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19808</v>
          </cell>
        </row>
        <row r="42">
          <cell r="A42" t="str">
            <v>5320 - Freight &amp; Delivery - Maintenance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4983.8100000000004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4983.8100000000004</v>
          </cell>
        </row>
        <row r="43">
          <cell r="A43" t="str">
            <v>5330 - Maintenance Tools and Supplies</v>
          </cell>
          <cell r="B43">
            <v>0</v>
          </cell>
          <cell r="C43">
            <v>115.99</v>
          </cell>
          <cell r="D43">
            <v>169.08</v>
          </cell>
          <cell r="E43">
            <v>1945.1</v>
          </cell>
          <cell r="F43">
            <v>1059.27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3289.44</v>
          </cell>
        </row>
        <row r="44">
          <cell r="A44" t="str">
            <v>5340 - Spare Parts</v>
          </cell>
          <cell r="B44">
            <v>-9644.9500000000007</v>
          </cell>
          <cell r="C44">
            <v>0</v>
          </cell>
          <cell r="D44">
            <v>0</v>
          </cell>
          <cell r="E44">
            <v>12.62</v>
          </cell>
          <cell r="F44">
            <v>28158.41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17369.79</v>
          </cell>
          <cell r="L44">
            <v>0</v>
          </cell>
          <cell r="M44">
            <v>0</v>
          </cell>
          <cell r="N44">
            <v>35895.870000000003</v>
          </cell>
        </row>
        <row r="45">
          <cell r="A45" t="str">
            <v>5350 - Warehouse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2680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2680</v>
          </cell>
        </row>
        <row r="46">
          <cell r="A46" t="str">
            <v>5360 - Travel - Maintenance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7011.68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7011.68</v>
          </cell>
        </row>
        <row r="47">
          <cell r="A47" t="str">
            <v>5370 - Meals - Maintenance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18.64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18.64</v>
          </cell>
        </row>
        <row r="48">
          <cell r="A48" t="str">
            <v>5500 - Labor Expense - Field Operations</v>
          </cell>
        </row>
        <row r="49">
          <cell r="A49" t="str">
            <v>5510 - :Salaries and Wages - Field Operations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72865.8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72865.8</v>
          </cell>
        </row>
        <row r="50">
          <cell r="A50" t="str">
            <v>5530 - :Payroll Taxes - Field Operations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4827.71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4827.71</v>
          </cell>
        </row>
        <row r="51">
          <cell r="A51" t="str">
            <v>5540 - :Benefits - Field Operations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12115.76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12115.76</v>
          </cell>
        </row>
        <row r="52">
          <cell r="A52" t="str">
            <v>Total - 5500 - Labor Expense - Field Operations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89809.27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89809.27</v>
          </cell>
        </row>
        <row r="53">
          <cell r="A53" t="str">
            <v>Total - 5300 - Maintenance</v>
          </cell>
          <cell r="B53">
            <v>-9644.9500000000007</v>
          </cell>
          <cell r="C53">
            <v>115.99</v>
          </cell>
          <cell r="D53">
            <v>169.08</v>
          </cell>
          <cell r="E53">
            <v>1957.7199999999998</v>
          </cell>
          <cell r="F53">
            <v>153529.08000000002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17369.79</v>
          </cell>
          <cell r="L53">
            <v>0</v>
          </cell>
          <cell r="M53">
            <v>0</v>
          </cell>
          <cell r="N53">
            <v>163496.71</v>
          </cell>
        </row>
        <row r="54">
          <cell r="A54" t="str">
            <v>5900 - Other COGS</v>
          </cell>
        </row>
        <row r="55">
          <cell r="A55" t="str">
            <v>5920 - Software - COGS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12334.88</v>
          </cell>
          <cell r="G55">
            <v>10730.9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23065.78</v>
          </cell>
        </row>
        <row r="56">
          <cell r="A56" t="str">
            <v>5950 - Certification Expense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119.9</v>
          </cell>
          <cell r="L56">
            <v>0</v>
          </cell>
          <cell r="M56">
            <v>0</v>
          </cell>
          <cell r="N56">
            <v>119.9</v>
          </cell>
        </row>
        <row r="57">
          <cell r="A57" t="str">
            <v>Total - 5900 - Other COGS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12334.88</v>
          </cell>
          <cell r="G57">
            <v>10730.9</v>
          </cell>
          <cell r="H57">
            <v>0</v>
          </cell>
          <cell r="I57">
            <v>0</v>
          </cell>
          <cell r="J57">
            <v>0</v>
          </cell>
          <cell r="K57">
            <v>119.9</v>
          </cell>
          <cell r="L57">
            <v>0</v>
          </cell>
          <cell r="M57">
            <v>0</v>
          </cell>
          <cell r="N57">
            <v>23185.68</v>
          </cell>
        </row>
        <row r="58">
          <cell r="A58" t="str">
            <v>Total - Cost Of Sales</v>
          </cell>
          <cell r="B58">
            <v>-9439.41</v>
          </cell>
          <cell r="C58">
            <v>315.48</v>
          </cell>
          <cell r="D58">
            <v>169.08</v>
          </cell>
          <cell r="E58">
            <v>16983.8</v>
          </cell>
          <cell r="F58">
            <v>165943.43000000002</v>
          </cell>
          <cell r="G58">
            <v>10730.9</v>
          </cell>
          <cell r="H58">
            <v>0</v>
          </cell>
          <cell r="I58">
            <v>0</v>
          </cell>
          <cell r="J58">
            <v>0</v>
          </cell>
          <cell r="K58">
            <v>201566.18000000005</v>
          </cell>
          <cell r="L58">
            <v>0</v>
          </cell>
          <cell r="M58">
            <v>0</v>
          </cell>
          <cell r="N58">
            <v>386269.46</v>
          </cell>
        </row>
        <row r="59">
          <cell r="A59" t="str">
            <v>Gross Profit</v>
          </cell>
          <cell r="B59">
            <v>9439.41</v>
          </cell>
          <cell r="C59">
            <v>-315.48</v>
          </cell>
          <cell r="D59">
            <v>-169.08</v>
          </cell>
          <cell r="E59">
            <v>-16983.8</v>
          </cell>
          <cell r="F59">
            <v>-165943.43000000002</v>
          </cell>
          <cell r="G59">
            <v>-10730.9</v>
          </cell>
          <cell r="H59">
            <v>0</v>
          </cell>
          <cell r="I59">
            <v>0</v>
          </cell>
          <cell r="J59">
            <v>0</v>
          </cell>
          <cell r="K59">
            <v>318379.70999999996</v>
          </cell>
          <cell r="L59">
            <v>0</v>
          </cell>
          <cell r="M59">
            <v>0</v>
          </cell>
          <cell r="N59">
            <v>133676.43</v>
          </cell>
        </row>
        <row r="60">
          <cell r="A60" t="str">
            <v>Expense</v>
          </cell>
        </row>
        <row r="61">
          <cell r="A61" t="str">
            <v>6000 - Labor Expense - SG&amp;A</v>
          </cell>
        </row>
        <row r="62">
          <cell r="A62" t="str">
            <v>6610 - Salaries and Wages - SG&amp;A</v>
          </cell>
          <cell r="B62">
            <v>0</v>
          </cell>
          <cell r="C62">
            <v>24416.66</v>
          </cell>
          <cell r="D62">
            <v>42282.65</v>
          </cell>
          <cell r="E62">
            <v>69698.22</v>
          </cell>
          <cell r="F62">
            <v>0</v>
          </cell>
          <cell r="G62">
            <v>118099.55</v>
          </cell>
          <cell r="H62">
            <v>0</v>
          </cell>
          <cell r="I62">
            <v>25416.68</v>
          </cell>
          <cell r="J62">
            <v>91088.28</v>
          </cell>
          <cell r="K62">
            <v>0</v>
          </cell>
          <cell r="L62">
            <v>299580.7</v>
          </cell>
          <cell r="M62">
            <v>92500.02</v>
          </cell>
          <cell r="N62">
            <v>763082.76</v>
          </cell>
        </row>
        <row r="63">
          <cell r="A63" t="str">
            <v>6630 - Payroll Taxes - SG&amp;A</v>
          </cell>
          <cell r="B63">
            <v>0</v>
          </cell>
          <cell r="C63">
            <v>726.14</v>
          </cell>
          <cell r="D63">
            <v>2207.77</v>
          </cell>
          <cell r="E63">
            <v>2481.0300000000002</v>
          </cell>
          <cell r="F63">
            <v>0</v>
          </cell>
          <cell r="G63">
            <v>4832.09</v>
          </cell>
          <cell r="H63">
            <v>0</v>
          </cell>
          <cell r="I63">
            <v>1187.78</v>
          </cell>
          <cell r="J63">
            <v>3064.28</v>
          </cell>
          <cell r="K63">
            <v>0</v>
          </cell>
          <cell r="L63">
            <v>11512.56</v>
          </cell>
          <cell r="M63">
            <v>6333.99</v>
          </cell>
          <cell r="N63">
            <v>32345.64</v>
          </cell>
        </row>
        <row r="64">
          <cell r="A64" t="str">
            <v>6640 - Benefits - SG&amp;A</v>
          </cell>
          <cell r="B64">
            <v>0</v>
          </cell>
          <cell r="C64">
            <v>4395.9799999999996</v>
          </cell>
          <cell r="D64">
            <v>5034.09</v>
          </cell>
          <cell r="E64">
            <v>4157.09</v>
          </cell>
          <cell r="F64">
            <v>0</v>
          </cell>
          <cell r="G64">
            <v>6473.54</v>
          </cell>
          <cell r="H64">
            <v>813.58</v>
          </cell>
          <cell r="I64">
            <v>6620</v>
          </cell>
          <cell r="J64">
            <v>5752.25</v>
          </cell>
          <cell r="K64">
            <v>0</v>
          </cell>
          <cell r="L64">
            <v>23432.16</v>
          </cell>
          <cell r="M64">
            <v>2892.01</v>
          </cell>
          <cell r="N64">
            <v>59570.700000000004</v>
          </cell>
        </row>
        <row r="65">
          <cell r="A65" t="str">
            <v>6650 - Commissions - SG&amp;A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13319.23</v>
          </cell>
          <cell r="N65">
            <v>13319.23</v>
          </cell>
        </row>
        <row r="66">
          <cell r="A66" t="str">
            <v>6660 - Recruiting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1157.58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1157.58</v>
          </cell>
        </row>
        <row r="67">
          <cell r="A67" t="str">
            <v>Total - 6000 - Labor Expense - SG&amp;A</v>
          </cell>
          <cell r="B67">
            <v>0</v>
          </cell>
          <cell r="C67">
            <v>29538.78</v>
          </cell>
          <cell r="D67">
            <v>49524.509999999995</v>
          </cell>
          <cell r="E67">
            <v>76336.34</v>
          </cell>
          <cell r="F67">
            <v>0</v>
          </cell>
          <cell r="G67">
            <v>130562.76</v>
          </cell>
          <cell r="H67">
            <v>813.58</v>
          </cell>
          <cell r="I67">
            <v>33224.46</v>
          </cell>
          <cell r="J67">
            <v>99904.81</v>
          </cell>
          <cell r="K67">
            <v>0</v>
          </cell>
          <cell r="L67">
            <v>334525.42</v>
          </cell>
          <cell r="M67">
            <v>115045.25</v>
          </cell>
          <cell r="N67">
            <v>869475.90999999992</v>
          </cell>
        </row>
        <row r="68">
          <cell r="A68" t="str">
            <v>6100 - Travel</v>
          </cell>
          <cell r="B68">
            <v>0</v>
          </cell>
          <cell r="C68">
            <v>7516.78</v>
          </cell>
          <cell r="D68">
            <v>1310.87</v>
          </cell>
          <cell r="E68">
            <v>2747.17</v>
          </cell>
          <cell r="F68">
            <v>2504.31</v>
          </cell>
          <cell r="G68">
            <v>2563.9</v>
          </cell>
          <cell r="H68">
            <v>0</v>
          </cell>
          <cell r="I68">
            <v>4664.55</v>
          </cell>
          <cell r="J68">
            <v>0</v>
          </cell>
          <cell r="K68">
            <v>0</v>
          </cell>
          <cell r="L68">
            <v>11972.07</v>
          </cell>
          <cell r="M68">
            <v>21255.360000000001</v>
          </cell>
          <cell r="N68">
            <v>54535.009999999995</v>
          </cell>
        </row>
        <row r="69">
          <cell r="A69" t="str">
            <v>6110 - Travel Meals</v>
          </cell>
          <cell r="B69">
            <v>0</v>
          </cell>
          <cell r="C69">
            <v>690.58</v>
          </cell>
          <cell r="D69">
            <v>0</v>
          </cell>
          <cell r="E69">
            <v>0</v>
          </cell>
          <cell r="F69">
            <v>0</v>
          </cell>
          <cell r="G69">
            <v>1142.19</v>
          </cell>
          <cell r="H69">
            <v>0</v>
          </cell>
          <cell r="I69">
            <v>100.65</v>
          </cell>
          <cell r="J69">
            <v>0</v>
          </cell>
          <cell r="K69">
            <v>0</v>
          </cell>
          <cell r="L69">
            <v>174.37</v>
          </cell>
          <cell r="M69">
            <v>2116.0500000000002</v>
          </cell>
          <cell r="N69">
            <v>4223.84</v>
          </cell>
        </row>
        <row r="70">
          <cell r="A70" t="str">
            <v>6120 - Meals and Entertainment</v>
          </cell>
          <cell r="B70">
            <v>0</v>
          </cell>
          <cell r="C70">
            <v>941.27</v>
          </cell>
          <cell r="D70">
            <v>55.11</v>
          </cell>
          <cell r="E70">
            <v>0</v>
          </cell>
          <cell r="F70">
            <v>0</v>
          </cell>
          <cell r="G70">
            <v>631.9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368.9</v>
          </cell>
          <cell r="M70">
            <v>953.23</v>
          </cell>
          <cell r="N70">
            <v>2950.41</v>
          </cell>
        </row>
        <row r="71">
          <cell r="A71" t="str">
            <v>6200 - Advertising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12274.99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12274.99</v>
          </cell>
        </row>
        <row r="72">
          <cell r="A72" t="str">
            <v>6210 - Marketing Expense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90344.51999999999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90344.51999999999</v>
          </cell>
        </row>
        <row r="73">
          <cell r="A73" t="str">
            <v>6220 - Trade Shows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94992.04</v>
          </cell>
          <cell r="J73">
            <v>0</v>
          </cell>
          <cell r="K73">
            <v>0</v>
          </cell>
          <cell r="L73">
            <v>0</v>
          </cell>
          <cell r="M73">
            <v>3115.69</v>
          </cell>
          <cell r="N73">
            <v>98107.73</v>
          </cell>
        </row>
        <row r="74">
          <cell r="A74" t="str">
            <v>6400 - Memberships and Subscriptions</v>
          </cell>
          <cell r="B74">
            <v>0</v>
          </cell>
          <cell r="C74">
            <v>20</v>
          </cell>
          <cell r="D74">
            <v>0</v>
          </cell>
          <cell r="E74">
            <v>0</v>
          </cell>
          <cell r="F74">
            <v>0</v>
          </cell>
          <cell r="G74">
            <v>855.67</v>
          </cell>
          <cell r="H74">
            <v>0</v>
          </cell>
          <cell r="I74">
            <v>711.42</v>
          </cell>
          <cell r="J74">
            <v>34.99</v>
          </cell>
          <cell r="K74">
            <v>0</v>
          </cell>
          <cell r="L74">
            <v>147.34</v>
          </cell>
          <cell r="M74">
            <v>0</v>
          </cell>
          <cell r="N74">
            <v>1769.4199999999998</v>
          </cell>
        </row>
        <row r="75">
          <cell r="A75" t="str">
            <v>6500 - Demos</v>
          </cell>
        </row>
        <row r="76">
          <cell r="A76" t="str">
            <v>6510 - Storage Facilities - Demos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2250</v>
          </cell>
          <cell r="N76">
            <v>2250</v>
          </cell>
        </row>
        <row r="77">
          <cell r="A77" t="str">
            <v>6520 - Truck Rental - Demos</v>
          </cell>
          <cell r="B77">
            <v>0</v>
          </cell>
          <cell r="C77">
            <v>0</v>
          </cell>
          <cell r="D77">
            <v>596.5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596.5</v>
          </cell>
        </row>
        <row r="78">
          <cell r="A78" t="str">
            <v>6530 - Other Demo Expense</v>
          </cell>
          <cell r="B78">
            <v>0</v>
          </cell>
          <cell r="C78">
            <v>0</v>
          </cell>
          <cell r="D78">
            <v>901.61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901.61</v>
          </cell>
        </row>
        <row r="79">
          <cell r="A79" t="str">
            <v>6540 - Travel - Demos</v>
          </cell>
          <cell r="B79">
            <v>0</v>
          </cell>
          <cell r="C79">
            <v>0</v>
          </cell>
          <cell r="D79">
            <v>549.11</v>
          </cell>
          <cell r="E79">
            <v>492.8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165.62</v>
          </cell>
          <cell r="N79">
            <v>1207.5300000000002</v>
          </cell>
        </row>
        <row r="80">
          <cell r="A80" t="str">
            <v>6550 - Meals - Demos</v>
          </cell>
          <cell r="B80">
            <v>0</v>
          </cell>
          <cell r="C80">
            <v>0</v>
          </cell>
          <cell r="D80">
            <v>235.48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235.48</v>
          </cell>
        </row>
        <row r="81">
          <cell r="A81" t="str">
            <v>Total - 6500 - Demos</v>
          </cell>
          <cell r="B81">
            <v>0</v>
          </cell>
          <cell r="C81">
            <v>0</v>
          </cell>
          <cell r="D81">
            <v>2282.7000000000003</v>
          </cell>
          <cell r="E81">
            <v>492.8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2415.62</v>
          </cell>
          <cell r="N81">
            <v>5191.12</v>
          </cell>
        </row>
        <row r="82">
          <cell r="A82" t="str">
            <v>7000 - Professional Fees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31474.87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20309.759999999998</v>
          </cell>
          <cell r="N82">
            <v>51784.63</v>
          </cell>
        </row>
        <row r="83">
          <cell r="A83" t="str">
            <v>7050 - Education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261.91000000000003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261.91000000000003</v>
          </cell>
        </row>
        <row r="84">
          <cell r="A84" t="str">
            <v>7100 - Legal Expense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32634.25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32634.25</v>
          </cell>
        </row>
        <row r="85">
          <cell r="A85" t="str">
            <v>7200 - Contractors</v>
          </cell>
          <cell r="B85">
            <v>0</v>
          </cell>
          <cell r="C85">
            <v>0</v>
          </cell>
          <cell r="D85">
            <v>0</v>
          </cell>
          <cell r="E85">
            <v>36509.269999999997</v>
          </cell>
          <cell r="F85">
            <v>0</v>
          </cell>
          <cell r="G85">
            <v>12357.86</v>
          </cell>
          <cell r="H85">
            <v>0</v>
          </cell>
          <cell r="I85">
            <v>24339.51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73206.64</v>
          </cell>
        </row>
        <row r="86">
          <cell r="A86" t="str">
            <v>7300 - R&amp;D Expense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9578.0300000000007</v>
          </cell>
          <cell r="L86">
            <v>239927.69</v>
          </cell>
          <cell r="M86">
            <v>0</v>
          </cell>
          <cell r="N86">
            <v>249505.72</v>
          </cell>
        </row>
        <row r="87">
          <cell r="A87" t="str">
            <v>7500 - Facility Expenses</v>
          </cell>
          <cell r="B87">
            <v>0</v>
          </cell>
          <cell r="C87">
            <v>0</v>
          </cell>
          <cell r="D87">
            <v>5233.37</v>
          </cell>
          <cell r="E87">
            <v>0</v>
          </cell>
          <cell r="F87">
            <v>0</v>
          </cell>
          <cell r="G87">
            <v>23639.03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28872.399999999998</v>
          </cell>
        </row>
        <row r="88">
          <cell r="A88" t="str">
            <v>7550 - Tools and Equipment</v>
          </cell>
          <cell r="B88">
            <v>0</v>
          </cell>
          <cell r="C88">
            <v>0</v>
          </cell>
          <cell r="D88">
            <v>174.86</v>
          </cell>
          <cell r="E88">
            <v>0</v>
          </cell>
          <cell r="F88">
            <v>0</v>
          </cell>
          <cell r="G88">
            <v>39.4</v>
          </cell>
          <cell r="H88">
            <v>0</v>
          </cell>
          <cell r="I88">
            <v>0</v>
          </cell>
          <cell r="J88">
            <v>2569.77</v>
          </cell>
          <cell r="K88">
            <v>0</v>
          </cell>
          <cell r="L88">
            <v>130.16</v>
          </cell>
          <cell r="M88">
            <v>41.15</v>
          </cell>
          <cell r="N88">
            <v>2955.34</v>
          </cell>
        </row>
        <row r="89">
          <cell r="A89" t="str">
            <v>7600 - Freight &amp; Delivery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45</v>
          </cell>
          <cell r="G89">
            <v>34.950000000000003</v>
          </cell>
          <cell r="H89">
            <v>0</v>
          </cell>
          <cell r="I89">
            <v>0</v>
          </cell>
          <cell r="J89">
            <v>0</v>
          </cell>
          <cell r="K89">
            <v>1129.75</v>
          </cell>
          <cell r="L89">
            <v>1253</v>
          </cell>
          <cell r="M89">
            <v>0</v>
          </cell>
          <cell r="N89">
            <v>2462.6999999999998</v>
          </cell>
        </row>
        <row r="90">
          <cell r="A90" t="str">
            <v>7610 - Duties &amp; Tariffs - Other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30</v>
          </cell>
          <cell r="M90">
            <v>0</v>
          </cell>
          <cell r="N90">
            <v>30</v>
          </cell>
        </row>
        <row r="91">
          <cell r="A91" t="str">
            <v>7700 - Inventory Obsolescence-old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A92" t="str">
            <v>8100 - Technology</v>
          </cell>
          <cell r="B92">
            <v>0</v>
          </cell>
          <cell r="C92">
            <v>0</v>
          </cell>
          <cell r="D92">
            <v>0</v>
          </cell>
          <cell r="E92">
            <v>20</v>
          </cell>
          <cell r="F92">
            <v>0</v>
          </cell>
          <cell r="G92">
            <v>46673.94</v>
          </cell>
          <cell r="H92">
            <v>0</v>
          </cell>
          <cell r="I92">
            <v>2630.97</v>
          </cell>
          <cell r="J92">
            <v>0</v>
          </cell>
          <cell r="K92">
            <v>577.79999999999995</v>
          </cell>
          <cell r="L92">
            <v>13799.79</v>
          </cell>
          <cell r="M92">
            <v>703.32</v>
          </cell>
          <cell r="N92">
            <v>64405.820000000007</v>
          </cell>
        </row>
        <row r="93">
          <cell r="A93" t="str">
            <v>8200 - Building Rent or Lease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450</v>
          </cell>
          <cell r="G93">
            <v>107244.22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107694.22</v>
          </cell>
        </row>
        <row r="94">
          <cell r="A94" t="str">
            <v>8250 - Equipment/Vehicle Rentals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636</v>
          </cell>
          <cell r="H94">
            <v>0</v>
          </cell>
          <cell r="I94">
            <v>0</v>
          </cell>
          <cell r="J94">
            <v>0</v>
          </cell>
          <cell r="K94">
            <v>2114.52</v>
          </cell>
          <cell r="L94">
            <v>1271.6500000000001</v>
          </cell>
          <cell r="M94">
            <v>211.49</v>
          </cell>
          <cell r="N94">
            <v>4233.66</v>
          </cell>
        </row>
        <row r="95">
          <cell r="A95" t="str">
            <v>8300 - Office Expenses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10162.4</v>
          </cell>
          <cell r="H95">
            <v>0</v>
          </cell>
          <cell r="I95">
            <v>0</v>
          </cell>
          <cell r="J95">
            <v>0</v>
          </cell>
          <cell r="K95">
            <v>21.59</v>
          </cell>
          <cell r="L95">
            <v>0</v>
          </cell>
          <cell r="M95">
            <v>0</v>
          </cell>
          <cell r="N95">
            <v>10183.99</v>
          </cell>
        </row>
        <row r="96">
          <cell r="A96" t="str">
            <v>8400 - Office Equipment and Small Furniture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7606.02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7606.02</v>
          </cell>
        </row>
        <row r="97">
          <cell r="A97" t="str">
            <v>8450 - Postage &amp; Shipping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393.2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393.2</v>
          </cell>
        </row>
        <row r="98">
          <cell r="A98" t="str">
            <v>8500 - Commercial Insurance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17899.43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17899.43</v>
          </cell>
        </row>
        <row r="99">
          <cell r="A99" t="str">
            <v>8600 - Repairs and Maintenance</v>
          </cell>
          <cell r="B99">
            <v>0</v>
          </cell>
          <cell r="C99">
            <v>0</v>
          </cell>
          <cell r="D99">
            <v>526.41999999999996</v>
          </cell>
          <cell r="E99">
            <v>0</v>
          </cell>
          <cell r="F99">
            <v>0</v>
          </cell>
          <cell r="G99">
            <v>7789.03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8315.4499999999989</v>
          </cell>
        </row>
        <row r="100">
          <cell r="A100" t="str">
            <v>8700 - Utilities and Telecom Expense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11222.28</v>
          </cell>
          <cell r="H100">
            <v>0</v>
          </cell>
          <cell r="I100">
            <v>0</v>
          </cell>
          <cell r="J100">
            <v>0</v>
          </cell>
          <cell r="K100">
            <v>5555.2</v>
          </cell>
          <cell r="L100">
            <v>93.99</v>
          </cell>
          <cell r="M100">
            <v>0</v>
          </cell>
          <cell r="N100">
            <v>16871.47</v>
          </cell>
        </row>
        <row r="101">
          <cell r="A101" t="str">
            <v>8800 - Bank Charges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266.61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266.61</v>
          </cell>
        </row>
        <row r="102">
          <cell r="A102" t="str">
            <v>8900 - Payroll Fees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2025.54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2025.54</v>
          </cell>
        </row>
        <row r="103">
          <cell r="A103" t="str">
            <v>8955 - Other Taxes and Licenses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315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315</v>
          </cell>
        </row>
        <row r="104">
          <cell r="A104" t="str">
            <v>9999 - Uncategorized Expenses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A105" t="str">
            <v>Total - Expense</v>
          </cell>
          <cell r="B105">
            <v>0</v>
          </cell>
          <cell r="C105">
            <v>38707.409999999996</v>
          </cell>
          <cell r="D105">
            <v>59107.839999999997</v>
          </cell>
          <cell r="E105">
            <v>116105.57999999999</v>
          </cell>
          <cell r="F105">
            <v>2999.31</v>
          </cell>
          <cell r="G105">
            <v>448432.36000000004</v>
          </cell>
          <cell r="H105">
            <v>813.58</v>
          </cell>
          <cell r="I105">
            <v>263283.11</v>
          </cell>
          <cell r="J105">
            <v>102509.57</v>
          </cell>
          <cell r="K105">
            <v>18976.89</v>
          </cell>
          <cell r="L105">
            <v>603694.38000000012</v>
          </cell>
          <cell r="M105">
            <v>166166.91999999998</v>
          </cell>
          <cell r="N105">
            <v>1820796.9499999995</v>
          </cell>
        </row>
        <row r="106">
          <cell r="A106" t="str">
            <v>Net Ordinary Income</v>
          </cell>
          <cell r="B106">
            <v>9439.41</v>
          </cell>
          <cell r="C106">
            <v>-39022.89</v>
          </cell>
          <cell r="D106">
            <v>-59276.92</v>
          </cell>
          <cell r="E106">
            <v>-133089.37999999998</v>
          </cell>
          <cell r="F106">
            <v>-168942.74000000002</v>
          </cell>
          <cell r="G106">
            <v>-459163.26000000007</v>
          </cell>
          <cell r="H106">
            <v>-813.58</v>
          </cell>
          <cell r="I106">
            <v>-263283.11</v>
          </cell>
          <cell r="J106">
            <v>-102509.57</v>
          </cell>
          <cell r="K106">
            <v>299402.81999999995</v>
          </cell>
          <cell r="L106">
            <v>-603694.38000000012</v>
          </cell>
          <cell r="M106">
            <v>-166166.91999999998</v>
          </cell>
          <cell r="N106">
            <v>-1687120.5199999996</v>
          </cell>
        </row>
        <row r="107">
          <cell r="A107" t="str">
            <v>Other Income and Expenses</v>
          </cell>
        </row>
        <row r="108">
          <cell r="A108" t="str">
            <v>Other Income</v>
          </cell>
        </row>
        <row r="109">
          <cell r="A109" t="str">
            <v>9100 - Interest Earned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10502.46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10502.46</v>
          </cell>
        </row>
        <row r="110">
          <cell r="A110" t="str">
            <v>Total - Other Income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10502.46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10502.46</v>
          </cell>
        </row>
        <row r="111">
          <cell r="A111" t="str">
            <v>Other Expense</v>
          </cell>
        </row>
        <row r="112">
          <cell r="A112" t="str">
            <v>9200 - Cash Sweep Fees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629.94000000000005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629.94000000000005</v>
          </cell>
        </row>
        <row r="113">
          <cell r="A113" t="str">
            <v>9300 - Interest Expense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48785.35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48785.35</v>
          </cell>
        </row>
        <row r="114">
          <cell r="A114" t="str">
            <v>9401 - Depreciation Expenses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16224.8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16224.8</v>
          </cell>
        </row>
        <row r="115">
          <cell r="A115" t="str">
            <v>9700 - Gain/Loss on Disposal of Assets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</row>
        <row r="116">
          <cell r="A116" t="str">
            <v>Total - Other Expense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65640.09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65640.09</v>
          </cell>
        </row>
        <row r="117">
          <cell r="A117" t="str">
            <v>Net Other Income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-55137.63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-55137.63</v>
          </cell>
        </row>
        <row r="118">
          <cell r="A118" t="str">
            <v>Net Income</v>
          </cell>
          <cell r="B118">
            <v>9439.41</v>
          </cell>
          <cell r="C118">
            <v>-39022.89</v>
          </cell>
          <cell r="D118">
            <v>-59276.92</v>
          </cell>
          <cell r="E118">
            <v>-133089.37999999998</v>
          </cell>
          <cell r="F118">
            <v>-168942.74000000002</v>
          </cell>
          <cell r="G118">
            <v>-514300.89000000007</v>
          </cell>
          <cell r="H118">
            <v>-813.58</v>
          </cell>
          <cell r="I118">
            <v>-263283.11</v>
          </cell>
          <cell r="J118">
            <v>-102509.57</v>
          </cell>
          <cell r="K118">
            <v>299402.81999999995</v>
          </cell>
          <cell r="L118">
            <v>-603694.38000000012</v>
          </cell>
          <cell r="M118">
            <v>-166166.91999999998</v>
          </cell>
          <cell r="N118">
            <v>-1742258.1499999994</v>
          </cell>
        </row>
      </sheetData>
      <sheetData sheetId="34">
        <row r="1">
          <cell r="A1" t="str">
            <v>Slip Robotics Inc.</v>
          </cell>
        </row>
        <row r="2">
          <cell r="A2" t="str">
            <v>Slip Robotics, Inc.</v>
          </cell>
        </row>
        <row r="3">
          <cell r="A3" t="str">
            <v>SR Income Statement</v>
          </cell>
        </row>
        <row r="4">
          <cell r="A4" t="str">
            <v>Jun 2026</v>
          </cell>
        </row>
        <row r="5">
          <cell r="A5" t="str">
            <v/>
          </cell>
        </row>
        <row r="6">
          <cell r="A6" t="str">
            <v>Options: Show Zeros, Activity Only</v>
          </cell>
        </row>
        <row r="7">
          <cell r="A7" t="str">
            <v>Financial Row</v>
          </cell>
          <cell r="B7" t="str">
            <v>- No Department -</v>
          </cell>
          <cell r="C7" t="str">
            <v>Account Management</v>
          </cell>
          <cell r="D7" t="str">
            <v>Central Operations</v>
          </cell>
          <cell r="E7" t="str">
            <v>Field Engineering</v>
          </cell>
          <cell r="F7" t="str">
            <v>Field Operations</v>
          </cell>
          <cell r="G7" t="str">
            <v>G&amp;A</v>
          </cell>
          <cell r="H7" t="str">
            <v>HR</v>
          </cell>
          <cell r="I7" t="str">
            <v>Marketing</v>
          </cell>
          <cell r="J7" t="str">
            <v>Production Engineering</v>
          </cell>
          <cell r="K7" t="str">
            <v>Production Operations</v>
          </cell>
          <cell r="L7" t="str">
            <v>R&amp;D</v>
          </cell>
          <cell r="M7" t="str">
            <v>Sales</v>
          </cell>
          <cell r="N7" t="str">
            <v>Total</v>
          </cell>
        </row>
        <row r="8">
          <cell r="A8" t="str">
            <v> </v>
          </cell>
          <cell r="B8" t="str">
            <v>Amount</v>
          </cell>
          <cell r="C8" t="str">
            <v>Amount</v>
          </cell>
          <cell r="D8" t="str">
            <v>Amount</v>
          </cell>
          <cell r="E8" t="str">
            <v>Amount</v>
          </cell>
          <cell r="F8" t="str">
            <v>Amount</v>
          </cell>
          <cell r="G8" t="str">
            <v>Amount</v>
          </cell>
          <cell r="H8" t="str">
            <v>Amount</v>
          </cell>
          <cell r="I8" t="str">
            <v>Amount</v>
          </cell>
          <cell r="J8" t="str">
            <v>Amount</v>
          </cell>
          <cell r="K8" t="str">
            <v>Amount</v>
          </cell>
          <cell r="L8" t="str">
            <v>Amount</v>
          </cell>
          <cell r="M8" t="str">
            <v>Amount</v>
          </cell>
          <cell r="N8" t="str">
            <v>Amount</v>
          </cell>
        </row>
        <row r="9">
          <cell r="A9" t="str">
            <v>Ordinary Income/Expense</v>
          </cell>
        </row>
        <row r="10">
          <cell r="A10" t="str">
            <v>Income</v>
          </cell>
        </row>
        <row r="11">
          <cell r="A11" t="str">
            <v>4000 - Sales</v>
          </cell>
        </row>
        <row r="12">
          <cell r="A12" t="str">
            <v>4000 - Sales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4100 - Subscription/Platform Fees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473687.43</v>
          </cell>
          <cell r="L13">
            <v>0</v>
          </cell>
          <cell r="M13">
            <v>0</v>
          </cell>
          <cell r="N13">
            <v>473687.43</v>
          </cell>
        </row>
        <row r="14">
          <cell r="A14" t="str">
            <v>4500 - Implementation Fees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6055.57</v>
          </cell>
          <cell r="L14">
            <v>0</v>
          </cell>
          <cell r="M14">
            <v>0</v>
          </cell>
          <cell r="N14">
            <v>6055.57</v>
          </cell>
        </row>
        <row r="15">
          <cell r="A15" t="str">
            <v>Total - 4000 - Sales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479743</v>
          </cell>
          <cell r="L15">
            <v>0</v>
          </cell>
          <cell r="M15">
            <v>0</v>
          </cell>
          <cell r="N15">
            <v>479743</v>
          </cell>
        </row>
        <row r="16">
          <cell r="A16" t="str">
            <v>Total - Income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479743</v>
          </cell>
          <cell r="L16">
            <v>0</v>
          </cell>
          <cell r="M16">
            <v>0</v>
          </cell>
          <cell r="N16">
            <v>479743</v>
          </cell>
        </row>
        <row r="17">
          <cell r="A17" t="str">
            <v>Cost Of Sales</v>
          </cell>
        </row>
        <row r="18">
          <cell r="A18" t="str">
            <v>5000 - Robot Production and Deployment</v>
          </cell>
        </row>
        <row r="19">
          <cell r="A19" t="str">
            <v>5010 - SlipBot Depreciation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133968.64000000001</v>
          </cell>
          <cell r="L19">
            <v>0</v>
          </cell>
          <cell r="M19">
            <v>0</v>
          </cell>
          <cell r="N19">
            <v>133968.64000000001</v>
          </cell>
        </row>
        <row r="20">
          <cell r="A20" t="str">
            <v>5011 - SlipLift Depreciation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11653.04</v>
          </cell>
          <cell r="L20">
            <v>0</v>
          </cell>
          <cell r="M20">
            <v>0</v>
          </cell>
          <cell r="N20">
            <v>11653.04</v>
          </cell>
        </row>
        <row r="21">
          <cell r="A21" t="str">
            <v>5012 - SlipCarrier Depreciation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4796.43</v>
          </cell>
          <cell r="L21">
            <v>0</v>
          </cell>
          <cell r="M21">
            <v>0</v>
          </cell>
          <cell r="N21">
            <v>4796.43</v>
          </cell>
        </row>
        <row r="22">
          <cell r="A22" t="str">
            <v>5020 - Robot Peripherals Depreciation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13770.42</v>
          </cell>
          <cell r="L22">
            <v>0</v>
          </cell>
          <cell r="M22">
            <v>0</v>
          </cell>
          <cell r="N22">
            <v>13770.42</v>
          </cell>
        </row>
        <row r="23">
          <cell r="A23" t="str">
            <v>5025 - Freight and Delivery - Production (Summary)</v>
          </cell>
        </row>
        <row r="24">
          <cell r="A24" t="str">
            <v>5025 - Freight and Delivery - Production (Summary)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-544.45000000000005</v>
          </cell>
          <cell r="L24">
            <v>0</v>
          </cell>
          <cell r="M24">
            <v>0</v>
          </cell>
          <cell r="N24">
            <v>-544.45000000000005</v>
          </cell>
        </row>
        <row r="25">
          <cell r="A25" t="str">
            <v>5026 - Freight and Delivery - Production - Expedited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-86.24</v>
          </cell>
          <cell r="L25">
            <v>0</v>
          </cell>
          <cell r="M25">
            <v>0</v>
          </cell>
          <cell r="N25">
            <v>-86.24</v>
          </cell>
        </row>
        <row r="26">
          <cell r="A26" t="str">
            <v>5027 - Freight and Delivery - Production - Standard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-32.020000000000003</v>
          </cell>
          <cell r="L26">
            <v>0</v>
          </cell>
          <cell r="M26">
            <v>0</v>
          </cell>
          <cell r="N26">
            <v>-32.020000000000003</v>
          </cell>
        </row>
        <row r="27">
          <cell r="A27" t="str">
            <v>Total - 5025 - Freight and Delivery - Production (Summary)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-662.71</v>
          </cell>
          <cell r="L27">
            <v>0</v>
          </cell>
          <cell r="M27">
            <v>0</v>
          </cell>
          <cell r="N27">
            <v>-662.71</v>
          </cell>
        </row>
        <row r="28">
          <cell r="A28" t="str">
            <v>5030 - Production Tools and Supplies</v>
          </cell>
          <cell r="B28">
            <v>364.54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232.93</v>
          </cell>
          <cell r="K28">
            <v>1134.99</v>
          </cell>
          <cell r="L28">
            <v>0</v>
          </cell>
          <cell r="M28">
            <v>0</v>
          </cell>
          <cell r="N28">
            <v>1732.46</v>
          </cell>
        </row>
        <row r="29">
          <cell r="A29" t="str">
            <v>5040 - Freight &amp; Delivery - Deployment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122.59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-7.82</v>
          </cell>
          <cell r="L29">
            <v>0</v>
          </cell>
          <cell r="M29">
            <v>0</v>
          </cell>
          <cell r="N29">
            <v>114.77000000000001</v>
          </cell>
        </row>
        <row r="30">
          <cell r="A30" t="str">
            <v>5050 - Travel - Deployment</v>
          </cell>
          <cell r="B30">
            <v>0</v>
          </cell>
          <cell r="C30">
            <v>0</v>
          </cell>
          <cell r="D30">
            <v>1287.3699999999999</v>
          </cell>
          <cell r="E30">
            <v>2938.06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776.8</v>
          </cell>
          <cell r="N30">
            <v>5002.2300000000005</v>
          </cell>
        </row>
        <row r="31">
          <cell r="A31" t="str">
            <v>5060 - Meals - Deployment</v>
          </cell>
          <cell r="B31">
            <v>0</v>
          </cell>
          <cell r="C31">
            <v>0</v>
          </cell>
          <cell r="D31">
            <v>0</v>
          </cell>
          <cell r="E31">
            <v>235.83</v>
          </cell>
          <cell r="F31">
            <v>20.14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-7.08</v>
          </cell>
          <cell r="L31">
            <v>0</v>
          </cell>
          <cell r="M31">
            <v>0</v>
          </cell>
          <cell r="N31">
            <v>248.89000000000001</v>
          </cell>
        </row>
        <row r="32">
          <cell r="A32" t="str">
            <v>5100 - Labor Expense - Production</v>
          </cell>
        </row>
        <row r="33">
          <cell r="A33" t="str">
            <v>5110 - Salaries and Wages - Production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17454.2</v>
          </cell>
          <cell r="L33">
            <v>0</v>
          </cell>
          <cell r="M33">
            <v>0</v>
          </cell>
          <cell r="N33">
            <v>17454.2</v>
          </cell>
        </row>
        <row r="34">
          <cell r="A34" t="str">
            <v>5130 - Payroll Taxes - Production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634.79</v>
          </cell>
          <cell r="L34">
            <v>0</v>
          </cell>
          <cell r="M34">
            <v>0</v>
          </cell>
          <cell r="N34">
            <v>634.79</v>
          </cell>
        </row>
        <row r="35">
          <cell r="A35" t="str">
            <v>5140 - Benefits - Production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3992.14</v>
          </cell>
          <cell r="L35">
            <v>0</v>
          </cell>
          <cell r="M35">
            <v>0</v>
          </cell>
          <cell r="N35">
            <v>3992.14</v>
          </cell>
        </row>
        <row r="36">
          <cell r="A36" t="str">
            <v>Total - 5100 - Labor Expense - Production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22081.13</v>
          </cell>
          <cell r="L36">
            <v>0</v>
          </cell>
          <cell r="M36">
            <v>0</v>
          </cell>
          <cell r="N36">
            <v>22081.13</v>
          </cell>
        </row>
        <row r="37">
          <cell r="A37" t="str">
            <v>Total - 5000 - Robot Production and Deployment</v>
          </cell>
          <cell r="B37">
            <v>364.54</v>
          </cell>
          <cell r="C37">
            <v>0</v>
          </cell>
          <cell r="D37">
            <v>1287.3699999999999</v>
          </cell>
          <cell r="E37">
            <v>3173.89</v>
          </cell>
          <cell r="F37">
            <v>142.73000000000002</v>
          </cell>
          <cell r="G37">
            <v>0</v>
          </cell>
          <cell r="H37">
            <v>0</v>
          </cell>
          <cell r="I37">
            <v>0</v>
          </cell>
          <cell r="J37">
            <v>232.93</v>
          </cell>
          <cell r="K37">
            <v>186727.04000000004</v>
          </cell>
          <cell r="L37">
            <v>0</v>
          </cell>
          <cell r="M37">
            <v>776.8</v>
          </cell>
          <cell r="N37">
            <v>192705.30000000005</v>
          </cell>
        </row>
        <row r="38">
          <cell r="A38" t="str">
            <v>5015 - Supplies and Materials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-352.47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-352.47</v>
          </cell>
        </row>
        <row r="39">
          <cell r="A39" t="str">
            <v>5029 - Processing Fee - Production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-362.34</v>
          </cell>
          <cell r="L39">
            <v>0</v>
          </cell>
          <cell r="M39">
            <v>0</v>
          </cell>
          <cell r="N39">
            <v>-362.34</v>
          </cell>
        </row>
        <row r="40">
          <cell r="A40" t="str">
            <v>5070 - Scrap</v>
          </cell>
          <cell r="B40">
            <v>460.23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1662.88</v>
          </cell>
          <cell r="L40">
            <v>0</v>
          </cell>
          <cell r="M40">
            <v>0</v>
          </cell>
          <cell r="N40">
            <v>2123.11</v>
          </cell>
        </row>
        <row r="41">
          <cell r="A41" t="str">
            <v>5300 - Maintenance</v>
          </cell>
        </row>
        <row r="42">
          <cell r="A42" t="str">
            <v>5310 - Contractors - Field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10009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10009</v>
          </cell>
        </row>
        <row r="43">
          <cell r="A43" t="str">
            <v>5320 - Freight &amp; Delivery - Maintenance</v>
          </cell>
          <cell r="B43">
            <v>0</v>
          </cell>
          <cell r="C43">
            <v>0</v>
          </cell>
          <cell r="D43">
            <v>225.8</v>
          </cell>
          <cell r="E43">
            <v>0</v>
          </cell>
          <cell r="F43">
            <v>7888.65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8114.45</v>
          </cell>
        </row>
        <row r="44">
          <cell r="A44" t="str">
            <v>5330 - Maintenance Tools and Supplies</v>
          </cell>
          <cell r="B44">
            <v>0</v>
          </cell>
          <cell r="C44">
            <v>0</v>
          </cell>
          <cell r="D44">
            <v>0</v>
          </cell>
          <cell r="E44">
            <v>359.11</v>
          </cell>
          <cell r="F44">
            <v>334.92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694.03</v>
          </cell>
        </row>
        <row r="45">
          <cell r="A45" t="str">
            <v>5340 - Spare Parts</v>
          </cell>
          <cell r="B45">
            <v>-9024.39</v>
          </cell>
          <cell r="C45">
            <v>0</v>
          </cell>
          <cell r="D45">
            <v>0</v>
          </cell>
          <cell r="E45">
            <v>0</v>
          </cell>
          <cell r="F45">
            <v>19000.310000000001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20676.3</v>
          </cell>
          <cell r="L45">
            <v>0</v>
          </cell>
          <cell r="M45">
            <v>0</v>
          </cell>
          <cell r="N45">
            <v>30652.22</v>
          </cell>
        </row>
        <row r="46">
          <cell r="A46" t="str">
            <v>5350 - Warehouse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2560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2560</v>
          </cell>
        </row>
        <row r="47">
          <cell r="A47" t="str">
            <v>5360 - Travel - Maintenance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4314.54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4314.54</v>
          </cell>
        </row>
        <row r="48">
          <cell r="A48" t="str">
            <v>5500 - Labor Expense - Field Operations</v>
          </cell>
        </row>
        <row r="49">
          <cell r="A49" t="str">
            <v>5510 - :Salaries and Wages - Field Operations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64701.68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64701.68</v>
          </cell>
        </row>
        <row r="50">
          <cell r="A50" t="str">
            <v>5530 - :Payroll Taxes - Field Operations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4403.72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4403.72</v>
          </cell>
        </row>
        <row r="51">
          <cell r="A51" t="str">
            <v>5540 - :Benefits - Field Operations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16324.25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16324.25</v>
          </cell>
        </row>
        <row r="52">
          <cell r="A52" t="str">
            <v>Total - 5500 - Labor Expense - Field Operations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85429.65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85429.65</v>
          </cell>
        </row>
        <row r="53">
          <cell r="A53" t="str">
            <v>Total - 5300 - Maintenance</v>
          </cell>
          <cell r="B53">
            <v>-9024.39</v>
          </cell>
          <cell r="C53">
            <v>0</v>
          </cell>
          <cell r="D53">
            <v>225.8</v>
          </cell>
          <cell r="E53">
            <v>359.11</v>
          </cell>
          <cell r="F53">
            <v>129537.07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20676.3</v>
          </cell>
          <cell r="L53">
            <v>0</v>
          </cell>
          <cell r="M53">
            <v>0</v>
          </cell>
          <cell r="N53">
            <v>141773.88999999998</v>
          </cell>
        </row>
        <row r="54">
          <cell r="A54" t="str">
            <v>5900 - Other COGS</v>
          </cell>
        </row>
        <row r="55">
          <cell r="A55" t="str">
            <v>5920 - Software - COGS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13838.18</v>
          </cell>
          <cell r="G55">
            <v>1306.0899999999999</v>
          </cell>
          <cell r="H55">
            <v>0</v>
          </cell>
          <cell r="I55">
            <v>-384.42</v>
          </cell>
          <cell r="J55">
            <v>0</v>
          </cell>
          <cell r="K55">
            <v>119.99</v>
          </cell>
          <cell r="L55">
            <v>2010.35</v>
          </cell>
          <cell r="M55">
            <v>0</v>
          </cell>
          <cell r="N55">
            <v>16890.189999999999</v>
          </cell>
        </row>
        <row r="56">
          <cell r="A56" t="str">
            <v>5950 - Certification Expense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207</v>
          </cell>
          <cell r="M56">
            <v>0</v>
          </cell>
          <cell r="N56">
            <v>207</v>
          </cell>
        </row>
        <row r="57">
          <cell r="A57" t="str">
            <v>Total - 5900 - Other COGS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13838.18</v>
          </cell>
          <cell r="G57">
            <v>1306.0899999999999</v>
          </cell>
          <cell r="H57">
            <v>0</v>
          </cell>
          <cell r="I57">
            <v>-384.42</v>
          </cell>
          <cell r="J57">
            <v>0</v>
          </cell>
          <cell r="K57">
            <v>119.99</v>
          </cell>
          <cell r="L57">
            <v>2217.35</v>
          </cell>
          <cell r="M57">
            <v>0</v>
          </cell>
          <cell r="N57">
            <v>17097.189999999999</v>
          </cell>
        </row>
        <row r="58">
          <cell r="A58" t="str">
            <v>Total - Cost Of Sales</v>
          </cell>
          <cell r="B58">
            <v>-8199.619999999999</v>
          </cell>
          <cell r="C58">
            <v>0</v>
          </cell>
          <cell r="D58">
            <v>1513.1699999999998</v>
          </cell>
          <cell r="E58">
            <v>3533</v>
          </cell>
          <cell r="F58">
            <v>143165.51</v>
          </cell>
          <cell r="G58">
            <v>1306.0899999999999</v>
          </cell>
          <cell r="H58">
            <v>0</v>
          </cell>
          <cell r="I58">
            <v>-384.42</v>
          </cell>
          <cell r="J58">
            <v>232.93</v>
          </cell>
          <cell r="K58">
            <v>208823.87000000002</v>
          </cell>
          <cell r="L58">
            <v>2217.35</v>
          </cell>
          <cell r="M58">
            <v>776.8</v>
          </cell>
          <cell r="N58">
            <v>352984.68</v>
          </cell>
        </row>
        <row r="59">
          <cell r="A59" t="str">
            <v>Gross Profit</v>
          </cell>
          <cell r="B59">
            <v>8199.619999999999</v>
          </cell>
          <cell r="C59">
            <v>0</v>
          </cell>
          <cell r="D59">
            <v>-1513.1699999999998</v>
          </cell>
          <cell r="E59">
            <v>-3533</v>
          </cell>
          <cell r="F59">
            <v>-143165.51</v>
          </cell>
          <cell r="G59">
            <v>-1306.0899999999999</v>
          </cell>
          <cell r="H59">
            <v>0</v>
          </cell>
          <cell r="I59">
            <v>384.42</v>
          </cell>
          <cell r="J59">
            <v>-232.93</v>
          </cell>
          <cell r="K59">
            <v>270919.13</v>
          </cell>
          <cell r="L59">
            <v>-2217.35</v>
          </cell>
          <cell r="M59">
            <v>-776.8</v>
          </cell>
          <cell r="N59">
            <v>126758.32</v>
          </cell>
        </row>
        <row r="60">
          <cell r="A60" t="str">
            <v>Expense</v>
          </cell>
        </row>
        <row r="61">
          <cell r="A61" t="str">
            <v>6000 - Labor Expense - SG&amp;A</v>
          </cell>
        </row>
        <row r="62">
          <cell r="A62" t="str">
            <v>6610 - Salaries and Wages - SG&amp;A</v>
          </cell>
          <cell r="B62">
            <v>0</v>
          </cell>
          <cell r="C62">
            <v>29051.279999999999</v>
          </cell>
          <cell r="D62">
            <v>43025.7</v>
          </cell>
          <cell r="E62">
            <v>57128.18</v>
          </cell>
          <cell r="F62">
            <v>0</v>
          </cell>
          <cell r="G62">
            <v>274974.17</v>
          </cell>
          <cell r="H62">
            <v>0</v>
          </cell>
          <cell r="I62">
            <v>29038.46</v>
          </cell>
          <cell r="J62">
            <v>90396.46</v>
          </cell>
          <cell r="K62">
            <v>0</v>
          </cell>
          <cell r="L62">
            <v>640993.31000000006</v>
          </cell>
          <cell r="M62">
            <v>105000.02</v>
          </cell>
          <cell r="N62">
            <v>1269607.58</v>
          </cell>
        </row>
        <row r="63">
          <cell r="A63" t="str">
            <v>6630 - Payroll Taxes - SG&amp;A</v>
          </cell>
          <cell r="B63">
            <v>0</v>
          </cell>
          <cell r="C63">
            <v>1250.24</v>
          </cell>
          <cell r="D63">
            <v>2215.29</v>
          </cell>
          <cell r="E63">
            <v>1978.27</v>
          </cell>
          <cell r="F63">
            <v>0</v>
          </cell>
          <cell r="G63">
            <v>4877.66</v>
          </cell>
          <cell r="H63">
            <v>0</v>
          </cell>
          <cell r="I63">
            <v>1382.52</v>
          </cell>
          <cell r="J63">
            <v>3071.67</v>
          </cell>
          <cell r="K63">
            <v>0</v>
          </cell>
          <cell r="L63">
            <v>12231.31</v>
          </cell>
          <cell r="M63">
            <v>7512.62</v>
          </cell>
          <cell r="N63">
            <v>34519.58</v>
          </cell>
        </row>
        <row r="64">
          <cell r="A64" t="str">
            <v>6640 - Benefits - SG&amp;A</v>
          </cell>
          <cell r="B64">
            <v>0</v>
          </cell>
          <cell r="C64">
            <v>2857.58</v>
          </cell>
          <cell r="D64">
            <v>5883.1</v>
          </cell>
          <cell r="E64">
            <v>4325.33</v>
          </cell>
          <cell r="F64">
            <v>0</v>
          </cell>
          <cell r="G64">
            <v>6140.2</v>
          </cell>
          <cell r="H64">
            <v>0</v>
          </cell>
          <cell r="I64">
            <v>5321.84</v>
          </cell>
          <cell r="J64">
            <v>7975.89</v>
          </cell>
          <cell r="K64">
            <v>0</v>
          </cell>
          <cell r="L64">
            <v>16479.439999999999</v>
          </cell>
          <cell r="M64">
            <v>6355.4</v>
          </cell>
          <cell r="N64">
            <v>55338.78</v>
          </cell>
        </row>
        <row r="65">
          <cell r="A65" t="str">
            <v>6650 - Commissions - SG&amp;A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11948.56</v>
          </cell>
          <cell r="N65">
            <v>11948.56</v>
          </cell>
        </row>
        <row r="66">
          <cell r="A66" t="str">
            <v>6660 - Recruiting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2633.36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2633.36</v>
          </cell>
        </row>
        <row r="67">
          <cell r="A67" t="str">
            <v>6670 - Stock Compensation Expense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74408.03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74408.03</v>
          </cell>
        </row>
        <row r="68">
          <cell r="A68" t="str">
            <v>Total - 6000 - Labor Expense - SG&amp;A</v>
          </cell>
          <cell r="B68">
            <v>0</v>
          </cell>
          <cell r="C68">
            <v>33159.1</v>
          </cell>
          <cell r="D68">
            <v>51124.09</v>
          </cell>
          <cell r="E68">
            <v>63431.78</v>
          </cell>
          <cell r="F68">
            <v>0</v>
          </cell>
          <cell r="G68">
            <v>363033.41999999993</v>
          </cell>
          <cell r="H68">
            <v>0</v>
          </cell>
          <cell r="I68">
            <v>35742.82</v>
          </cell>
          <cell r="J68">
            <v>101444.02</v>
          </cell>
          <cell r="K68">
            <v>0</v>
          </cell>
          <cell r="L68">
            <v>669704.06000000006</v>
          </cell>
          <cell r="M68">
            <v>130816.59999999999</v>
          </cell>
          <cell r="N68">
            <v>1448455.8900000004</v>
          </cell>
        </row>
        <row r="69">
          <cell r="A69" t="str">
            <v>6100 - Travel</v>
          </cell>
          <cell r="B69">
            <v>0</v>
          </cell>
          <cell r="C69">
            <v>8856.2199999999993</v>
          </cell>
          <cell r="D69">
            <v>1236.79</v>
          </cell>
          <cell r="E69">
            <v>7608.77</v>
          </cell>
          <cell r="F69">
            <v>3441.65</v>
          </cell>
          <cell r="G69">
            <v>7013.07</v>
          </cell>
          <cell r="H69">
            <v>0</v>
          </cell>
          <cell r="I69">
            <v>8184.24</v>
          </cell>
          <cell r="J69">
            <v>0</v>
          </cell>
          <cell r="K69">
            <v>0</v>
          </cell>
          <cell r="L69">
            <v>13345.48</v>
          </cell>
          <cell r="M69">
            <v>24721.4</v>
          </cell>
          <cell r="N69">
            <v>74407.62</v>
          </cell>
        </row>
        <row r="70">
          <cell r="A70" t="str">
            <v>6110 - Travel Meals</v>
          </cell>
          <cell r="B70">
            <v>0</v>
          </cell>
          <cell r="C70">
            <v>371.91</v>
          </cell>
          <cell r="D70">
            <v>0</v>
          </cell>
          <cell r="E70">
            <v>475.67</v>
          </cell>
          <cell r="F70">
            <v>-147.88999999999999</v>
          </cell>
          <cell r="G70">
            <v>2416.65</v>
          </cell>
          <cell r="H70">
            <v>0</v>
          </cell>
          <cell r="I70">
            <v>401.94</v>
          </cell>
          <cell r="J70">
            <v>0</v>
          </cell>
          <cell r="K70">
            <v>0</v>
          </cell>
          <cell r="L70">
            <v>132.97</v>
          </cell>
          <cell r="M70">
            <v>2115.8200000000002</v>
          </cell>
          <cell r="N70">
            <v>5767.07</v>
          </cell>
        </row>
        <row r="71">
          <cell r="A71" t="str">
            <v>6120 - Meals and Entertainment</v>
          </cell>
          <cell r="B71">
            <v>0</v>
          </cell>
          <cell r="C71">
            <v>1222.29</v>
          </cell>
          <cell r="D71">
            <v>0</v>
          </cell>
          <cell r="E71">
            <v>0</v>
          </cell>
          <cell r="F71">
            <v>0</v>
          </cell>
          <cell r="G71">
            <v>1741.91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41.9</v>
          </cell>
          <cell r="M71">
            <v>186.57</v>
          </cell>
          <cell r="N71">
            <v>3192.67</v>
          </cell>
        </row>
        <row r="72">
          <cell r="A72" t="str">
            <v>6200 - Advertising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31000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31000</v>
          </cell>
        </row>
        <row r="73">
          <cell r="A73" t="str">
            <v>6210 - Marketing Expense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126193.5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126193.5</v>
          </cell>
        </row>
        <row r="74">
          <cell r="A74" t="str">
            <v>6220 - Trade Shows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2900</v>
          </cell>
          <cell r="G74">
            <v>895.75</v>
          </cell>
          <cell r="H74">
            <v>0</v>
          </cell>
          <cell r="I74">
            <v>186979.9</v>
          </cell>
          <cell r="J74">
            <v>0</v>
          </cell>
          <cell r="K74">
            <v>0</v>
          </cell>
          <cell r="L74">
            <v>0</v>
          </cell>
          <cell r="M74">
            <v>3426.71</v>
          </cell>
          <cell r="N74">
            <v>194202.36</v>
          </cell>
        </row>
        <row r="75">
          <cell r="A75" t="str">
            <v>6400 - Memberships and Subscriptions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779.32</v>
          </cell>
          <cell r="H75">
            <v>0</v>
          </cell>
          <cell r="I75">
            <v>711.42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1490.74</v>
          </cell>
        </row>
        <row r="76">
          <cell r="A76" t="str">
            <v>6500 - Demos</v>
          </cell>
        </row>
        <row r="77">
          <cell r="A77" t="str">
            <v>6510 - Storage Facilities - Demos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2250</v>
          </cell>
          <cell r="N77">
            <v>2250</v>
          </cell>
        </row>
        <row r="78">
          <cell r="A78" t="str">
            <v>6520 - Truck Rental - Demos</v>
          </cell>
          <cell r="B78">
            <v>0</v>
          </cell>
          <cell r="C78">
            <v>0</v>
          </cell>
          <cell r="D78">
            <v>1755.52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-107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1648.52</v>
          </cell>
        </row>
        <row r="79">
          <cell r="A79" t="str">
            <v>6530 - Other Demo Expense</v>
          </cell>
          <cell r="B79">
            <v>0</v>
          </cell>
          <cell r="C79">
            <v>0</v>
          </cell>
          <cell r="D79">
            <v>0</v>
          </cell>
          <cell r="E79">
            <v>20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20</v>
          </cell>
        </row>
        <row r="80">
          <cell r="A80" t="str">
            <v>6540 - Travel - Demos</v>
          </cell>
          <cell r="B80">
            <v>0</v>
          </cell>
          <cell r="C80">
            <v>0</v>
          </cell>
          <cell r="D80">
            <v>721.44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1184</v>
          </cell>
          <cell r="N80">
            <v>1905.44</v>
          </cell>
        </row>
        <row r="81">
          <cell r="A81" t="str">
            <v>6550 - Meals - Demos</v>
          </cell>
          <cell r="B81">
            <v>0</v>
          </cell>
          <cell r="C81">
            <v>0</v>
          </cell>
          <cell r="D81">
            <v>241.47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-0.54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240.93</v>
          </cell>
        </row>
        <row r="82">
          <cell r="A82" t="str">
            <v>Total - 6500 - Demos</v>
          </cell>
          <cell r="B82">
            <v>0</v>
          </cell>
          <cell r="C82">
            <v>0</v>
          </cell>
          <cell r="D82">
            <v>2718.43</v>
          </cell>
          <cell r="E82">
            <v>20</v>
          </cell>
          <cell r="F82">
            <v>0</v>
          </cell>
          <cell r="G82">
            <v>0</v>
          </cell>
          <cell r="H82">
            <v>0</v>
          </cell>
          <cell r="I82">
            <v>-107.54</v>
          </cell>
          <cell r="J82">
            <v>0</v>
          </cell>
          <cell r="K82">
            <v>0</v>
          </cell>
          <cell r="L82">
            <v>0</v>
          </cell>
          <cell r="M82">
            <v>3434</v>
          </cell>
          <cell r="N82">
            <v>6064.89</v>
          </cell>
        </row>
        <row r="83">
          <cell r="A83" t="str">
            <v>7000 - Professional Fees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19601.25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19601.25</v>
          </cell>
        </row>
        <row r="84">
          <cell r="A84" t="str">
            <v>7050 - Education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31320</v>
          </cell>
          <cell r="G84">
            <v>-22.28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31297.72</v>
          </cell>
        </row>
        <row r="85">
          <cell r="A85" t="str">
            <v>7100 - Legal Expense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63615.5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63615.5</v>
          </cell>
        </row>
        <row r="86">
          <cell r="A86" t="str">
            <v>7200 - Contractors</v>
          </cell>
          <cell r="B86">
            <v>0</v>
          </cell>
          <cell r="C86">
            <v>0</v>
          </cell>
          <cell r="D86">
            <v>0</v>
          </cell>
          <cell r="E86">
            <v>56672.78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56672.78</v>
          </cell>
        </row>
        <row r="87">
          <cell r="A87" t="str">
            <v>7300 - R&amp;D Expense</v>
          </cell>
          <cell r="B87">
            <v>0</v>
          </cell>
          <cell r="C87">
            <v>0</v>
          </cell>
          <cell r="D87">
            <v>144.85</v>
          </cell>
          <cell r="E87">
            <v>0</v>
          </cell>
          <cell r="F87">
            <v>0</v>
          </cell>
          <cell r="G87">
            <v>10467.67</v>
          </cell>
          <cell r="H87">
            <v>0</v>
          </cell>
          <cell r="I87">
            <v>0</v>
          </cell>
          <cell r="J87">
            <v>34.99</v>
          </cell>
          <cell r="K87">
            <v>2948.97</v>
          </cell>
          <cell r="L87">
            <v>21153.88</v>
          </cell>
          <cell r="M87">
            <v>0</v>
          </cell>
          <cell r="N87">
            <v>34750.36</v>
          </cell>
        </row>
        <row r="88">
          <cell r="A88" t="str">
            <v>7500 - Facility Expenses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1944.43</v>
          </cell>
          <cell r="H88">
            <v>0</v>
          </cell>
          <cell r="I88">
            <v>0</v>
          </cell>
          <cell r="J88">
            <v>25.44</v>
          </cell>
          <cell r="K88">
            <v>530</v>
          </cell>
          <cell r="L88">
            <v>0</v>
          </cell>
          <cell r="M88">
            <v>0</v>
          </cell>
          <cell r="N88">
            <v>2499.87</v>
          </cell>
        </row>
        <row r="89">
          <cell r="A89" t="str">
            <v>7550 - Tools and Equipment</v>
          </cell>
          <cell r="B89">
            <v>0</v>
          </cell>
          <cell r="C89">
            <v>0</v>
          </cell>
          <cell r="D89">
            <v>6.23</v>
          </cell>
          <cell r="E89">
            <v>0</v>
          </cell>
          <cell r="F89">
            <v>2962.39</v>
          </cell>
          <cell r="G89">
            <v>0</v>
          </cell>
          <cell r="H89">
            <v>0</v>
          </cell>
          <cell r="I89">
            <v>0</v>
          </cell>
          <cell r="J89">
            <v>274.27999999999997</v>
          </cell>
          <cell r="K89">
            <v>-3257.19</v>
          </cell>
          <cell r="L89">
            <v>4056.37</v>
          </cell>
          <cell r="M89">
            <v>0</v>
          </cell>
          <cell r="N89">
            <v>4042.0799999999995</v>
          </cell>
        </row>
        <row r="90">
          <cell r="A90" t="str">
            <v>7600 - Freight &amp; Delivery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5460.04</v>
          </cell>
          <cell r="G90">
            <v>179.8</v>
          </cell>
          <cell r="H90">
            <v>0</v>
          </cell>
          <cell r="I90">
            <v>0</v>
          </cell>
          <cell r="J90">
            <v>0</v>
          </cell>
          <cell r="K90">
            <v>-801</v>
          </cell>
          <cell r="L90">
            <v>0</v>
          </cell>
          <cell r="M90">
            <v>0</v>
          </cell>
          <cell r="N90">
            <v>4838.84</v>
          </cell>
        </row>
        <row r="91">
          <cell r="A91" t="str">
            <v>7700 - Inventory Obsolescence-old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A92" t="str">
            <v>8100 - Technology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19015.03</v>
          </cell>
          <cell r="H92">
            <v>0</v>
          </cell>
          <cell r="I92">
            <v>2605.31</v>
          </cell>
          <cell r="J92">
            <v>48.95</v>
          </cell>
          <cell r="K92">
            <v>448.44</v>
          </cell>
          <cell r="L92">
            <v>20134.47</v>
          </cell>
          <cell r="M92">
            <v>242.9</v>
          </cell>
          <cell r="N92">
            <v>42495.1</v>
          </cell>
        </row>
        <row r="93">
          <cell r="A93" t="str">
            <v>8200 - Building Rent or Lease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450</v>
          </cell>
          <cell r="G93">
            <v>206158.4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206608.4</v>
          </cell>
        </row>
        <row r="94">
          <cell r="A94" t="str">
            <v>8250 - Equipment/Vehicle Rentals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636</v>
          </cell>
          <cell r="H94">
            <v>0</v>
          </cell>
          <cell r="I94">
            <v>0</v>
          </cell>
          <cell r="J94">
            <v>0</v>
          </cell>
          <cell r="K94">
            <v>2730.36</v>
          </cell>
          <cell r="L94">
            <v>6344.27</v>
          </cell>
          <cell r="M94">
            <v>93.73</v>
          </cell>
          <cell r="N94">
            <v>9804.36</v>
          </cell>
        </row>
        <row r="95">
          <cell r="A95" t="str">
            <v>8300 - Office Expenses</v>
          </cell>
          <cell r="B95">
            <v>0</v>
          </cell>
          <cell r="C95">
            <v>0</v>
          </cell>
          <cell r="D95">
            <v>0</v>
          </cell>
          <cell r="E95">
            <v>10.06</v>
          </cell>
          <cell r="F95">
            <v>0</v>
          </cell>
          <cell r="G95">
            <v>23034.1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28.24</v>
          </cell>
          <cell r="M95">
            <v>35.03</v>
          </cell>
          <cell r="N95">
            <v>23107.43</v>
          </cell>
        </row>
        <row r="96">
          <cell r="A96" t="str">
            <v>8400 - Office Equipment and Small Furniture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21422.87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95.5</v>
          </cell>
          <cell r="M96">
            <v>0</v>
          </cell>
          <cell r="N96">
            <v>21518.37</v>
          </cell>
        </row>
        <row r="97">
          <cell r="A97" t="str">
            <v>8450 - Postage &amp; Shipping</v>
          </cell>
          <cell r="B97">
            <v>0</v>
          </cell>
          <cell r="C97">
            <v>0</v>
          </cell>
          <cell r="D97">
            <v>297.52</v>
          </cell>
          <cell r="E97">
            <v>0</v>
          </cell>
          <cell r="F97">
            <v>300.13</v>
          </cell>
          <cell r="G97">
            <v>23.4</v>
          </cell>
          <cell r="H97">
            <v>0</v>
          </cell>
          <cell r="I97">
            <v>0</v>
          </cell>
          <cell r="J97">
            <v>0</v>
          </cell>
          <cell r="K97">
            <v>78.84</v>
          </cell>
          <cell r="L97">
            <v>0</v>
          </cell>
          <cell r="M97">
            <v>0</v>
          </cell>
          <cell r="N97">
            <v>699.89</v>
          </cell>
        </row>
        <row r="98">
          <cell r="A98" t="str">
            <v>8500 - Commercial Insurance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11201.57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11201.57</v>
          </cell>
        </row>
        <row r="99">
          <cell r="A99" t="str">
            <v>8600 - Repairs and Maintenance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-384.7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-384.7</v>
          </cell>
        </row>
        <row r="100">
          <cell r="A100" t="str">
            <v>8700 - Utilities and Telecom Expense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10951.61</v>
          </cell>
          <cell r="H100">
            <v>0</v>
          </cell>
          <cell r="I100">
            <v>0</v>
          </cell>
          <cell r="J100">
            <v>0</v>
          </cell>
          <cell r="K100">
            <v>4469.1099999999997</v>
          </cell>
          <cell r="L100">
            <v>93.99</v>
          </cell>
          <cell r="M100">
            <v>0</v>
          </cell>
          <cell r="N100">
            <v>15514.710000000001</v>
          </cell>
        </row>
        <row r="101">
          <cell r="A101" t="str">
            <v>8800 - Bank Charges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245.48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245.48</v>
          </cell>
        </row>
        <row r="102">
          <cell r="A102" t="str">
            <v>8900 - Payroll Fees</v>
          </cell>
          <cell r="B102">
            <v>0</v>
          </cell>
          <cell r="C102">
            <v>0</v>
          </cell>
          <cell r="D102">
            <v>0</v>
          </cell>
          <cell r="E102">
            <v>6515</v>
          </cell>
          <cell r="F102">
            <v>0</v>
          </cell>
          <cell r="G102">
            <v>2268.0500000000002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8783.0499999999993</v>
          </cell>
        </row>
        <row r="103">
          <cell r="A103" t="str">
            <v>8955 - Other Taxes and Licenses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4050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2500</v>
          </cell>
          <cell r="M103">
            <v>0</v>
          </cell>
          <cell r="N103">
            <v>6550</v>
          </cell>
        </row>
        <row r="104">
          <cell r="A104" t="str">
            <v>8995 - Miscellaneous Expense</v>
          </cell>
          <cell r="B104">
            <v>0</v>
          </cell>
          <cell r="C104">
            <v>0</v>
          </cell>
          <cell r="D104">
            <v>30.03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30.03</v>
          </cell>
        </row>
        <row r="105">
          <cell r="A105" t="str">
            <v>9999 - Uncategorized Expenses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</row>
        <row r="106">
          <cell r="A106" t="str">
            <v>Total - Expense</v>
          </cell>
          <cell r="B106">
            <v>0</v>
          </cell>
          <cell r="C106">
            <v>43609.520000000004</v>
          </cell>
          <cell r="D106">
            <v>55557.939999999995</v>
          </cell>
          <cell r="E106">
            <v>134734.06</v>
          </cell>
          <cell r="F106">
            <v>46686.32</v>
          </cell>
          <cell r="G106">
            <v>770288.29999999993</v>
          </cell>
          <cell r="H106">
            <v>0</v>
          </cell>
          <cell r="I106">
            <v>391711.59</v>
          </cell>
          <cell r="J106">
            <v>101827.68000000001</v>
          </cell>
          <cell r="K106">
            <v>7147.53</v>
          </cell>
          <cell r="L106">
            <v>737631.13</v>
          </cell>
          <cell r="M106">
            <v>165072.76</v>
          </cell>
          <cell r="N106">
            <v>2454266.8299999996</v>
          </cell>
        </row>
        <row r="107">
          <cell r="A107" t="str">
            <v>Net Ordinary Income</v>
          </cell>
          <cell r="B107">
            <v>8199.619999999999</v>
          </cell>
          <cell r="C107">
            <v>-43609.520000000004</v>
          </cell>
          <cell r="D107">
            <v>-57071.109999999993</v>
          </cell>
          <cell r="E107">
            <v>-138267.06</v>
          </cell>
          <cell r="F107">
            <v>-189851.83000000002</v>
          </cell>
          <cell r="G107">
            <v>-771594.3899999999</v>
          </cell>
          <cell r="H107">
            <v>0</v>
          </cell>
          <cell r="I107">
            <v>-391327.17000000004</v>
          </cell>
          <cell r="J107">
            <v>-102060.61</v>
          </cell>
          <cell r="K107">
            <v>263771.59999999998</v>
          </cell>
          <cell r="L107">
            <v>-739848.48</v>
          </cell>
          <cell r="M107">
            <v>-165849.56</v>
          </cell>
          <cell r="N107">
            <v>-2327508.5099999998</v>
          </cell>
        </row>
        <row r="108">
          <cell r="A108" t="str">
            <v>Other Income and Expenses</v>
          </cell>
        </row>
        <row r="109">
          <cell r="A109" t="str">
            <v>Other Income</v>
          </cell>
        </row>
        <row r="110">
          <cell r="A110" t="str">
            <v>9100 - Interest Earned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49276.4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49276.4</v>
          </cell>
        </row>
        <row r="111">
          <cell r="A111" t="str">
            <v>Total - Other Income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49276.4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49276.4</v>
          </cell>
        </row>
        <row r="112">
          <cell r="A112" t="str">
            <v>Other Expense</v>
          </cell>
        </row>
        <row r="113">
          <cell r="A113" t="str">
            <v>9200 - Cash Sweep Fees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2956.44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2956.44</v>
          </cell>
        </row>
        <row r="114">
          <cell r="A114" t="str">
            <v>9300 - Interest Expense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48674.32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48674.32</v>
          </cell>
        </row>
        <row r="115">
          <cell r="A115" t="str">
            <v>9401 - Depreciation Expenses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21396.73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21396.73</v>
          </cell>
        </row>
        <row r="116">
          <cell r="A116" t="str">
            <v>9700 - Gain/Loss on Disposal of Assets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</row>
        <row r="117">
          <cell r="A117" t="str">
            <v>Total - Other Expense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73027.490000000005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73027.490000000005</v>
          </cell>
        </row>
        <row r="118">
          <cell r="A118" t="str">
            <v>Net Other Income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-23751.090000000004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-23751.090000000004</v>
          </cell>
        </row>
        <row r="119">
          <cell r="A119" t="str">
            <v>Net Income</v>
          </cell>
          <cell r="B119">
            <v>8199.619999999999</v>
          </cell>
          <cell r="C119">
            <v>-43609.520000000004</v>
          </cell>
          <cell r="D119">
            <v>-57071.109999999993</v>
          </cell>
          <cell r="E119">
            <v>-138267.06</v>
          </cell>
          <cell r="F119">
            <v>-189851.83000000002</v>
          </cell>
          <cell r="G119">
            <v>-795345.47999999986</v>
          </cell>
          <cell r="H119">
            <v>0</v>
          </cell>
          <cell r="I119">
            <v>-391327.17000000004</v>
          </cell>
          <cell r="J119">
            <v>-102060.61</v>
          </cell>
          <cell r="K119">
            <v>263771.59999999998</v>
          </cell>
          <cell r="L119">
            <v>-739848.48</v>
          </cell>
          <cell r="M119">
            <v>-165849.56</v>
          </cell>
          <cell r="N119">
            <v>-2351259.5999999996</v>
          </cell>
        </row>
      </sheetData>
      <sheetData sheetId="35">
        <row r="1">
          <cell r="A1" t="str">
            <v>Slip Robotics Inc.</v>
          </cell>
        </row>
        <row r="2">
          <cell r="A2" t="str">
            <v>Slip Robotics, Inc.</v>
          </cell>
        </row>
        <row r="3">
          <cell r="A3" t="str">
            <v>SR Income Statement</v>
          </cell>
        </row>
        <row r="4">
          <cell r="A4" t="str">
            <v>Jul 2026</v>
          </cell>
        </row>
        <row r="5">
          <cell r="A5" t="str">
            <v/>
          </cell>
        </row>
        <row r="6">
          <cell r="A6" t="str">
            <v>Options: Show Zeros, Activity Only</v>
          </cell>
        </row>
        <row r="7">
          <cell r="A7" t="str">
            <v>Financial Row</v>
          </cell>
          <cell r="B7" t="str">
            <v>- No Department -</v>
          </cell>
          <cell r="C7" t="str">
            <v>Account Management</v>
          </cell>
          <cell r="D7" t="str">
            <v>Central Operations</v>
          </cell>
          <cell r="E7" t="str">
            <v>Field Engineering</v>
          </cell>
          <cell r="F7" t="str">
            <v>Field Operations</v>
          </cell>
          <cell r="G7" t="str">
            <v>G&amp;A</v>
          </cell>
          <cell r="H7" t="str">
            <v>HR</v>
          </cell>
          <cell r="I7" t="str">
            <v>Marketing</v>
          </cell>
          <cell r="J7" t="str">
            <v>Production Engineering</v>
          </cell>
          <cell r="K7" t="str">
            <v>Production Operations</v>
          </cell>
          <cell r="L7" t="str">
            <v>R&amp;D</v>
          </cell>
          <cell r="M7" t="str">
            <v>Sales</v>
          </cell>
          <cell r="N7" t="str">
            <v>Total</v>
          </cell>
        </row>
        <row r="8">
          <cell r="A8" t="str">
            <v> </v>
          </cell>
          <cell r="B8" t="str">
            <v>Amount</v>
          </cell>
          <cell r="C8" t="str">
            <v>Amount</v>
          </cell>
          <cell r="D8" t="str">
            <v>Amount</v>
          </cell>
          <cell r="E8" t="str">
            <v>Amount</v>
          </cell>
          <cell r="F8" t="str">
            <v>Amount</v>
          </cell>
          <cell r="G8" t="str">
            <v>Amount</v>
          </cell>
          <cell r="H8" t="str">
            <v>Amount</v>
          </cell>
          <cell r="I8" t="str">
            <v>Amount</v>
          </cell>
          <cell r="J8" t="str">
            <v>Amount</v>
          </cell>
          <cell r="K8" t="str">
            <v>Amount</v>
          </cell>
          <cell r="L8" t="str">
            <v>Amount</v>
          </cell>
          <cell r="M8" t="str">
            <v>Amount</v>
          </cell>
          <cell r="N8" t="str">
            <v>Amount</v>
          </cell>
        </row>
        <row r="9">
          <cell r="A9" t="str">
            <v>Ordinary Income/Expense</v>
          </cell>
        </row>
        <row r="10">
          <cell r="A10" t="str">
            <v>Income</v>
          </cell>
        </row>
        <row r="11">
          <cell r="A11" t="str">
            <v>4000 - Sales</v>
          </cell>
        </row>
        <row r="12">
          <cell r="A12" t="str">
            <v>4100 - Subscription/Platform Fees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454042.16</v>
          </cell>
          <cell r="L12">
            <v>0</v>
          </cell>
          <cell r="M12">
            <v>0</v>
          </cell>
          <cell r="N12">
            <v>454042.16</v>
          </cell>
        </row>
        <row r="13">
          <cell r="A13" t="str">
            <v>4500 - Implementation Fees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2166.67</v>
          </cell>
          <cell r="L13">
            <v>0</v>
          </cell>
          <cell r="M13">
            <v>0</v>
          </cell>
          <cell r="N13">
            <v>2166.67</v>
          </cell>
        </row>
        <row r="14">
          <cell r="A14" t="str">
            <v>Total - 4000 - Sales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456208.82999999996</v>
          </cell>
          <cell r="L14">
            <v>0</v>
          </cell>
          <cell r="M14">
            <v>0</v>
          </cell>
          <cell r="N14">
            <v>456208.82999999996</v>
          </cell>
        </row>
        <row r="15">
          <cell r="A15" t="str">
            <v>4900 - One-Time Revenue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185000</v>
          </cell>
          <cell r="L15">
            <v>0</v>
          </cell>
          <cell r="M15">
            <v>0</v>
          </cell>
          <cell r="N15">
            <v>185000</v>
          </cell>
        </row>
        <row r="16">
          <cell r="A16" t="str">
            <v>Total - Income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641208.82999999996</v>
          </cell>
          <cell r="L16">
            <v>0</v>
          </cell>
          <cell r="M16">
            <v>0</v>
          </cell>
          <cell r="N16">
            <v>641208.82999999996</v>
          </cell>
        </row>
        <row r="17">
          <cell r="A17" t="str">
            <v>Cost Of Sales</v>
          </cell>
        </row>
        <row r="18">
          <cell r="A18" t="str">
            <v>5000 - Robot Production and Deployment</v>
          </cell>
        </row>
        <row r="19">
          <cell r="A19" t="str">
            <v>5010 - SlipBot Depreciation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127510</v>
          </cell>
          <cell r="L19">
            <v>0</v>
          </cell>
          <cell r="M19">
            <v>0</v>
          </cell>
          <cell r="N19">
            <v>127510</v>
          </cell>
        </row>
        <row r="20">
          <cell r="A20" t="str">
            <v>5011 - SlipLift Depreciation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7458.1399999999994</v>
          </cell>
          <cell r="L20">
            <v>0</v>
          </cell>
          <cell r="M20">
            <v>0</v>
          </cell>
          <cell r="N20">
            <v>7458.1399999999994</v>
          </cell>
        </row>
        <row r="21">
          <cell r="A21" t="str">
            <v>5012 - SlipCarrier Depreciation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3293.79</v>
          </cell>
          <cell r="L21">
            <v>0</v>
          </cell>
          <cell r="M21">
            <v>0</v>
          </cell>
          <cell r="N21">
            <v>3293.79</v>
          </cell>
        </row>
        <row r="22">
          <cell r="A22" t="str">
            <v>5020 - Robot Peripherals Depreciation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8508.9500000000007</v>
          </cell>
          <cell r="L22">
            <v>0</v>
          </cell>
          <cell r="M22">
            <v>0</v>
          </cell>
          <cell r="N22">
            <v>8508.9500000000007</v>
          </cell>
        </row>
        <row r="23">
          <cell r="A23" t="str">
            <v>5025 - Freight and Delivery - Production (Summary)</v>
          </cell>
        </row>
        <row r="24">
          <cell r="A24" t="str">
            <v>5027 - Freight and Delivery - Production - Standard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852.51</v>
          </cell>
          <cell r="L24">
            <v>0</v>
          </cell>
          <cell r="M24">
            <v>0</v>
          </cell>
          <cell r="N24">
            <v>852.51</v>
          </cell>
        </row>
        <row r="25">
          <cell r="A25" t="str">
            <v>Total - 5025 - Freight and Delivery - Production (Summary)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852.51</v>
          </cell>
          <cell r="L25">
            <v>0</v>
          </cell>
          <cell r="M25">
            <v>0</v>
          </cell>
          <cell r="N25">
            <v>852.51</v>
          </cell>
        </row>
        <row r="26">
          <cell r="A26" t="str">
            <v>5030 - Production Tools and Supplies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117.53</v>
          </cell>
          <cell r="G26">
            <v>0</v>
          </cell>
          <cell r="H26">
            <v>0</v>
          </cell>
          <cell r="I26">
            <v>0</v>
          </cell>
          <cell r="J26">
            <v>375.64</v>
          </cell>
          <cell r="K26">
            <v>2637.34</v>
          </cell>
          <cell r="L26">
            <v>0</v>
          </cell>
          <cell r="M26">
            <v>0</v>
          </cell>
          <cell r="N26">
            <v>3130.51</v>
          </cell>
        </row>
        <row r="27">
          <cell r="A27" t="str">
            <v>5050 - Travel - Deployment</v>
          </cell>
          <cell r="B27">
            <v>0</v>
          </cell>
          <cell r="C27">
            <v>542.1</v>
          </cell>
          <cell r="D27">
            <v>928.46</v>
          </cell>
          <cell r="E27">
            <v>3402.48</v>
          </cell>
          <cell r="F27">
            <v>911.81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531.97</v>
          </cell>
          <cell r="N27">
            <v>6316.8200000000006</v>
          </cell>
        </row>
        <row r="28">
          <cell r="A28" t="str">
            <v>5060 - Meals - Deployment</v>
          </cell>
          <cell r="B28">
            <v>0</v>
          </cell>
          <cell r="C28">
            <v>10.36</v>
          </cell>
          <cell r="D28">
            <v>165.51</v>
          </cell>
          <cell r="E28">
            <v>436.9</v>
          </cell>
          <cell r="F28">
            <v>0</v>
          </cell>
          <cell r="G28">
            <v>59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671.77</v>
          </cell>
        </row>
        <row r="29">
          <cell r="A29" t="str">
            <v>5100 - Labor Expense - Production</v>
          </cell>
        </row>
        <row r="30">
          <cell r="A30" t="str">
            <v>5110 - Salaries and Wages - Production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20023.740000000002</v>
          </cell>
          <cell r="L30">
            <v>0</v>
          </cell>
          <cell r="M30">
            <v>0</v>
          </cell>
          <cell r="N30">
            <v>20023.740000000002</v>
          </cell>
        </row>
        <row r="31">
          <cell r="A31" t="str">
            <v>5130 - Payroll Taxes - Production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768.4</v>
          </cell>
          <cell r="L31">
            <v>0</v>
          </cell>
          <cell r="M31">
            <v>0</v>
          </cell>
          <cell r="N31">
            <v>768.4</v>
          </cell>
        </row>
        <row r="32">
          <cell r="A32" t="str">
            <v>5140 - Benefits - Production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-6793.75</v>
          </cell>
          <cell r="L32">
            <v>0</v>
          </cell>
          <cell r="M32">
            <v>0</v>
          </cell>
          <cell r="N32">
            <v>-6793.75</v>
          </cell>
        </row>
        <row r="33">
          <cell r="A33" t="str">
            <v>Total - 5100 - Labor Expense - Production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13998.390000000003</v>
          </cell>
          <cell r="L33">
            <v>0</v>
          </cell>
          <cell r="M33">
            <v>0</v>
          </cell>
          <cell r="N33">
            <v>13998.390000000003</v>
          </cell>
        </row>
        <row r="34">
          <cell r="A34" t="str">
            <v>Total - 5000 - Robot Production and Deployment</v>
          </cell>
          <cell r="B34">
            <v>0</v>
          </cell>
          <cell r="C34">
            <v>552.46</v>
          </cell>
          <cell r="D34">
            <v>1093.97</v>
          </cell>
          <cell r="E34">
            <v>3839.38</v>
          </cell>
          <cell r="F34">
            <v>1029.3399999999999</v>
          </cell>
          <cell r="G34">
            <v>59</v>
          </cell>
          <cell r="H34">
            <v>0</v>
          </cell>
          <cell r="I34">
            <v>0</v>
          </cell>
          <cell r="J34">
            <v>375.64</v>
          </cell>
          <cell r="K34">
            <v>164259.12000000005</v>
          </cell>
          <cell r="L34">
            <v>0</v>
          </cell>
          <cell r="M34">
            <v>531.97</v>
          </cell>
          <cell r="N34">
            <v>171740.88000000006</v>
          </cell>
        </row>
        <row r="35">
          <cell r="A35" t="str">
            <v>5028 - Duties &amp; Tariffs - Production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10645.5</v>
          </cell>
          <cell r="L35">
            <v>0</v>
          </cell>
          <cell r="M35">
            <v>0</v>
          </cell>
          <cell r="N35">
            <v>10645.5</v>
          </cell>
        </row>
        <row r="36">
          <cell r="A36" t="str">
            <v>5070 - Scrap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818.38</v>
          </cell>
          <cell r="L36">
            <v>0</v>
          </cell>
          <cell r="M36">
            <v>0</v>
          </cell>
          <cell r="N36">
            <v>818.38</v>
          </cell>
        </row>
        <row r="37">
          <cell r="A37" t="str">
            <v>5300 - Maintenance</v>
          </cell>
        </row>
        <row r="38">
          <cell r="A38" t="str">
            <v>5310 - Contractors - Field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10968.52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10968.52</v>
          </cell>
        </row>
        <row r="39">
          <cell r="A39" t="str">
            <v>5320 - Freight &amp; Delivery - Maintenance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14179.16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14179.16</v>
          </cell>
        </row>
        <row r="40">
          <cell r="A40" t="str">
            <v>5330 - Maintenance Tools and Supplies</v>
          </cell>
          <cell r="B40">
            <v>0</v>
          </cell>
          <cell r="C40">
            <v>0</v>
          </cell>
          <cell r="D40">
            <v>0</v>
          </cell>
          <cell r="E40">
            <v>-16.62</v>
          </cell>
          <cell r="F40">
            <v>1237.1400000000001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1220.5200000000002</v>
          </cell>
        </row>
        <row r="41">
          <cell r="A41" t="str">
            <v>5340 - Spare Parts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10810.67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1239.24</v>
          </cell>
          <cell r="L41">
            <v>0</v>
          </cell>
          <cell r="M41">
            <v>0</v>
          </cell>
          <cell r="N41">
            <v>12049.91</v>
          </cell>
        </row>
        <row r="42">
          <cell r="A42" t="str">
            <v>5350 - Warehouse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1240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1240</v>
          </cell>
        </row>
        <row r="43">
          <cell r="A43" t="str">
            <v>5360 - Travel - Maintenance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2792.06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2792.06</v>
          </cell>
        </row>
        <row r="44">
          <cell r="A44" t="str">
            <v>5500 - Labor Expense - Field Operations</v>
          </cell>
        </row>
        <row r="45">
          <cell r="A45" t="str">
            <v>5510 - :Salaries and Wages - Field Operations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82139.240000000005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82139.240000000005</v>
          </cell>
        </row>
        <row r="46">
          <cell r="A46" t="str">
            <v>5530 - :Payroll Taxes - Field Operations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5573.24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5573.24</v>
          </cell>
        </row>
        <row r="47">
          <cell r="A47" t="str">
            <v>5540 - :Benefits - Field Operations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13014.13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13014.13</v>
          </cell>
        </row>
        <row r="48">
          <cell r="A48" t="str">
            <v>Total - 5500 - Labor Expense - Field Operations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100726.61000000002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100726.61000000002</v>
          </cell>
        </row>
        <row r="49">
          <cell r="A49" t="str">
            <v>Total - 5300 - Maintenance</v>
          </cell>
          <cell r="B49">
            <v>0</v>
          </cell>
          <cell r="C49">
            <v>0</v>
          </cell>
          <cell r="D49">
            <v>0</v>
          </cell>
          <cell r="E49">
            <v>-16.62</v>
          </cell>
          <cell r="F49">
            <v>141954.16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1239.24</v>
          </cell>
          <cell r="L49">
            <v>0</v>
          </cell>
          <cell r="M49">
            <v>0</v>
          </cell>
          <cell r="N49">
            <v>143176.78000000003</v>
          </cell>
        </row>
        <row r="50">
          <cell r="A50" t="str">
            <v>5900 - Other COGS</v>
          </cell>
        </row>
        <row r="51">
          <cell r="A51" t="str">
            <v>5920 - Software - COGS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17445.88</v>
          </cell>
          <cell r="G51">
            <v>492.22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17938.100000000002</v>
          </cell>
        </row>
        <row r="52">
          <cell r="A52" t="str">
            <v>5950 - Certification Expense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1861.34</v>
          </cell>
          <cell r="G52">
            <v>142</v>
          </cell>
          <cell r="H52">
            <v>0</v>
          </cell>
          <cell r="I52">
            <v>0</v>
          </cell>
          <cell r="J52">
            <v>0</v>
          </cell>
          <cell r="K52">
            <v>59.95</v>
          </cell>
          <cell r="L52">
            <v>69</v>
          </cell>
          <cell r="M52">
            <v>0</v>
          </cell>
          <cell r="N52">
            <v>2132.29</v>
          </cell>
        </row>
        <row r="53">
          <cell r="A53" t="str">
            <v>5980 - Employee Meals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16.760000000000002</v>
          </cell>
          <cell r="H53">
            <v>0</v>
          </cell>
          <cell r="I53">
            <v>0</v>
          </cell>
          <cell r="J53">
            <v>0</v>
          </cell>
          <cell r="K53">
            <v>20.7</v>
          </cell>
          <cell r="L53">
            <v>0</v>
          </cell>
          <cell r="M53">
            <v>0</v>
          </cell>
          <cell r="N53">
            <v>37.46</v>
          </cell>
        </row>
        <row r="54">
          <cell r="A54" t="str">
            <v>Total - 5900 - Other COGS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19307.22</v>
          </cell>
          <cell r="G54">
            <v>650.98</v>
          </cell>
          <cell r="H54">
            <v>0</v>
          </cell>
          <cell r="I54">
            <v>0</v>
          </cell>
          <cell r="J54">
            <v>0</v>
          </cell>
          <cell r="K54">
            <v>80.650000000000006</v>
          </cell>
          <cell r="L54">
            <v>69</v>
          </cell>
          <cell r="M54">
            <v>0</v>
          </cell>
          <cell r="N54">
            <v>20107.850000000002</v>
          </cell>
        </row>
        <row r="55">
          <cell r="A55" t="str">
            <v>5990 - Purchase Discounts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-410.41</v>
          </cell>
          <cell r="L55">
            <v>0</v>
          </cell>
          <cell r="M55">
            <v>0</v>
          </cell>
          <cell r="N55">
            <v>-410.41</v>
          </cell>
        </row>
        <row r="56">
          <cell r="A56" t="str">
            <v>Total - Cost Of Sales</v>
          </cell>
          <cell r="B56">
            <v>0</v>
          </cell>
          <cell r="C56">
            <v>552.46</v>
          </cell>
          <cell r="D56">
            <v>1093.97</v>
          </cell>
          <cell r="E56">
            <v>3822.76</v>
          </cell>
          <cell r="F56">
            <v>162290.72</v>
          </cell>
          <cell r="G56">
            <v>709.98</v>
          </cell>
          <cell r="H56">
            <v>0</v>
          </cell>
          <cell r="I56">
            <v>0</v>
          </cell>
          <cell r="J56">
            <v>375.64</v>
          </cell>
          <cell r="K56">
            <v>176632.48000000004</v>
          </cell>
          <cell r="L56">
            <v>69</v>
          </cell>
          <cell r="M56">
            <v>531.97</v>
          </cell>
          <cell r="N56">
            <v>346078.9800000001</v>
          </cell>
        </row>
        <row r="57">
          <cell r="A57" t="str">
            <v>Gross Profit</v>
          </cell>
          <cell r="B57">
            <v>0</v>
          </cell>
          <cell r="C57">
            <v>-552.46</v>
          </cell>
          <cell r="D57">
            <v>-1093.97</v>
          </cell>
          <cell r="E57">
            <v>-3822.76</v>
          </cell>
          <cell r="F57">
            <v>-162290.72</v>
          </cell>
          <cell r="G57">
            <v>-709.98</v>
          </cell>
          <cell r="H57">
            <v>0</v>
          </cell>
          <cell r="I57">
            <v>0</v>
          </cell>
          <cell r="J57">
            <v>-375.64</v>
          </cell>
          <cell r="K57">
            <v>464576.34999999992</v>
          </cell>
          <cell r="L57">
            <v>-69</v>
          </cell>
          <cell r="M57">
            <v>-531.97</v>
          </cell>
          <cell r="N57">
            <v>295129.84999999986</v>
          </cell>
        </row>
        <row r="58">
          <cell r="A58" t="str">
            <v>Expense</v>
          </cell>
        </row>
        <row r="59">
          <cell r="A59" t="str">
            <v>6000 - Labor Expense - SG&amp;A</v>
          </cell>
        </row>
        <row r="60">
          <cell r="A60" t="str">
            <v>6610 - Salaries and Wages - SG&amp;A</v>
          </cell>
          <cell r="B60">
            <v>0</v>
          </cell>
          <cell r="C60">
            <v>46500</v>
          </cell>
          <cell r="D60">
            <v>32866.879999999997</v>
          </cell>
          <cell r="E60">
            <v>57596.54</v>
          </cell>
          <cell r="F60">
            <v>0</v>
          </cell>
          <cell r="G60">
            <v>130958.37</v>
          </cell>
          <cell r="H60">
            <v>0</v>
          </cell>
          <cell r="I60">
            <v>40155.14</v>
          </cell>
          <cell r="J60">
            <v>94365.88</v>
          </cell>
          <cell r="K60">
            <v>0</v>
          </cell>
          <cell r="L60">
            <v>405310.21</v>
          </cell>
          <cell r="M60">
            <v>105000.01</v>
          </cell>
          <cell r="N60">
            <v>912753.03</v>
          </cell>
        </row>
        <row r="61">
          <cell r="A61" t="str">
            <v>6630 - Payroll Taxes - SG&amp;A</v>
          </cell>
          <cell r="B61">
            <v>0</v>
          </cell>
          <cell r="C61">
            <v>3008.89</v>
          </cell>
          <cell r="D61">
            <v>1907.84</v>
          </cell>
          <cell r="E61">
            <v>1940.51</v>
          </cell>
          <cell r="F61">
            <v>0</v>
          </cell>
          <cell r="G61">
            <v>3320.95</v>
          </cell>
          <cell r="H61">
            <v>0</v>
          </cell>
          <cell r="I61">
            <v>1824.48</v>
          </cell>
          <cell r="J61">
            <v>3332.95</v>
          </cell>
          <cell r="K61">
            <v>0</v>
          </cell>
          <cell r="L61">
            <v>12853.54</v>
          </cell>
          <cell r="M61">
            <v>11306.01</v>
          </cell>
          <cell r="N61">
            <v>39495.17</v>
          </cell>
        </row>
        <row r="62">
          <cell r="A62" t="str">
            <v>6640 - Benefits - SG&amp;A</v>
          </cell>
          <cell r="B62">
            <v>0</v>
          </cell>
          <cell r="C62">
            <v>2482.58</v>
          </cell>
          <cell r="D62">
            <v>1906.75</v>
          </cell>
          <cell r="E62">
            <v>3959.5</v>
          </cell>
          <cell r="F62">
            <v>0</v>
          </cell>
          <cell r="G62">
            <v>5416.66</v>
          </cell>
          <cell r="H62">
            <v>0</v>
          </cell>
          <cell r="I62">
            <v>5321.84</v>
          </cell>
          <cell r="J62">
            <v>7066.98</v>
          </cell>
          <cell r="K62">
            <v>0</v>
          </cell>
          <cell r="L62">
            <v>21438.15</v>
          </cell>
          <cell r="M62">
            <v>2867.25</v>
          </cell>
          <cell r="N62">
            <v>50459.710000000006</v>
          </cell>
        </row>
        <row r="63">
          <cell r="A63" t="str">
            <v>6650 - Commissions - SG&amp;A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8189.62</v>
          </cell>
          <cell r="N63">
            <v>8189.62</v>
          </cell>
        </row>
        <row r="64">
          <cell r="A64" t="str">
            <v>6660 - Recruiting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1036.79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1036.79</v>
          </cell>
        </row>
        <row r="65">
          <cell r="A65" t="str">
            <v>Total - 6000 - Labor Expense - SG&amp;A</v>
          </cell>
          <cell r="B65">
            <v>0</v>
          </cell>
          <cell r="C65">
            <v>51991.47</v>
          </cell>
          <cell r="D65">
            <v>36681.469999999994</v>
          </cell>
          <cell r="E65">
            <v>63496.55</v>
          </cell>
          <cell r="F65">
            <v>0</v>
          </cell>
          <cell r="G65">
            <v>140732.77000000002</v>
          </cell>
          <cell r="H65">
            <v>0</v>
          </cell>
          <cell r="I65">
            <v>47301.460000000006</v>
          </cell>
          <cell r="J65">
            <v>104765.81</v>
          </cell>
          <cell r="K65">
            <v>0</v>
          </cell>
          <cell r="L65">
            <v>439601.9</v>
          </cell>
          <cell r="M65">
            <v>127362.88999999998</v>
          </cell>
          <cell r="N65">
            <v>1011934.3200000001</v>
          </cell>
        </row>
        <row r="66">
          <cell r="A66" t="str">
            <v>6100 - Travel</v>
          </cell>
          <cell r="B66">
            <v>0</v>
          </cell>
          <cell r="C66">
            <v>8558.7800000000007</v>
          </cell>
          <cell r="D66">
            <v>0</v>
          </cell>
          <cell r="E66">
            <v>1346.83</v>
          </cell>
          <cell r="F66">
            <v>8082.14</v>
          </cell>
          <cell r="G66">
            <v>6156.06</v>
          </cell>
          <cell r="H66">
            <v>0</v>
          </cell>
          <cell r="I66">
            <v>4424.67</v>
          </cell>
          <cell r="J66">
            <v>0</v>
          </cell>
          <cell r="K66">
            <v>0</v>
          </cell>
          <cell r="L66">
            <v>10069.44</v>
          </cell>
          <cell r="M66">
            <v>24148.55</v>
          </cell>
          <cell r="N66">
            <v>62786.47</v>
          </cell>
        </row>
        <row r="67">
          <cell r="A67" t="str">
            <v>6110 - Travel Meals</v>
          </cell>
          <cell r="B67">
            <v>0</v>
          </cell>
          <cell r="C67">
            <v>610.17999999999995</v>
          </cell>
          <cell r="D67">
            <v>0</v>
          </cell>
          <cell r="E67">
            <v>234.79</v>
          </cell>
          <cell r="F67">
            <v>0</v>
          </cell>
          <cell r="G67">
            <v>437.4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281.37</v>
          </cell>
          <cell r="M67">
            <v>1555.76</v>
          </cell>
          <cell r="N67">
            <v>3119.5</v>
          </cell>
        </row>
        <row r="68">
          <cell r="A68" t="str">
            <v>6120 - Meals and Entertainment</v>
          </cell>
          <cell r="B68">
            <v>0</v>
          </cell>
          <cell r="C68">
            <v>246.98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749.03</v>
          </cell>
          <cell r="M68">
            <v>220.75</v>
          </cell>
          <cell r="N68">
            <v>1216.76</v>
          </cell>
        </row>
        <row r="69">
          <cell r="A69" t="str">
            <v>6200 - Advertising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68356.67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68356.67</v>
          </cell>
        </row>
        <row r="70">
          <cell r="A70" t="str">
            <v>6210 - Marketing Expense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119673.92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119673.92</v>
          </cell>
        </row>
        <row r="71">
          <cell r="A71" t="str">
            <v>6220 - Trade Shows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39753.54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39753.54</v>
          </cell>
        </row>
        <row r="72">
          <cell r="A72" t="str">
            <v>6400 - Memberships and Subscriptions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908.94</v>
          </cell>
          <cell r="H72">
            <v>0</v>
          </cell>
          <cell r="I72">
            <v>711.42</v>
          </cell>
          <cell r="J72">
            <v>0</v>
          </cell>
          <cell r="K72">
            <v>0</v>
          </cell>
          <cell r="L72">
            <v>0</v>
          </cell>
          <cell r="M72">
            <v>19.260000000000002</v>
          </cell>
          <cell r="N72">
            <v>1639.6200000000001</v>
          </cell>
        </row>
        <row r="73">
          <cell r="A73" t="str">
            <v>6500 - Demos</v>
          </cell>
        </row>
        <row r="74">
          <cell r="A74" t="str">
            <v>6510 - Storage Facilities - Demos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2250</v>
          </cell>
          <cell r="N74">
            <v>2250</v>
          </cell>
        </row>
        <row r="75">
          <cell r="A75" t="str">
            <v>6520 - Truck Rental - Demos</v>
          </cell>
          <cell r="B75">
            <v>0</v>
          </cell>
          <cell r="C75">
            <v>0</v>
          </cell>
          <cell r="D75">
            <v>728.5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728.5</v>
          </cell>
        </row>
        <row r="76">
          <cell r="A76" t="str">
            <v>6530 - Other Demo Expense</v>
          </cell>
          <cell r="B76">
            <v>0</v>
          </cell>
          <cell r="C76">
            <v>0</v>
          </cell>
          <cell r="D76">
            <v>270.05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270.05</v>
          </cell>
        </row>
        <row r="77">
          <cell r="A77" t="str">
            <v>6540 - Travel - Demos</v>
          </cell>
          <cell r="B77">
            <v>0</v>
          </cell>
          <cell r="C77">
            <v>0</v>
          </cell>
          <cell r="D77">
            <v>1816.86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173.82</v>
          </cell>
          <cell r="N77">
            <v>1990.6799999999998</v>
          </cell>
        </row>
        <row r="78">
          <cell r="A78" t="str">
            <v>6550 - Meals - Demos</v>
          </cell>
          <cell r="B78">
            <v>0</v>
          </cell>
          <cell r="C78">
            <v>0</v>
          </cell>
          <cell r="D78">
            <v>169.9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169.9</v>
          </cell>
        </row>
        <row r="79">
          <cell r="A79" t="str">
            <v>Total - 6500 - Demos</v>
          </cell>
          <cell r="B79">
            <v>0</v>
          </cell>
          <cell r="C79">
            <v>0</v>
          </cell>
          <cell r="D79">
            <v>2985.31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2423.8200000000002</v>
          </cell>
          <cell r="N79">
            <v>5409.1299999999992</v>
          </cell>
        </row>
        <row r="80">
          <cell r="A80" t="str">
            <v>7000 - Professional Fees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28207.5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20309.759999999998</v>
          </cell>
          <cell r="N80">
            <v>48517.259999999995</v>
          </cell>
        </row>
        <row r="81">
          <cell r="A81" t="str">
            <v>7050 - Education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-8375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-8375</v>
          </cell>
        </row>
        <row r="82">
          <cell r="A82" t="str">
            <v>7100 - Legal Expense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30931.5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30931.5</v>
          </cell>
        </row>
        <row r="83">
          <cell r="A83" t="str">
            <v>7200 - Contractors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8883.7099999999991</v>
          </cell>
          <cell r="G83">
            <v>0</v>
          </cell>
          <cell r="H83">
            <v>0</v>
          </cell>
          <cell r="I83">
            <v>11666.67</v>
          </cell>
          <cell r="J83">
            <v>0</v>
          </cell>
          <cell r="K83">
            <v>0</v>
          </cell>
          <cell r="L83">
            <v>35833.339999999997</v>
          </cell>
          <cell r="M83">
            <v>0</v>
          </cell>
          <cell r="N83">
            <v>56383.719999999994</v>
          </cell>
        </row>
        <row r="84">
          <cell r="A84" t="str">
            <v>7300 - R&amp;D Expense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4989.09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51097.9</v>
          </cell>
          <cell r="M84">
            <v>0</v>
          </cell>
          <cell r="N84">
            <v>56086.990000000005</v>
          </cell>
        </row>
        <row r="85">
          <cell r="A85" t="str">
            <v>7500 - Facility Expenses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5273.65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201.38</v>
          </cell>
          <cell r="N85">
            <v>5475.03</v>
          </cell>
        </row>
        <row r="86">
          <cell r="A86" t="str">
            <v>7510 - Custodial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823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823</v>
          </cell>
        </row>
        <row r="87">
          <cell r="A87" t="str">
            <v>7550 - Tools and Equipment</v>
          </cell>
          <cell r="B87">
            <v>0</v>
          </cell>
          <cell r="C87">
            <v>104.94</v>
          </cell>
          <cell r="D87">
            <v>0</v>
          </cell>
          <cell r="E87">
            <v>0</v>
          </cell>
          <cell r="F87">
            <v>3138.29</v>
          </cell>
          <cell r="G87">
            <v>0</v>
          </cell>
          <cell r="H87">
            <v>0</v>
          </cell>
          <cell r="I87">
            <v>0</v>
          </cell>
          <cell r="J87">
            <v>516.4</v>
          </cell>
          <cell r="K87">
            <v>0</v>
          </cell>
          <cell r="L87">
            <v>1302.4100000000001</v>
          </cell>
          <cell r="M87">
            <v>59.6</v>
          </cell>
          <cell r="N87">
            <v>5121.6400000000003</v>
          </cell>
        </row>
        <row r="88">
          <cell r="A88" t="str">
            <v>7600 - Freight &amp; Delivery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561.23</v>
          </cell>
          <cell r="L88">
            <v>39.979999999999997</v>
          </cell>
          <cell r="M88">
            <v>0</v>
          </cell>
          <cell r="N88">
            <v>601.21</v>
          </cell>
        </row>
        <row r="89">
          <cell r="A89" t="str">
            <v>7700 - Inventory Obsolescence-old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A90" t="str">
            <v>8100 - Technology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53277.83</v>
          </cell>
          <cell r="H90">
            <v>0</v>
          </cell>
          <cell r="I90">
            <v>3279.5</v>
          </cell>
          <cell r="J90">
            <v>125.05</v>
          </cell>
          <cell r="K90">
            <v>448.44</v>
          </cell>
          <cell r="L90">
            <v>10724.74</v>
          </cell>
          <cell r="M90">
            <v>242.9</v>
          </cell>
          <cell r="N90">
            <v>68098.460000000006</v>
          </cell>
        </row>
        <row r="91">
          <cell r="A91" t="str">
            <v>8200 - Building Rent or Lease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450</v>
          </cell>
          <cell r="G91">
            <v>128457.02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128907.02</v>
          </cell>
        </row>
        <row r="92">
          <cell r="A92" t="str">
            <v>8250 - Equipment/Vehicle Rentals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636</v>
          </cell>
          <cell r="H92">
            <v>0</v>
          </cell>
          <cell r="I92">
            <v>0</v>
          </cell>
          <cell r="J92">
            <v>0</v>
          </cell>
          <cell r="K92">
            <v>2114.5100000000002</v>
          </cell>
          <cell r="L92">
            <v>4769.34</v>
          </cell>
          <cell r="M92">
            <v>354.27</v>
          </cell>
          <cell r="N92">
            <v>7874.1200000000008</v>
          </cell>
        </row>
        <row r="93">
          <cell r="A93" t="str">
            <v>8300 - Office Expenses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28615.09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154.08000000000001</v>
          </cell>
          <cell r="M93">
            <v>0</v>
          </cell>
          <cell r="N93">
            <v>28769.170000000002</v>
          </cell>
        </row>
        <row r="94">
          <cell r="A94" t="str">
            <v>8400 - Office Equipment and Small Furniture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23595.919999999998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23595.919999999998</v>
          </cell>
        </row>
        <row r="95">
          <cell r="A95" t="str">
            <v>8500 - Commercial Insurance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6447.74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6447.74</v>
          </cell>
        </row>
        <row r="96">
          <cell r="A96" t="str">
            <v>8600 - Repairs and Maintenance</v>
          </cell>
          <cell r="B96">
            <v>0</v>
          </cell>
          <cell r="C96">
            <v>0</v>
          </cell>
          <cell r="D96">
            <v>150</v>
          </cell>
          <cell r="E96">
            <v>0</v>
          </cell>
          <cell r="F96">
            <v>0</v>
          </cell>
          <cell r="G96">
            <v>2062.61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2212.61</v>
          </cell>
        </row>
        <row r="97">
          <cell r="A97" t="str">
            <v>8700 - Utilities and Telecom Expense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14457.68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93.99</v>
          </cell>
          <cell r="M97">
            <v>0</v>
          </cell>
          <cell r="N97">
            <v>14551.67</v>
          </cell>
        </row>
        <row r="98">
          <cell r="A98" t="str">
            <v>8800 - Bank Charges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2265.52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2265.52</v>
          </cell>
        </row>
        <row r="99">
          <cell r="A99" t="str">
            <v>8810 - Processing Fee - Other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956.27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956.27</v>
          </cell>
        </row>
        <row r="100">
          <cell r="A100" t="str">
            <v>8900 - Payroll Fees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3900</v>
          </cell>
          <cell r="G100">
            <v>2485.5</v>
          </cell>
          <cell r="H100">
            <v>0</v>
          </cell>
          <cell r="I100">
            <v>650</v>
          </cell>
          <cell r="J100">
            <v>0</v>
          </cell>
          <cell r="K100">
            <v>0</v>
          </cell>
          <cell r="L100">
            <v>1950</v>
          </cell>
          <cell r="M100">
            <v>0</v>
          </cell>
          <cell r="N100">
            <v>8985.5</v>
          </cell>
        </row>
        <row r="101">
          <cell r="A101" t="str">
            <v>9999 - Uncategorized Expenses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2">
          <cell r="A102" t="str">
            <v>Total - Expense</v>
          </cell>
          <cell r="B102">
            <v>0</v>
          </cell>
          <cell r="C102">
            <v>61512.350000000006</v>
          </cell>
          <cell r="D102">
            <v>39816.779999999992</v>
          </cell>
          <cell r="E102">
            <v>65078.170000000006</v>
          </cell>
          <cell r="F102">
            <v>16079.14</v>
          </cell>
          <cell r="G102">
            <v>481717.09</v>
          </cell>
          <cell r="H102">
            <v>0</v>
          </cell>
          <cell r="I102">
            <v>295817.84999999998</v>
          </cell>
          <cell r="J102">
            <v>105407.26</v>
          </cell>
          <cell r="K102">
            <v>3124.1800000000003</v>
          </cell>
          <cell r="L102">
            <v>556667.52</v>
          </cell>
          <cell r="M102">
            <v>176898.94</v>
          </cell>
          <cell r="N102">
            <v>1802119.2799999998</v>
          </cell>
        </row>
        <row r="103">
          <cell r="A103" t="str">
            <v>Net Ordinary Income</v>
          </cell>
          <cell r="B103">
            <v>0</v>
          </cell>
          <cell r="C103">
            <v>-62064.810000000005</v>
          </cell>
          <cell r="D103">
            <v>-40910.749999999993</v>
          </cell>
          <cell r="E103">
            <v>-68900.930000000008</v>
          </cell>
          <cell r="F103">
            <v>-178369.86</v>
          </cell>
          <cell r="G103">
            <v>-482427.07</v>
          </cell>
          <cell r="H103">
            <v>0</v>
          </cell>
          <cell r="I103">
            <v>-295817.84999999998</v>
          </cell>
          <cell r="J103">
            <v>-105782.9</v>
          </cell>
          <cell r="K103">
            <v>461452.16999999993</v>
          </cell>
          <cell r="L103">
            <v>-556736.52</v>
          </cell>
          <cell r="M103">
            <v>-177430.91</v>
          </cell>
          <cell r="N103">
            <v>-1506989.43</v>
          </cell>
        </row>
        <row r="104">
          <cell r="A104" t="str">
            <v>Other Income and Expenses</v>
          </cell>
        </row>
        <row r="105">
          <cell r="A105" t="str">
            <v>Other Income</v>
          </cell>
        </row>
        <row r="106">
          <cell r="A106" t="str">
            <v>9100 - Interest Earned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150145.14000000001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150145.14000000001</v>
          </cell>
        </row>
        <row r="107">
          <cell r="A107" t="str">
            <v>Total - Other Income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150145.14000000001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150145.14000000001</v>
          </cell>
        </row>
        <row r="108">
          <cell r="A108" t="str">
            <v>Other Expense</v>
          </cell>
        </row>
        <row r="109">
          <cell r="A109" t="str">
            <v>9200 - Cash Sweep Fees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9008.56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9008.56</v>
          </cell>
        </row>
        <row r="110">
          <cell r="A110" t="str">
            <v>9300 - Interest Expense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45349.24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45349.24</v>
          </cell>
        </row>
        <row r="111">
          <cell r="A111" t="str">
            <v>9401 - Depreciation Expenses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15382.43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15382.43</v>
          </cell>
        </row>
        <row r="112">
          <cell r="A112" t="str">
            <v>9700 - Gain/Loss on Disposal of Assets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</row>
        <row r="113">
          <cell r="A113" t="str">
            <v>Total - Other Expense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69740.23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69740.23</v>
          </cell>
        </row>
        <row r="114">
          <cell r="A114" t="str">
            <v>Net Other Income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80404.910000000018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80404.910000000018</v>
          </cell>
        </row>
        <row r="115">
          <cell r="A115" t="str">
            <v>Net Income</v>
          </cell>
          <cell r="B115">
            <v>0</v>
          </cell>
          <cell r="C115">
            <v>-62064.810000000005</v>
          </cell>
          <cell r="D115">
            <v>-40910.749999999993</v>
          </cell>
          <cell r="E115">
            <v>-68900.930000000008</v>
          </cell>
          <cell r="F115">
            <v>-178369.86</v>
          </cell>
          <cell r="G115">
            <v>-402022.16</v>
          </cell>
          <cell r="H115">
            <v>0</v>
          </cell>
          <cell r="I115">
            <v>-295817.84999999998</v>
          </cell>
          <cell r="J115">
            <v>-105782.9</v>
          </cell>
          <cell r="K115">
            <v>461452.16999999993</v>
          </cell>
          <cell r="L115">
            <v>-556736.52</v>
          </cell>
          <cell r="M115">
            <v>-177430.91</v>
          </cell>
          <cell r="N115">
            <v>-1426584.52</v>
          </cell>
        </row>
      </sheetData>
      <sheetData sheetId="36">
        <row r="1">
          <cell r="A1" t="str">
            <v>Slip Robotics Inc.</v>
          </cell>
        </row>
        <row r="2">
          <cell r="A2" t="str">
            <v>Slip Robotics, Inc.</v>
          </cell>
        </row>
        <row r="3">
          <cell r="A3" t="str">
            <v>SR Income Statement</v>
          </cell>
        </row>
        <row r="4">
          <cell r="A4" t="str">
            <v>Aug 2026</v>
          </cell>
        </row>
        <row r="5">
          <cell r="A5" t="str">
            <v/>
          </cell>
        </row>
        <row r="6">
          <cell r="A6" t="str">
            <v>Options: Show Zeros, Activity Only</v>
          </cell>
        </row>
        <row r="7">
          <cell r="A7" t="str">
            <v>Financial Row</v>
          </cell>
          <cell r="B7" t="str">
            <v>- No Department -</v>
          </cell>
          <cell r="C7" t="str">
            <v>Account Management</v>
          </cell>
          <cell r="D7" t="str">
            <v>Central Operations</v>
          </cell>
          <cell r="E7" t="str">
            <v>Field Engineering</v>
          </cell>
          <cell r="F7" t="str">
            <v>Field Operations</v>
          </cell>
          <cell r="G7" t="str">
            <v>G&amp;A</v>
          </cell>
          <cell r="H7" t="str">
            <v>Marketing</v>
          </cell>
          <cell r="I7" t="str">
            <v>Production Engineering</v>
          </cell>
          <cell r="J7" t="str">
            <v>Production Operations</v>
          </cell>
          <cell r="K7" t="str">
            <v>R&amp;D</v>
          </cell>
          <cell r="L7" t="str">
            <v>Sales</v>
          </cell>
          <cell r="M7" t="str">
            <v>Total</v>
          </cell>
        </row>
        <row r="8">
          <cell r="A8" t="str">
            <v> </v>
          </cell>
          <cell r="B8" t="str">
            <v>Amount</v>
          </cell>
          <cell r="C8" t="str">
            <v>Amount</v>
          </cell>
          <cell r="D8" t="str">
            <v>Amount</v>
          </cell>
          <cell r="E8" t="str">
            <v>Amount</v>
          </cell>
          <cell r="F8" t="str">
            <v>Amount</v>
          </cell>
          <cell r="G8" t="str">
            <v>Amount</v>
          </cell>
          <cell r="H8" t="str">
            <v>Amount</v>
          </cell>
          <cell r="I8" t="str">
            <v>Amount</v>
          </cell>
          <cell r="J8" t="str">
            <v>Amount</v>
          </cell>
          <cell r="K8" t="str">
            <v>Amount</v>
          </cell>
          <cell r="L8" t="str">
            <v>Amount</v>
          </cell>
          <cell r="M8" t="str">
            <v>Amount</v>
          </cell>
        </row>
        <row r="9">
          <cell r="A9" t="str">
            <v>Ordinary Income/Expense</v>
          </cell>
        </row>
        <row r="10">
          <cell r="A10" t="str">
            <v>Income</v>
          </cell>
        </row>
        <row r="11">
          <cell r="A11" t="str">
            <v>4000 - Sales</v>
          </cell>
        </row>
        <row r="12">
          <cell r="A12" t="str">
            <v>4100 - Subscription/Platform Fees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467055.56</v>
          </cell>
          <cell r="K12">
            <v>0</v>
          </cell>
          <cell r="L12">
            <v>0</v>
          </cell>
          <cell r="M12">
            <v>467055.56</v>
          </cell>
        </row>
        <row r="13">
          <cell r="A13" t="str">
            <v>4500 - Implementation Fees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4250</v>
          </cell>
          <cell r="K13">
            <v>0</v>
          </cell>
          <cell r="L13">
            <v>0</v>
          </cell>
          <cell r="M13">
            <v>4250</v>
          </cell>
        </row>
        <row r="14">
          <cell r="A14" t="str">
            <v>Total - 4000 - Sales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471305.56</v>
          </cell>
          <cell r="K14">
            <v>0</v>
          </cell>
          <cell r="L14">
            <v>0</v>
          </cell>
          <cell r="M14">
            <v>471305.56</v>
          </cell>
        </row>
        <row r="15">
          <cell r="A15" t="str">
            <v>Total - Income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471305.56</v>
          </cell>
          <cell r="K15">
            <v>0</v>
          </cell>
          <cell r="L15">
            <v>0</v>
          </cell>
          <cell r="M15">
            <v>471305.56</v>
          </cell>
        </row>
        <row r="16">
          <cell r="A16" t="str">
            <v>Cost Of Sales</v>
          </cell>
        </row>
        <row r="17">
          <cell r="A17" t="str">
            <v>5000 - Robot Production and Deployment</v>
          </cell>
        </row>
        <row r="18">
          <cell r="A18" t="str">
            <v>5010 - SlipBot Depreciation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127510</v>
          </cell>
          <cell r="K18">
            <v>0</v>
          </cell>
          <cell r="L18">
            <v>0</v>
          </cell>
          <cell r="M18">
            <v>127510</v>
          </cell>
        </row>
        <row r="19">
          <cell r="A19" t="str">
            <v>5011 - SlipLift Depreciation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9836.06</v>
          </cell>
          <cell r="K19">
            <v>0</v>
          </cell>
          <cell r="L19">
            <v>0</v>
          </cell>
          <cell r="M19">
            <v>9836.06</v>
          </cell>
        </row>
        <row r="20">
          <cell r="A20" t="str">
            <v>5012 - SlipCarrier Depreciation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3909.48</v>
          </cell>
          <cell r="K20">
            <v>0</v>
          </cell>
          <cell r="L20">
            <v>0</v>
          </cell>
          <cell r="M20">
            <v>3909.48</v>
          </cell>
        </row>
        <row r="21">
          <cell r="A21" t="str">
            <v>5020 - Robot Peripherals Depreciation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8591.56</v>
          </cell>
          <cell r="K21">
            <v>0</v>
          </cell>
          <cell r="L21">
            <v>0</v>
          </cell>
          <cell r="M21">
            <v>8591.56</v>
          </cell>
        </row>
        <row r="22">
          <cell r="A22" t="str">
            <v>5025 - Freight and Delivery - Production (Summary)</v>
          </cell>
        </row>
        <row r="23">
          <cell r="A23" t="str">
            <v>5025 - Freight and Delivery - Production (Summary)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93.45</v>
          </cell>
          <cell r="K23">
            <v>0</v>
          </cell>
          <cell r="L23">
            <v>0</v>
          </cell>
          <cell r="M23">
            <v>93.45</v>
          </cell>
        </row>
        <row r="24">
          <cell r="A24" t="str">
            <v>5026 - Freight and Delivery - Production - Expedited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1638.89</v>
          </cell>
          <cell r="K24">
            <v>0</v>
          </cell>
          <cell r="L24">
            <v>0</v>
          </cell>
          <cell r="M24">
            <v>1638.89</v>
          </cell>
        </row>
        <row r="25">
          <cell r="A25" t="str">
            <v>5027 - Freight and Delivery - Production - Standard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250</v>
          </cell>
          <cell r="G25">
            <v>0</v>
          </cell>
          <cell r="H25">
            <v>0</v>
          </cell>
          <cell r="I25">
            <v>0</v>
          </cell>
          <cell r="J25">
            <v>2935.91</v>
          </cell>
          <cell r="K25">
            <v>0</v>
          </cell>
          <cell r="L25">
            <v>0</v>
          </cell>
          <cell r="M25">
            <v>3185.91</v>
          </cell>
        </row>
        <row r="26">
          <cell r="A26" t="str">
            <v>Total - 5025 - Freight and Delivery - Production (Summary)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250</v>
          </cell>
          <cell r="G26">
            <v>0</v>
          </cell>
          <cell r="H26">
            <v>0</v>
          </cell>
          <cell r="I26">
            <v>0</v>
          </cell>
          <cell r="J26">
            <v>4668.25</v>
          </cell>
          <cell r="K26">
            <v>0</v>
          </cell>
          <cell r="L26">
            <v>0</v>
          </cell>
          <cell r="M26">
            <v>4918.25</v>
          </cell>
        </row>
        <row r="27">
          <cell r="A27" t="str">
            <v>5030 - Production Tools and Supplies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5222.07</v>
          </cell>
          <cell r="J27">
            <v>19.97</v>
          </cell>
          <cell r="K27">
            <v>0</v>
          </cell>
          <cell r="L27">
            <v>0</v>
          </cell>
          <cell r="M27">
            <v>5242.04</v>
          </cell>
        </row>
        <row r="28">
          <cell r="A28" t="str">
            <v>5040 - Freight &amp; Delivery - Deployment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3240.99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3240.99</v>
          </cell>
        </row>
        <row r="29">
          <cell r="A29" t="str">
            <v>5050 - Travel - Deployment</v>
          </cell>
          <cell r="B29">
            <v>0</v>
          </cell>
          <cell r="C29">
            <v>218.84</v>
          </cell>
          <cell r="D29">
            <v>734.17</v>
          </cell>
          <cell r="E29">
            <v>5552.25</v>
          </cell>
          <cell r="F29">
            <v>1772.23</v>
          </cell>
          <cell r="G29">
            <v>0</v>
          </cell>
          <cell r="H29">
            <v>0</v>
          </cell>
          <cell r="I29">
            <v>0</v>
          </cell>
          <cell r="J29">
            <v>96.96</v>
          </cell>
          <cell r="K29">
            <v>1101.67</v>
          </cell>
          <cell r="L29">
            <v>0</v>
          </cell>
          <cell r="M29">
            <v>9476.119999999999</v>
          </cell>
        </row>
        <row r="30">
          <cell r="A30" t="str">
            <v>5060 - Meals - Deployment</v>
          </cell>
          <cell r="B30">
            <v>0</v>
          </cell>
          <cell r="C30">
            <v>52.83</v>
          </cell>
          <cell r="D30">
            <v>118.67</v>
          </cell>
          <cell r="E30">
            <v>721.59</v>
          </cell>
          <cell r="F30">
            <v>528.6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280.70999999999998</v>
          </cell>
          <cell r="L30">
            <v>0</v>
          </cell>
          <cell r="M30">
            <v>1702.4</v>
          </cell>
        </row>
        <row r="31">
          <cell r="A31" t="str">
            <v>5100 - Labor Expense - Production</v>
          </cell>
        </row>
        <row r="32">
          <cell r="A32" t="str">
            <v>5110 - Salaries and Wages - Production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14849.42</v>
          </cell>
          <cell r="K32">
            <v>0</v>
          </cell>
          <cell r="L32">
            <v>0</v>
          </cell>
          <cell r="M32">
            <v>14849.42</v>
          </cell>
        </row>
        <row r="33">
          <cell r="A33" t="str">
            <v>5130 - Payroll Taxes - Production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592.79</v>
          </cell>
          <cell r="K33">
            <v>0</v>
          </cell>
          <cell r="L33">
            <v>0</v>
          </cell>
          <cell r="M33">
            <v>592.79</v>
          </cell>
        </row>
        <row r="34">
          <cell r="A34" t="str">
            <v>5140 - Benefits - Production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2732.36</v>
          </cell>
          <cell r="K34">
            <v>0</v>
          </cell>
          <cell r="L34">
            <v>0</v>
          </cell>
          <cell r="M34">
            <v>2732.36</v>
          </cell>
        </row>
        <row r="35">
          <cell r="A35" t="str">
            <v>Total - 5100 - Labor Expense - Production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18174.57</v>
          </cell>
          <cell r="K35">
            <v>0</v>
          </cell>
          <cell r="L35">
            <v>0</v>
          </cell>
          <cell r="M35">
            <v>18174.57</v>
          </cell>
        </row>
        <row r="36">
          <cell r="A36" t="str">
            <v>Total - 5000 - Robot Production and Deployment</v>
          </cell>
          <cell r="B36">
            <v>0</v>
          </cell>
          <cell r="C36">
            <v>271.67</v>
          </cell>
          <cell r="D36">
            <v>852.83999999999992</v>
          </cell>
          <cell r="E36">
            <v>6273.84</v>
          </cell>
          <cell r="F36">
            <v>5791.82</v>
          </cell>
          <cell r="G36">
            <v>0</v>
          </cell>
          <cell r="H36">
            <v>0</v>
          </cell>
          <cell r="I36">
            <v>5222.07</v>
          </cell>
          <cell r="J36">
            <v>172806.85</v>
          </cell>
          <cell r="K36">
            <v>1382.38</v>
          </cell>
          <cell r="L36">
            <v>0</v>
          </cell>
          <cell r="M36">
            <v>192601.47</v>
          </cell>
        </row>
        <row r="37">
          <cell r="A37" t="str">
            <v>5028 - Duties &amp; Tariffs - Production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4693.58</v>
          </cell>
          <cell r="J37">
            <v>1721.11</v>
          </cell>
          <cell r="K37">
            <v>-1935.15</v>
          </cell>
          <cell r="L37">
            <v>0</v>
          </cell>
          <cell r="M37">
            <v>4479.5399999999991</v>
          </cell>
        </row>
        <row r="38">
          <cell r="A38" t="str">
            <v>5029 - Processing Fee - Production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4095.3</v>
          </cell>
          <cell r="K38">
            <v>0</v>
          </cell>
          <cell r="L38">
            <v>0</v>
          </cell>
          <cell r="M38">
            <v>4095.3</v>
          </cell>
        </row>
        <row r="39">
          <cell r="A39" t="str">
            <v>5070 - Scrap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111429.29</v>
          </cell>
          <cell r="K39">
            <v>0</v>
          </cell>
          <cell r="L39">
            <v>0</v>
          </cell>
          <cell r="M39">
            <v>111429.29</v>
          </cell>
        </row>
        <row r="40">
          <cell r="A40" t="str">
            <v>5300 - Maintenance</v>
          </cell>
        </row>
        <row r="41">
          <cell r="A41" t="str">
            <v>5310 - Contractors - Field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6116.47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6116.47</v>
          </cell>
        </row>
        <row r="42">
          <cell r="A42" t="str">
            <v>5320 - Freight &amp; Delivery - Maintenance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11260.12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11260.12</v>
          </cell>
        </row>
        <row r="43">
          <cell r="A43" t="str">
            <v>5330 - Maintenance Tools and Supplies</v>
          </cell>
          <cell r="B43">
            <v>0</v>
          </cell>
          <cell r="C43">
            <v>0</v>
          </cell>
          <cell r="D43">
            <v>44.48</v>
          </cell>
          <cell r="E43">
            <v>169.57</v>
          </cell>
          <cell r="F43">
            <v>9400.74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129.02000000000001</v>
          </cell>
          <cell r="L43">
            <v>0</v>
          </cell>
          <cell r="M43">
            <v>9743.81</v>
          </cell>
        </row>
        <row r="44">
          <cell r="A44" t="str">
            <v>5340 - Spare Parts</v>
          </cell>
          <cell r="B44">
            <v>30073.53</v>
          </cell>
          <cell r="C44">
            <v>0</v>
          </cell>
          <cell r="D44">
            <v>0</v>
          </cell>
          <cell r="E44">
            <v>73.45</v>
          </cell>
          <cell r="F44">
            <v>-8095.66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441.82</v>
          </cell>
          <cell r="L44">
            <v>0</v>
          </cell>
          <cell r="M44">
            <v>22493.14</v>
          </cell>
        </row>
        <row r="45">
          <cell r="A45" t="str">
            <v>5350 - Warehouse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1060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1060</v>
          </cell>
        </row>
        <row r="46">
          <cell r="A46" t="str">
            <v>5360 - Travel - Maintenance</v>
          </cell>
          <cell r="B46">
            <v>0</v>
          </cell>
          <cell r="C46">
            <v>0</v>
          </cell>
          <cell r="D46">
            <v>0</v>
          </cell>
          <cell r="E46">
            <v>471.85</v>
          </cell>
          <cell r="F46">
            <v>8642.3799999999992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9114.23</v>
          </cell>
        </row>
        <row r="47">
          <cell r="A47" t="str">
            <v>5370 - Meals - Maintenance</v>
          </cell>
          <cell r="B47">
            <v>0</v>
          </cell>
          <cell r="C47">
            <v>0</v>
          </cell>
          <cell r="D47">
            <v>175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175</v>
          </cell>
        </row>
        <row r="48">
          <cell r="A48" t="str">
            <v>5500 - Labor Expense - Field Operations</v>
          </cell>
        </row>
        <row r="49">
          <cell r="A49" t="str">
            <v>5510 - :Salaries and Wages - Field Operations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79454.55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79454.55</v>
          </cell>
        </row>
        <row r="50">
          <cell r="A50" t="str">
            <v>5530 - :Payroll Taxes - Field Operations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5853.77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5853.77</v>
          </cell>
        </row>
        <row r="51">
          <cell r="A51" t="str">
            <v>5540 - :Benefits - Field Operations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17324.259999999998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17324.259999999998</v>
          </cell>
        </row>
        <row r="52">
          <cell r="A52" t="str">
            <v>Total - 5500 - Labor Expense - Field Operations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102632.58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102632.58</v>
          </cell>
        </row>
        <row r="53">
          <cell r="A53" t="str">
            <v>Total - 5300 - Maintenance</v>
          </cell>
          <cell r="B53">
            <v>30073.53</v>
          </cell>
          <cell r="C53">
            <v>0</v>
          </cell>
          <cell r="D53">
            <v>219.48</v>
          </cell>
          <cell r="E53">
            <v>714.87</v>
          </cell>
          <cell r="F53">
            <v>131016.63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570.84</v>
          </cell>
          <cell r="L53">
            <v>0</v>
          </cell>
          <cell r="M53">
            <v>162595.35</v>
          </cell>
        </row>
        <row r="54">
          <cell r="A54" t="str">
            <v>5900 - Other COGS</v>
          </cell>
        </row>
        <row r="55">
          <cell r="A55" t="str">
            <v>5920 - Software - COGS</v>
          </cell>
          <cell r="B55">
            <v>0</v>
          </cell>
          <cell r="C55">
            <v>0</v>
          </cell>
          <cell r="D55">
            <v>0</v>
          </cell>
          <cell r="E55">
            <v>93.99</v>
          </cell>
          <cell r="F55">
            <v>13679.97</v>
          </cell>
          <cell r="G55">
            <v>169.99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13943.949999999999</v>
          </cell>
        </row>
        <row r="56">
          <cell r="A56" t="str">
            <v>5950 - Certification Expense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69</v>
          </cell>
          <cell r="L56">
            <v>0</v>
          </cell>
          <cell r="M56">
            <v>69</v>
          </cell>
        </row>
        <row r="57">
          <cell r="A57" t="str">
            <v>5980 - Employee Meals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321.5</v>
          </cell>
          <cell r="J57">
            <v>0</v>
          </cell>
          <cell r="K57">
            <v>0</v>
          </cell>
          <cell r="L57">
            <v>0</v>
          </cell>
          <cell r="M57">
            <v>321.5</v>
          </cell>
        </row>
        <row r="58">
          <cell r="A58" t="str">
            <v>Total - 5900 - Other COGS</v>
          </cell>
          <cell r="B58">
            <v>0</v>
          </cell>
          <cell r="C58">
            <v>0</v>
          </cell>
          <cell r="D58">
            <v>0</v>
          </cell>
          <cell r="E58">
            <v>93.99</v>
          </cell>
          <cell r="F58">
            <v>13679.97</v>
          </cell>
          <cell r="G58">
            <v>169.99</v>
          </cell>
          <cell r="H58">
            <v>0</v>
          </cell>
          <cell r="I58">
            <v>321.5</v>
          </cell>
          <cell r="J58">
            <v>0</v>
          </cell>
          <cell r="K58">
            <v>69</v>
          </cell>
          <cell r="L58">
            <v>0</v>
          </cell>
          <cell r="M58">
            <v>14334.449999999999</v>
          </cell>
        </row>
        <row r="59">
          <cell r="A59" t="str">
            <v>Total - Cost Of Sales</v>
          </cell>
          <cell r="B59">
            <v>30073.53</v>
          </cell>
          <cell r="C59">
            <v>271.67</v>
          </cell>
          <cell r="D59">
            <v>1072.32</v>
          </cell>
          <cell r="E59">
            <v>7082.7</v>
          </cell>
          <cell r="F59">
            <v>150488.42000000001</v>
          </cell>
          <cell r="G59">
            <v>169.99</v>
          </cell>
          <cell r="H59">
            <v>0</v>
          </cell>
          <cell r="I59">
            <v>10237.15</v>
          </cell>
          <cell r="J59">
            <v>290052.55</v>
          </cell>
          <cell r="K59">
            <v>87.07000000000005</v>
          </cell>
          <cell r="L59">
            <v>0</v>
          </cell>
          <cell r="M59">
            <v>489535.39999999997</v>
          </cell>
        </row>
        <row r="60">
          <cell r="A60" t="str">
            <v>Gross Profit</v>
          </cell>
          <cell r="B60">
            <v>-30073.53</v>
          </cell>
          <cell r="C60">
            <v>-271.67</v>
          </cell>
          <cell r="D60">
            <v>-1072.32</v>
          </cell>
          <cell r="E60">
            <v>-7082.7</v>
          </cell>
          <cell r="F60">
            <v>-150488.42000000001</v>
          </cell>
          <cell r="G60">
            <v>-169.99</v>
          </cell>
          <cell r="H60">
            <v>0</v>
          </cell>
          <cell r="I60">
            <v>-10237.15</v>
          </cell>
          <cell r="J60">
            <v>181253.01</v>
          </cell>
          <cell r="K60">
            <v>-87.07000000000005</v>
          </cell>
          <cell r="L60">
            <v>0</v>
          </cell>
          <cell r="M60">
            <v>-18229.839999999967</v>
          </cell>
        </row>
        <row r="61">
          <cell r="A61" t="str">
            <v>Expense</v>
          </cell>
        </row>
        <row r="62">
          <cell r="A62" t="str">
            <v>6000 - Labor Expense - SG&amp;A</v>
          </cell>
        </row>
        <row r="63">
          <cell r="A63" t="str">
            <v>6610 - Salaries and Wages - SG&amp;A</v>
          </cell>
          <cell r="B63">
            <v>0</v>
          </cell>
          <cell r="C63">
            <v>46134.080000000002</v>
          </cell>
          <cell r="D63">
            <v>31543.74</v>
          </cell>
          <cell r="E63">
            <v>62503.19</v>
          </cell>
          <cell r="F63">
            <v>0</v>
          </cell>
          <cell r="G63">
            <v>156599.35999999999</v>
          </cell>
          <cell r="H63">
            <v>35421.980000000003</v>
          </cell>
          <cell r="I63">
            <v>103467.64</v>
          </cell>
          <cell r="J63">
            <v>0</v>
          </cell>
          <cell r="K63">
            <v>406274.4</v>
          </cell>
          <cell r="L63">
            <v>132298.72</v>
          </cell>
          <cell r="M63">
            <v>974243.11</v>
          </cell>
        </row>
        <row r="64">
          <cell r="A64" t="str">
            <v>6630 - Payroll Taxes - SG&amp;A</v>
          </cell>
          <cell r="B64">
            <v>0</v>
          </cell>
          <cell r="C64">
            <v>3012.71</v>
          </cell>
          <cell r="D64">
            <v>1885.04</v>
          </cell>
          <cell r="E64">
            <v>3746.33</v>
          </cell>
          <cell r="F64">
            <v>0</v>
          </cell>
          <cell r="G64">
            <v>5136.41</v>
          </cell>
          <cell r="H64">
            <v>2047.48</v>
          </cell>
          <cell r="I64">
            <v>4964.72</v>
          </cell>
          <cell r="J64">
            <v>0</v>
          </cell>
          <cell r="K64">
            <v>-15420.25</v>
          </cell>
          <cell r="L64">
            <v>10762.06</v>
          </cell>
          <cell r="M64">
            <v>16134.499999999998</v>
          </cell>
        </row>
        <row r="65">
          <cell r="A65" t="str">
            <v>6640 - Benefits - SG&amp;A</v>
          </cell>
          <cell r="B65">
            <v>0</v>
          </cell>
          <cell r="C65">
            <v>6385.83</v>
          </cell>
          <cell r="D65">
            <v>5215.08</v>
          </cell>
          <cell r="E65">
            <v>3814.97</v>
          </cell>
          <cell r="F65">
            <v>0</v>
          </cell>
          <cell r="G65">
            <v>7412.59</v>
          </cell>
          <cell r="H65">
            <v>5614.11</v>
          </cell>
          <cell r="I65">
            <v>11912.99</v>
          </cell>
          <cell r="J65">
            <v>0</v>
          </cell>
          <cell r="K65">
            <v>20036.02</v>
          </cell>
          <cell r="L65">
            <v>8328.73</v>
          </cell>
          <cell r="M65">
            <v>68720.319999999992</v>
          </cell>
        </row>
        <row r="66">
          <cell r="A66" t="str">
            <v>6650 - Commissions - SG&amp;A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7583.4</v>
          </cell>
          <cell r="M66">
            <v>7583.4</v>
          </cell>
        </row>
        <row r="67">
          <cell r="A67" t="str">
            <v>6660 - Recruiting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2773.27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2773.27</v>
          </cell>
        </row>
        <row r="68">
          <cell r="A68" t="str">
            <v>Total - 6000 - Labor Expense - SG&amp;A</v>
          </cell>
          <cell r="B68">
            <v>0</v>
          </cell>
          <cell r="C68">
            <v>55532.62</v>
          </cell>
          <cell r="D68">
            <v>38643.86</v>
          </cell>
          <cell r="E68">
            <v>70064.490000000005</v>
          </cell>
          <cell r="F68">
            <v>0</v>
          </cell>
          <cell r="G68">
            <v>171921.62999999998</v>
          </cell>
          <cell r="H68">
            <v>43083.570000000007</v>
          </cell>
          <cell r="I68">
            <v>120345.35</v>
          </cell>
          <cell r="J68">
            <v>0</v>
          </cell>
          <cell r="K68">
            <v>410890.17000000004</v>
          </cell>
          <cell r="L68">
            <v>158972.91</v>
          </cell>
          <cell r="M68">
            <v>1069454.5999999999</v>
          </cell>
        </row>
        <row r="69">
          <cell r="A69" t="str">
            <v>6100 - Travel</v>
          </cell>
          <cell r="B69">
            <v>0</v>
          </cell>
          <cell r="C69">
            <v>7877.49</v>
          </cell>
          <cell r="D69">
            <v>630.22</v>
          </cell>
          <cell r="E69">
            <v>2646.86</v>
          </cell>
          <cell r="F69">
            <v>666.92</v>
          </cell>
          <cell r="G69">
            <v>5013.1400000000003</v>
          </cell>
          <cell r="H69">
            <v>1553.46</v>
          </cell>
          <cell r="I69">
            <v>0</v>
          </cell>
          <cell r="J69">
            <v>0</v>
          </cell>
          <cell r="K69">
            <v>9080.4599999999991</v>
          </cell>
          <cell r="L69">
            <v>20216.93</v>
          </cell>
          <cell r="M69">
            <v>47685.479999999996</v>
          </cell>
        </row>
        <row r="70">
          <cell r="A70" t="str">
            <v>6110 - Travel Meals</v>
          </cell>
          <cell r="B70">
            <v>0</v>
          </cell>
          <cell r="C70">
            <v>543.16999999999996</v>
          </cell>
          <cell r="D70">
            <v>78.42</v>
          </cell>
          <cell r="E70">
            <v>0</v>
          </cell>
          <cell r="F70">
            <v>0</v>
          </cell>
          <cell r="G70">
            <v>1470.21</v>
          </cell>
          <cell r="H70">
            <v>73.709999999999994</v>
          </cell>
          <cell r="I70">
            <v>232.33</v>
          </cell>
          <cell r="J70">
            <v>0</v>
          </cell>
          <cell r="K70">
            <v>161.30000000000001</v>
          </cell>
          <cell r="L70">
            <v>1674.32</v>
          </cell>
          <cell r="M70">
            <v>4233.46</v>
          </cell>
        </row>
        <row r="71">
          <cell r="A71" t="str">
            <v>6120 - Meals and Entertainment</v>
          </cell>
          <cell r="B71">
            <v>0</v>
          </cell>
          <cell r="C71">
            <v>224.5</v>
          </cell>
          <cell r="D71">
            <v>0</v>
          </cell>
          <cell r="E71">
            <v>0</v>
          </cell>
          <cell r="F71">
            <v>0</v>
          </cell>
          <cell r="G71">
            <v>10670.47</v>
          </cell>
          <cell r="H71">
            <v>0</v>
          </cell>
          <cell r="I71">
            <v>119.7</v>
          </cell>
          <cell r="J71">
            <v>0</v>
          </cell>
          <cell r="K71">
            <v>104.93</v>
          </cell>
          <cell r="L71">
            <v>3388.6</v>
          </cell>
          <cell r="M71">
            <v>14508.2</v>
          </cell>
        </row>
        <row r="72">
          <cell r="A72" t="str">
            <v>6200 - Advertising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53547.380000000005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53547.380000000005</v>
          </cell>
        </row>
        <row r="73">
          <cell r="A73" t="str">
            <v>6210 - Marketing Expense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2428.96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2428.96</v>
          </cell>
        </row>
        <row r="74">
          <cell r="A74" t="str">
            <v>6220 - Trade Shows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55292.45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55292.45</v>
          </cell>
        </row>
        <row r="75">
          <cell r="A75" t="str">
            <v>6400 - Memberships and Subscriptions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793.82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793.82</v>
          </cell>
        </row>
        <row r="76">
          <cell r="A76" t="str">
            <v>6500 - Demos</v>
          </cell>
        </row>
        <row r="77">
          <cell r="A77" t="str">
            <v>6510 - Storage Facilities - Demos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269.38</v>
          </cell>
          <cell r="M77">
            <v>269.38</v>
          </cell>
        </row>
        <row r="78">
          <cell r="A78" t="str">
            <v>Total - 6500 - Demos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269.38</v>
          </cell>
          <cell r="M78">
            <v>269.38</v>
          </cell>
        </row>
        <row r="79">
          <cell r="A79" t="str">
            <v>7000 - Professional Fees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32176.63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32176.63</v>
          </cell>
        </row>
        <row r="80">
          <cell r="A80" t="str">
            <v>7050 - Education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-8375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-8375</v>
          </cell>
        </row>
        <row r="81">
          <cell r="A81" t="str">
            <v>7100 - Legal Expense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20079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20079</v>
          </cell>
        </row>
        <row r="82">
          <cell r="A82" t="str">
            <v>7200 - Contractors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14805.67</v>
          </cell>
          <cell r="G82">
            <v>0</v>
          </cell>
          <cell r="H82">
            <v>11666.67</v>
          </cell>
          <cell r="I82">
            <v>0</v>
          </cell>
          <cell r="J82">
            <v>0</v>
          </cell>
          <cell r="K82">
            <v>38052.230000000003</v>
          </cell>
          <cell r="L82">
            <v>0</v>
          </cell>
          <cell r="M82">
            <v>64524.570000000007</v>
          </cell>
        </row>
        <row r="83">
          <cell r="A83" t="str">
            <v>7300 - R&amp;D Expense</v>
          </cell>
          <cell r="B83">
            <v>0</v>
          </cell>
          <cell r="C83">
            <v>0</v>
          </cell>
          <cell r="D83">
            <v>14.99</v>
          </cell>
          <cell r="E83">
            <v>0</v>
          </cell>
          <cell r="F83">
            <v>0</v>
          </cell>
          <cell r="G83">
            <v>2052.79</v>
          </cell>
          <cell r="H83">
            <v>0</v>
          </cell>
          <cell r="I83">
            <v>0</v>
          </cell>
          <cell r="J83">
            <v>796.11</v>
          </cell>
          <cell r="K83">
            <v>39045.11</v>
          </cell>
          <cell r="L83">
            <v>0</v>
          </cell>
          <cell r="M83">
            <v>41909</v>
          </cell>
        </row>
        <row r="84">
          <cell r="A84" t="str">
            <v>7500 - Facility Expenses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19.07</v>
          </cell>
          <cell r="J84">
            <v>0</v>
          </cell>
          <cell r="K84">
            <v>0</v>
          </cell>
          <cell r="L84">
            <v>0</v>
          </cell>
          <cell r="M84">
            <v>19.07</v>
          </cell>
        </row>
        <row r="85">
          <cell r="A85" t="str">
            <v>7510 - Custodial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2840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2840</v>
          </cell>
        </row>
        <row r="86">
          <cell r="A86" t="str">
            <v>7550 - Tools and Equipment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2047.26</v>
          </cell>
          <cell r="G86">
            <v>0</v>
          </cell>
          <cell r="H86">
            <v>0</v>
          </cell>
          <cell r="I86">
            <v>467.43</v>
          </cell>
          <cell r="J86">
            <v>0</v>
          </cell>
          <cell r="K86">
            <v>5837.24</v>
          </cell>
          <cell r="L86">
            <v>0</v>
          </cell>
          <cell r="M86">
            <v>8351.93</v>
          </cell>
        </row>
        <row r="87">
          <cell r="A87" t="str">
            <v>7600 - Freight &amp; Delivery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273.43</v>
          </cell>
          <cell r="K87">
            <v>0</v>
          </cell>
          <cell r="L87">
            <v>0</v>
          </cell>
          <cell r="M87">
            <v>273.43</v>
          </cell>
        </row>
        <row r="88">
          <cell r="A88" t="str">
            <v>7700 - Inventory Obsolescence-old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</row>
        <row r="89">
          <cell r="A89" t="str">
            <v>8100 - Technology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28381.87</v>
          </cell>
          <cell r="H89">
            <v>3233.5</v>
          </cell>
          <cell r="I89">
            <v>64.2</v>
          </cell>
          <cell r="J89">
            <v>448.44</v>
          </cell>
          <cell r="K89">
            <v>37947.79</v>
          </cell>
          <cell r="L89">
            <v>45.11</v>
          </cell>
          <cell r="M89">
            <v>70120.91</v>
          </cell>
        </row>
        <row r="90">
          <cell r="A90" t="str">
            <v>8200 - Building Rent or Lease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450</v>
          </cell>
          <cell r="G90">
            <v>132973.96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133423.96</v>
          </cell>
        </row>
        <row r="91">
          <cell r="A91" t="str">
            <v>8250 - Equipment/Vehicle Rentals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744.93</v>
          </cell>
          <cell r="L91">
            <v>96.61</v>
          </cell>
          <cell r="M91">
            <v>841.54</v>
          </cell>
        </row>
        <row r="92">
          <cell r="A92" t="str">
            <v>8300 - Office Expenses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203.28</v>
          </cell>
          <cell r="G92">
            <v>19250.75</v>
          </cell>
          <cell r="H92">
            <v>0</v>
          </cell>
          <cell r="I92">
            <v>34.99</v>
          </cell>
          <cell r="J92">
            <v>0</v>
          </cell>
          <cell r="K92">
            <v>0</v>
          </cell>
          <cell r="L92">
            <v>2106.81</v>
          </cell>
          <cell r="M92">
            <v>21595.83</v>
          </cell>
        </row>
        <row r="93">
          <cell r="A93" t="str">
            <v>8400 - Office Equipment and Small Furniture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5921.64</v>
          </cell>
          <cell r="H93">
            <v>0</v>
          </cell>
          <cell r="I93">
            <v>0</v>
          </cell>
          <cell r="J93">
            <v>0</v>
          </cell>
          <cell r="K93">
            <v>9664.66</v>
          </cell>
          <cell r="L93">
            <v>0</v>
          </cell>
          <cell r="M93">
            <v>15586.3</v>
          </cell>
        </row>
        <row r="94">
          <cell r="A94" t="str">
            <v>8450 - Postage &amp; Shipping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28.8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28.8</v>
          </cell>
        </row>
        <row r="95">
          <cell r="A95" t="str">
            <v>8500 - Commercial Insurance</v>
          </cell>
          <cell r="B95">
            <v>2904.87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358.5</v>
          </cell>
          <cell r="H95">
            <v>0</v>
          </cell>
          <cell r="I95">
            <v>0</v>
          </cell>
          <cell r="J95">
            <v>0</v>
          </cell>
          <cell r="K95">
            <v>3100</v>
          </cell>
          <cell r="L95">
            <v>0</v>
          </cell>
          <cell r="M95">
            <v>6363.37</v>
          </cell>
        </row>
        <row r="96">
          <cell r="A96" t="str">
            <v>8600 - Repairs and Maintenance</v>
          </cell>
          <cell r="B96">
            <v>0</v>
          </cell>
          <cell r="C96">
            <v>0</v>
          </cell>
          <cell r="D96">
            <v>2590.92</v>
          </cell>
          <cell r="E96">
            <v>0</v>
          </cell>
          <cell r="F96">
            <v>0</v>
          </cell>
          <cell r="G96">
            <v>2120.63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4711.55</v>
          </cell>
        </row>
        <row r="97">
          <cell r="A97" t="str">
            <v>8700 - Utilities and Telecom Expense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19101.330000000002</v>
          </cell>
          <cell r="H97">
            <v>0</v>
          </cell>
          <cell r="I97">
            <v>0</v>
          </cell>
          <cell r="J97">
            <v>7531.48</v>
          </cell>
          <cell r="K97">
            <v>0</v>
          </cell>
          <cell r="L97">
            <v>0</v>
          </cell>
          <cell r="M97">
            <v>26632.81</v>
          </cell>
        </row>
        <row r="98">
          <cell r="A98" t="str">
            <v>8800 - Bank Charges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247.28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247.28</v>
          </cell>
        </row>
        <row r="99">
          <cell r="A99" t="str">
            <v>8810 - Processing Fee - Other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192.4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192.4</v>
          </cell>
        </row>
        <row r="100">
          <cell r="A100" t="str">
            <v>8900 - Payroll Fees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3900</v>
          </cell>
          <cell r="G100">
            <v>2803.03</v>
          </cell>
          <cell r="H100">
            <v>650</v>
          </cell>
          <cell r="I100">
            <v>0</v>
          </cell>
          <cell r="J100">
            <v>0</v>
          </cell>
          <cell r="K100">
            <v>1950</v>
          </cell>
          <cell r="L100">
            <v>0</v>
          </cell>
          <cell r="M100">
            <v>9303.0300000000007</v>
          </cell>
        </row>
        <row r="101">
          <cell r="A101" t="str">
            <v>8955 - Other Taxes and Licenses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6128.21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6128.21</v>
          </cell>
        </row>
        <row r="102">
          <cell r="A102" t="str">
            <v>8960 - Bad Debts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142410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142410</v>
          </cell>
        </row>
        <row r="103">
          <cell r="A103" t="str">
            <v>8995 - Miscellaneous Expense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0.35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0.35</v>
          </cell>
        </row>
        <row r="104">
          <cell r="A104" t="str">
            <v>9999 - Uncategorized Expenses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 t="str">
            <v>Total - Expense</v>
          </cell>
          <cell r="B105">
            <v>2904.87</v>
          </cell>
          <cell r="C105">
            <v>64177.78</v>
          </cell>
          <cell r="D105">
            <v>41958.409999999996</v>
          </cell>
          <cell r="E105">
            <v>72711.350000000006</v>
          </cell>
          <cell r="F105">
            <v>13698.130000000001</v>
          </cell>
          <cell r="G105">
            <v>606142.62</v>
          </cell>
          <cell r="H105">
            <v>172323.52000000005</v>
          </cell>
          <cell r="I105">
            <v>121283.07</v>
          </cell>
          <cell r="J105">
            <v>9049.4599999999991</v>
          </cell>
          <cell r="K105">
            <v>556578.82000000007</v>
          </cell>
          <cell r="L105">
            <v>186770.66999999998</v>
          </cell>
          <cell r="M105">
            <v>1847598.6999999997</v>
          </cell>
        </row>
        <row r="106">
          <cell r="A106" t="str">
            <v>Net Ordinary Income</v>
          </cell>
          <cell r="B106">
            <v>-32978.400000000001</v>
          </cell>
          <cell r="C106">
            <v>-64449.45</v>
          </cell>
          <cell r="D106">
            <v>-43030.729999999996</v>
          </cell>
          <cell r="E106">
            <v>-79794.05</v>
          </cell>
          <cell r="F106">
            <v>-164186.55000000002</v>
          </cell>
          <cell r="G106">
            <v>-606312.61</v>
          </cell>
          <cell r="H106">
            <v>-172323.52000000005</v>
          </cell>
          <cell r="I106">
            <v>-131520.22</v>
          </cell>
          <cell r="J106">
            <v>172203.55000000002</v>
          </cell>
          <cell r="K106">
            <v>-556665.89</v>
          </cell>
          <cell r="L106">
            <v>-186770.66999999998</v>
          </cell>
          <cell r="M106">
            <v>-1865828.5399999996</v>
          </cell>
        </row>
        <row r="107">
          <cell r="A107" t="str">
            <v>Other Income and Expenses</v>
          </cell>
        </row>
        <row r="108">
          <cell r="A108" t="str">
            <v>Other Income</v>
          </cell>
        </row>
        <row r="109">
          <cell r="A109" t="str">
            <v>9100 - Interest Earned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163745.32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163745.32</v>
          </cell>
        </row>
        <row r="110">
          <cell r="A110" t="str">
            <v>9150 - Other Income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6915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6915</v>
          </cell>
        </row>
        <row r="111">
          <cell r="A111" t="str">
            <v>Total - Other Income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170660.32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170660.32</v>
          </cell>
        </row>
        <row r="112">
          <cell r="A112" t="str">
            <v>Other Expense</v>
          </cell>
        </row>
        <row r="113">
          <cell r="A113" t="str">
            <v>9200 - Cash Sweep Fees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9824.51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9824.51</v>
          </cell>
        </row>
        <row r="114">
          <cell r="A114" t="str">
            <v>9300 - Interest Expense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45503.48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45503.48</v>
          </cell>
        </row>
        <row r="115">
          <cell r="A115" t="str">
            <v>9401 - Depreciation Expenses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15409.94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15409.94</v>
          </cell>
        </row>
        <row r="116">
          <cell r="A116" t="str">
            <v>Total - Other Expense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70737.930000000008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70737.930000000008</v>
          </cell>
        </row>
        <row r="117">
          <cell r="A117" t="str">
            <v>Net Other Income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99922.39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99922.39</v>
          </cell>
        </row>
        <row r="118">
          <cell r="A118" t="str">
            <v>Net Income</v>
          </cell>
          <cell r="B118">
            <v>-32978.400000000001</v>
          </cell>
          <cell r="C118">
            <v>-64449.45</v>
          </cell>
          <cell r="D118">
            <v>-43030.729999999996</v>
          </cell>
          <cell r="E118">
            <v>-79794.05</v>
          </cell>
          <cell r="F118">
            <v>-164186.55000000002</v>
          </cell>
          <cell r="G118">
            <v>-506390.22</v>
          </cell>
          <cell r="H118">
            <v>-172323.52000000005</v>
          </cell>
          <cell r="I118">
            <v>-131520.22</v>
          </cell>
          <cell r="J118">
            <v>172203.55000000002</v>
          </cell>
          <cell r="K118">
            <v>-556665.89</v>
          </cell>
          <cell r="L118">
            <v>-186770.66999999998</v>
          </cell>
          <cell r="M118">
            <v>-1765906.1499999997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64DDDC-502C-4B71-9191-8F0E2DAD635D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cf8a09e4-9009-4149-b520-57f8e33abd23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313D4-9C3E-427B-A791-A0C7E196D40A}">
  <dimension ref="A1:F14"/>
  <sheetViews>
    <sheetView workbookViewId="0"/>
  </sheetViews>
  <sheetFormatPr defaultRowHeight="14.4" x14ac:dyDescent="0.3"/>
  <cols>
    <col min="1" max="1" width="6.21875" bestFit="1" customWidth="1"/>
    <col min="2" max="2" width="9.44140625" bestFit="1" customWidth="1"/>
    <col min="3" max="3" width="90.88671875" bestFit="1" customWidth="1"/>
    <col min="4" max="4" width="78.88671875" bestFit="1" customWidth="1"/>
    <col min="5" max="5" width="255.6640625" bestFit="1" customWidth="1"/>
    <col min="6" max="6" width="144.88671875" bestFit="1" customWidth="1"/>
  </cols>
  <sheetData>
    <row r="1" spans="1:6" x14ac:dyDescent="0.3">
      <c r="A1" s="158" t="s">
        <v>224</v>
      </c>
      <c r="B1" s="158" t="s">
        <v>225</v>
      </c>
      <c r="C1" s="158" t="s">
        <v>226</v>
      </c>
      <c r="D1" s="158" t="s">
        <v>227</v>
      </c>
      <c r="E1" s="158" t="s">
        <v>228</v>
      </c>
      <c r="F1" s="158" t="s">
        <v>229</v>
      </c>
    </row>
    <row r="2" spans="1:6" x14ac:dyDescent="0.3">
      <c r="A2">
        <v>1</v>
      </c>
      <c r="B2" s="159">
        <v>46281</v>
      </c>
      <c r="C2" t="s">
        <v>230</v>
      </c>
      <c r="D2" t="s">
        <v>231</v>
      </c>
      <c r="E2" t="s">
        <v>232</v>
      </c>
      <c r="F2" t="s">
        <v>233</v>
      </c>
    </row>
    <row r="3" spans="1:6" x14ac:dyDescent="0.3">
      <c r="A3">
        <v>2</v>
      </c>
      <c r="B3" s="159">
        <v>46283</v>
      </c>
      <c r="C3" t="s">
        <v>296</v>
      </c>
      <c r="D3" t="s">
        <v>297</v>
      </c>
      <c r="E3" t="s">
        <v>298</v>
      </c>
      <c r="F3" t="s">
        <v>299</v>
      </c>
    </row>
    <row r="4" spans="1:6" x14ac:dyDescent="0.3">
      <c r="A4">
        <v>3</v>
      </c>
      <c r="B4" s="159">
        <v>46283</v>
      </c>
      <c r="C4" t="s">
        <v>318</v>
      </c>
      <c r="D4" t="s">
        <v>319</v>
      </c>
      <c r="E4" t="s">
        <v>320</v>
      </c>
      <c r="F4" t="s">
        <v>321</v>
      </c>
    </row>
    <row r="5" spans="1:6" x14ac:dyDescent="0.3">
      <c r="A5">
        <v>4</v>
      </c>
      <c r="B5" s="159">
        <v>46283</v>
      </c>
      <c r="C5" t="s">
        <v>322</v>
      </c>
      <c r="D5" t="s">
        <v>323</v>
      </c>
      <c r="E5" t="s">
        <v>324</v>
      </c>
      <c r="F5" t="s">
        <v>325</v>
      </c>
    </row>
    <row r="6" spans="1:6" x14ac:dyDescent="0.3">
      <c r="A6">
        <v>5</v>
      </c>
      <c r="B6" s="159">
        <v>46283</v>
      </c>
      <c r="C6" t="s">
        <v>326</v>
      </c>
      <c r="D6" t="s">
        <v>327</v>
      </c>
      <c r="E6" t="s">
        <v>328</v>
      </c>
      <c r="F6" t="s">
        <v>329</v>
      </c>
    </row>
    <row r="7" spans="1:6" x14ac:dyDescent="0.3">
      <c r="A7">
        <v>7</v>
      </c>
      <c r="B7" s="159">
        <v>46286</v>
      </c>
      <c r="C7" t="s">
        <v>330</v>
      </c>
      <c r="D7" t="s">
        <v>331</v>
      </c>
      <c r="E7" t="s">
        <v>332</v>
      </c>
      <c r="F7" t="s">
        <v>333</v>
      </c>
    </row>
    <row r="8" spans="1:6" x14ac:dyDescent="0.3">
      <c r="A8">
        <v>8</v>
      </c>
      <c r="B8" s="159">
        <v>46289</v>
      </c>
      <c r="C8" t="s">
        <v>334</v>
      </c>
      <c r="D8" t="s">
        <v>335</v>
      </c>
      <c r="E8" t="s">
        <v>336</v>
      </c>
      <c r="F8" t="s">
        <v>337</v>
      </c>
    </row>
    <row r="9" spans="1:6" x14ac:dyDescent="0.3">
      <c r="A9">
        <v>9</v>
      </c>
      <c r="B9" s="159">
        <v>46289</v>
      </c>
      <c r="C9" t="s">
        <v>338</v>
      </c>
      <c r="D9" t="s">
        <v>339</v>
      </c>
      <c r="E9" t="s">
        <v>340</v>
      </c>
      <c r="F9" t="s">
        <v>341</v>
      </c>
    </row>
    <row r="10" spans="1:6" x14ac:dyDescent="0.3">
      <c r="A10">
        <v>10</v>
      </c>
      <c r="B10" s="159">
        <v>46289</v>
      </c>
      <c r="C10" t="s">
        <v>342</v>
      </c>
      <c r="D10" t="s">
        <v>343</v>
      </c>
      <c r="E10" t="s">
        <v>344</v>
      </c>
      <c r="F10" t="s">
        <v>345</v>
      </c>
    </row>
    <row r="11" spans="1:6" x14ac:dyDescent="0.3">
      <c r="A11">
        <v>11</v>
      </c>
      <c r="B11" s="159">
        <v>46290</v>
      </c>
      <c r="C11" t="s">
        <v>346</v>
      </c>
      <c r="D11" t="s">
        <v>347</v>
      </c>
      <c r="E11" t="s">
        <v>348</v>
      </c>
      <c r="F11" t="s">
        <v>349</v>
      </c>
    </row>
    <row r="12" spans="1:6" x14ac:dyDescent="0.3">
      <c r="A12">
        <v>12</v>
      </c>
      <c r="B12" s="159">
        <v>46290</v>
      </c>
      <c r="C12" t="s">
        <v>350</v>
      </c>
      <c r="D12" t="s">
        <v>351</v>
      </c>
      <c r="E12" t="s">
        <v>352</v>
      </c>
      <c r="F12" t="s">
        <v>353</v>
      </c>
    </row>
    <row r="13" spans="1:6" x14ac:dyDescent="0.3">
      <c r="A13">
        <v>13</v>
      </c>
      <c r="B13" s="159">
        <v>46290</v>
      </c>
      <c r="C13" t="s">
        <v>354</v>
      </c>
      <c r="D13" t="s">
        <v>355</v>
      </c>
      <c r="E13" t="s">
        <v>356</v>
      </c>
      <c r="F13" t="s">
        <v>357</v>
      </c>
    </row>
    <row r="14" spans="1:6" x14ac:dyDescent="0.3">
      <c r="A14">
        <v>14</v>
      </c>
      <c r="B14" s="159">
        <v>46290</v>
      </c>
      <c r="C14" t="s">
        <v>358</v>
      </c>
      <c r="D14" t="s">
        <v>359</v>
      </c>
      <c r="E14" t="s">
        <v>360</v>
      </c>
      <c r="F14" t="s">
        <v>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EE2F0-5522-402B-A084-C71F112DE06C}">
  <sheetPr>
    <tabColor rgb="FF002060"/>
  </sheetPr>
  <dimension ref="A1"/>
  <sheetViews>
    <sheetView workbookViewId="0">
      <selection activeCell="I49" sqref="I49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C4208-84A8-4364-ACC2-EE6A03462722}">
  <sheetPr>
    <tabColor theme="5" tint="-0.499984740745262"/>
  </sheetPr>
  <dimension ref="A1:Z76"/>
  <sheetViews>
    <sheetView zoomScale="80" zoomScaleNormal="80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B6" sqref="B6"/>
    </sheetView>
  </sheetViews>
  <sheetFormatPr defaultRowHeight="14.4" x14ac:dyDescent="0.3"/>
  <cols>
    <col min="2" max="2" width="25.109375" customWidth="1"/>
    <col min="3" max="3" width="32.5546875" customWidth="1"/>
    <col min="4" max="4" width="9.109375" customWidth="1"/>
    <col min="5" max="8" width="2.21875" customWidth="1"/>
    <col min="9" max="24" width="12.77734375" customWidth="1"/>
    <col min="25" max="25" width="2.5546875" customWidth="1"/>
    <col min="26" max="26" width="13.77734375" customWidth="1"/>
  </cols>
  <sheetData>
    <row r="1" spans="1:26" ht="18" x14ac:dyDescent="0.35">
      <c r="A1" s="1" t="s">
        <v>0</v>
      </c>
    </row>
    <row r="2" spans="1:26" ht="15.6" x14ac:dyDescent="0.3">
      <c r="A2" s="170" t="s">
        <v>1</v>
      </c>
    </row>
    <row r="3" spans="1:26" x14ac:dyDescent="0.3">
      <c r="A3" s="2" t="s">
        <v>2</v>
      </c>
    </row>
    <row r="10" spans="1:26" x14ac:dyDescent="0.3">
      <c r="B10" s="3" t="s">
        <v>3</v>
      </c>
      <c r="C10" s="3" t="s">
        <v>4</v>
      </c>
      <c r="D10" s="3" t="s">
        <v>5</v>
      </c>
      <c r="I10" s="4">
        <f>'PO HC'!I10</f>
        <v>46266</v>
      </c>
      <c r="J10" s="4">
        <f>'PO HC'!J10</f>
        <v>46296</v>
      </c>
      <c r="K10" s="4">
        <f>'PO HC'!K10</f>
        <v>46327</v>
      </c>
      <c r="L10" s="4">
        <f>'PO HC'!L10</f>
        <v>46357</v>
      </c>
      <c r="M10" s="5">
        <f>'PO HC'!M10</f>
        <v>46388</v>
      </c>
      <c r="N10" s="5">
        <f>'PO HC'!N10</f>
        <v>46419</v>
      </c>
      <c r="O10" s="5">
        <f>'PO HC'!O10</f>
        <v>46447</v>
      </c>
      <c r="P10" s="5">
        <f>'PO HC'!P10</f>
        <v>46478</v>
      </c>
      <c r="Q10" s="5">
        <f>'PO HC'!Q10</f>
        <v>46508</v>
      </c>
      <c r="R10" s="5">
        <f>'PO HC'!R10</f>
        <v>46539</v>
      </c>
      <c r="S10" s="5">
        <f>'PO HC'!S10</f>
        <v>46569</v>
      </c>
      <c r="T10" s="5">
        <f>'PO HC'!T10</f>
        <v>46600</v>
      </c>
      <c r="U10" s="5">
        <f>'PO HC'!U10</f>
        <v>46631</v>
      </c>
      <c r="V10" s="5">
        <f>'PO HC'!V10</f>
        <v>46661</v>
      </c>
      <c r="W10" s="5">
        <f>'PO HC'!W10</f>
        <v>46692</v>
      </c>
      <c r="X10" s="5">
        <f>'PO HC'!X10</f>
        <v>46722</v>
      </c>
      <c r="Z10" s="6" t="s">
        <v>6</v>
      </c>
    </row>
    <row r="11" spans="1:26" x14ac:dyDescent="0.3">
      <c r="I11" s="7">
        <f>'PO HC'!I11</f>
        <v>1</v>
      </c>
      <c r="J11" s="7">
        <f>'PO HC'!J11</f>
        <v>2</v>
      </c>
      <c r="K11" s="7">
        <f>'PO HC'!K11</f>
        <v>3</v>
      </c>
      <c r="L11" s="7">
        <f>'PO HC'!L11</f>
        <v>4</v>
      </c>
      <c r="M11" s="7">
        <f>'PO HC'!M11</f>
        <v>5</v>
      </c>
      <c r="N11" s="7">
        <f>'PO HC'!N11</f>
        <v>6</v>
      </c>
      <c r="O11" s="7">
        <f>'PO HC'!O11</f>
        <v>7</v>
      </c>
      <c r="P11" s="7">
        <f>'PO HC'!P11</f>
        <v>8</v>
      </c>
      <c r="Q11" s="7">
        <f>'PO HC'!Q11</f>
        <v>9</v>
      </c>
      <c r="R11" s="7">
        <f>'PO HC'!R11</f>
        <v>10</v>
      </c>
      <c r="S11" s="7">
        <f>'PO HC'!S11</f>
        <v>11</v>
      </c>
      <c r="T11" s="7">
        <f>'PO HC'!T11</f>
        <v>12</v>
      </c>
      <c r="U11" s="7">
        <f>'PO HC'!U11</f>
        <v>13</v>
      </c>
      <c r="V11" s="7">
        <f>'PO HC'!V11</f>
        <v>14</v>
      </c>
      <c r="W11" s="7">
        <f>'PO HC'!W11</f>
        <v>15</v>
      </c>
      <c r="X11" s="7">
        <f>'PO HC'!X11</f>
        <v>16</v>
      </c>
    </row>
    <row r="13" spans="1:26" x14ac:dyDescent="0.3">
      <c r="B13" s="8" t="s">
        <v>7</v>
      </c>
      <c r="C13" s="8"/>
      <c r="D13" s="8"/>
    </row>
    <row r="14" spans="1:26" x14ac:dyDescent="0.3">
      <c r="B14" t="s">
        <v>8</v>
      </c>
      <c r="C14" t="s">
        <v>9</v>
      </c>
      <c r="D14" t="s">
        <v>10</v>
      </c>
      <c r="I14" s="9">
        <f>'PO HC'!I67</f>
        <v>43450</v>
      </c>
      <c r="J14" s="9">
        <f>'PO HC'!J67</f>
        <v>43450</v>
      </c>
      <c r="K14" s="9">
        <f>'PO HC'!K67</f>
        <v>43450</v>
      </c>
      <c r="L14" s="9">
        <f>'PO HC'!L67</f>
        <v>43450</v>
      </c>
      <c r="M14" s="9">
        <f>'PO HC'!M67</f>
        <v>43450</v>
      </c>
      <c r="N14" s="9">
        <f>'PO HC'!N67</f>
        <v>43450</v>
      </c>
      <c r="O14" s="9">
        <f>'PO HC'!O67</f>
        <v>43450</v>
      </c>
      <c r="P14" s="9">
        <f>'PO HC'!P67</f>
        <v>43450</v>
      </c>
      <c r="Q14" s="9">
        <f>'PO HC'!Q67</f>
        <v>43450</v>
      </c>
      <c r="R14" s="9">
        <f>'PO HC'!R67</f>
        <v>43450</v>
      </c>
      <c r="S14" s="9">
        <f>'PO HC'!S67</f>
        <v>43450</v>
      </c>
      <c r="T14" s="9">
        <f>'PO HC'!T67</f>
        <v>43450</v>
      </c>
      <c r="U14" s="9">
        <f>'PO HC'!U67</f>
        <v>43450</v>
      </c>
      <c r="V14" s="9">
        <f>'PO HC'!V67</f>
        <v>44753.500000000007</v>
      </c>
      <c r="W14" s="9">
        <f>'PO HC'!W67</f>
        <v>44753.500000000007</v>
      </c>
      <c r="X14" s="9">
        <f>'PO HC'!X67</f>
        <v>44753.500000000007</v>
      </c>
      <c r="Y14" s="9"/>
      <c r="Z14" s="9">
        <f t="shared" ref="Z14:Z19" si="0">SUM(M14:X14)</f>
        <v>525310.5</v>
      </c>
    </row>
    <row r="15" spans="1:26" x14ac:dyDescent="0.3">
      <c r="B15" t="s">
        <v>11</v>
      </c>
      <c r="C15" t="s">
        <v>12</v>
      </c>
      <c r="D15" t="s">
        <v>10</v>
      </c>
      <c r="I15" s="9">
        <f>'FO HC'!I67</f>
        <v>90012.583333333343</v>
      </c>
      <c r="J15" s="9">
        <f>'FO HC'!J67</f>
        <v>90012.583333333343</v>
      </c>
      <c r="K15" s="9">
        <f>'FO HC'!K67</f>
        <v>90012.583333333343</v>
      </c>
      <c r="L15" s="9">
        <f>'FO HC'!L67</f>
        <v>90012.583333333343</v>
      </c>
      <c r="M15" s="9">
        <f>'FO HC'!M67</f>
        <v>90012.583333333343</v>
      </c>
      <c r="N15" s="9">
        <f>'FO HC'!N67</f>
        <v>90012.583333333343</v>
      </c>
      <c r="O15" s="9">
        <f>'FO HC'!O67</f>
        <v>90012.583333333343</v>
      </c>
      <c r="P15" s="9">
        <f>'FO HC'!P67</f>
        <v>90012.583333333343</v>
      </c>
      <c r="Q15" s="9">
        <f>'FO HC'!Q67</f>
        <v>90012.583333333343</v>
      </c>
      <c r="R15" s="9">
        <f>'FO HC'!R67</f>
        <v>90012.583333333343</v>
      </c>
      <c r="S15" s="9">
        <f>'FO HC'!S67</f>
        <v>90012.583333333343</v>
      </c>
      <c r="T15" s="9">
        <f>'FO HC'!T67</f>
        <v>90012.583333333343</v>
      </c>
      <c r="U15" s="9">
        <f>'FO HC'!U67</f>
        <v>90012.583333333343</v>
      </c>
      <c r="V15" s="9">
        <f>'FO HC'!V67</f>
        <v>92712.960833333345</v>
      </c>
      <c r="W15" s="9">
        <f>'FO HC'!W67</f>
        <v>92712.960833333345</v>
      </c>
      <c r="X15" s="9">
        <f>'FO HC'!X67</f>
        <v>92712.960833333345</v>
      </c>
      <c r="Y15" s="9"/>
      <c r="Z15" s="9">
        <f t="shared" si="0"/>
        <v>1088252.1325000003</v>
      </c>
    </row>
    <row r="16" spans="1:26" x14ac:dyDescent="0.3">
      <c r="B16" t="s">
        <v>13</v>
      </c>
      <c r="C16" t="s">
        <v>14</v>
      </c>
      <c r="D16" t="s">
        <v>15</v>
      </c>
      <c r="I16" s="9">
        <f>'FE HC'!I67</f>
        <v>55889.25</v>
      </c>
      <c r="J16" s="9">
        <f>'FE HC'!J67</f>
        <v>55889.25</v>
      </c>
      <c r="K16" s="9">
        <f>'FE HC'!K67</f>
        <v>55889.25</v>
      </c>
      <c r="L16" s="9">
        <f>'FE HC'!L67</f>
        <v>67555.916666666672</v>
      </c>
      <c r="M16" s="9">
        <f>'FE HC'!M67</f>
        <v>67555.916666666672</v>
      </c>
      <c r="N16" s="9">
        <f>'FE HC'!N67</f>
        <v>67555.916666666672</v>
      </c>
      <c r="O16" s="9">
        <f>'FE HC'!O67</f>
        <v>67555.916666666672</v>
      </c>
      <c r="P16" s="9">
        <f>'FE HC'!P67</f>
        <v>67555.916666666672</v>
      </c>
      <c r="Q16" s="9">
        <f>'FE HC'!Q67</f>
        <v>67555.916666666672</v>
      </c>
      <c r="R16" s="9">
        <f>'FE HC'!R67</f>
        <v>67555.916666666672</v>
      </c>
      <c r="S16" s="9">
        <f>'FE HC'!S67</f>
        <v>67555.916666666672</v>
      </c>
      <c r="T16" s="9">
        <f>'FE HC'!T67</f>
        <v>67555.916666666672</v>
      </c>
      <c r="U16" s="9">
        <f>'FE HC'!U67</f>
        <v>67555.916666666672</v>
      </c>
      <c r="V16" s="9">
        <f>'FE HC'!V67</f>
        <v>69582.594166666662</v>
      </c>
      <c r="W16" s="9">
        <f>'FE HC'!W67</f>
        <v>69582.594166666662</v>
      </c>
      <c r="X16" s="9">
        <f>'FE HC'!X67</f>
        <v>69582.594166666662</v>
      </c>
      <c r="Y16" s="9"/>
      <c r="Z16" s="9">
        <f t="shared" si="0"/>
        <v>816751.03249999986</v>
      </c>
    </row>
    <row r="17" spans="2:26" x14ac:dyDescent="0.3">
      <c r="B17" t="s">
        <v>16</v>
      </c>
      <c r="C17" t="s">
        <v>17</v>
      </c>
      <c r="D17" t="s">
        <v>15</v>
      </c>
      <c r="I17" s="9">
        <f>'PE HC'!I67</f>
        <v>89166.25</v>
      </c>
      <c r="J17" s="9">
        <f>'PE HC'!J67</f>
        <v>89166.25</v>
      </c>
      <c r="K17" s="9">
        <f>'PE HC'!K67</f>
        <v>89166.25</v>
      </c>
      <c r="L17" s="9">
        <f>'PE HC'!L67</f>
        <v>89166.25</v>
      </c>
      <c r="M17" s="9">
        <f>'PE HC'!M67</f>
        <v>89166.25</v>
      </c>
      <c r="N17" s="9">
        <f>'PE HC'!N67</f>
        <v>89166.25</v>
      </c>
      <c r="O17" s="9">
        <f>'PE HC'!O67</f>
        <v>89166.25</v>
      </c>
      <c r="P17" s="9">
        <f>'PE HC'!P67</f>
        <v>89166.25</v>
      </c>
      <c r="Q17" s="9">
        <f>'PE HC'!Q67</f>
        <v>89166.25</v>
      </c>
      <c r="R17" s="9">
        <f>'PE HC'!R67</f>
        <v>89166.25</v>
      </c>
      <c r="S17" s="9">
        <f>'PE HC'!S67</f>
        <v>89166.25</v>
      </c>
      <c r="T17" s="9">
        <f>'PE HC'!T67</f>
        <v>89166.25</v>
      </c>
      <c r="U17" s="9">
        <f>'PE HC'!U67</f>
        <v>89166.25</v>
      </c>
      <c r="V17" s="9">
        <f>'PE HC'!V67</f>
        <v>91841.237500000003</v>
      </c>
      <c r="W17" s="9">
        <f>'PE HC'!W67</f>
        <v>91841.237500000003</v>
      </c>
      <c r="X17" s="9">
        <f>'PE HC'!X67</f>
        <v>91841.237500000003</v>
      </c>
      <c r="Y17" s="9"/>
      <c r="Z17" s="9">
        <f t="shared" si="0"/>
        <v>1078019.9625000001</v>
      </c>
    </row>
    <row r="18" spans="2:26" x14ac:dyDescent="0.3">
      <c r="B18" t="s">
        <v>18</v>
      </c>
      <c r="C18" t="s">
        <v>19</v>
      </c>
      <c r="D18" t="s">
        <v>15</v>
      </c>
      <c r="I18" s="9">
        <f>'CO HC'!I67</f>
        <v>36209.833333333328</v>
      </c>
      <c r="J18" s="9">
        <f>'CO HC'!J67</f>
        <v>43709.833333333328</v>
      </c>
      <c r="K18" s="9">
        <f>'CO HC'!K67</f>
        <v>43709.833333333328</v>
      </c>
      <c r="L18" s="9">
        <f>'CO HC'!L67</f>
        <v>43709.833333333328</v>
      </c>
      <c r="M18" s="9">
        <f>'CO HC'!M67</f>
        <v>43709.833333333328</v>
      </c>
      <c r="N18" s="9">
        <f>'CO HC'!N67</f>
        <v>43709.833333333328</v>
      </c>
      <c r="O18" s="9">
        <f>'CO HC'!O67</f>
        <v>43709.833333333328</v>
      </c>
      <c r="P18" s="9">
        <f>'CO HC'!P67</f>
        <v>43709.833333333328</v>
      </c>
      <c r="Q18" s="9">
        <f>'CO HC'!Q67</f>
        <v>43709.833333333328</v>
      </c>
      <c r="R18" s="9">
        <f>'CO HC'!R67</f>
        <v>43709.833333333328</v>
      </c>
      <c r="S18" s="9">
        <f>'CO HC'!S67</f>
        <v>43709.833333333328</v>
      </c>
      <c r="T18" s="9">
        <f>'CO HC'!T67</f>
        <v>43709.833333333328</v>
      </c>
      <c r="U18" s="9">
        <f>'CO HC'!U67</f>
        <v>43709.833333333328</v>
      </c>
      <c r="V18" s="9">
        <f>'CO HC'!V67</f>
        <v>45021.128333333334</v>
      </c>
      <c r="W18" s="9">
        <f>'CO HC'!W67</f>
        <v>45021.128333333334</v>
      </c>
      <c r="X18" s="9">
        <f>'CO HC'!X67</f>
        <v>45021.128333333334</v>
      </c>
      <c r="Y18" s="9"/>
      <c r="Z18" s="9">
        <f t="shared" si="0"/>
        <v>528451.88499999989</v>
      </c>
    </row>
    <row r="19" spans="2:26" x14ac:dyDescent="0.3">
      <c r="B19" s="10" t="s">
        <v>20</v>
      </c>
      <c r="C19" s="10"/>
      <c r="D19" s="10"/>
      <c r="E19" s="10"/>
      <c r="F19" s="10"/>
      <c r="G19" s="10"/>
      <c r="H19" s="10"/>
      <c r="I19" s="11">
        <f t="shared" ref="I19:X19" si="1">SUM(I14:I18)</f>
        <v>314727.91666666669</v>
      </c>
      <c r="J19" s="11">
        <f t="shared" si="1"/>
        <v>322227.91666666669</v>
      </c>
      <c r="K19" s="11">
        <f t="shared" si="1"/>
        <v>322227.91666666669</v>
      </c>
      <c r="L19" s="11">
        <f t="shared" si="1"/>
        <v>333894.58333333331</v>
      </c>
      <c r="M19" s="11">
        <f t="shared" si="1"/>
        <v>333894.58333333331</v>
      </c>
      <c r="N19" s="11">
        <f t="shared" si="1"/>
        <v>333894.58333333331</v>
      </c>
      <c r="O19" s="11">
        <f t="shared" si="1"/>
        <v>333894.58333333331</v>
      </c>
      <c r="P19" s="11">
        <f t="shared" si="1"/>
        <v>333894.58333333331</v>
      </c>
      <c r="Q19" s="11">
        <f t="shared" si="1"/>
        <v>333894.58333333331</v>
      </c>
      <c r="R19" s="11">
        <f t="shared" si="1"/>
        <v>333894.58333333331</v>
      </c>
      <c r="S19" s="11">
        <f t="shared" si="1"/>
        <v>333894.58333333331</v>
      </c>
      <c r="T19" s="11">
        <f t="shared" si="1"/>
        <v>333894.58333333331</v>
      </c>
      <c r="U19" s="11">
        <f t="shared" si="1"/>
        <v>333894.58333333331</v>
      </c>
      <c r="V19" s="11">
        <f t="shared" si="1"/>
        <v>343911.42083333334</v>
      </c>
      <c r="W19" s="11">
        <f t="shared" si="1"/>
        <v>343911.42083333334</v>
      </c>
      <c r="X19" s="11">
        <f t="shared" si="1"/>
        <v>343911.42083333334</v>
      </c>
      <c r="Y19" s="11"/>
      <c r="Z19" s="11">
        <f t="shared" si="0"/>
        <v>4036785.5125000002</v>
      </c>
    </row>
    <row r="21" spans="2:26" x14ac:dyDescent="0.3">
      <c r="B21" s="8" t="s">
        <v>21</v>
      </c>
      <c r="C21" s="8"/>
      <c r="D21" s="8"/>
    </row>
    <row r="22" spans="2:26" x14ac:dyDescent="0.3">
      <c r="B22" t="s">
        <v>8</v>
      </c>
      <c r="C22" t="s">
        <v>9</v>
      </c>
      <c r="D22" t="s">
        <v>10</v>
      </c>
      <c r="I22" s="9">
        <f>'PO HC'!I68</f>
        <v>1580.2285696279405</v>
      </c>
      <c r="J22" s="9">
        <f>'PO HC'!J68</f>
        <v>1580.2285696279405</v>
      </c>
      <c r="K22" s="9">
        <f>'PO HC'!K68</f>
        <v>1580.2285696279405</v>
      </c>
      <c r="L22" s="9">
        <f>'PO HC'!L68</f>
        <v>1580.2285696279405</v>
      </c>
      <c r="M22" s="9">
        <f>'PO HC'!M68</f>
        <v>1580.2285696279405</v>
      </c>
      <c r="N22" s="9">
        <f>'PO HC'!N68</f>
        <v>1580.2285696279405</v>
      </c>
      <c r="O22" s="9">
        <f>'PO HC'!O68</f>
        <v>1580.2285696279405</v>
      </c>
      <c r="P22" s="9">
        <f>'PO HC'!P68</f>
        <v>1580.2285696279405</v>
      </c>
      <c r="Q22" s="9">
        <f>'PO HC'!Q68</f>
        <v>1580.2285696279405</v>
      </c>
      <c r="R22" s="9">
        <f>'PO HC'!R68</f>
        <v>1580.2285696279405</v>
      </c>
      <c r="S22" s="9">
        <f>'PO HC'!S68</f>
        <v>1580.2285696279405</v>
      </c>
      <c r="T22" s="9">
        <f>'PO HC'!T68</f>
        <v>1580.2285696279405</v>
      </c>
      <c r="U22" s="9">
        <f>'PO HC'!U68</f>
        <v>1580.2285696279405</v>
      </c>
      <c r="V22" s="9">
        <f>'PO HC'!V68</f>
        <v>1627.635426716779</v>
      </c>
      <c r="W22" s="9">
        <f>'PO HC'!W68</f>
        <v>1627.635426716779</v>
      </c>
      <c r="X22" s="9">
        <f>'PO HC'!X68</f>
        <v>1627.635426716779</v>
      </c>
      <c r="Y22" s="9"/>
      <c r="Z22" s="9">
        <f t="shared" ref="Z22:Z27" si="2">SUM(M22:X22)</f>
        <v>19104.963406801799</v>
      </c>
    </row>
    <row r="23" spans="2:26" x14ac:dyDescent="0.3">
      <c r="B23" t="s">
        <v>11</v>
      </c>
      <c r="C23" t="s">
        <v>12</v>
      </c>
      <c r="D23" t="s">
        <v>10</v>
      </c>
      <c r="I23" s="9">
        <f>'FO HC'!I68</f>
        <v>6163.2433510037235</v>
      </c>
      <c r="J23" s="9">
        <f>'FO HC'!J68</f>
        <v>6163.2433510037235</v>
      </c>
      <c r="K23" s="9">
        <f>'FO HC'!K68</f>
        <v>6163.2433510037235</v>
      </c>
      <c r="L23" s="9">
        <f>'FO HC'!L68</f>
        <v>6163.2433510037235</v>
      </c>
      <c r="M23" s="9">
        <f>'FO HC'!M68</f>
        <v>6163.2433510037235</v>
      </c>
      <c r="N23" s="9">
        <f>'FO HC'!N68</f>
        <v>6163.2433510037235</v>
      </c>
      <c r="O23" s="9">
        <f>'FO HC'!O68</f>
        <v>6163.2433510037235</v>
      </c>
      <c r="P23" s="9">
        <f>'FO HC'!P68</f>
        <v>6163.2433510037235</v>
      </c>
      <c r="Q23" s="9">
        <f>'FO HC'!Q68</f>
        <v>6163.2433510037235</v>
      </c>
      <c r="R23" s="9">
        <f>'FO HC'!R68</f>
        <v>6163.2433510037235</v>
      </c>
      <c r="S23" s="9">
        <f>'FO HC'!S68</f>
        <v>6163.2433510037235</v>
      </c>
      <c r="T23" s="9">
        <f>'FO HC'!T68</f>
        <v>6163.2433510037235</v>
      </c>
      <c r="U23" s="9">
        <f>'FO HC'!U68</f>
        <v>6163.2433510037235</v>
      </c>
      <c r="V23" s="9">
        <f>'FO HC'!V68</f>
        <v>6348.1406515338349</v>
      </c>
      <c r="W23" s="9">
        <f>'FO HC'!W68</f>
        <v>6348.1406515338349</v>
      </c>
      <c r="X23" s="9">
        <f>'FO HC'!X68</f>
        <v>6348.1406515338349</v>
      </c>
      <c r="Y23" s="9"/>
      <c r="Z23" s="9">
        <f t="shared" si="2"/>
        <v>74513.612113635012</v>
      </c>
    </row>
    <row r="24" spans="2:26" x14ac:dyDescent="0.3">
      <c r="B24" t="s">
        <v>13</v>
      </c>
      <c r="C24" t="s">
        <v>14</v>
      </c>
      <c r="D24" t="s">
        <v>15</v>
      </c>
      <c r="I24" s="9">
        <f>'FE HC'!I68</f>
        <v>2274.249226378256</v>
      </c>
      <c r="J24" s="9">
        <f>'FE HC'!J68</f>
        <v>2274.249226378256</v>
      </c>
      <c r="K24" s="9">
        <f>'FE HC'!K68</f>
        <v>2274.249226378256</v>
      </c>
      <c r="L24" s="9">
        <f>'FE HC'!L68</f>
        <v>2748.9900332611483</v>
      </c>
      <c r="M24" s="9">
        <f>'FE HC'!M68</f>
        <v>2748.9900332611483</v>
      </c>
      <c r="N24" s="9">
        <f>'FE HC'!N68</f>
        <v>2748.9900332611483</v>
      </c>
      <c r="O24" s="9">
        <f>'FE HC'!O68</f>
        <v>2748.9900332611483</v>
      </c>
      <c r="P24" s="9">
        <f>'FE HC'!P68</f>
        <v>2748.9900332611483</v>
      </c>
      <c r="Q24" s="9">
        <f>'FE HC'!Q68</f>
        <v>2748.9900332611483</v>
      </c>
      <c r="R24" s="9">
        <f>'FE HC'!R68</f>
        <v>2748.9900332611483</v>
      </c>
      <c r="S24" s="9">
        <f>'FE HC'!S68</f>
        <v>2748.9900332611483</v>
      </c>
      <c r="T24" s="9">
        <f>'FE HC'!T68</f>
        <v>2748.9900332611483</v>
      </c>
      <c r="U24" s="9">
        <f>'FE HC'!U68</f>
        <v>2748.9900332611483</v>
      </c>
      <c r="V24" s="9">
        <f>'FE HC'!V68</f>
        <v>2831.4597342589823</v>
      </c>
      <c r="W24" s="9">
        <f>'FE HC'!W68</f>
        <v>2831.4597342589823</v>
      </c>
      <c r="X24" s="9">
        <f>'FE HC'!X68</f>
        <v>2831.4597342589823</v>
      </c>
      <c r="Y24" s="9"/>
      <c r="Z24" s="9">
        <f t="shared" si="2"/>
        <v>33235.289502127278</v>
      </c>
    </row>
    <row r="25" spans="2:26" x14ac:dyDescent="0.3">
      <c r="B25" t="s">
        <v>16</v>
      </c>
      <c r="C25" t="s">
        <v>17</v>
      </c>
      <c r="D25" t="s">
        <v>15</v>
      </c>
      <c r="I25" s="9">
        <f>'PE HC'!I68</f>
        <v>3184.5424875966064</v>
      </c>
      <c r="J25" s="9">
        <f>'PE HC'!J68</f>
        <v>3184.5424875966064</v>
      </c>
      <c r="K25" s="9">
        <f>'PE HC'!K68</f>
        <v>3184.5424875966064</v>
      </c>
      <c r="L25" s="9">
        <f>'PE HC'!L68</f>
        <v>3184.5424875966064</v>
      </c>
      <c r="M25" s="9">
        <f>'PE HC'!M68</f>
        <v>3184.5424875966064</v>
      </c>
      <c r="N25" s="9">
        <f>'PE HC'!N68</f>
        <v>3184.5424875966064</v>
      </c>
      <c r="O25" s="9">
        <f>'PE HC'!O68</f>
        <v>3184.5424875966064</v>
      </c>
      <c r="P25" s="9">
        <f>'PE HC'!P68</f>
        <v>3184.5424875966064</v>
      </c>
      <c r="Q25" s="9">
        <f>'PE HC'!Q68</f>
        <v>3184.5424875966064</v>
      </c>
      <c r="R25" s="9">
        <f>'PE HC'!R68</f>
        <v>3184.5424875966064</v>
      </c>
      <c r="S25" s="9">
        <f>'PE HC'!S68</f>
        <v>3184.5424875966064</v>
      </c>
      <c r="T25" s="9">
        <f>'PE HC'!T68</f>
        <v>3184.5424875966064</v>
      </c>
      <c r="U25" s="9">
        <f>'PE HC'!U68</f>
        <v>3184.5424875966064</v>
      </c>
      <c r="V25" s="9">
        <f>'PE HC'!V68</f>
        <v>3280.0787622245048</v>
      </c>
      <c r="W25" s="9">
        <f>'PE HC'!W68</f>
        <v>3280.0787622245048</v>
      </c>
      <c r="X25" s="9">
        <f>'PE HC'!X68</f>
        <v>3280.0787622245048</v>
      </c>
      <c r="Y25" s="9"/>
      <c r="Z25" s="9">
        <f t="shared" si="2"/>
        <v>38501.11867504297</v>
      </c>
    </row>
    <row r="26" spans="2:26" x14ac:dyDescent="0.3">
      <c r="B26" t="s">
        <v>18</v>
      </c>
      <c r="C26" t="s">
        <v>19</v>
      </c>
      <c r="D26" t="s">
        <v>15</v>
      </c>
      <c r="I26" s="9">
        <f>'CO HC'!I68</f>
        <v>1890.6805448176337</v>
      </c>
      <c r="J26" s="9">
        <f>'CO HC'!J68</f>
        <v>2282.289750957741</v>
      </c>
      <c r="K26" s="9">
        <f>'CO HC'!K68</f>
        <v>2282.289750957741</v>
      </c>
      <c r="L26" s="9">
        <f>'CO HC'!L68</f>
        <v>2282.289750957741</v>
      </c>
      <c r="M26" s="9">
        <f>'CO HC'!M68</f>
        <v>2282.289750957741</v>
      </c>
      <c r="N26" s="9">
        <f>'CO HC'!N68</f>
        <v>2282.289750957741</v>
      </c>
      <c r="O26" s="9">
        <f>'CO HC'!O68</f>
        <v>2282.289750957741</v>
      </c>
      <c r="P26" s="9">
        <f>'CO HC'!P68</f>
        <v>2282.289750957741</v>
      </c>
      <c r="Q26" s="9">
        <f>'CO HC'!Q68</f>
        <v>2282.289750957741</v>
      </c>
      <c r="R26" s="9">
        <f>'CO HC'!R68</f>
        <v>2282.289750957741</v>
      </c>
      <c r="S26" s="9">
        <f>'CO HC'!S68</f>
        <v>2282.289750957741</v>
      </c>
      <c r="T26" s="9">
        <f>'CO HC'!T68</f>
        <v>2282.289750957741</v>
      </c>
      <c r="U26" s="9">
        <f>'CO HC'!U68</f>
        <v>2282.289750957741</v>
      </c>
      <c r="V26" s="9">
        <f>'CO HC'!V68</f>
        <v>2350.7584434864734</v>
      </c>
      <c r="W26" s="9">
        <f>'CO HC'!W68</f>
        <v>2350.7584434864734</v>
      </c>
      <c r="X26" s="9">
        <f>'CO HC'!X68</f>
        <v>2350.7584434864734</v>
      </c>
      <c r="Y26" s="9"/>
      <c r="Z26" s="9">
        <f t="shared" si="2"/>
        <v>27592.883089079089</v>
      </c>
    </row>
    <row r="27" spans="2:26" x14ac:dyDescent="0.3">
      <c r="B27" s="10" t="s">
        <v>22</v>
      </c>
      <c r="C27" s="10"/>
      <c r="D27" s="10"/>
      <c r="E27" s="10"/>
      <c r="F27" s="10"/>
      <c r="G27" s="10"/>
      <c r="H27" s="10"/>
      <c r="I27" s="11">
        <f t="shared" ref="I27:X27" si="3">SUM(I22:I26)</f>
        <v>15092.944179424161</v>
      </c>
      <c r="J27" s="11">
        <f t="shared" si="3"/>
        <v>15484.553385564268</v>
      </c>
      <c r="K27" s="11">
        <f t="shared" si="3"/>
        <v>15484.553385564268</v>
      </c>
      <c r="L27" s="11">
        <f t="shared" si="3"/>
        <v>15959.29419244716</v>
      </c>
      <c r="M27" s="11">
        <f t="shared" si="3"/>
        <v>15959.29419244716</v>
      </c>
      <c r="N27" s="11">
        <f t="shared" si="3"/>
        <v>15959.29419244716</v>
      </c>
      <c r="O27" s="11">
        <f t="shared" si="3"/>
        <v>15959.29419244716</v>
      </c>
      <c r="P27" s="11">
        <f t="shared" si="3"/>
        <v>15959.29419244716</v>
      </c>
      <c r="Q27" s="11">
        <f t="shared" si="3"/>
        <v>15959.29419244716</v>
      </c>
      <c r="R27" s="11">
        <f t="shared" si="3"/>
        <v>15959.29419244716</v>
      </c>
      <c r="S27" s="11">
        <f t="shared" si="3"/>
        <v>15959.29419244716</v>
      </c>
      <c r="T27" s="11">
        <f t="shared" si="3"/>
        <v>15959.29419244716</v>
      </c>
      <c r="U27" s="11">
        <f t="shared" si="3"/>
        <v>15959.29419244716</v>
      </c>
      <c r="V27" s="11">
        <f t="shared" si="3"/>
        <v>16438.073018220573</v>
      </c>
      <c r="W27" s="11">
        <f t="shared" si="3"/>
        <v>16438.073018220573</v>
      </c>
      <c r="X27" s="11">
        <f t="shared" si="3"/>
        <v>16438.073018220573</v>
      </c>
      <c r="Y27" s="11"/>
      <c r="Z27" s="11">
        <f t="shared" si="2"/>
        <v>192947.86678668612</v>
      </c>
    </row>
    <row r="29" spans="2:26" x14ac:dyDescent="0.3">
      <c r="B29" s="8" t="s">
        <v>23</v>
      </c>
      <c r="C29" s="8"/>
      <c r="D29" s="8"/>
    </row>
    <row r="30" spans="2:26" x14ac:dyDescent="0.3">
      <c r="B30" t="s">
        <v>8</v>
      </c>
      <c r="C30" t="s">
        <v>9</v>
      </c>
      <c r="D30" t="s">
        <v>10</v>
      </c>
      <c r="I30" s="9">
        <f>'PO HC'!I69</f>
        <v>8966.4587509947323</v>
      </c>
      <c r="J30" s="9">
        <f>'PO HC'!J69</f>
        <v>8966.4587509947323</v>
      </c>
      <c r="K30" s="9">
        <f>'PO HC'!K69</f>
        <v>8966.4587509947323</v>
      </c>
      <c r="L30" s="9">
        <f>'PO HC'!L69</f>
        <v>8966.4587509947323</v>
      </c>
      <c r="M30" s="9">
        <f>'PO HC'!M69</f>
        <v>8966.4587509947323</v>
      </c>
      <c r="N30" s="9">
        <f>'PO HC'!N69</f>
        <v>8966.4587509947323</v>
      </c>
      <c r="O30" s="9">
        <f>'PO HC'!O69</f>
        <v>8966.4587509947323</v>
      </c>
      <c r="P30" s="9">
        <f>'PO HC'!P69</f>
        <v>8966.4587509947323</v>
      </c>
      <c r="Q30" s="9">
        <f>'PO HC'!Q69</f>
        <v>8966.4587509947323</v>
      </c>
      <c r="R30" s="9">
        <f>'PO HC'!R69</f>
        <v>8966.4587509947323</v>
      </c>
      <c r="S30" s="9">
        <f>'PO HC'!S69</f>
        <v>8966.4587509947323</v>
      </c>
      <c r="T30" s="9">
        <f>'PO HC'!T69</f>
        <v>8966.4587509947323</v>
      </c>
      <c r="U30" s="9">
        <f>'PO HC'!U69</f>
        <v>8966.4587509947323</v>
      </c>
      <c r="V30" s="9">
        <f>'PO HC'!V69</f>
        <v>9235.4525135245767</v>
      </c>
      <c r="W30" s="9">
        <f>'PO HC'!W69</f>
        <v>9235.4525135245767</v>
      </c>
      <c r="X30" s="9">
        <f>'PO HC'!X69</f>
        <v>9235.4525135245767</v>
      </c>
      <c r="Y30" s="9"/>
      <c r="Z30" s="9">
        <f t="shared" ref="Z30:Z35" si="4">SUM(M30:X30)</f>
        <v>108404.48629952632</v>
      </c>
    </row>
    <row r="31" spans="2:26" x14ac:dyDescent="0.3">
      <c r="B31" t="s">
        <v>11</v>
      </c>
      <c r="C31" t="s">
        <v>12</v>
      </c>
      <c r="D31" t="s">
        <v>10</v>
      </c>
      <c r="I31" s="9">
        <f>'FO HC'!I69</f>
        <v>14766.898018835556</v>
      </c>
      <c r="J31" s="9">
        <f>'FO HC'!J69</f>
        <v>14766.898018835556</v>
      </c>
      <c r="K31" s="9">
        <f>'FO HC'!K69</f>
        <v>14766.898018835556</v>
      </c>
      <c r="L31" s="9">
        <f>'FO HC'!L69</f>
        <v>14766.898018835556</v>
      </c>
      <c r="M31" s="9">
        <f>'FO HC'!M69</f>
        <v>14766.898018835556</v>
      </c>
      <c r="N31" s="9">
        <f>'FO HC'!N69</f>
        <v>14766.898018835556</v>
      </c>
      <c r="O31" s="9">
        <f>'FO HC'!O69</f>
        <v>14766.898018835556</v>
      </c>
      <c r="P31" s="9">
        <f>'FO HC'!P69</f>
        <v>14766.898018835556</v>
      </c>
      <c r="Q31" s="9">
        <f>'FO HC'!Q69</f>
        <v>14766.898018835556</v>
      </c>
      <c r="R31" s="9">
        <f>'FO HC'!R69</f>
        <v>14766.898018835556</v>
      </c>
      <c r="S31" s="9">
        <f>'FO HC'!S69</f>
        <v>14766.898018835556</v>
      </c>
      <c r="T31" s="9">
        <f>'FO HC'!T69</f>
        <v>14766.898018835556</v>
      </c>
      <c r="U31" s="9">
        <f>'FO HC'!U69</f>
        <v>14766.898018835556</v>
      </c>
      <c r="V31" s="9">
        <f>'FO HC'!V69</f>
        <v>15209.904959400623</v>
      </c>
      <c r="W31" s="9">
        <f>'FO HC'!W69</f>
        <v>15209.904959400623</v>
      </c>
      <c r="X31" s="9">
        <f>'FO HC'!X69</f>
        <v>15209.904959400623</v>
      </c>
      <c r="Y31" s="9"/>
      <c r="Z31" s="9">
        <f t="shared" si="4"/>
        <v>178531.79704772183</v>
      </c>
    </row>
    <row r="32" spans="2:26" x14ac:dyDescent="0.3">
      <c r="B32" t="s">
        <v>13</v>
      </c>
      <c r="C32" t="s">
        <v>14</v>
      </c>
      <c r="D32" t="s">
        <v>15</v>
      </c>
      <c r="I32" s="9">
        <f>'FE HC'!I69</f>
        <v>4036.8294100173885</v>
      </c>
      <c r="J32" s="9">
        <f>'FE HC'!J69</f>
        <v>4036.8294100173885</v>
      </c>
      <c r="K32" s="9">
        <f>'FE HC'!K69</f>
        <v>4036.8294100173885</v>
      </c>
      <c r="L32" s="9">
        <f>'FE HC'!L69</f>
        <v>4879.5020727722031</v>
      </c>
      <c r="M32" s="9">
        <f>'FE HC'!M69</f>
        <v>4879.5020727722031</v>
      </c>
      <c r="N32" s="9">
        <f>'FE HC'!N69</f>
        <v>4879.5020727722031</v>
      </c>
      <c r="O32" s="9">
        <f>'FE HC'!O69</f>
        <v>4879.5020727722031</v>
      </c>
      <c r="P32" s="9">
        <f>'FE HC'!P69</f>
        <v>4879.5020727722031</v>
      </c>
      <c r="Q32" s="9">
        <f>'FE HC'!Q69</f>
        <v>4879.5020727722031</v>
      </c>
      <c r="R32" s="9">
        <f>'FE HC'!R69</f>
        <v>4879.5020727722031</v>
      </c>
      <c r="S32" s="9">
        <f>'FE HC'!S69</f>
        <v>4879.5020727722031</v>
      </c>
      <c r="T32" s="9">
        <f>'FE HC'!T69</f>
        <v>4879.5020727722031</v>
      </c>
      <c r="U32" s="9">
        <f>'FE HC'!U69</f>
        <v>4879.5020727722031</v>
      </c>
      <c r="V32" s="9">
        <f>'FE HC'!V69</f>
        <v>5025.8871349553683</v>
      </c>
      <c r="W32" s="9">
        <f>'FE HC'!W69</f>
        <v>5025.8871349553683</v>
      </c>
      <c r="X32" s="9">
        <f>'FE HC'!X69</f>
        <v>5025.8871349553683</v>
      </c>
      <c r="Y32" s="9"/>
      <c r="Z32" s="9">
        <f t="shared" si="4"/>
        <v>58993.180059815924</v>
      </c>
    </row>
    <row r="33" spans="2:26" x14ac:dyDescent="0.3">
      <c r="B33" t="s">
        <v>16</v>
      </c>
      <c r="C33" t="s">
        <v>17</v>
      </c>
      <c r="D33" t="s">
        <v>15</v>
      </c>
      <c r="I33" s="9">
        <f>'PE HC'!I69</f>
        <v>7867.3457092512253</v>
      </c>
      <c r="J33" s="9">
        <f>'PE HC'!J69</f>
        <v>7867.3457092512253</v>
      </c>
      <c r="K33" s="9">
        <f>'PE HC'!K69</f>
        <v>7867.3457092512253</v>
      </c>
      <c r="L33" s="9">
        <f>'PE HC'!L69</f>
        <v>7867.3457092512253</v>
      </c>
      <c r="M33" s="9">
        <f>'PE HC'!M69</f>
        <v>7867.3457092512253</v>
      </c>
      <c r="N33" s="9">
        <f>'PE HC'!N69</f>
        <v>7867.3457092512253</v>
      </c>
      <c r="O33" s="9">
        <f>'PE HC'!O69</f>
        <v>7867.3457092512253</v>
      </c>
      <c r="P33" s="9">
        <f>'PE HC'!P69</f>
        <v>7867.3457092512253</v>
      </c>
      <c r="Q33" s="9">
        <f>'PE HC'!Q69</f>
        <v>7867.3457092512253</v>
      </c>
      <c r="R33" s="9">
        <f>'PE HC'!R69</f>
        <v>7867.3457092512253</v>
      </c>
      <c r="S33" s="9">
        <f>'PE HC'!S69</f>
        <v>7867.3457092512253</v>
      </c>
      <c r="T33" s="9">
        <f>'PE HC'!T69</f>
        <v>7867.3457092512253</v>
      </c>
      <c r="U33" s="9">
        <f>'PE HC'!U69</f>
        <v>7867.3457092512253</v>
      </c>
      <c r="V33" s="9">
        <f>'PE HC'!V69</f>
        <v>8103.3660805287627</v>
      </c>
      <c r="W33" s="9">
        <f>'PE HC'!W69</f>
        <v>8103.3660805287627</v>
      </c>
      <c r="X33" s="9">
        <f>'PE HC'!X69</f>
        <v>8103.3660805287627</v>
      </c>
      <c r="Y33" s="9"/>
      <c r="Z33" s="9">
        <f t="shared" si="4"/>
        <v>95116.209624847324</v>
      </c>
    </row>
    <row r="34" spans="2:26" x14ac:dyDescent="0.3">
      <c r="B34" t="s">
        <v>18</v>
      </c>
      <c r="C34" t="s">
        <v>19</v>
      </c>
      <c r="D34" t="s">
        <v>15</v>
      </c>
      <c r="I34" s="9">
        <f>'CO HC'!I69</f>
        <v>4311.0722692404561</v>
      </c>
      <c r="J34" s="9">
        <f>'CO HC'!J69</f>
        <v>5204.0076694578029</v>
      </c>
      <c r="K34" s="9">
        <f>'CO HC'!K69</f>
        <v>5204.0076694578029</v>
      </c>
      <c r="L34" s="9">
        <f>'CO HC'!L69</f>
        <v>5204.0076694578029</v>
      </c>
      <c r="M34" s="9">
        <f>'CO HC'!M69</f>
        <v>5204.0076694578029</v>
      </c>
      <c r="N34" s="9">
        <f>'CO HC'!N69</f>
        <v>5204.0076694578029</v>
      </c>
      <c r="O34" s="9">
        <f>'CO HC'!O69</f>
        <v>5204.0076694578029</v>
      </c>
      <c r="P34" s="9">
        <f>'CO HC'!P69</f>
        <v>5204.0076694578029</v>
      </c>
      <c r="Q34" s="9">
        <f>'CO HC'!Q69</f>
        <v>5204.0076694578029</v>
      </c>
      <c r="R34" s="9">
        <f>'CO HC'!R69</f>
        <v>5204.0076694578029</v>
      </c>
      <c r="S34" s="9">
        <f>'CO HC'!S69</f>
        <v>5204.0076694578029</v>
      </c>
      <c r="T34" s="9">
        <f>'CO HC'!T69</f>
        <v>5204.0076694578029</v>
      </c>
      <c r="U34" s="9">
        <f>'CO HC'!U69</f>
        <v>5204.0076694578029</v>
      </c>
      <c r="V34" s="9">
        <f>'CO HC'!V69</f>
        <v>5360.1278995415378</v>
      </c>
      <c r="W34" s="9">
        <f>'CO HC'!W69</f>
        <v>5360.1278995415378</v>
      </c>
      <c r="X34" s="9">
        <f>'CO HC'!X69</f>
        <v>5360.1278995415378</v>
      </c>
      <c r="Y34" s="9"/>
      <c r="Z34" s="9">
        <f t="shared" si="4"/>
        <v>62916.452723744835</v>
      </c>
    </row>
    <row r="35" spans="2:26" x14ac:dyDescent="0.3">
      <c r="B35" s="10" t="s">
        <v>24</v>
      </c>
      <c r="C35" s="10"/>
      <c r="D35" s="10"/>
      <c r="E35" s="10"/>
      <c r="F35" s="10"/>
      <c r="G35" s="10"/>
      <c r="H35" s="10"/>
      <c r="I35" s="11">
        <f t="shared" ref="I35:X35" si="5">SUM(I30:I34)</f>
        <v>39948.604158339353</v>
      </c>
      <c r="J35" s="11">
        <f t="shared" si="5"/>
        <v>40841.539558556702</v>
      </c>
      <c r="K35" s="11">
        <f t="shared" si="5"/>
        <v>40841.539558556702</v>
      </c>
      <c r="L35" s="11">
        <f t="shared" si="5"/>
        <v>41684.212221311522</v>
      </c>
      <c r="M35" s="11">
        <f t="shared" si="5"/>
        <v>41684.212221311522</v>
      </c>
      <c r="N35" s="11">
        <f t="shared" si="5"/>
        <v>41684.212221311522</v>
      </c>
      <c r="O35" s="11">
        <f t="shared" si="5"/>
        <v>41684.212221311522</v>
      </c>
      <c r="P35" s="11">
        <f t="shared" si="5"/>
        <v>41684.212221311522</v>
      </c>
      <c r="Q35" s="11">
        <f t="shared" si="5"/>
        <v>41684.212221311522</v>
      </c>
      <c r="R35" s="11">
        <f t="shared" si="5"/>
        <v>41684.212221311522</v>
      </c>
      <c r="S35" s="11">
        <f t="shared" si="5"/>
        <v>41684.212221311522</v>
      </c>
      <c r="T35" s="11">
        <f t="shared" si="5"/>
        <v>41684.212221311522</v>
      </c>
      <c r="U35" s="11">
        <f t="shared" si="5"/>
        <v>41684.212221311522</v>
      </c>
      <c r="V35" s="11">
        <f t="shared" si="5"/>
        <v>42934.738587950866</v>
      </c>
      <c r="W35" s="11">
        <f t="shared" si="5"/>
        <v>42934.738587950866</v>
      </c>
      <c r="X35" s="11">
        <f t="shared" si="5"/>
        <v>42934.738587950866</v>
      </c>
      <c r="Y35" s="11"/>
      <c r="Z35" s="11">
        <f t="shared" si="4"/>
        <v>503962.12575565634</v>
      </c>
    </row>
    <row r="37" spans="2:26" x14ac:dyDescent="0.3">
      <c r="B37" s="8" t="s">
        <v>25</v>
      </c>
      <c r="C37" s="8"/>
      <c r="D37" s="8"/>
    </row>
    <row r="38" spans="2:26" x14ac:dyDescent="0.3">
      <c r="B38" t="s">
        <v>8</v>
      </c>
      <c r="C38" t="s">
        <v>9</v>
      </c>
      <c r="D38" t="s">
        <v>10</v>
      </c>
      <c r="I38" s="9">
        <f>'PO HC'!I70</f>
        <v>53996.687320622674</v>
      </c>
      <c r="J38" s="9">
        <f>'PO HC'!J70</f>
        <v>53996.687320622674</v>
      </c>
      <c r="K38" s="9">
        <f>'PO HC'!K70</f>
        <v>53996.687320622674</v>
      </c>
      <c r="L38" s="9">
        <f>'PO HC'!L70</f>
        <v>53996.687320622674</v>
      </c>
      <c r="M38" s="9">
        <f>'PO HC'!M70</f>
        <v>53996.687320622674</v>
      </c>
      <c r="N38" s="9">
        <f>'PO HC'!N70</f>
        <v>53996.687320622674</v>
      </c>
      <c r="O38" s="9">
        <f>'PO HC'!O70</f>
        <v>53996.687320622674</v>
      </c>
      <c r="P38" s="9">
        <f>'PO HC'!P70</f>
        <v>53996.687320622674</v>
      </c>
      <c r="Q38" s="9">
        <f>'PO HC'!Q70</f>
        <v>53996.687320622674</v>
      </c>
      <c r="R38" s="9">
        <f>'PO HC'!R70</f>
        <v>53996.687320622674</v>
      </c>
      <c r="S38" s="9">
        <f>'PO HC'!S70</f>
        <v>53996.687320622674</v>
      </c>
      <c r="T38" s="9">
        <f>'PO HC'!T70</f>
        <v>53996.687320622674</v>
      </c>
      <c r="U38" s="9">
        <f>'PO HC'!U70</f>
        <v>53996.687320622674</v>
      </c>
      <c r="V38" s="9">
        <f>'PO HC'!V70</f>
        <v>55616.587940241363</v>
      </c>
      <c r="W38" s="9">
        <f>'PO HC'!W70</f>
        <v>55616.587940241363</v>
      </c>
      <c r="X38" s="9">
        <f>'PO HC'!X70</f>
        <v>55616.587940241363</v>
      </c>
      <c r="Y38" s="9"/>
      <c r="Z38" s="9">
        <f t="shared" ref="Z38:Z43" si="6">SUM(M38:X38)</f>
        <v>652819.9497063281</v>
      </c>
    </row>
    <row r="39" spans="2:26" x14ac:dyDescent="0.3">
      <c r="B39" t="s">
        <v>11</v>
      </c>
      <c r="C39" t="s">
        <v>12</v>
      </c>
      <c r="D39" t="s">
        <v>10</v>
      </c>
      <c r="I39" s="9">
        <f>'FO HC'!I70</f>
        <v>110942.72470317263</v>
      </c>
      <c r="J39" s="9">
        <f>'FO HC'!J70</f>
        <v>110942.72470317263</v>
      </c>
      <c r="K39" s="9">
        <f>'FO HC'!K70</f>
        <v>110942.72470317263</v>
      </c>
      <c r="L39" s="9">
        <f>'FO HC'!L70</f>
        <v>110942.72470317263</v>
      </c>
      <c r="M39" s="9">
        <f>'FO HC'!M70</f>
        <v>110942.72470317263</v>
      </c>
      <c r="N39" s="9">
        <f>'FO HC'!N70</f>
        <v>110942.72470317263</v>
      </c>
      <c r="O39" s="9">
        <f>'FO HC'!O70</f>
        <v>110942.72470317263</v>
      </c>
      <c r="P39" s="9">
        <f>'FO HC'!P70</f>
        <v>110942.72470317263</v>
      </c>
      <c r="Q39" s="9">
        <f>'FO HC'!Q70</f>
        <v>110942.72470317263</v>
      </c>
      <c r="R39" s="9">
        <f>'FO HC'!R70</f>
        <v>110942.72470317263</v>
      </c>
      <c r="S39" s="9">
        <f>'FO HC'!S70</f>
        <v>110942.72470317263</v>
      </c>
      <c r="T39" s="9">
        <f>'FO HC'!T70</f>
        <v>110942.72470317263</v>
      </c>
      <c r="U39" s="9">
        <f>'FO HC'!U70</f>
        <v>110942.72470317263</v>
      </c>
      <c r="V39" s="9">
        <f>'FO HC'!V70</f>
        <v>114271.0064442678</v>
      </c>
      <c r="W39" s="9">
        <f>'FO HC'!W70</f>
        <v>114271.0064442678</v>
      </c>
      <c r="X39" s="9">
        <f>'FO HC'!X70</f>
        <v>114271.0064442678</v>
      </c>
      <c r="Y39" s="9"/>
      <c r="Z39" s="9">
        <f t="shared" si="6"/>
        <v>1341297.541661357</v>
      </c>
    </row>
    <row r="40" spans="2:26" x14ac:dyDescent="0.3">
      <c r="B40" t="s">
        <v>13</v>
      </c>
      <c r="C40" t="s">
        <v>14</v>
      </c>
      <c r="D40" t="s">
        <v>15</v>
      </c>
      <c r="I40" s="9">
        <f>'FE HC'!I70</f>
        <v>62200.328636395643</v>
      </c>
      <c r="J40" s="9">
        <f>'FE HC'!J70</f>
        <v>62200.328636395643</v>
      </c>
      <c r="K40" s="9">
        <f>'FE HC'!K70</f>
        <v>62200.328636395643</v>
      </c>
      <c r="L40" s="9">
        <f>'FE HC'!L70</f>
        <v>75184.408772700015</v>
      </c>
      <c r="M40" s="9">
        <f>'FE HC'!M70</f>
        <v>75184.408772700015</v>
      </c>
      <c r="N40" s="9">
        <f>'FE HC'!N70</f>
        <v>75184.408772700015</v>
      </c>
      <c r="O40" s="9">
        <f>'FE HC'!O70</f>
        <v>75184.408772700015</v>
      </c>
      <c r="P40" s="9">
        <f>'FE HC'!P70</f>
        <v>75184.408772700015</v>
      </c>
      <c r="Q40" s="9">
        <f>'FE HC'!Q70</f>
        <v>75184.408772700015</v>
      </c>
      <c r="R40" s="9">
        <f>'FE HC'!R70</f>
        <v>75184.408772700015</v>
      </c>
      <c r="S40" s="9">
        <f>'FE HC'!S70</f>
        <v>75184.408772700015</v>
      </c>
      <c r="T40" s="9">
        <f>'FE HC'!T70</f>
        <v>75184.408772700015</v>
      </c>
      <c r="U40" s="9">
        <f>'FE HC'!U70</f>
        <v>75184.408772700015</v>
      </c>
      <c r="V40" s="9">
        <f>'FE HC'!V70</f>
        <v>77439.941035881013</v>
      </c>
      <c r="W40" s="9">
        <f>'FE HC'!W70</f>
        <v>77439.941035881013</v>
      </c>
      <c r="X40" s="9">
        <f>'FE HC'!X70</f>
        <v>77439.941035881013</v>
      </c>
      <c r="Y40" s="9"/>
      <c r="Z40" s="9">
        <f t="shared" si="6"/>
        <v>908979.50206194329</v>
      </c>
    </row>
    <row r="41" spans="2:26" x14ac:dyDescent="0.3">
      <c r="B41" t="s">
        <v>16</v>
      </c>
      <c r="C41" t="s">
        <v>17</v>
      </c>
      <c r="D41" t="s">
        <v>15</v>
      </c>
      <c r="I41" s="9">
        <f>'PE HC'!I70</f>
        <v>100218.13819684784</v>
      </c>
      <c r="J41" s="9">
        <f>'PE HC'!J70</f>
        <v>100218.13819684784</v>
      </c>
      <c r="K41" s="9">
        <f>'PE HC'!K70</f>
        <v>100218.13819684784</v>
      </c>
      <c r="L41" s="9">
        <f>'PE HC'!L70</f>
        <v>100218.13819684784</v>
      </c>
      <c r="M41" s="9">
        <f>'PE HC'!M70</f>
        <v>100218.13819684784</v>
      </c>
      <c r="N41" s="9">
        <f>'PE HC'!N70</f>
        <v>100218.13819684784</v>
      </c>
      <c r="O41" s="9">
        <f>'PE HC'!O70</f>
        <v>100218.13819684784</v>
      </c>
      <c r="P41" s="9">
        <f>'PE HC'!P70</f>
        <v>100218.13819684784</v>
      </c>
      <c r="Q41" s="9">
        <f>'PE HC'!Q70</f>
        <v>100218.13819684784</v>
      </c>
      <c r="R41" s="9">
        <f>'PE HC'!R70</f>
        <v>100218.13819684784</v>
      </c>
      <c r="S41" s="9">
        <f>'PE HC'!S70</f>
        <v>100218.13819684784</v>
      </c>
      <c r="T41" s="9">
        <f>'PE HC'!T70</f>
        <v>100218.13819684784</v>
      </c>
      <c r="U41" s="9">
        <f>'PE HC'!U70</f>
        <v>100218.13819684784</v>
      </c>
      <c r="V41" s="9">
        <f>'PE HC'!V70</f>
        <v>103224.68234275328</v>
      </c>
      <c r="W41" s="9">
        <f>'PE HC'!W70</f>
        <v>103224.68234275328</v>
      </c>
      <c r="X41" s="9">
        <f>'PE HC'!X70</f>
        <v>103224.68234275328</v>
      </c>
      <c r="Y41" s="9"/>
      <c r="Z41" s="9">
        <f t="shared" si="6"/>
        <v>1211637.2907998906</v>
      </c>
    </row>
    <row r="42" spans="2:26" x14ac:dyDescent="0.3">
      <c r="B42" t="s">
        <v>18</v>
      </c>
      <c r="C42" t="s">
        <v>19</v>
      </c>
      <c r="D42" t="s">
        <v>15</v>
      </c>
      <c r="I42" s="9">
        <f>'CO HC'!I70</f>
        <v>42411.586147391412</v>
      </c>
      <c r="J42" s="9">
        <f>'CO HC'!J70</f>
        <v>51196.130753748868</v>
      </c>
      <c r="K42" s="9">
        <f>'CO HC'!K70</f>
        <v>51196.130753748868</v>
      </c>
      <c r="L42" s="9">
        <f>'CO HC'!L70</f>
        <v>51196.130753748868</v>
      </c>
      <c r="M42" s="9">
        <f>'CO HC'!M70</f>
        <v>51196.130753748868</v>
      </c>
      <c r="N42" s="9">
        <f>'CO HC'!N70</f>
        <v>51196.130753748868</v>
      </c>
      <c r="O42" s="9">
        <f>'CO HC'!O70</f>
        <v>51196.130753748868</v>
      </c>
      <c r="P42" s="9">
        <f>'CO HC'!P70</f>
        <v>51196.130753748868</v>
      </c>
      <c r="Q42" s="9">
        <f>'CO HC'!Q70</f>
        <v>51196.130753748868</v>
      </c>
      <c r="R42" s="9">
        <f>'CO HC'!R70</f>
        <v>51196.130753748868</v>
      </c>
      <c r="S42" s="9">
        <f>'CO HC'!S70</f>
        <v>51196.130753748868</v>
      </c>
      <c r="T42" s="9">
        <f>'CO HC'!T70</f>
        <v>51196.130753748868</v>
      </c>
      <c r="U42" s="9">
        <f>'CO HC'!U70</f>
        <v>51196.130753748868</v>
      </c>
      <c r="V42" s="9">
        <f>'CO HC'!V70</f>
        <v>52732.014676361345</v>
      </c>
      <c r="W42" s="9">
        <f>'CO HC'!W70</f>
        <v>52732.014676361345</v>
      </c>
      <c r="X42" s="9">
        <f>'CO HC'!X70</f>
        <v>52732.014676361345</v>
      </c>
      <c r="Y42" s="9"/>
      <c r="Z42" s="9">
        <f t="shared" si="6"/>
        <v>618961.22081282386</v>
      </c>
    </row>
    <row r="43" spans="2:26" x14ac:dyDescent="0.3">
      <c r="B43" s="12" t="s">
        <v>26</v>
      </c>
      <c r="C43" s="12"/>
      <c r="D43" s="12"/>
      <c r="E43" s="12"/>
      <c r="F43" s="12"/>
      <c r="G43" s="12"/>
      <c r="H43" s="12"/>
      <c r="I43" s="13">
        <f t="shared" ref="I43:X43" si="7">SUM(I38:I42)</f>
        <v>369769.46500443021</v>
      </c>
      <c r="J43" s="13">
        <f t="shared" si="7"/>
        <v>378554.00961078767</v>
      </c>
      <c r="K43" s="13">
        <f t="shared" si="7"/>
        <v>378554.00961078767</v>
      </c>
      <c r="L43" s="13">
        <f t="shared" si="7"/>
        <v>391538.08974709205</v>
      </c>
      <c r="M43" s="13">
        <f t="shared" si="7"/>
        <v>391538.08974709205</v>
      </c>
      <c r="N43" s="13">
        <f t="shared" si="7"/>
        <v>391538.08974709205</v>
      </c>
      <c r="O43" s="13">
        <f t="shared" si="7"/>
        <v>391538.08974709205</v>
      </c>
      <c r="P43" s="13">
        <f t="shared" si="7"/>
        <v>391538.08974709205</v>
      </c>
      <c r="Q43" s="13">
        <f t="shared" si="7"/>
        <v>391538.08974709205</v>
      </c>
      <c r="R43" s="13">
        <f t="shared" si="7"/>
        <v>391538.08974709205</v>
      </c>
      <c r="S43" s="13">
        <f t="shared" si="7"/>
        <v>391538.08974709205</v>
      </c>
      <c r="T43" s="13">
        <f t="shared" si="7"/>
        <v>391538.08974709205</v>
      </c>
      <c r="U43" s="13">
        <f t="shared" si="7"/>
        <v>391538.08974709205</v>
      </c>
      <c r="V43" s="13">
        <f t="shared" si="7"/>
        <v>403284.23243950482</v>
      </c>
      <c r="W43" s="13">
        <f t="shared" si="7"/>
        <v>403284.23243950482</v>
      </c>
      <c r="X43" s="13">
        <f t="shared" si="7"/>
        <v>403284.23243950482</v>
      </c>
      <c r="Y43" s="13"/>
      <c r="Z43" s="13">
        <f t="shared" si="6"/>
        <v>4733695.5050423434</v>
      </c>
    </row>
    <row r="45" spans="2:26" x14ac:dyDescent="0.3">
      <c r="B45" s="8" t="s">
        <v>27</v>
      </c>
      <c r="C45" s="8"/>
      <c r="D45" s="8"/>
    </row>
    <row r="46" spans="2:26" x14ac:dyDescent="0.3">
      <c r="B46" t="s">
        <v>10</v>
      </c>
      <c r="I46" s="9">
        <f t="shared" ref="I46:X47" si="8">SUMIF($D$38:$D$42,$B46,I$38:I$42)</f>
        <v>164939.4120237953</v>
      </c>
      <c r="J46" s="9">
        <f t="shared" si="8"/>
        <v>164939.4120237953</v>
      </c>
      <c r="K46" s="9">
        <f t="shared" si="8"/>
        <v>164939.4120237953</v>
      </c>
      <c r="L46" s="9">
        <f t="shared" si="8"/>
        <v>164939.4120237953</v>
      </c>
      <c r="M46" s="9">
        <f t="shared" si="8"/>
        <v>164939.4120237953</v>
      </c>
      <c r="N46" s="9">
        <f t="shared" si="8"/>
        <v>164939.4120237953</v>
      </c>
      <c r="O46" s="9">
        <f t="shared" si="8"/>
        <v>164939.4120237953</v>
      </c>
      <c r="P46" s="9">
        <f t="shared" si="8"/>
        <v>164939.4120237953</v>
      </c>
      <c r="Q46" s="9">
        <f t="shared" si="8"/>
        <v>164939.4120237953</v>
      </c>
      <c r="R46" s="9">
        <f t="shared" si="8"/>
        <v>164939.4120237953</v>
      </c>
      <c r="S46" s="9">
        <f t="shared" si="8"/>
        <v>164939.4120237953</v>
      </c>
      <c r="T46" s="9">
        <f t="shared" si="8"/>
        <v>164939.4120237953</v>
      </c>
      <c r="U46" s="9">
        <f t="shared" si="8"/>
        <v>164939.4120237953</v>
      </c>
      <c r="V46" s="9">
        <f t="shared" si="8"/>
        <v>169887.59438450917</v>
      </c>
      <c r="W46" s="9">
        <f t="shared" si="8"/>
        <v>169887.59438450917</v>
      </c>
      <c r="X46" s="9">
        <f t="shared" si="8"/>
        <v>169887.59438450917</v>
      </c>
      <c r="Y46" s="9"/>
      <c r="Z46" s="9">
        <f>SUM(M46:X46)</f>
        <v>1994117.4913676851</v>
      </c>
    </row>
    <row r="47" spans="2:26" x14ac:dyDescent="0.3">
      <c r="B47" t="s">
        <v>15</v>
      </c>
      <c r="I47" s="9">
        <f t="shared" si="8"/>
        <v>204830.05298063491</v>
      </c>
      <c r="J47" s="9">
        <f t="shared" si="8"/>
        <v>213614.59758699237</v>
      </c>
      <c r="K47" s="9">
        <f t="shared" si="8"/>
        <v>213614.59758699237</v>
      </c>
      <c r="L47" s="9">
        <f t="shared" si="8"/>
        <v>226598.67772329674</v>
      </c>
      <c r="M47" s="9">
        <f t="shared" si="8"/>
        <v>226598.67772329674</v>
      </c>
      <c r="N47" s="9">
        <f t="shared" si="8"/>
        <v>226598.67772329674</v>
      </c>
      <c r="O47" s="9">
        <f t="shared" si="8"/>
        <v>226598.67772329674</v>
      </c>
      <c r="P47" s="9">
        <f t="shared" si="8"/>
        <v>226598.67772329674</v>
      </c>
      <c r="Q47" s="9">
        <f t="shared" si="8"/>
        <v>226598.67772329674</v>
      </c>
      <c r="R47" s="9">
        <f t="shared" si="8"/>
        <v>226598.67772329674</v>
      </c>
      <c r="S47" s="9">
        <f t="shared" si="8"/>
        <v>226598.67772329674</v>
      </c>
      <c r="T47" s="9">
        <f t="shared" si="8"/>
        <v>226598.67772329674</v>
      </c>
      <c r="U47" s="9">
        <f t="shared" si="8"/>
        <v>226598.67772329674</v>
      </c>
      <c r="V47" s="9">
        <f t="shared" si="8"/>
        <v>233396.63805499562</v>
      </c>
      <c r="W47" s="9">
        <f t="shared" si="8"/>
        <v>233396.63805499562</v>
      </c>
      <c r="X47" s="9">
        <f t="shared" si="8"/>
        <v>233396.63805499562</v>
      </c>
      <c r="Y47" s="9"/>
      <c r="Z47" s="9">
        <f>SUM(M47:X47)</f>
        <v>2739578.0136746578</v>
      </c>
    </row>
    <row r="48" spans="2:26" x14ac:dyDescent="0.3">
      <c r="B48" s="12" t="s">
        <v>28</v>
      </c>
      <c r="C48" s="12"/>
      <c r="D48" s="12"/>
      <c r="E48" s="12"/>
      <c r="F48" s="12"/>
      <c r="G48" s="12"/>
      <c r="H48" s="12"/>
      <c r="I48" s="13">
        <f t="shared" ref="I48:X48" si="9">SUM(I46:I47)</f>
        <v>369769.46500443021</v>
      </c>
      <c r="J48" s="13">
        <f t="shared" si="9"/>
        <v>378554.00961078767</v>
      </c>
      <c r="K48" s="13">
        <f t="shared" si="9"/>
        <v>378554.00961078767</v>
      </c>
      <c r="L48" s="13">
        <f t="shared" si="9"/>
        <v>391538.08974709205</v>
      </c>
      <c r="M48" s="13">
        <f t="shared" si="9"/>
        <v>391538.08974709205</v>
      </c>
      <c r="N48" s="13">
        <f t="shared" si="9"/>
        <v>391538.08974709205</v>
      </c>
      <c r="O48" s="13">
        <f t="shared" si="9"/>
        <v>391538.08974709205</v>
      </c>
      <c r="P48" s="13">
        <f t="shared" si="9"/>
        <v>391538.08974709205</v>
      </c>
      <c r="Q48" s="13">
        <f t="shared" si="9"/>
        <v>391538.08974709205</v>
      </c>
      <c r="R48" s="13">
        <f t="shared" si="9"/>
        <v>391538.08974709205</v>
      </c>
      <c r="S48" s="13">
        <f t="shared" si="9"/>
        <v>391538.08974709205</v>
      </c>
      <c r="T48" s="13">
        <f t="shared" si="9"/>
        <v>391538.08974709205</v>
      </c>
      <c r="U48" s="13">
        <f t="shared" si="9"/>
        <v>391538.08974709205</v>
      </c>
      <c r="V48" s="13">
        <f t="shared" si="9"/>
        <v>403284.23243950482</v>
      </c>
      <c r="W48" s="13">
        <f t="shared" si="9"/>
        <v>403284.23243950482</v>
      </c>
      <c r="X48" s="13">
        <f t="shared" si="9"/>
        <v>403284.23243950482</v>
      </c>
      <c r="Y48" s="13"/>
      <c r="Z48" s="13">
        <f>SUM(M48:X48)</f>
        <v>4733695.5050423434</v>
      </c>
    </row>
    <row r="49" spans="2:26" x14ac:dyDescent="0.3">
      <c r="B49" s="14" t="s">
        <v>29</v>
      </c>
      <c r="C49" s="14"/>
      <c r="D49" s="14"/>
      <c r="E49" s="14"/>
      <c r="F49" s="14"/>
      <c r="G49" s="14"/>
      <c r="H49" s="14"/>
      <c r="I49" s="9">
        <f t="shared" ref="I49:X49" si="10">I48-I43</f>
        <v>0</v>
      </c>
      <c r="J49" s="9">
        <f t="shared" si="10"/>
        <v>0</v>
      </c>
      <c r="K49" s="9">
        <f t="shared" si="10"/>
        <v>0</v>
      </c>
      <c r="L49" s="9">
        <f t="shared" si="10"/>
        <v>0</v>
      </c>
      <c r="M49" s="9">
        <f t="shared" si="10"/>
        <v>0</v>
      </c>
      <c r="N49" s="9">
        <f t="shared" si="10"/>
        <v>0</v>
      </c>
      <c r="O49" s="9">
        <f t="shared" si="10"/>
        <v>0</v>
      </c>
      <c r="P49" s="9">
        <f t="shared" si="10"/>
        <v>0</v>
      </c>
      <c r="Q49" s="9">
        <f t="shared" si="10"/>
        <v>0</v>
      </c>
      <c r="R49" s="9">
        <f t="shared" si="10"/>
        <v>0</v>
      </c>
      <c r="S49" s="9">
        <f t="shared" si="10"/>
        <v>0</v>
      </c>
      <c r="T49" s="9">
        <f t="shared" si="10"/>
        <v>0</v>
      </c>
      <c r="U49" s="9">
        <f t="shared" si="10"/>
        <v>0</v>
      </c>
      <c r="V49" s="9">
        <f t="shared" si="10"/>
        <v>0</v>
      </c>
      <c r="W49" s="9">
        <f t="shared" si="10"/>
        <v>0</v>
      </c>
      <c r="X49" s="9">
        <f t="shared" si="10"/>
        <v>0</v>
      </c>
      <c r="Y49" s="9"/>
      <c r="Z49" s="9"/>
    </row>
    <row r="51" spans="2:26" x14ac:dyDescent="0.3">
      <c r="B51" s="8" t="s">
        <v>30</v>
      </c>
      <c r="C51" s="8"/>
      <c r="D51" s="8"/>
    </row>
    <row r="52" spans="2:26" x14ac:dyDescent="0.3">
      <c r="B52" t="s">
        <v>8</v>
      </c>
      <c r="C52" t="s">
        <v>9</v>
      </c>
      <c r="I52" s="9">
        <f>SUM('PO HC'!I52:I57)</f>
        <v>0</v>
      </c>
      <c r="J52" s="9">
        <f>SUM('PO HC'!J52:J57)</f>
        <v>0</v>
      </c>
      <c r="K52" s="9">
        <f>SUM('PO HC'!K52:K57)</f>
        <v>0</v>
      </c>
      <c r="L52" s="9">
        <f>SUM('PO HC'!L52:L57)</f>
        <v>0</v>
      </c>
      <c r="M52" s="9">
        <f>SUM('PO HC'!M52:M57)</f>
        <v>0</v>
      </c>
      <c r="N52" s="9">
        <f>SUM('PO HC'!N52:N57)</f>
        <v>0</v>
      </c>
      <c r="O52" s="9">
        <f>SUM('PO HC'!O52:O57)</f>
        <v>0</v>
      </c>
      <c r="P52" s="9">
        <f>SUM('PO HC'!P52:P57)</f>
        <v>0</v>
      </c>
      <c r="Q52" s="9">
        <f>SUM('PO HC'!Q52:Q57)</f>
        <v>0</v>
      </c>
      <c r="R52" s="9">
        <f>SUM('PO HC'!R52:R57)</f>
        <v>0</v>
      </c>
      <c r="S52" s="9">
        <f>SUM('PO HC'!S52:S57)</f>
        <v>0</v>
      </c>
      <c r="T52" s="9">
        <f>SUM('PO HC'!T52:T57)</f>
        <v>0</v>
      </c>
      <c r="U52" s="9">
        <f>SUM('PO HC'!U52:U57)</f>
        <v>0</v>
      </c>
      <c r="V52" s="9">
        <f>SUM('PO HC'!V52:V57)</f>
        <v>0</v>
      </c>
      <c r="W52" s="9">
        <f>SUM('PO HC'!W52:W57)</f>
        <v>0</v>
      </c>
      <c r="X52" s="9">
        <f>SUM('PO HC'!X52:X57)</f>
        <v>0</v>
      </c>
      <c r="Y52" s="9"/>
      <c r="Z52" s="9">
        <f t="shared" ref="Z52:Z57" si="11">SUM(M52:X52)</f>
        <v>0</v>
      </c>
    </row>
    <row r="53" spans="2:26" x14ac:dyDescent="0.3">
      <c r="B53" t="s">
        <v>11</v>
      </c>
      <c r="C53" t="s">
        <v>12</v>
      </c>
      <c r="I53" s="9">
        <f>SUM('FO HC'!I52:I57)</f>
        <v>0</v>
      </c>
      <c r="J53" s="9">
        <f>SUM('FO HC'!J52:J57)</f>
        <v>0</v>
      </c>
      <c r="K53" s="9">
        <f>SUM('FO HC'!K52:K57)</f>
        <v>0</v>
      </c>
      <c r="L53" s="9">
        <f>SUM('FO HC'!L52:L57)</f>
        <v>0</v>
      </c>
      <c r="M53" s="9">
        <f>SUM('FO HC'!M52:M57)</f>
        <v>0</v>
      </c>
      <c r="N53" s="9">
        <f>SUM('FO HC'!N52:N57)</f>
        <v>0</v>
      </c>
      <c r="O53" s="9">
        <f>SUM('FO HC'!O52:O57)</f>
        <v>0</v>
      </c>
      <c r="P53" s="9">
        <f>SUM('FO HC'!P52:P57)</f>
        <v>0</v>
      </c>
      <c r="Q53" s="9">
        <f>SUM('FO HC'!Q52:Q57)</f>
        <v>0</v>
      </c>
      <c r="R53" s="9">
        <f>SUM('FO HC'!R52:R57)</f>
        <v>0</v>
      </c>
      <c r="S53" s="9">
        <f>SUM('FO HC'!S52:S57)</f>
        <v>0</v>
      </c>
      <c r="T53" s="9">
        <f>SUM('FO HC'!T52:T57)</f>
        <v>0</v>
      </c>
      <c r="U53" s="9">
        <f>SUM('FO HC'!U52:U57)</f>
        <v>0</v>
      </c>
      <c r="V53" s="9">
        <f>SUM('FO HC'!V52:V57)</f>
        <v>0</v>
      </c>
      <c r="W53" s="9">
        <f>SUM('FO HC'!W52:W57)</f>
        <v>0</v>
      </c>
      <c r="X53" s="9">
        <f>SUM('FO HC'!X52:X57)</f>
        <v>0</v>
      </c>
      <c r="Y53" s="9"/>
      <c r="Z53" s="9">
        <f t="shared" si="11"/>
        <v>0</v>
      </c>
    </row>
    <row r="54" spans="2:26" x14ac:dyDescent="0.3">
      <c r="B54" t="s">
        <v>13</v>
      </c>
      <c r="C54" t="s">
        <v>14</v>
      </c>
      <c r="I54" s="9">
        <f>SUM('FE HC'!I52:I57)</f>
        <v>0</v>
      </c>
      <c r="J54" s="9">
        <f>SUM('FE HC'!J52:J57)</f>
        <v>0</v>
      </c>
      <c r="K54" s="9">
        <f>SUM('FE HC'!K52:K57)</f>
        <v>0</v>
      </c>
      <c r="L54" s="9">
        <f>SUM('FE HC'!L52:L57)</f>
        <v>0</v>
      </c>
      <c r="M54" s="9">
        <f>SUM('FE HC'!M52:M57)</f>
        <v>0</v>
      </c>
      <c r="N54" s="9">
        <f>SUM('FE HC'!N52:N57)</f>
        <v>0</v>
      </c>
      <c r="O54" s="9">
        <f>SUM('FE HC'!O52:O57)</f>
        <v>0</v>
      </c>
      <c r="P54" s="9">
        <f>SUM('FE HC'!P52:P57)</f>
        <v>0</v>
      </c>
      <c r="Q54" s="9">
        <f>SUM('FE HC'!Q52:Q57)</f>
        <v>0</v>
      </c>
      <c r="R54" s="9">
        <f>SUM('FE HC'!R52:R57)</f>
        <v>0</v>
      </c>
      <c r="S54" s="9">
        <f>SUM('FE HC'!S52:S57)</f>
        <v>0</v>
      </c>
      <c r="T54" s="9">
        <f>SUM('FE HC'!T52:T57)</f>
        <v>0</v>
      </c>
      <c r="U54" s="9">
        <f>SUM('FE HC'!U52:U57)</f>
        <v>0</v>
      </c>
      <c r="V54" s="9">
        <f>SUM('FE HC'!V52:V57)</f>
        <v>0</v>
      </c>
      <c r="W54" s="9">
        <f>SUM('FE HC'!W52:W57)</f>
        <v>0</v>
      </c>
      <c r="X54" s="9">
        <f>SUM('FE HC'!X52:X57)</f>
        <v>0</v>
      </c>
      <c r="Y54" s="9"/>
      <c r="Z54" s="9">
        <f t="shared" si="11"/>
        <v>0</v>
      </c>
    </row>
    <row r="55" spans="2:26" x14ac:dyDescent="0.3">
      <c r="B55" t="s">
        <v>16</v>
      </c>
      <c r="C55" t="s">
        <v>17</v>
      </c>
      <c r="I55" s="9">
        <f>SUM('PE HC'!I52:I57)</f>
        <v>0</v>
      </c>
      <c r="J55" s="9">
        <f>SUM('PE HC'!J52:J57)</f>
        <v>0</v>
      </c>
      <c r="K55" s="9">
        <f>SUM('PE HC'!K52:K57)</f>
        <v>0</v>
      </c>
      <c r="L55" s="9">
        <f>SUM('PE HC'!L52:L57)</f>
        <v>0</v>
      </c>
      <c r="M55" s="9">
        <f>SUM('PE HC'!M52:M57)</f>
        <v>0</v>
      </c>
      <c r="N55" s="9">
        <f>SUM('PE HC'!N52:N57)</f>
        <v>0</v>
      </c>
      <c r="O55" s="9">
        <f>SUM('PE HC'!O52:O57)</f>
        <v>0</v>
      </c>
      <c r="P55" s="9">
        <f>SUM('PE HC'!P52:P57)</f>
        <v>0</v>
      </c>
      <c r="Q55" s="9">
        <f>SUM('PE HC'!Q52:Q57)</f>
        <v>0</v>
      </c>
      <c r="R55" s="9">
        <f>SUM('PE HC'!R52:R57)</f>
        <v>0</v>
      </c>
      <c r="S55" s="9">
        <f>SUM('PE HC'!S52:S57)</f>
        <v>0</v>
      </c>
      <c r="T55" s="9">
        <f>SUM('PE HC'!T52:T57)</f>
        <v>0</v>
      </c>
      <c r="U55" s="9">
        <f>SUM('PE HC'!U52:U57)</f>
        <v>0</v>
      </c>
      <c r="V55" s="9">
        <f>SUM('PE HC'!V52:V57)</f>
        <v>0</v>
      </c>
      <c r="W55" s="9">
        <f>SUM('PE HC'!W52:W57)</f>
        <v>0</v>
      </c>
      <c r="X55" s="9">
        <f>SUM('PE HC'!X52:X57)</f>
        <v>0</v>
      </c>
      <c r="Y55" s="9"/>
      <c r="Z55" s="9">
        <f t="shared" si="11"/>
        <v>0</v>
      </c>
    </row>
    <row r="56" spans="2:26" x14ac:dyDescent="0.3">
      <c r="B56" t="s">
        <v>18</v>
      </c>
      <c r="C56" t="s">
        <v>19</v>
      </c>
      <c r="I56" s="9">
        <f>SUM('CO HC'!I52:I57)</f>
        <v>0</v>
      </c>
      <c r="J56" s="9">
        <f>SUM('CO HC'!J52:J57)</f>
        <v>0</v>
      </c>
      <c r="K56" s="9">
        <f>SUM('CO HC'!K52:K57)</f>
        <v>0</v>
      </c>
      <c r="L56" s="9">
        <f>SUM('CO HC'!L52:L57)</f>
        <v>0</v>
      </c>
      <c r="M56" s="9">
        <f>SUM('CO HC'!M52:M57)</f>
        <v>0</v>
      </c>
      <c r="N56" s="9">
        <f>SUM('CO HC'!N52:N57)</f>
        <v>0</v>
      </c>
      <c r="O56" s="9">
        <f>SUM('CO HC'!O52:O57)</f>
        <v>0</v>
      </c>
      <c r="P56" s="9">
        <f>SUM('CO HC'!P52:P57)</f>
        <v>0</v>
      </c>
      <c r="Q56" s="9">
        <f>SUM('CO HC'!Q52:Q57)</f>
        <v>0</v>
      </c>
      <c r="R56" s="9">
        <f>SUM('CO HC'!R52:R57)</f>
        <v>0</v>
      </c>
      <c r="S56" s="9">
        <f>SUM('CO HC'!S52:S57)</f>
        <v>0</v>
      </c>
      <c r="T56" s="9">
        <f>SUM('CO HC'!T52:T57)</f>
        <v>0</v>
      </c>
      <c r="U56" s="9">
        <f>SUM('CO HC'!U52:U57)</f>
        <v>0</v>
      </c>
      <c r="V56" s="9">
        <f>SUM('CO HC'!V52:V57)</f>
        <v>0</v>
      </c>
      <c r="W56" s="9">
        <f>SUM('CO HC'!W52:W57)</f>
        <v>0</v>
      </c>
      <c r="X56" s="9">
        <f>SUM('CO HC'!X52:X57)</f>
        <v>0</v>
      </c>
      <c r="Y56" s="9"/>
      <c r="Z56" s="9">
        <f t="shared" si="11"/>
        <v>0</v>
      </c>
    </row>
    <row r="57" spans="2:26" x14ac:dyDescent="0.3">
      <c r="B57" s="10" t="s">
        <v>31</v>
      </c>
      <c r="C57" s="10"/>
      <c r="D57" s="10"/>
      <c r="E57" s="10"/>
      <c r="F57" s="10"/>
      <c r="G57" s="10"/>
      <c r="H57" s="10"/>
      <c r="I57" s="11">
        <f t="shared" ref="I57:X57" si="12">SUM(I52:I56)</f>
        <v>0</v>
      </c>
      <c r="J57" s="11">
        <f t="shared" si="12"/>
        <v>0</v>
      </c>
      <c r="K57" s="11">
        <f t="shared" si="12"/>
        <v>0</v>
      </c>
      <c r="L57" s="11">
        <f t="shared" si="12"/>
        <v>0</v>
      </c>
      <c r="M57" s="11">
        <f t="shared" si="12"/>
        <v>0</v>
      </c>
      <c r="N57" s="11">
        <f t="shared" si="12"/>
        <v>0</v>
      </c>
      <c r="O57" s="11">
        <f t="shared" si="12"/>
        <v>0</v>
      </c>
      <c r="P57" s="11">
        <f t="shared" si="12"/>
        <v>0</v>
      </c>
      <c r="Q57" s="11">
        <f t="shared" si="12"/>
        <v>0</v>
      </c>
      <c r="R57" s="11">
        <f t="shared" si="12"/>
        <v>0</v>
      </c>
      <c r="S57" s="11">
        <f t="shared" si="12"/>
        <v>0</v>
      </c>
      <c r="T57" s="11">
        <f t="shared" si="12"/>
        <v>0</v>
      </c>
      <c r="U57" s="11">
        <f t="shared" si="12"/>
        <v>0</v>
      </c>
      <c r="V57" s="11">
        <f t="shared" si="12"/>
        <v>0</v>
      </c>
      <c r="W57" s="11">
        <f t="shared" si="12"/>
        <v>0</v>
      </c>
      <c r="X57" s="11">
        <f t="shared" si="12"/>
        <v>0</v>
      </c>
      <c r="Y57" s="11"/>
      <c r="Z57" s="11">
        <f t="shared" si="11"/>
        <v>0</v>
      </c>
    </row>
    <row r="59" spans="2:26" x14ac:dyDescent="0.3">
      <c r="B59" s="8" t="s">
        <v>32</v>
      </c>
      <c r="C59" s="8"/>
      <c r="D59" s="8"/>
    </row>
    <row r="60" spans="2:26" x14ac:dyDescent="0.3">
      <c r="B60" t="s">
        <v>33</v>
      </c>
      <c r="I60" s="15">
        <f>COUNTIF('PO HC'!$E$52:$E$57,I$10)+COUNTIF('FO HC'!$E$52:$E$57,I$10)+COUNTIF('FE HC'!$E$52:$E$57,I$10)+COUNTIF('PE HC'!$E$52:$E$57,I$10)+COUNTIF('CO HC'!$E$52:$E$57,I$10)</f>
        <v>0</v>
      </c>
      <c r="J60" s="15">
        <f>COUNTIF('PO HC'!$E$52:$E$57,J$10)+COUNTIF('FO HC'!$E$52:$E$57,J$10)+COUNTIF('FE HC'!$E$52:$E$57,J$10)+COUNTIF('PE HC'!$E$52:$E$57,J$10)+COUNTIF('CO HC'!$E$52:$E$57,J$10)</f>
        <v>0</v>
      </c>
      <c r="K60" s="15">
        <f>COUNTIF('PO HC'!$E$52:$E$57,K$10)+COUNTIF('FO HC'!$E$52:$E$57,K$10)+COUNTIF('FE HC'!$E$52:$E$57,K$10)+COUNTIF('PE HC'!$E$52:$E$57,K$10)+COUNTIF('CO HC'!$E$52:$E$57,K$10)</f>
        <v>0</v>
      </c>
      <c r="L60" s="15">
        <f>COUNTIF('PO HC'!$E$52:$E$57,L$10)+COUNTIF('FO HC'!$E$52:$E$57,L$10)+COUNTIF('FE HC'!$E$52:$E$57,L$10)+COUNTIF('PE HC'!$E$52:$E$57,L$10)+COUNTIF('CO HC'!$E$52:$E$57,L$10)</f>
        <v>0</v>
      </c>
      <c r="M60" s="15">
        <f>COUNTIF('PO HC'!$E$52:$E$57,M$10)+COUNTIF('FO HC'!$E$52:$E$57,M$10)+COUNTIF('FE HC'!$E$52:$E$57,M$10)+COUNTIF('PE HC'!$E$52:$E$57,M$10)+COUNTIF('CO HC'!$E$52:$E$57,M$10)</f>
        <v>0</v>
      </c>
      <c r="N60" s="15">
        <f>COUNTIF('PO HC'!$E$52:$E$57,N$10)+COUNTIF('FO HC'!$E$52:$E$57,N$10)+COUNTIF('FE HC'!$E$52:$E$57,N$10)+COUNTIF('PE HC'!$E$52:$E$57,N$10)+COUNTIF('CO HC'!$E$52:$E$57,N$10)</f>
        <v>0</v>
      </c>
      <c r="O60" s="15">
        <f>COUNTIF('PO HC'!$E$52:$E$57,O$10)+COUNTIF('FO HC'!$E$52:$E$57,O$10)+COUNTIF('FE HC'!$E$52:$E$57,O$10)+COUNTIF('PE HC'!$E$52:$E$57,O$10)+COUNTIF('CO HC'!$E$52:$E$57,O$10)</f>
        <v>0</v>
      </c>
      <c r="P60" s="15">
        <f>COUNTIF('PO HC'!$E$52:$E$57,P$10)+COUNTIF('FO HC'!$E$52:$E$57,P$10)+COUNTIF('FE HC'!$E$52:$E$57,P$10)+COUNTIF('PE HC'!$E$52:$E$57,P$10)+COUNTIF('CO HC'!$E$52:$E$57,P$10)</f>
        <v>0</v>
      </c>
      <c r="Q60" s="15">
        <f>COUNTIF('PO HC'!$E$52:$E$57,Q$10)+COUNTIF('FO HC'!$E$52:$E$57,Q$10)+COUNTIF('FE HC'!$E$52:$E$57,Q$10)+COUNTIF('PE HC'!$E$52:$E$57,Q$10)+COUNTIF('CO HC'!$E$52:$E$57,Q$10)</f>
        <v>0</v>
      </c>
      <c r="R60" s="15">
        <f>COUNTIF('PO HC'!$E$52:$E$57,R$10)+COUNTIF('FO HC'!$E$52:$E$57,R$10)+COUNTIF('FE HC'!$E$52:$E$57,R$10)+COUNTIF('PE HC'!$E$52:$E$57,R$10)+COUNTIF('CO HC'!$E$52:$E$57,R$10)</f>
        <v>0</v>
      </c>
      <c r="S60" s="15">
        <f>COUNTIF('PO HC'!$E$52:$E$57,S$10)+COUNTIF('FO HC'!$E$52:$E$57,S$10)+COUNTIF('FE HC'!$E$52:$E$57,S$10)+COUNTIF('PE HC'!$E$52:$E$57,S$10)+COUNTIF('CO HC'!$E$52:$E$57,S$10)</f>
        <v>0</v>
      </c>
      <c r="T60" s="15">
        <f>COUNTIF('PO HC'!$E$52:$E$57,T$10)+COUNTIF('FO HC'!$E$52:$E$57,T$10)+COUNTIF('FE HC'!$E$52:$E$57,T$10)+COUNTIF('PE HC'!$E$52:$E$57,T$10)+COUNTIF('CO HC'!$E$52:$E$57,T$10)</f>
        <v>0</v>
      </c>
      <c r="U60" s="15">
        <f>COUNTIF('PO HC'!$E$52:$E$57,U$10)+COUNTIF('FO HC'!$E$52:$E$57,U$10)+COUNTIF('FE HC'!$E$52:$E$57,U$10)+COUNTIF('PE HC'!$E$52:$E$57,U$10)+COUNTIF('CO HC'!$E$52:$E$57,U$10)</f>
        <v>0</v>
      </c>
      <c r="V60" s="15">
        <f>COUNTIF('PO HC'!$E$52:$E$57,V$10)+COUNTIF('FO HC'!$E$52:$E$57,V$10)+COUNTIF('FE HC'!$E$52:$E$57,V$10)+COUNTIF('PE HC'!$E$52:$E$57,V$10)+COUNTIF('CO HC'!$E$52:$E$57,V$10)</f>
        <v>0</v>
      </c>
      <c r="W60" s="15">
        <f>COUNTIF('PO HC'!$E$52:$E$57,W$10)+COUNTIF('FO HC'!$E$52:$E$57,W$10)+COUNTIF('FE HC'!$E$52:$E$57,W$10)+COUNTIF('PE HC'!$E$52:$E$57,W$10)+COUNTIF('CO HC'!$E$52:$E$57,W$10)</f>
        <v>0</v>
      </c>
      <c r="X60" s="15">
        <f>COUNTIF('PO HC'!$E$52:$E$57,X$10)+COUNTIF('FO HC'!$E$52:$E$57,X$10)+COUNTIF('FE HC'!$E$52:$E$57,X$10)+COUNTIF('PE HC'!$E$52:$E$57,X$10)+COUNTIF('CO HC'!$E$52:$E$57,X$10)</f>
        <v>0</v>
      </c>
      <c r="Y60" s="15"/>
      <c r="Z60" s="15">
        <f>SUM(M60:X60)</f>
        <v>0</v>
      </c>
    </row>
    <row r="61" spans="2:26" x14ac:dyDescent="0.3">
      <c r="B61" t="s">
        <v>34</v>
      </c>
      <c r="I61" s="15">
        <f>COUNTIF('PO HC'!$E$59:$E$64,I$10)+COUNTIF('FO HC'!$E$59:$E$64,I$10)+COUNTIF('FE HC'!$E$59:$E$64,I$10)+COUNTIF('PE HC'!$E$59:$E$64,I$10)+COUNTIF('CO HC'!$E$59:$E$64,I$10)</f>
        <v>0</v>
      </c>
      <c r="J61" s="15">
        <f>COUNTIF('PO HC'!$E$59:$E$64,J$10)+COUNTIF('FO HC'!$E$59:$E$64,J$10)+COUNTIF('FE HC'!$E$59:$E$64,J$10)+COUNTIF('PE HC'!$E$59:$E$64,J$10)+COUNTIF('CO HC'!$E$59:$E$64,J$10)</f>
        <v>0</v>
      </c>
      <c r="K61" s="15">
        <f>COUNTIF('PO HC'!$E$59:$E$64,K$10)+COUNTIF('FO HC'!$E$59:$E$64,K$10)+COUNTIF('FE HC'!$E$59:$E$64,K$10)+COUNTIF('PE HC'!$E$59:$E$64,K$10)+COUNTIF('CO HC'!$E$59:$E$64,K$10)</f>
        <v>0</v>
      </c>
      <c r="L61" s="15">
        <f>COUNTIF('PO HC'!$E$59:$E$64,L$10)+COUNTIF('FO HC'!$E$59:$E$64,L$10)+COUNTIF('FE HC'!$E$59:$E$64,L$10)+COUNTIF('PE HC'!$E$59:$E$64,L$10)+COUNTIF('CO HC'!$E$59:$E$64,L$10)</f>
        <v>0</v>
      </c>
      <c r="M61" s="15">
        <f>COUNTIF('PO HC'!$E$59:$E$64,M$10)+COUNTIF('FO HC'!$E$59:$E$64,M$10)+COUNTIF('FE HC'!$E$59:$E$64,M$10)+COUNTIF('PE HC'!$E$59:$E$64,M$10)+COUNTIF('CO HC'!$E$59:$E$64,M$10)</f>
        <v>0</v>
      </c>
      <c r="N61" s="15">
        <f>COUNTIF('PO HC'!$E$59:$E$64,N$10)+COUNTIF('FO HC'!$E$59:$E$64,N$10)+COUNTIF('FE HC'!$E$59:$E$64,N$10)+COUNTIF('PE HC'!$E$59:$E$64,N$10)+COUNTIF('CO HC'!$E$59:$E$64,N$10)</f>
        <v>0</v>
      </c>
      <c r="O61" s="15">
        <f>COUNTIF('PO HC'!$E$59:$E$64,O$10)+COUNTIF('FO HC'!$E$59:$E$64,O$10)+COUNTIF('FE HC'!$E$59:$E$64,O$10)+COUNTIF('PE HC'!$E$59:$E$64,O$10)+COUNTIF('CO HC'!$E$59:$E$64,O$10)</f>
        <v>0</v>
      </c>
      <c r="P61" s="15">
        <f>COUNTIF('PO HC'!$E$59:$E$64,P$10)+COUNTIF('FO HC'!$E$59:$E$64,P$10)+COUNTIF('FE HC'!$E$59:$E$64,P$10)+COUNTIF('PE HC'!$E$59:$E$64,P$10)+COUNTIF('CO HC'!$E$59:$E$64,P$10)</f>
        <v>0</v>
      </c>
      <c r="Q61" s="15">
        <f>COUNTIF('PO HC'!$E$59:$E$64,Q$10)+COUNTIF('FO HC'!$E$59:$E$64,Q$10)+COUNTIF('FE HC'!$E$59:$E$64,Q$10)+COUNTIF('PE HC'!$E$59:$E$64,Q$10)+COUNTIF('CO HC'!$E$59:$E$64,Q$10)</f>
        <v>0</v>
      </c>
      <c r="R61" s="15">
        <f>COUNTIF('PO HC'!$E$59:$E$64,R$10)+COUNTIF('FO HC'!$E$59:$E$64,R$10)+COUNTIF('FE HC'!$E$59:$E$64,R$10)+COUNTIF('PE HC'!$E$59:$E$64,R$10)+COUNTIF('CO HC'!$E$59:$E$64,R$10)</f>
        <v>0</v>
      </c>
      <c r="S61" s="15">
        <f>COUNTIF('PO HC'!$E$59:$E$64,S$10)+COUNTIF('FO HC'!$E$59:$E$64,S$10)+COUNTIF('FE HC'!$E$59:$E$64,S$10)+COUNTIF('PE HC'!$E$59:$E$64,S$10)+COUNTIF('CO HC'!$E$59:$E$64,S$10)</f>
        <v>0</v>
      </c>
      <c r="T61" s="15">
        <f>COUNTIF('PO HC'!$E$59:$E$64,T$10)+COUNTIF('FO HC'!$E$59:$E$64,T$10)+COUNTIF('FE HC'!$E$59:$E$64,T$10)+COUNTIF('PE HC'!$E$59:$E$64,T$10)+COUNTIF('CO HC'!$E$59:$E$64,T$10)</f>
        <v>0</v>
      </c>
      <c r="U61" s="15">
        <f>COUNTIF('PO HC'!$E$59:$E$64,U$10)+COUNTIF('FO HC'!$E$59:$E$64,U$10)+COUNTIF('FE HC'!$E$59:$E$64,U$10)+COUNTIF('PE HC'!$E$59:$E$64,U$10)+COUNTIF('CO HC'!$E$59:$E$64,U$10)</f>
        <v>0</v>
      </c>
      <c r="V61" s="15">
        <f>COUNTIF('PO HC'!$E$59:$E$64,V$10)+COUNTIF('FO HC'!$E$59:$E$64,V$10)+COUNTIF('FE HC'!$E$59:$E$64,V$10)+COUNTIF('PE HC'!$E$59:$E$64,V$10)+COUNTIF('CO HC'!$E$59:$E$64,V$10)</f>
        <v>0</v>
      </c>
      <c r="W61" s="15">
        <f>COUNTIF('PO HC'!$E$59:$E$64,W$10)+COUNTIF('FO HC'!$E$59:$E$64,W$10)+COUNTIF('FE HC'!$E$59:$E$64,W$10)+COUNTIF('PE HC'!$E$59:$E$64,W$10)+COUNTIF('CO HC'!$E$59:$E$64,W$10)</f>
        <v>0</v>
      </c>
      <c r="X61" s="15">
        <f>COUNTIF('PO HC'!$E$59:$E$64,X$10)+COUNTIF('FO HC'!$E$59:$E$64,X$10)+COUNTIF('FE HC'!$E$59:$E$64,X$10)+COUNTIF('PE HC'!$E$59:$E$64,X$10)+COUNTIF('CO HC'!$E$59:$E$64,X$10)</f>
        <v>0</v>
      </c>
      <c r="Y61" s="15"/>
      <c r="Z61" s="15">
        <f>SUM(M61:X61)</f>
        <v>0</v>
      </c>
    </row>
    <row r="62" spans="2:26" x14ac:dyDescent="0.3">
      <c r="B62" s="16" t="s">
        <v>35</v>
      </c>
      <c r="C62" s="16"/>
      <c r="D62" s="16"/>
      <c r="E62" s="16"/>
      <c r="F62" s="16"/>
      <c r="G62" s="16"/>
      <c r="H62" s="16"/>
      <c r="I62" s="17">
        <f t="shared" ref="I62:X62" si="13">I60-I61</f>
        <v>0</v>
      </c>
      <c r="J62" s="17">
        <f t="shared" si="13"/>
        <v>0</v>
      </c>
      <c r="K62" s="17">
        <f t="shared" si="13"/>
        <v>0</v>
      </c>
      <c r="L62" s="17">
        <f t="shared" si="13"/>
        <v>0</v>
      </c>
      <c r="M62" s="17">
        <f t="shared" si="13"/>
        <v>0</v>
      </c>
      <c r="N62" s="17">
        <f t="shared" si="13"/>
        <v>0</v>
      </c>
      <c r="O62" s="17">
        <f t="shared" si="13"/>
        <v>0</v>
      </c>
      <c r="P62" s="17">
        <f t="shared" si="13"/>
        <v>0</v>
      </c>
      <c r="Q62" s="17">
        <f t="shared" si="13"/>
        <v>0</v>
      </c>
      <c r="R62" s="17">
        <f t="shared" si="13"/>
        <v>0</v>
      </c>
      <c r="S62" s="17">
        <f t="shared" si="13"/>
        <v>0</v>
      </c>
      <c r="T62" s="17">
        <f t="shared" si="13"/>
        <v>0</v>
      </c>
      <c r="U62" s="17">
        <f t="shared" si="13"/>
        <v>0</v>
      </c>
      <c r="V62" s="17">
        <f t="shared" si="13"/>
        <v>0</v>
      </c>
      <c r="W62" s="17">
        <f t="shared" si="13"/>
        <v>0</v>
      </c>
      <c r="X62" s="17">
        <f t="shared" si="13"/>
        <v>0</v>
      </c>
      <c r="Y62" s="17"/>
      <c r="Z62" s="17">
        <f>SUM(M62:X62)</f>
        <v>0</v>
      </c>
    </row>
    <row r="64" spans="2:26" x14ac:dyDescent="0.3">
      <c r="B64" s="171" t="s">
        <v>290</v>
      </c>
      <c r="Z64" s="175" t="s">
        <v>295</v>
      </c>
    </row>
    <row r="65" spans="2:26" x14ac:dyDescent="0.3">
      <c r="B65" t="s">
        <v>8</v>
      </c>
      <c r="C65" t="s">
        <v>9</v>
      </c>
      <c r="D65" t="s">
        <v>10</v>
      </c>
      <c r="I65" s="176">
        <f>COUNTIF('PO HC'!I$14:I$57,"&gt;0")</f>
        <v>9</v>
      </c>
      <c r="J65" s="176">
        <f>COUNTIF('PO HC'!J$14:J$57,"&gt;0")</f>
        <v>9</v>
      </c>
      <c r="K65" s="176">
        <f>COUNTIF('PO HC'!K$14:K$57,"&gt;0")</f>
        <v>9</v>
      </c>
      <c r="L65" s="176">
        <f>COUNTIF('PO HC'!L$14:L$57,"&gt;0")</f>
        <v>9</v>
      </c>
      <c r="M65" s="176">
        <f>COUNTIF('PO HC'!M$14:M$57,"&gt;0")</f>
        <v>9</v>
      </c>
      <c r="N65" s="176">
        <f>COUNTIF('PO HC'!N$14:N$57,"&gt;0")</f>
        <v>9</v>
      </c>
      <c r="O65" s="176">
        <f>COUNTIF('PO HC'!O$14:O$57,"&gt;0")</f>
        <v>9</v>
      </c>
      <c r="P65" s="176">
        <f>COUNTIF('PO HC'!P$14:P$57,"&gt;0")</f>
        <v>9</v>
      </c>
      <c r="Q65" s="176">
        <f>COUNTIF('PO HC'!Q$14:Q$57,"&gt;0")</f>
        <v>9</v>
      </c>
      <c r="R65" s="176">
        <f>COUNTIF('PO HC'!R$14:R$57,"&gt;0")</f>
        <v>9</v>
      </c>
      <c r="S65" s="176">
        <f>COUNTIF('PO HC'!S$14:S$57,"&gt;0")</f>
        <v>9</v>
      </c>
      <c r="T65" s="176">
        <f>COUNTIF('PO HC'!T$14:T$57,"&gt;0")</f>
        <v>9</v>
      </c>
      <c r="U65" s="176">
        <f>COUNTIF('PO HC'!U$14:U$57,"&gt;0")</f>
        <v>9</v>
      </c>
      <c r="V65" s="176">
        <f>COUNTIF('PO HC'!V$14:V$57,"&gt;0")</f>
        <v>9</v>
      </c>
      <c r="W65" s="176">
        <f>COUNTIF('PO HC'!W$14:W$57,"&gt;0")</f>
        <v>9</v>
      </c>
      <c r="X65" s="176">
        <f>COUNTIF('PO HC'!X$14:X$57,"&gt;0")</f>
        <v>9</v>
      </c>
      <c r="Z65" s="176">
        <f t="shared" ref="Z65:Z70" si="14">X65</f>
        <v>9</v>
      </c>
    </row>
    <row r="66" spans="2:26" x14ac:dyDescent="0.3">
      <c r="B66" t="s">
        <v>11</v>
      </c>
      <c r="C66" t="s">
        <v>12</v>
      </c>
      <c r="D66" t="s">
        <v>10</v>
      </c>
      <c r="I66" s="176">
        <f>COUNTIF('FO HC'!I$14:I$57,"&gt;0")</f>
        <v>16</v>
      </c>
      <c r="J66" s="176">
        <f>COUNTIF('FO HC'!J$14:J$57,"&gt;0")</f>
        <v>16</v>
      </c>
      <c r="K66" s="176">
        <f>COUNTIF('FO HC'!K$14:K$57,"&gt;0")</f>
        <v>16</v>
      </c>
      <c r="L66" s="176">
        <f>COUNTIF('FO HC'!L$14:L$57,"&gt;0")</f>
        <v>16</v>
      </c>
      <c r="M66" s="176">
        <f>COUNTIF('FO HC'!M$14:M$57,"&gt;0")</f>
        <v>16</v>
      </c>
      <c r="N66" s="176">
        <f>COUNTIF('FO HC'!N$14:N$57,"&gt;0")</f>
        <v>16</v>
      </c>
      <c r="O66" s="176">
        <f>COUNTIF('FO HC'!O$14:O$57,"&gt;0")</f>
        <v>16</v>
      </c>
      <c r="P66" s="176">
        <f>COUNTIF('FO HC'!P$14:P$57,"&gt;0")</f>
        <v>16</v>
      </c>
      <c r="Q66" s="176">
        <f>COUNTIF('FO HC'!Q$14:Q$57,"&gt;0")</f>
        <v>16</v>
      </c>
      <c r="R66" s="176">
        <f>COUNTIF('FO HC'!R$14:R$57,"&gt;0")</f>
        <v>16</v>
      </c>
      <c r="S66" s="176">
        <f>COUNTIF('FO HC'!S$14:S$57,"&gt;0")</f>
        <v>16</v>
      </c>
      <c r="T66" s="176">
        <f>COUNTIF('FO HC'!T$14:T$57,"&gt;0")</f>
        <v>16</v>
      </c>
      <c r="U66" s="176">
        <f>COUNTIF('FO HC'!U$14:U$57,"&gt;0")</f>
        <v>16</v>
      </c>
      <c r="V66" s="176">
        <f>COUNTIF('FO HC'!V$14:V$57,"&gt;0")</f>
        <v>16</v>
      </c>
      <c r="W66" s="176">
        <f>COUNTIF('FO HC'!W$14:W$57,"&gt;0")</f>
        <v>16</v>
      </c>
      <c r="X66" s="176">
        <f>COUNTIF('FO HC'!X$14:X$57,"&gt;0")</f>
        <v>16</v>
      </c>
      <c r="Z66" s="176">
        <f t="shared" si="14"/>
        <v>16</v>
      </c>
    </row>
    <row r="67" spans="2:26" x14ac:dyDescent="0.3">
      <c r="B67" t="s">
        <v>13</v>
      </c>
      <c r="C67" t="s">
        <v>14</v>
      </c>
      <c r="D67" t="s">
        <v>15</v>
      </c>
      <c r="I67" s="176">
        <f>COUNTIF('FE HC'!I$14:I$57,"&gt;0")</f>
        <v>6</v>
      </c>
      <c r="J67" s="176">
        <f>COUNTIF('FE HC'!J$14:J$57,"&gt;0")</f>
        <v>6</v>
      </c>
      <c r="K67" s="176">
        <f>COUNTIF('FE HC'!K$14:K$57,"&gt;0")</f>
        <v>6</v>
      </c>
      <c r="L67" s="176">
        <f>COUNTIF('FE HC'!L$14:L$57,"&gt;0")</f>
        <v>7</v>
      </c>
      <c r="M67" s="176">
        <f>COUNTIF('FE HC'!M$14:M$57,"&gt;0")</f>
        <v>7</v>
      </c>
      <c r="N67" s="176">
        <f>COUNTIF('FE HC'!N$14:N$57,"&gt;0")</f>
        <v>7</v>
      </c>
      <c r="O67" s="176">
        <f>COUNTIF('FE HC'!O$14:O$57,"&gt;0")</f>
        <v>7</v>
      </c>
      <c r="P67" s="176">
        <f>COUNTIF('FE HC'!P$14:P$57,"&gt;0")</f>
        <v>7</v>
      </c>
      <c r="Q67" s="176">
        <f>COUNTIF('FE HC'!Q$14:Q$57,"&gt;0")</f>
        <v>7</v>
      </c>
      <c r="R67" s="176">
        <f>COUNTIF('FE HC'!R$14:R$57,"&gt;0")</f>
        <v>7</v>
      </c>
      <c r="S67" s="176">
        <f>COUNTIF('FE HC'!S$14:S$57,"&gt;0")</f>
        <v>7</v>
      </c>
      <c r="T67" s="176">
        <f>COUNTIF('FE HC'!T$14:T$57,"&gt;0")</f>
        <v>7</v>
      </c>
      <c r="U67" s="176">
        <f>COUNTIF('FE HC'!U$14:U$57,"&gt;0")</f>
        <v>7</v>
      </c>
      <c r="V67" s="176">
        <f>COUNTIF('FE HC'!V$14:V$57,"&gt;0")</f>
        <v>7</v>
      </c>
      <c r="W67" s="176">
        <f>COUNTIF('FE HC'!W$14:W$57,"&gt;0")</f>
        <v>7</v>
      </c>
      <c r="X67" s="176">
        <f>COUNTIF('FE HC'!X$14:X$57,"&gt;0")</f>
        <v>7</v>
      </c>
      <c r="Z67" s="176">
        <f t="shared" si="14"/>
        <v>7</v>
      </c>
    </row>
    <row r="68" spans="2:26" x14ac:dyDescent="0.3">
      <c r="B68" t="s">
        <v>16</v>
      </c>
      <c r="C68" t="s">
        <v>17</v>
      </c>
      <c r="D68" t="s">
        <v>15</v>
      </c>
      <c r="I68" s="176">
        <f>COUNTIF('PE HC'!I$14:I$57,"&gt;0")</f>
        <v>9</v>
      </c>
      <c r="J68" s="176">
        <f>COUNTIF('PE HC'!J$14:J$57,"&gt;0")</f>
        <v>9</v>
      </c>
      <c r="K68" s="176">
        <f>COUNTIF('PE HC'!K$14:K$57,"&gt;0")</f>
        <v>9</v>
      </c>
      <c r="L68" s="176">
        <f>COUNTIF('PE HC'!L$14:L$57,"&gt;0")</f>
        <v>9</v>
      </c>
      <c r="M68" s="176">
        <f>COUNTIF('PE HC'!M$14:M$57,"&gt;0")</f>
        <v>9</v>
      </c>
      <c r="N68" s="176">
        <f>COUNTIF('PE HC'!N$14:N$57,"&gt;0")</f>
        <v>9</v>
      </c>
      <c r="O68" s="176">
        <f>COUNTIF('PE HC'!O$14:O$57,"&gt;0")</f>
        <v>9</v>
      </c>
      <c r="P68" s="176">
        <f>COUNTIF('PE HC'!P$14:P$57,"&gt;0")</f>
        <v>9</v>
      </c>
      <c r="Q68" s="176">
        <f>COUNTIF('PE HC'!Q$14:Q$57,"&gt;0")</f>
        <v>9</v>
      </c>
      <c r="R68" s="176">
        <f>COUNTIF('PE HC'!R$14:R$57,"&gt;0")</f>
        <v>9</v>
      </c>
      <c r="S68" s="176">
        <f>COUNTIF('PE HC'!S$14:S$57,"&gt;0")</f>
        <v>9</v>
      </c>
      <c r="T68" s="176">
        <f>COUNTIF('PE HC'!T$14:T$57,"&gt;0")</f>
        <v>9</v>
      </c>
      <c r="U68" s="176">
        <f>COUNTIF('PE HC'!U$14:U$57,"&gt;0")</f>
        <v>9</v>
      </c>
      <c r="V68" s="176">
        <f>COUNTIF('PE HC'!V$14:V$57,"&gt;0")</f>
        <v>9</v>
      </c>
      <c r="W68" s="176">
        <f>COUNTIF('PE HC'!W$14:W$57,"&gt;0")</f>
        <v>9</v>
      </c>
      <c r="X68" s="176">
        <f>COUNTIF('PE HC'!X$14:X$57,"&gt;0")</f>
        <v>9</v>
      </c>
      <c r="Z68" s="176">
        <f t="shared" si="14"/>
        <v>9</v>
      </c>
    </row>
    <row r="69" spans="2:26" x14ac:dyDescent="0.3">
      <c r="B69" t="s">
        <v>18</v>
      </c>
      <c r="C69" t="s">
        <v>19</v>
      </c>
      <c r="D69" t="s">
        <v>15</v>
      </c>
      <c r="I69" s="176">
        <f>COUNTIF('CO HC'!I$14:I$57,"&gt;0")</f>
        <v>4</v>
      </c>
      <c r="J69" s="176">
        <f>COUNTIF('CO HC'!J$14:J$57,"&gt;0")</f>
        <v>5</v>
      </c>
      <c r="K69" s="176">
        <f>COUNTIF('CO HC'!K$14:K$57,"&gt;0")</f>
        <v>5</v>
      </c>
      <c r="L69" s="176">
        <f>COUNTIF('CO HC'!L$14:L$57,"&gt;0")</f>
        <v>5</v>
      </c>
      <c r="M69" s="176">
        <f>COUNTIF('CO HC'!M$14:M$57,"&gt;0")</f>
        <v>5</v>
      </c>
      <c r="N69" s="176">
        <f>COUNTIF('CO HC'!N$14:N$57,"&gt;0")</f>
        <v>5</v>
      </c>
      <c r="O69" s="176">
        <f>COUNTIF('CO HC'!O$14:O$57,"&gt;0")</f>
        <v>5</v>
      </c>
      <c r="P69" s="176">
        <f>COUNTIF('CO HC'!P$14:P$57,"&gt;0")</f>
        <v>5</v>
      </c>
      <c r="Q69" s="176">
        <f>COUNTIF('CO HC'!Q$14:Q$57,"&gt;0")</f>
        <v>5</v>
      </c>
      <c r="R69" s="176">
        <f>COUNTIF('CO HC'!R$14:R$57,"&gt;0")</f>
        <v>5</v>
      </c>
      <c r="S69" s="176">
        <f>COUNTIF('CO HC'!S$14:S$57,"&gt;0")</f>
        <v>5</v>
      </c>
      <c r="T69" s="176">
        <f>COUNTIF('CO HC'!T$14:T$57,"&gt;0")</f>
        <v>5</v>
      </c>
      <c r="U69" s="176">
        <f>COUNTIF('CO HC'!U$14:U$57,"&gt;0")</f>
        <v>5</v>
      </c>
      <c r="V69" s="176">
        <f>COUNTIF('CO HC'!V$14:V$57,"&gt;0")</f>
        <v>5</v>
      </c>
      <c r="W69" s="176">
        <f>COUNTIF('CO HC'!W$14:W$57,"&gt;0")</f>
        <v>5</v>
      </c>
      <c r="X69" s="176">
        <f>COUNTIF('CO HC'!X$14:X$57,"&gt;0")</f>
        <v>5</v>
      </c>
      <c r="Z69" s="176">
        <f t="shared" si="14"/>
        <v>5</v>
      </c>
    </row>
    <row r="70" spans="2:26" x14ac:dyDescent="0.3">
      <c r="B70" s="172" t="s">
        <v>291</v>
      </c>
      <c r="C70" s="173"/>
      <c r="D70" s="173"/>
      <c r="I70" s="177">
        <f>SUM(I65:I69)</f>
        <v>44</v>
      </c>
      <c r="J70" s="177">
        <f t="shared" ref="J70:X70" si="15">SUM(J65:J69)</f>
        <v>45</v>
      </c>
      <c r="K70" s="177">
        <f t="shared" si="15"/>
        <v>45</v>
      </c>
      <c r="L70" s="177">
        <f t="shared" si="15"/>
        <v>46</v>
      </c>
      <c r="M70" s="177">
        <f t="shared" si="15"/>
        <v>46</v>
      </c>
      <c r="N70" s="177">
        <f t="shared" si="15"/>
        <v>46</v>
      </c>
      <c r="O70" s="177">
        <f t="shared" si="15"/>
        <v>46</v>
      </c>
      <c r="P70" s="177">
        <f t="shared" si="15"/>
        <v>46</v>
      </c>
      <c r="Q70" s="177">
        <f t="shared" si="15"/>
        <v>46</v>
      </c>
      <c r="R70" s="177">
        <f t="shared" si="15"/>
        <v>46</v>
      </c>
      <c r="S70" s="177">
        <f t="shared" si="15"/>
        <v>46</v>
      </c>
      <c r="T70" s="177">
        <f t="shared" si="15"/>
        <v>46</v>
      </c>
      <c r="U70" s="177">
        <f t="shared" si="15"/>
        <v>46</v>
      </c>
      <c r="V70" s="177">
        <f t="shared" si="15"/>
        <v>46</v>
      </c>
      <c r="W70" s="177">
        <f t="shared" si="15"/>
        <v>46</v>
      </c>
      <c r="X70" s="177">
        <f t="shared" si="15"/>
        <v>46</v>
      </c>
      <c r="Z70" s="177">
        <f t="shared" si="14"/>
        <v>46</v>
      </c>
    </row>
    <row r="72" spans="2:26" x14ac:dyDescent="0.3">
      <c r="B72" s="171" t="s">
        <v>292</v>
      </c>
    </row>
    <row r="73" spans="2:26" x14ac:dyDescent="0.3">
      <c r="B73" t="s">
        <v>10</v>
      </c>
      <c r="I73" s="176">
        <f>SUMIF($D$65:$D$69,$B73,I$65:I$69)</f>
        <v>25</v>
      </c>
      <c r="J73" s="176">
        <f t="shared" ref="J73:X74" si="16">SUMIF($D$65:$D$69,$B73,J$65:J$69)</f>
        <v>25</v>
      </c>
      <c r="K73" s="176">
        <f t="shared" si="16"/>
        <v>25</v>
      </c>
      <c r="L73" s="176">
        <f t="shared" si="16"/>
        <v>25</v>
      </c>
      <c r="M73" s="176">
        <f t="shared" si="16"/>
        <v>25</v>
      </c>
      <c r="N73" s="176">
        <f t="shared" si="16"/>
        <v>25</v>
      </c>
      <c r="O73" s="176">
        <f t="shared" si="16"/>
        <v>25</v>
      </c>
      <c r="P73" s="176">
        <f t="shared" si="16"/>
        <v>25</v>
      </c>
      <c r="Q73" s="176">
        <f t="shared" si="16"/>
        <v>25</v>
      </c>
      <c r="R73" s="176">
        <f t="shared" si="16"/>
        <v>25</v>
      </c>
      <c r="S73" s="176">
        <f t="shared" si="16"/>
        <v>25</v>
      </c>
      <c r="T73" s="176">
        <f t="shared" si="16"/>
        <v>25</v>
      </c>
      <c r="U73" s="176">
        <f t="shared" si="16"/>
        <v>25</v>
      </c>
      <c r="V73" s="176">
        <f t="shared" si="16"/>
        <v>25</v>
      </c>
      <c r="W73" s="176">
        <f t="shared" si="16"/>
        <v>25</v>
      </c>
      <c r="X73" s="176">
        <f t="shared" si="16"/>
        <v>25</v>
      </c>
      <c r="Z73" s="176">
        <f>X73</f>
        <v>25</v>
      </c>
    </row>
    <row r="74" spans="2:26" x14ac:dyDescent="0.3">
      <c r="B74" t="s">
        <v>15</v>
      </c>
      <c r="I74" s="176">
        <f>SUMIF($D$65:$D$69,$B74,I$65:I$69)</f>
        <v>19</v>
      </c>
      <c r="J74" s="176">
        <f t="shared" si="16"/>
        <v>20</v>
      </c>
      <c r="K74" s="176">
        <f t="shared" si="16"/>
        <v>20</v>
      </c>
      <c r="L74" s="176">
        <f t="shared" si="16"/>
        <v>21</v>
      </c>
      <c r="M74" s="176">
        <f t="shared" si="16"/>
        <v>21</v>
      </c>
      <c r="N74" s="176">
        <f t="shared" si="16"/>
        <v>21</v>
      </c>
      <c r="O74" s="176">
        <f t="shared" si="16"/>
        <v>21</v>
      </c>
      <c r="P74" s="176">
        <f t="shared" si="16"/>
        <v>21</v>
      </c>
      <c r="Q74" s="176">
        <f t="shared" si="16"/>
        <v>21</v>
      </c>
      <c r="R74" s="176">
        <f t="shared" si="16"/>
        <v>21</v>
      </c>
      <c r="S74" s="176">
        <f t="shared" si="16"/>
        <v>21</v>
      </c>
      <c r="T74" s="176">
        <f t="shared" si="16"/>
        <v>21</v>
      </c>
      <c r="U74" s="176">
        <f t="shared" si="16"/>
        <v>21</v>
      </c>
      <c r="V74" s="176">
        <f t="shared" si="16"/>
        <v>21</v>
      </c>
      <c r="W74" s="176">
        <f t="shared" si="16"/>
        <v>21</v>
      </c>
      <c r="X74" s="176">
        <f t="shared" si="16"/>
        <v>21</v>
      </c>
      <c r="Z74" s="176">
        <f>X74</f>
        <v>21</v>
      </c>
    </row>
    <row r="75" spans="2:26" x14ac:dyDescent="0.3">
      <c r="B75" s="172" t="s">
        <v>293</v>
      </c>
      <c r="I75" s="177">
        <f>SUM(I73:I74)</f>
        <v>44</v>
      </c>
      <c r="J75" s="177">
        <f t="shared" ref="J75:X75" si="17">SUM(J73:J74)</f>
        <v>45</v>
      </c>
      <c r="K75" s="177">
        <f t="shared" si="17"/>
        <v>45</v>
      </c>
      <c r="L75" s="177">
        <f t="shared" si="17"/>
        <v>46</v>
      </c>
      <c r="M75" s="177">
        <f t="shared" si="17"/>
        <v>46</v>
      </c>
      <c r="N75" s="177">
        <f t="shared" si="17"/>
        <v>46</v>
      </c>
      <c r="O75" s="177">
        <f t="shared" si="17"/>
        <v>46</v>
      </c>
      <c r="P75" s="177">
        <f t="shared" si="17"/>
        <v>46</v>
      </c>
      <c r="Q75" s="177">
        <f t="shared" si="17"/>
        <v>46</v>
      </c>
      <c r="R75" s="177">
        <f t="shared" si="17"/>
        <v>46</v>
      </c>
      <c r="S75" s="177">
        <f t="shared" si="17"/>
        <v>46</v>
      </c>
      <c r="T75" s="177">
        <f t="shared" si="17"/>
        <v>46</v>
      </c>
      <c r="U75" s="177">
        <f t="shared" si="17"/>
        <v>46</v>
      </c>
      <c r="V75" s="177">
        <f t="shared" si="17"/>
        <v>46</v>
      </c>
      <c r="W75" s="177">
        <f t="shared" si="17"/>
        <v>46</v>
      </c>
      <c r="X75" s="177">
        <f t="shared" si="17"/>
        <v>46</v>
      </c>
      <c r="Z75" s="177">
        <f>X75</f>
        <v>46</v>
      </c>
    </row>
    <row r="76" spans="2:26" x14ac:dyDescent="0.3">
      <c r="B76" s="174" t="s">
        <v>294</v>
      </c>
      <c r="I76" s="176">
        <f>I75-I70</f>
        <v>0</v>
      </c>
      <c r="J76" s="176">
        <f t="shared" ref="J76:X76" si="18">J75-J70</f>
        <v>0</v>
      </c>
      <c r="K76" s="176">
        <f t="shared" si="18"/>
        <v>0</v>
      </c>
      <c r="L76" s="176">
        <f t="shared" si="18"/>
        <v>0</v>
      </c>
      <c r="M76" s="176">
        <f t="shared" si="18"/>
        <v>0</v>
      </c>
      <c r="N76" s="176">
        <f t="shared" si="18"/>
        <v>0</v>
      </c>
      <c r="O76" s="176">
        <f t="shared" si="18"/>
        <v>0</v>
      </c>
      <c r="P76" s="176">
        <f t="shared" si="18"/>
        <v>0</v>
      </c>
      <c r="Q76" s="176">
        <f t="shared" si="18"/>
        <v>0</v>
      </c>
      <c r="R76" s="176">
        <f t="shared" si="18"/>
        <v>0</v>
      </c>
      <c r="S76" s="176">
        <f t="shared" si="18"/>
        <v>0</v>
      </c>
      <c r="T76" s="176">
        <f t="shared" si="18"/>
        <v>0</v>
      </c>
      <c r="U76" s="176">
        <f t="shared" si="18"/>
        <v>0</v>
      </c>
      <c r="V76" s="176">
        <f t="shared" si="18"/>
        <v>0</v>
      </c>
      <c r="W76" s="176">
        <f t="shared" si="18"/>
        <v>0</v>
      </c>
      <c r="X76" s="176">
        <f t="shared" si="18"/>
        <v>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2BA5D-0F14-40A7-A466-55BCD4D6A8BC}">
  <sheetPr>
    <tabColor theme="5" tint="0.59999389629810485"/>
  </sheetPr>
  <dimension ref="A1:AB71"/>
  <sheetViews>
    <sheetView zoomScale="80" zoomScaleNormal="80" workbookViewId="0">
      <pane xSplit="8" ySplit="11" topLeftCell="O12" activePane="bottomRight" state="frozen"/>
      <selection pane="topRight"/>
      <selection pane="bottomLeft"/>
      <selection pane="bottomRight" activeCell="D21" sqref="D21"/>
    </sheetView>
  </sheetViews>
  <sheetFormatPr defaultRowHeight="14.4" x14ac:dyDescent="0.3"/>
  <cols>
    <col min="1" max="1" width="23.44140625" style="76" customWidth="1"/>
    <col min="2" max="2" width="25.33203125" customWidth="1"/>
    <col min="3" max="3" width="32.77734375" customWidth="1"/>
    <col min="4" max="4" width="11.21875" customWidth="1"/>
    <col min="5" max="6" width="13.5546875" style="18" bestFit="1" customWidth="1"/>
    <col min="7" max="7" width="11.77734375" style="18" customWidth="1"/>
    <col min="8" max="8" width="14.44140625" style="18" bestFit="1" customWidth="1"/>
    <col min="9" max="24" width="11.21875" customWidth="1"/>
    <col min="25" max="25" width="2.44140625" customWidth="1"/>
    <col min="26" max="26" width="12.6640625" customWidth="1"/>
    <col min="27" max="27" width="3.21875" customWidth="1"/>
    <col min="28" max="28" width="27.21875" customWidth="1"/>
  </cols>
  <sheetData>
    <row r="1" spans="1:28" ht="18" x14ac:dyDescent="0.35">
      <c r="A1" s="73" t="s">
        <v>0</v>
      </c>
    </row>
    <row r="2" spans="1:28" ht="15.6" x14ac:dyDescent="0.3">
      <c r="A2" s="169" t="s">
        <v>61</v>
      </c>
    </row>
    <row r="3" spans="1:28" x14ac:dyDescent="0.3">
      <c r="A3" s="74" t="s">
        <v>37</v>
      </c>
    </row>
    <row r="4" spans="1:28" x14ac:dyDescent="0.3">
      <c r="A4" s="75" t="s">
        <v>62</v>
      </c>
    </row>
    <row r="5" spans="1:28" x14ac:dyDescent="0.3">
      <c r="B5" s="19" t="s">
        <v>39</v>
      </c>
    </row>
    <row r="6" spans="1:28" x14ac:dyDescent="0.3">
      <c r="B6" s="16" t="s">
        <v>40</v>
      </c>
      <c r="D6" s="178">
        <f>INDEX('[1]T&amp;B'!$S$13:$S$122,MATCH("FO",'[1]T&amp;B'!$R$13:$R$122,0))</f>
        <v>6.8470908430436739E-2</v>
      </c>
      <c r="E6" s="20"/>
    </row>
    <row r="7" spans="1:28" x14ac:dyDescent="0.3">
      <c r="B7" s="16" t="s">
        <v>41</v>
      </c>
      <c r="D7" s="179">
        <f>INDEX('[1]T&amp;B'!$T$13:$T$122,MATCH("FO",'[1]T&amp;B'!$R$13:$R$122,0))</f>
        <v>0.16405370751499249</v>
      </c>
      <c r="E7" s="20"/>
    </row>
    <row r="8" spans="1:28" x14ac:dyDescent="0.3">
      <c r="B8" s="16" t="s">
        <v>234</v>
      </c>
      <c r="D8" s="21">
        <v>46661</v>
      </c>
      <c r="V8" s="22" t="s">
        <v>42</v>
      </c>
    </row>
    <row r="9" spans="1:28" x14ac:dyDescent="0.3">
      <c r="V9" s="22" t="s">
        <v>43</v>
      </c>
    </row>
    <row r="10" spans="1:28" s="23" customFormat="1" ht="29.55" customHeight="1" x14ac:dyDescent="0.3">
      <c r="A10" s="77"/>
      <c r="B10" s="24" t="s">
        <v>44</v>
      </c>
      <c r="C10" s="24" t="s">
        <v>45</v>
      </c>
      <c r="D10" s="25" t="s">
        <v>46</v>
      </c>
      <c r="E10" s="25" t="s">
        <v>47</v>
      </c>
      <c r="F10" s="25" t="s">
        <v>48</v>
      </c>
      <c r="G10" s="26" t="s">
        <v>49</v>
      </c>
      <c r="H10" s="26" t="s">
        <v>50</v>
      </c>
      <c r="I10" s="27">
        <f>DATE(2026,9,1)</f>
        <v>46266</v>
      </c>
      <c r="J10" s="27">
        <f>DATE(2026,10,1)</f>
        <v>46296</v>
      </c>
      <c r="K10" s="27">
        <f>DATE(2026,11,1)</f>
        <v>46327</v>
      </c>
      <c r="L10" s="27">
        <f>DATE(2026,12,1)</f>
        <v>46357</v>
      </c>
      <c r="M10" s="28">
        <f>DATE(2027,1,1)</f>
        <v>46388</v>
      </c>
      <c r="N10" s="28">
        <f>DATE(2027,2,1)</f>
        <v>46419</v>
      </c>
      <c r="O10" s="28">
        <f>DATE(2027,3,1)</f>
        <v>46447</v>
      </c>
      <c r="P10" s="28">
        <f>DATE(2027,4,1)</f>
        <v>46478</v>
      </c>
      <c r="Q10" s="28">
        <f>DATE(2027,5,1)</f>
        <v>46508</v>
      </c>
      <c r="R10" s="28">
        <f>DATE(2027,6,1)</f>
        <v>46539</v>
      </c>
      <c r="S10" s="28">
        <f>DATE(2027,7,1)</f>
        <v>46569</v>
      </c>
      <c r="T10" s="28">
        <f>DATE(2027,8,1)</f>
        <v>46600</v>
      </c>
      <c r="U10" s="28">
        <f>DATE(2027,9,1)</f>
        <v>46631</v>
      </c>
      <c r="V10" s="28">
        <f>DATE(2027,10,1)</f>
        <v>46661</v>
      </c>
      <c r="W10" s="28">
        <f>DATE(2027,11,1)</f>
        <v>46692</v>
      </c>
      <c r="X10" s="28">
        <f>DATE(2027,12,1)</f>
        <v>46722</v>
      </c>
      <c r="Y10" s="29"/>
      <c r="Z10" s="30" t="s">
        <v>6</v>
      </c>
      <c r="AB10" s="31" t="s">
        <v>51</v>
      </c>
    </row>
    <row r="11" spans="1:28" x14ac:dyDescent="0.3">
      <c r="E11" s="7" t="s">
        <v>52</v>
      </c>
      <c r="F11" s="7" t="s">
        <v>52</v>
      </c>
      <c r="G11" s="32"/>
      <c r="H11" s="72" t="s">
        <v>53</v>
      </c>
      <c r="I11" s="7">
        <v>1</v>
      </c>
      <c r="J11" s="7">
        <v>2</v>
      </c>
      <c r="K11" s="7">
        <v>3</v>
      </c>
      <c r="L11" s="7">
        <v>4</v>
      </c>
      <c r="M11" s="7">
        <v>5</v>
      </c>
      <c r="N11" s="7">
        <v>6</v>
      </c>
      <c r="O11" s="7">
        <v>7</v>
      </c>
      <c r="P11" s="7">
        <v>8</v>
      </c>
      <c r="Q11" s="7">
        <v>9</v>
      </c>
      <c r="R11" s="7">
        <v>10</v>
      </c>
      <c r="S11" s="7">
        <v>11</v>
      </c>
      <c r="T11" s="7">
        <v>12</v>
      </c>
      <c r="U11" s="7">
        <v>13</v>
      </c>
      <c r="V11" s="7">
        <v>14</v>
      </c>
      <c r="W11" s="7">
        <v>15</v>
      </c>
      <c r="X11" s="7">
        <v>16</v>
      </c>
      <c r="Y11" s="7"/>
    </row>
    <row r="12" spans="1:28" x14ac:dyDescent="0.3">
      <c r="B12" s="34"/>
      <c r="C12" s="34"/>
      <c r="D12" s="34"/>
      <c r="E12" s="35"/>
      <c r="F12" s="35"/>
      <c r="G12" s="35"/>
      <c r="H12" s="35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6"/>
      <c r="Z12" s="34"/>
    </row>
    <row r="13" spans="1:28" x14ac:dyDescent="0.3">
      <c r="B13" s="8" t="s">
        <v>54</v>
      </c>
    </row>
    <row r="14" spans="1:28" x14ac:dyDescent="0.3">
      <c r="B14" s="37" t="s">
        <v>235</v>
      </c>
      <c r="C14" s="37" t="s">
        <v>251</v>
      </c>
      <c r="D14" s="38">
        <v>60513</v>
      </c>
      <c r="E14" s="39">
        <v>46266</v>
      </c>
      <c r="F14" s="39">
        <v>46722</v>
      </c>
      <c r="G14" s="40">
        <v>0.03</v>
      </c>
      <c r="H14" s="41">
        <f t="shared" ref="H14:H33" si="0">$D$8</f>
        <v>46661</v>
      </c>
      <c r="I14" s="42">
        <f t="shared" ref="I14:X33" si="1">IF(OR($D14="",$E14="",NOT(ISNUMBER($D14))),"",IF(AND($E14&lt;=I$10,IF($F14="",$X$10,$F14)&gt;=I$10),$D14/12*(1+N($G14))^IF(AND(ISNUMBER($H14),I$10&gt;=$H14),1+INT(DATEDIF($H14,I$10,"m")/12),0),0))</f>
        <v>5042.75</v>
      </c>
      <c r="J14" s="42">
        <f t="shared" si="1"/>
        <v>5042.75</v>
      </c>
      <c r="K14" s="42">
        <f t="shared" si="1"/>
        <v>5042.75</v>
      </c>
      <c r="L14" s="42">
        <f t="shared" si="1"/>
        <v>5042.75</v>
      </c>
      <c r="M14" s="43">
        <f t="shared" si="1"/>
        <v>5042.75</v>
      </c>
      <c r="N14" s="42">
        <f t="shared" si="1"/>
        <v>5042.75</v>
      </c>
      <c r="O14" s="42">
        <f t="shared" si="1"/>
        <v>5042.75</v>
      </c>
      <c r="P14" s="42">
        <f t="shared" si="1"/>
        <v>5042.75</v>
      </c>
      <c r="Q14" s="42">
        <f t="shared" si="1"/>
        <v>5042.75</v>
      </c>
      <c r="R14" s="42">
        <f t="shared" si="1"/>
        <v>5042.75</v>
      </c>
      <c r="S14" s="42">
        <f t="shared" si="1"/>
        <v>5042.75</v>
      </c>
      <c r="T14" s="42">
        <f t="shared" si="1"/>
        <v>5042.75</v>
      </c>
      <c r="U14" s="42">
        <f t="shared" si="1"/>
        <v>5042.75</v>
      </c>
      <c r="V14" s="42">
        <f t="shared" si="1"/>
        <v>5194.0325000000003</v>
      </c>
      <c r="W14" s="42">
        <f t="shared" si="1"/>
        <v>5194.0325000000003</v>
      </c>
      <c r="X14" s="42">
        <f t="shared" si="1"/>
        <v>5194.0325000000003</v>
      </c>
      <c r="Y14" s="42"/>
      <c r="Z14" s="42">
        <f>SUM(M14:X14)</f>
        <v>60966.847500000003</v>
      </c>
      <c r="AB14" s="44" t="str">
        <f t="shared" ref="AB14:AB33" si="2">IF($D14&amp;$E14="","",IF(AND($D14&lt;&gt;"",NOT(ISNUMBER($D14))),"Salary must be a number",IF(AND($D14&lt;&gt;"",$E14=""),"Start month missing",IF(AND(ISNUMBER($E14),ISNUMBER($F14),$F14&lt;$E14),"End is before Start",IF(AND($D14&lt;&gt;"",NOT(ISNUMBER($H14))),"Increase month missing","")))))</f>
        <v/>
      </c>
    </row>
    <row r="15" spans="1:28" x14ac:dyDescent="0.3">
      <c r="B15" s="37" t="s">
        <v>236</v>
      </c>
      <c r="C15" s="37" t="s">
        <v>251</v>
      </c>
      <c r="D15" s="38">
        <v>70021</v>
      </c>
      <c r="E15" s="39">
        <v>46266</v>
      </c>
      <c r="F15" s="39">
        <v>46722</v>
      </c>
      <c r="G15" s="40">
        <v>0.03</v>
      </c>
      <c r="H15" s="41">
        <f t="shared" si="0"/>
        <v>46661</v>
      </c>
      <c r="I15" s="42">
        <f t="shared" si="1"/>
        <v>5835.083333333333</v>
      </c>
      <c r="J15" s="42">
        <f t="shared" si="1"/>
        <v>5835.083333333333</v>
      </c>
      <c r="K15" s="42">
        <f t="shared" si="1"/>
        <v>5835.083333333333</v>
      </c>
      <c r="L15" s="42">
        <f t="shared" si="1"/>
        <v>5835.083333333333</v>
      </c>
      <c r="M15" s="42">
        <f t="shared" si="1"/>
        <v>5835.083333333333</v>
      </c>
      <c r="N15" s="42">
        <f t="shared" si="1"/>
        <v>5835.083333333333</v>
      </c>
      <c r="O15" s="42">
        <f t="shared" si="1"/>
        <v>5835.083333333333</v>
      </c>
      <c r="P15" s="42">
        <f t="shared" si="1"/>
        <v>5835.083333333333</v>
      </c>
      <c r="Q15" s="42">
        <f t="shared" si="1"/>
        <v>5835.083333333333</v>
      </c>
      <c r="R15" s="42">
        <f t="shared" si="1"/>
        <v>5835.083333333333</v>
      </c>
      <c r="S15" s="42">
        <f t="shared" si="1"/>
        <v>5835.083333333333</v>
      </c>
      <c r="T15" s="42">
        <f t="shared" si="1"/>
        <v>5835.083333333333</v>
      </c>
      <c r="U15" s="42">
        <f t="shared" si="1"/>
        <v>5835.083333333333</v>
      </c>
      <c r="V15" s="42">
        <f t="shared" si="1"/>
        <v>6010.1358333333328</v>
      </c>
      <c r="W15" s="42">
        <f t="shared" si="1"/>
        <v>6010.1358333333328</v>
      </c>
      <c r="X15" s="42">
        <f t="shared" si="1"/>
        <v>6010.1358333333328</v>
      </c>
      <c r="Y15" s="42"/>
      <c r="Z15" s="42">
        <f t="shared" ref="Z15:Z33" si="3">SUM(M15:X15)</f>
        <v>70546.157500000001</v>
      </c>
      <c r="AB15" s="44" t="str">
        <f t="shared" si="2"/>
        <v/>
      </c>
    </row>
    <row r="16" spans="1:28" x14ac:dyDescent="0.3">
      <c r="B16" s="37" t="s">
        <v>237</v>
      </c>
      <c r="C16" s="37" t="s">
        <v>251</v>
      </c>
      <c r="D16" s="38">
        <v>69376</v>
      </c>
      <c r="E16" s="39">
        <v>46266</v>
      </c>
      <c r="F16" s="39">
        <v>46722</v>
      </c>
      <c r="G16" s="40">
        <v>0.03</v>
      </c>
      <c r="H16" s="41">
        <f t="shared" si="0"/>
        <v>46661</v>
      </c>
      <c r="I16" s="42">
        <f t="shared" si="1"/>
        <v>5781.333333333333</v>
      </c>
      <c r="J16" s="42">
        <f t="shared" si="1"/>
        <v>5781.333333333333</v>
      </c>
      <c r="K16" s="42">
        <f t="shared" si="1"/>
        <v>5781.333333333333</v>
      </c>
      <c r="L16" s="42">
        <f t="shared" si="1"/>
        <v>5781.333333333333</v>
      </c>
      <c r="M16" s="42">
        <f t="shared" si="1"/>
        <v>5781.333333333333</v>
      </c>
      <c r="N16" s="42">
        <f t="shared" si="1"/>
        <v>5781.333333333333</v>
      </c>
      <c r="O16" s="42">
        <f t="shared" si="1"/>
        <v>5781.333333333333</v>
      </c>
      <c r="P16" s="42">
        <f t="shared" si="1"/>
        <v>5781.333333333333</v>
      </c>
      <c r="Q16" s="42">
        <f t="shared" si="1"/>
        <v>5781.333333333333</v>
      </c>
      <c r="R16" s="42">
        <f t="shared" si="1"/>
        <v>5781.333333333333</v>
      </c>
      <c r="S16" s="42">
        <f t="shared" si="1"/>
        <v>5781.333333333333</v>
      </c>
      <c r="T16" s="42">
        <f t="shared" si="1"/>
        <v>5781.333333333333</v>
      </c>
      <c r="U16" s="42">
        <f t="shared" si="1"/>
        <v>5781.333333333333</v>
      </c>
      <c r="V16" s="42">
        <f t="shared" si="1"/>
        <v>5954.7733333333335</v>
      </c>
      <c r="W16" s="42">
        <f t="shared" si="1"/>
        <v>5954.7733333333335</v>
      </c>
      <c r="X16" s="42">
        <f t="shared" si="1"/>
        <v>5954.7733333333335</v>
      </c>
      <c r="Y16" s="42"/>
      <c r="Z16" s="42">
        <f t="shared" si="3"/>
        <v>69896.320000000007</v>
      </c>
      <c r="AB16" s="44" t="str">
        <f t="shared" si="2"/>
        <v/>
      </c>
    </row>
    <row r="17" spans="2:28" x14ac:dyDescent="0.3">
      <c r="B17" s="37" t="s">
        <v>238</v>
      </c>
      <c r="C17" s="37" t="s">
        <v>251</v>
      </c>
      <c r="D17" s="38">
        <v>61687</v>
      </c>
      <c r="E17" s="39">
        <v>46266</v>
      </c>
      <c r="F17" s="39">
        <v>46722</v>
      </c>
      <c r="G17" s="40">
        <v>0.03</v>
      </c>
      <c r="H17" s="41">
        <f t="shared" si="0"/>
        <v>46661</v>
      </c>
      <c r="I17" s="42">
        <f t="shared" si="1"/>
        <v>5140.583333333333</v>
      </c>
      <c r="J17" s="42">
        <f t="shared" si="1"/>
        <v>5140.583333333333</v>
      </c>
      <c r="K17" s="42">
        <f t="shared" si="1"/>
        <v>5140.583333333333</v>
      </c>
      <c r="L17" s="42">
        <f t="shared" si="1"/>
        <v>5140.583333333333</v>
      </c>
      <c r="M17" s="42">
        <f t="shared" si="1"/>
        <v>5140.583333333333</v>
      </c>
      <c r="N17" s="42">
        <f t="shared" si="1"/>
        <v>5140.583333333333</v>
      </c>
      <c r="O17" s="42">
        <f t="shared" si="1"/>
        <v>5140.583333333333</v>
      </c>
      <c r="P17" s="42">
        <f t="shared" si="1"/>
        <v>5140.583333333333</v>
      </c>
      <c r="Q17" s="42">
        <f t="shared" si="1"/>
        <v>5140.583333333333</v>
      </c>
      <c r="R17" s="42">
        <f t="shared" si="1"/>
        <v>5140.583333333333</v>
      </c>
      <c r="S17" s="42">
        <f t="shared" si="1"/>
        <v>5140.583333333333</v>
      </c>
      <c r="T17" s="42">
        <f t="shared" si="1"/>
        <v>5140.583333333333</v>
      </c>
      <c r="U17" s="42">
        <f t="shared" si="1"/>
        <v>5140.583333333333</v>
      </c>
      <c r="V17" s="42">
        <f t="shared" si="1"/>
        <v>5294.8008333333328</v>
      </c>
      <c r="W17" s="42">
        <f t="shared" si="1"/>
        <v>5294.8008333333328</v>
      </c>
      <c r="X17" s="42">
        <f t="shared" si="1"/>
        <v>5294.8008333333328</v>
      </c>
      <c r="Y17" s="42"/>
      <c r="Z17" s="42">
        <f t="shared" si="3"/>
        <v>62149.652500000004</v>
      </c>
      <c r="AB17" s="44" t="str">
        <f t="shared" si="2"/>
        <v/>
      </c>
    </row>
    <row r="18" spans="2:28" x14ac:dyDescent="0.3">
      <c r="B18" s="37" t="s">
        <v>239</v>
      </c>
      <c r="C18" s="37" t="s">
        <v>251</v>
      </c>
      <c r="D18" s="38">
        <v>60593</v>
      </c>
      <c r="E18" s="39">
        <v>46266</v>
      </c>
      <c r="F18" s="39">
        <v>46722</v>
      </c>
      <c r="G18" s="40">
        <v>0.03</v>
      </c>
      <c r="H18" s="41">
        <f t="shared" si="0"/>
        <v>46661</v>
      </c>
      <c r="I18" s="42">
        <f t="shared" si="1"/>
        <v>5049.416666666667</v>
      </c>
      <c r="J18" s="42">
        <f t="shared" si="1"/>
        <v>5049.416666666667</v>
      </c>
      <c r="K18" s="42">
        <f t="shared" si="1"/>
        <v>5049.416666666667</v>
      </c>
      <c r="L18" s="42">
        <f t="shared" si="1"/>
        <v>5049.416666666667</v>
      </c>
      <c r="M18" s="42">
        <f t="shared" si="1"/>
        <v>5049.416666666667</v>
      </c>
      <c r="N18" s="42">
        <f t="shared" si="1"/>
        <v>5049.416666666667</v>
      </c>
      <c r="O18" s="42">
        <f t="shared" si="1"/>
        <v>5049.416666666667</v>
      </c>
      <c r="P18" s="42">
        <f t="shared" si="1"/>
        <v>5049.416666666667</v>
      </c>
      <c r="Q18" s="42">
        <f t="shared" si="1"/>
        <v>5049.416666666667</v>
      </c>
      <c r="R18" s="42">
        <f t="shared" si="1"/>
        <v>5049.416666666667</v>
      </c>
      <c r="S18" s="42">
        <f t="shared" si="1"/>
        <v>5049.416666666667</v>
      </c>
      <c r="T18" s="42">
        <f t="shared" si="1"/>
        <v>5049.416666666667</v>
      </c>
      <c r="U18" s="42">
        <f t="shared" si="1"/>
        <v>5049.416666666667</v>
      </c>
      <c r="V18" s="42">
        <f t="shared" si="1"/>
        <v>5200.899166666667</v>
      </c>
      <c r="W18" s="42">
        <f t="shared" si="1"/>
        <v>5200.899166666667</v>
      </c>
      <c r="X18" s="42">
        <f t="shared" si="1"/>
        <v>5200.899166666667</v>
      </c>
      <c r="Y18" s="42"/>
      <c r="Z18" s="42">
        <f t="shared" si="3"/>
        <v>61047.447500000009</v>
      </c>
      <c r="AB18" s="44" t="str">
        <f t="shared" si="2"/>
        <v/>
      </c>
    </row>
    <row r="19" spans="2:28" x14ac:dyDescent="0.3">
      <c r="B19" s="37" t="s">
        <v>240</v>
      </c>
      <c r="C19" s="37" t="s">
        <v>251</v>
      </c>
      <c r="D19" s="38">
        <v>53092</v>
      </c>
      <c r="E19" s="39">
        <v>46266</v>
      </c>
      <c r="F19" s="39">
        <v>46722</v>
      </c>
      <c r="G19" s="40">
        <v>0.03</v>
      </c>
      <c r="H19" s="41">
        <f t="shared" si="0"/>
        <v>46661</v>
      </c>
      <c r="I19" s="42">
        <f t="shared" si="1"/>
        <v>4424.333333333333</v>
      </c>
      <c r="J19" s="42">
        <f t="shared" si="1"/>
        <v>4424.333333333333</v>
      </c>
      <c r="K19" s="42">
        <f t="shared" si="1"/>
        <v>4424.333333333333</v>
      </c>
      <c r="L19" s="42">
        <f t="shared" si="1"/>
        <v>4424.333333333333</v>
      </c>
      <c r="M19" s="42">
        <f t="shared" si="1"/>
        <v>4424.333333333333</v>
      </c>
      <c r="N19" s="42">
        <f t="shared" si="1"/>
        <v>4424.333333333333</v>
      </c>
      <c r="O19" s="42">
        <f t="shared" si="1"/>
        <v>4424.333333333333</v>
      </c>
      <c r="P19" s="42">
        <f t="shared" si="1"/>
        <v>4424.333333333333</v>
      </c>
      <c r="Q19" s="42">
        <f t="shared" si="1"/>
        <v>4424.333333333333</v>
      </c>
      <c r="R19" s="42">
        <f t="shared" si="1"/>
        <v>4424.333333333333</v>
      </c>
      <c r="S19" s="42">
        <f t="shared" si="1"/>
        <v>4424.333333333333</v>
      </c>
      <c r="T19" s="42">
        <f t="shared" si="1"/>
        <v>4424.333333333333</v>
      </c>
      <c r="U19" s="42">
        <f t="shared" si="1"/>
        <v>4424.333333333333</v>
      </c>
      <c r="V19" s="42">
        <f t="shared" si="1"/>
        <v>4557.0633333333335</v>
      </c>
      <c r="W19" s="42">
        <f t="shared" si="1"/>
        <v>4557.0633333333335</v>
      </c>
      <c r="X19" s="42">
        <f t="shared" si="1"/>
        <v>4557.0633333333335</v>
      </c>
      <c r="Y19" s="42"/>
      <c r="Z19" s="42">
        <f t="shared" si="3"/>
        <v>53490.189999999995</v>
      </c>
      <c r="AB19" s="44" t="str">
        <f t="shared" si="2"/>
        <v/>
      </c>
    </row>
    <row r="20" spans="2:28" x14ac:dyDescent="0.3">
      <c r="B20" s="37" t="s">
        <v>241</v>
      </c>
      <c r="C20" s="37" t="s">
        <v>251</v>
      </c>
      <c r="D20" s="38">
        <v>59032</v>
      </c>
      <c r="E20" s="39">
        <v>46266</v>
      </c>
      <c r="F20" s="39">
        <v>46722</v>
      </c>
      <c r="G20" s="40">
        <v>0.03</v>
      </c>
      <c r="H20" s="41">
        <f t="shared" si="0"/>
        <v>46661</v>
      </c>
      <c r="I20" s="42">
        <f t="shared" si="1"/>
        <v>4919.333333333333</v>
      </c>
      <c r="J20" s="42">
        <f t="shared" si="1"/>
        <v>4919.333333333333</v>
      </c>
      <c r="K20" s="42">
        <f t="shared" si="1"/>
        <v>4919.333333333333</v>
      </c>
      <c r="L20" s="42">
        <f t="shared" si="1"/>
        <v>4919.333333333333</v>
      </c>
      <c r="M20" s="42">
        <f t="shared" si="1"/>
        <v>4919.333333333333</v>
      </c>
      <c r="N20" s="42">
        <f t="shared" si="1"/>
        <v>4919.333333333333</v>
      </c>
      <c r="O20" s="42">
        <f t="shared" si="1"/>
        <v>4919.333333333333</v>
      </c>
      <c r="P20" s="42">
        <f t="shared" si="1"/>
        <v>4919.333333333333</v>
      </c>
      <c r="Q20" s="42">
        <f t="shared" si="1"/>
        <v>4919.333333333333</v>
      </c>
      <c r="R20" s="42">
        <f t="shared" si="1"/>
        <v>4919.333333333333</v>
      </c>
      <c r="S20" s="42">
        <f t="shared" si="1"/>
        <v>4919.333333333333</v>
      </c>
      <c r="T20" s="42">
        <f t="shared" si="1"/>
        <v>4919.333333333333</v>
      </c>
      <c r="U20" s="42">
        <f t="shared" si="1"/>
        <v>4919.333333333333</v>
      </c>
      <c r="V20" s="42">
        <f t="shared" si="1"/>
        <v>5066.913333333333</v>
      </c>
      <c r="W20" s="42">
        <f t="shared" si="1"/>
        <v>5066.913333333333</v>
      </c>
      <c r="X20" s="42">
        <f t="shared" si="1"/>
        <v>5066.913333333333</v>
      </c>
      <c r="Y20" s="42"/>
      <c r="Z20" s="42">
        <f t="shared" si="3"/>
        <v>59474.739999999991</v>
      </c>
      <c r="AB20" s="44" t="str">
        <f t="shared" si="2"/>
        <v/>
      </c>
    </row>
    <row r="21" spans="2:28" x14ac:dyDescent="0.3">
      <c r="B21" s="37" t="s">
        <v>242</v>
      </c>
      <c r="C21" s="37" t="s">
        <v>252</v>
      </c>
      <c r="D21" s="38">
        <v>76515</v>
      </c>
      <c r="E21" s="39">
        <v>46266</v>
      </c>
      <c r="F21" s="39">
        <v>46722</v>
      </c>
      <c r="G21" s="40">
        <v>0.03</v>
      </c>
      <c r="H21" s="41">
        <f t="shared" si="0"/>
        <v>46661</v>
      </c>
      <c r="I21" s="42">
        <f t="shared" si="1"/>
        <v>6376.25</v>
      </c>
      <c r="J21" s="42">
        <f t="shared" si="1"/>
        <v>6376.25</v>
      </c>
      <c r="K21" s="42">
        <f t="shared" si="1"/>
        <v>6376.25</v>
      </c>
      <c r="L21" s="42">
        <f t="shared" si="1"/>
        <v>6376.25</v>
      </c>
      <c r="M21" s="42">
        <f t="shared" si="1"/>
        <v>6376.25</v>
      </c>
      <c r="N21" s="42">
        <f t="shared" si="1"/>
        <v>6376.25</v>
      </c>
      <c r="O21" s="42">
        <f t="shared" si="1"/>
        <v>6376.25</v>
      </c>
      <c r="P21" s="42">
        <f t="shared" si="1"/>
        <v>6376.25</v>
      </c>
      <c r="Q21" s="42">
        <f t="shared" si="1"/>
        <v>6376.25</v>
      </c>
      <c r="R21" s="42">
        <f t="shared" si="1"/>
        <v>6376.25</v>
      </c>
      <c r="S21" s="42">
        <f t="shared" si="1"/>
        <v>6376.25</v>
      </c>
      <c r="T21" s="42">
        <f t="shared" si="1"/>
        <v>6376.25</v>
      </c>
      <c r="U21" s="42">
        <f t="shared" si="1"/>
        <v>6376.25</v>
      </c>
      <c r="V21" s="42">
        <f t="shared" si="1"/>
        <v>6567.5375000000004</v>
      </c>
      <c r="W21" s="42">
        <f t="shared" si="1"/>
        <v>6567.5375000000004</v>
      </c>
      <c r="X21" s="42">
        <f t="shared" si="1"/>
        <v>6567.5375000000004</v>
      </c>
      <c r="Y21" s="42"/>
      <c r="Z21" s="42">
        <f t="shared" si="3"/>
        <v>77088.862500000003</v>
      </c>
      <c r="AB21" s="44" t="str">
        <f t="shared" si="2"/>
        <v/>
      </c>
    </row>
    <row r="22" spans="2:28" x14ac:dyDescent="0.3">
      <c r="B22" s="37" t="s">
        <v>243</v>
      </c>
      <c r="C22" s="37" t="s">
        <v>251</v>
      </c>
      <c r="D22" s="38">
        <v>64522</v>
      </c>
      <c r="E22" s="39">
        <v>46266</v>
      </c>
      <c r="F22" s="39">
        <v>46722</v>
      </c>
      <c r="G22" s="40">
        <v>0.03</v>
      </c>
      <c r="H22" s="41">
        <f t="shared" si="0"/>
        <v>46661</v>
      </c>
      <c r="I22" s="42">
        <f t="shared" si="1"/>
        <v>5376.833333333333</v>
      </c>
      <c r="J22" s="42">
        <f t="shared" si="1"/>
        <v>5376.833333333333</v>
      </c>
      <c r="K22" s="42">
        <f t="shared" si="1"/>
        <v>5376.833333333333</v>
      </c>
      <c r="L22" s="42">
        <f t="shared" si="1"/>
        <v>5376.833333333333</v>
      </c>
      <c r="M22" s="42">
        <f t="shared" si="1"/>
        <v>5376.833333333333</v>
      </c>
      <c r="N22" s="42">
        <f t="shared" si="1"/>
        <v>5376.833333333333</v>
      </c>
      <c r="O22" s="42">
        <f t="shared" si="1"/>
        <v>5376.833333333333</v>
      </c>
      <c r="P22" s="42">
        <f t="shared" si="1"/>
        <v>5376.833333333333</v>
      </c>
      <c r="Q22" s="42">
        <f t="shared" si="1"/>
        <v>5376.833333333333</v>
      </c>
      <c r="R22" s="42">
        <f t="shared" si="1"/>
        <v>5376.833333333333</v>
      </c>
      <c r="S22" s="42">
        <f t="shared" si="1"/>
        <v>5376.833333333333</v>
      </c>
      <c r="T22" s="42">
        <f t="shared" si="1"/>
        <v>5376.833333333333</v>
      </c>
      <c r="U22" s="42">
        <f t="shared" si="1"/>
        <v>5376.833333333333</v>
      </c>
      <c r="V22" s="42">
        <f t="shared" si="1"/>
        <v>5538.1383333333333</v>
      </c>
      <c r="W22" s="42">
        <f t="shared" si="1"/>
        <v>5538.1383333333333</v>
      </c>
      <c r="X22" s="42">
        <f t="shared" ref="X22" si="4">IF(OR($D22="",$E22="",NOT(ISNUMBER($D22))),"",IF(AND($E22&lt;=X$10,IF($F22="",$X$10,$F22)&gt;=X$10),$D22/12*(1+N($G22))^IF(AND(ISNUMBER($H22),X$10&gt;=$H22),1+INT(DATEDIF($H22,X$10,"m")/12),0),0))</f>
        <v>5538.1383333333333</v>
      </c>
      <c r="Y22" s="42"/>
      <c r="Z22" s="42">
        <f t="shared" ref="Z22:Z26" si="5">SUM(M22:X22)</f>
        <v>65005.915000000008</v>
      </c>
      <c r="AB22" s="44" t="str">
        <f t="shared" si="2"/>
        <v/>
      </c>
    </row>
    <row r="23" spans="2:28" x14ac:dyDescent="0.3">
      <c r="B23" s="37" t="s">
        <v>244</v>
      </c>
      <c r="C23" s="37" t="s">
        <v>251</v>
      </c>
      <c r="D23" s="38">
        <v>49920</v>
      </c>
      <c r="E23" s="39">
        <v>46266</v>
      </c>
      <c r="F23" s="39">
        <v>46722</v>
      </c>
      <c r="G23" s="40">
        <v>0.03</v>
      </c>
      <c r="H23" s="41">
        <f t="shared" si="0"/>
        <v>46661</v>
      </c>
      <c r="I23" s="42">
        <f t="shared" ref="I23:X26" si="6">IF(OR($D23="",$E23="",NOT(ISNUMBER($D23))),"",IF(AND($E23&lt;=I$10,IF($F23="",$X$10,$F23)&gt;=I$10),$D23/12*(1+N($G23))^IF(AND(ISNUMBER($H23),I$10&gt;=$H23),1+INT(DATEDIF($H23,I$10,"m")/12),0),0))</f>
        <v>4160</v>
      </c>
      <c r="J23" s="42">
        <f t="shared" si="6"/>
        <v>4160</v>
      </c>
      <c r="K23" s="42">
        <f t="shared" si="6"/>
        <v>4160</v>
      </c>
      <c r="L23" s="42">
        <f t="shared" si="6"/>
        <v>4160</v>
      </c>
      <c r="M23" s="42">
        <f t="shared" si="6"/>
        <v>4160</v>
      </c>
      <c r="N23" s="42">
        <f t="shared" si="6"/>
        <v>4160</v>
      </c>
      <c r="O23" s="42">
        <f t="shared" si="6"/>
        <v>4160</v>
      </c>
      <c r="P23" s="42">
        <f t="shared" si="6"/>
        <v>4160</v>
      </c>
      <c r="Q23" s="42">
        <f t="shared" si="6"/>
        <v>4160</v>
      </c>
      <c r="R23" s="42">
        <f t="shared" si="6"/>
        <v>4160</v>
      </c>
      <c r="S23" s="42">
        <f t="shared" si="6"/>
        <v>4160</v>
      </c>
      <c r="T23" s="42">
        <f t="shared" si="6"/>
        <v>4160</v>
      </c>
      <c r="U23" s="42">
        <f t="shared" si="6"/>
        <v>4160</v>
      </c>
      <c r="V23" s="42">
        <f t="shared" si="6"/>
        <v>4284.8</v>
      </c>
      <c r="W23" s="42">
        <f t="shared" si="6"/>
        <v>4284.8</v>
      </c>
      <c r="X23" s="42">
        <f t="shared" si="6"/>
        <v>4284.8</v>
      </c>
      <c r="Y23" s="42"/>
      <c r="Z23" s="42">
        <f t="shared" si="5"/>
        <v>50294.400000000009</v>
      </c>
      <c r="AB23" s="44" t="str">
        <f t="shared" si="2"/>
        <v/>
      </c>
    </row>
    <row r="24" spans="2:28" x14ac:dyDescent="0.3">
      <c r="B24" s="37" t="s">
        <v>245</v>
      </c>
      <c r="C24" s="37" t="s">
        <v>251</v>
      </c>
      <c r="D24" s="38">
        <v>70720</v>
      </c>
      <c r="E24" s="39">
        <v>46266</v>
      </c>
      <c r="F24" s="39">
        <v>46722</v>
      </c>
      <c r="G24" s="40">
        <v>0.03</v>
      </c>
      <c r="H24" s="41">
        <f t="shared" si="0"/>
        <v>46661</v>
      </c>
      <c r="I24" s="42">
        <f t="shared" si="6"/>
        <v>5893.333333333333</v>
      </c>
      <c r="J24" s="42">
        <f t="shared" si="6"/>
        <v>5893.333333333333</v>
      </c>
      <c r="K24" s="42">
        <f t="shared" si="6"/>
        <v>5893.333333333333</v>
      </c>
      <c r="L24" s="42">
        <f t="shared" si="6"/>
        <v>5893.333333333333</v>
      </c>
      <c r="M24" s="42">
        <f t="shared" si="6"/>
        <v>5893.333333333333</v>
      </c>
      <c r="N24" s="42">
        <f t="shared" si="6"/>
        <v>5893.333333333333</v>
      </c>
      <c r="O24" s="42">
        <f t="shared" si="6"/>
        <v>5893.333333333333</v>
      </c>
      <c r="P24" s="42">
        <f t="shared" si="6"/>
        <v>5893.333333333333</v>
      </c>
      <c r="Q24" s="42">
        <f t="shared" si="6"/>
        <v>5893.333333333333</v>
      </c>
      <c r="R24" s="42">
        <f t="shared" si="6"/>
        <v>5893.333333333333</v>
      </c>
      <c r="S24" s="42">
        <f t="shared" si="6"/>
        <v>5893.333333333333</v>
      </c>
      <c r="T24" s="42">
        <f t="shared" si="6"/>
        <v>5893.333333333333</v>
      </c>
      <c r="U24" s="42">
        <f t="shared" si="6"/>
        <v>5893.333333333333</v>
      </c>
      <c r="V24" s="42">
        <f t="shared" si="6"/>
        <v>6070.1333333333332</v>
      </c>
      <c r="W24" s="42">
        <f t="shared" si="6"/>
        <v>6070.1333333333332</v>
      </c>
      <c r="X24" s="42">
        <f t="shared" si="6"/>
        <v>6070.1333333333332</v>
      </c>
      <c r="Y24" s="42"/>
      <c r="Z24" s="42">
        <f t="shared" si="5"/>
        <v>71250.400000000009</v>
      </c>
      <c r="AB24" s="44" t="str">
        <f t="shared" si="2"/>
        <v/>
      </c>
    </row>
    <row r="25" spans="2:28" x14ac:dyDescent="0.3">
      <c r="B25" s="37" t="s">
        <v>246</v>
      </c>
      <c r="C25" s="37" t="s">
        <v>253</v>
      </c>
      <c r="D25" s="38">
        <v>120000</v>
      </c>
      <c r="E25" s="39">
        <v>46266</v>
      </c>
      <c r="F25" s="39">
        <v>46722</v>
      </c>
      <c r="G25" s="40">
        <v>0.03</v>
      </c>
      <c r="H25" s="41">
        <f t="shared" si="0"/>
        <v>46661</v>
      </c>
      <c r="I25" s="42">
        <f t="shared" si="6"/>
        <v>10000</v>
      </c>
      <c r="J25" s="42">
        <f t="shared" si="6"/>
        <v>10000</v>
      </c>
      <c r="K25" s="42">
        <f t="shared" si="6"/>
        <v>10000</v>
      </c>
      <c r="L25" s="42">
        <f t="shared" si="6"/>
        <v>10000</v>
      </c>
      <c r="M25" s="42">
        <f t="shared" si="6"/>
        <v>10000</v>
      </c>
      <c r="N25" s="42">
        <f t="shared" si="6"/>
        <v>10000</v>
      </c>
      <c r="O25" s="42">
        <f t="shared" si="6"/>
        <v>10000</v>
      </c>
      <c r="P25" s="42">
        <f t="shared" si="6"/>
        <v>10000</v>
      </c>
      <c r="Q25" s="42">
        <f t="shared" si="6"/>
        <v>10000</v>
      </c>
      <c r="R25" s="42">
        <f t="shared" si="6"/>
        <v>10000</v>
      </c>
      <c r="S25" s="42">
        <f t="shared" si="6"/>
        <v>10000</v>
      </c>
      <c r="T25" s="42">
        <f t="shared" si="6"/>
        <v>10000</v>
      </c>
      <c r="U25" s="42">
        <f t="shared" si="6"/>
        <v>10000</v>
      </c>
      <c r="V25" s="42">
        <f t="shared" si="6"/>
        <v>10300</v>
      </c>
      <c r="W25" s="42">
        <f t="shared" si="6"/>
        <v>10300</v>
      </c>
      <c r="X25" s="42">
        <f t="shared" si="6"/>
        <v>10300</v>
      </c>
      <c r="Y25" s="42"/>
      <c r="Z25" s="42">
        <f t="shared" si="5"/>
        <v>120900</v>
      </c>
      <c r="AB25" s="44" t="str">
        <f t="shared" si="2"/>
        <v/>
      </c>
    </row>
    <row r="26" spans="2:28" x14ac:dyDescent="0.3">
      <c r="B26" s="37" t="s">
        <v>247</v>
      </c>
      <c r="C26" s="37" t="s">
        <v>251</v>
      </c>
      <c r="D26" s="38">
        <v>62400</v>
      </c>
      <c r="E26" s="39">
        <v>46266</v>
      </c>
      <c r="F26" s="39">
        <v>46722</v>
      </c>
      <c r="G26" s="40">
        <v>0.03</v>
      </c>
      <c r="H26" s="41">
        <f t="shared" si="0"/>
        <v>46661</v>
      </c>
      <c r="I26" s="42">
        <f t="shared" si="6"/>
        <v>5200</v>
      </c>
      <c r="J26" s="42">
        <f t="shared" si="6"/>
        <v>5200</v>
      </c>
      <c r="K26" s="42">
        <f t="shared" si="6"/>
        <v>5200</v>
      </c>
      <c r="L26" s="42">
        <f t="shared" si="6"/>
        <v>5200</v>
      </c>
      <c r="M26" s="42">
        <f t="shared" si="6"/>
        <v>5200</v>
      </c>
      <c r="N26" s="42">
        <f t="shared" si="6"/>
        <v>5200</v>
      </c>
      <c r="O26" s="42">
        <f t="shared" si="6"/>
        <v>5200</v>
      </c>
      <c r="P26" s="42">
        <f t="shared" si="6"/>
        <v>5200</v>
      </c>
      <c r="Q26" s="42">
        <f t="shared" si="6"/>
        <v>5200</v>
      </c>
      <c r="R26" s="42">
        <f t="shared" si="6"/>
        <v>5200</v>
      </c>
      <c r="S26" s="42">
        <f t="shared" si="6"/>
        <v>5200</v>
      </c>
      <c r="T26" s="42">
        <f t="shared" si="6"/>
        <v>5200</v>
      </c>
      <c r="U26" s="42">
        <f t="shared" si="6"/>
        <v>5200</v>
      </c>
      <c r="V26" s="42">
        <f t="shared" si="6"/>
        <v>5356</v>
      </c>
      <c r="W26" s="42">
        <f t="shared" si="6"/>
        <v>5356</v>
      </c>
      <c r="X26" s="42">
        <f t="shared" si="6"/>
        <v>5356</v>
      </c>
      <c r="Y26" s="42"/>
      <c r="Z26" s="42">
        <f t="shared" si="5"/>
        <v>62868</v>
      </c>
      <c r="AB26" s="44" t="str">
        <f t="shared" si="2"/>
        <v/>
      </c>
    </row>
    <row r="27" spans="2:28" x14ac:dyDescent="0.3">
      <c r="B27" s="37" t="s">
        <v>248</v>
      </c>
      <c r="C27" s="37" t="s">
        <v>251</v>
      </c>
      <c r="D27" s="38">
        <v>72800</v>
      </c>
      <c r="E27" s="39">
        <v>46266</v>
      </c>
      <c r="F27" s="39">
        <v>46722</v>
      </c>
      <c r="G27" s="40">
        <v>0.03</v>
      </c>
      <c r="H27" s="41">
        <f t="shared" si="0"/>
        <v>46661</v>
      </c>
      <c r="I27" s="42">
        <f t="shared" si="1"/>
        <v>6066.666666666667</v>
      </c>
      <c r="J27" s="42">
        <f t="shared" si="1"/>
        <v>6066.666666666667</v>
      </c>
      <c r="K27" s="42">
        <f t="shared" si="1"/>
        <v>6066.666666666667</v>
      </c>
      <c r="L27" s="42">
        <f t="shared" si="1"/>
        <v>6066.666666666667</v>
      </c>
      <c r="M27" s="42">
        <f t="shared" si="1"/>
        <v>6066.666666666667</v>
      </c>
      <c r="N27" s="42">
        <f t="shared" si="1"/>
        <v>6066.666666666667</v>
      </c>
      <c r="O27" s="42">
        <f t="shared" si="1"/>
        <v>6066.666666666667</v>
      </c>
      <c r="P27" s="42">
        <f t="shared" si="1"/>
        <v>6066.666666666667</v>
      </c>
      <c r="Q27" s="42">
        <f t="shared" si="1"/>
        <v>6066.666666666667</v>
      </c>
      <c r="R27" s="42">
        <f t="shared" si="1"/>
        <v>6066.666666666667</v>
      </c>
      <c r="S27" s="42">
        <f t="shared" si="1"/>
        <v>6066.666666666667</v>
      </c>
      <c r="T27" s="42">
        <f t="shared" si="1"/>
        <v>6066.666666666667</v>
      </c>
      <c r="U27" s="42">
        <f t="shared" si="1"/>
        <v>6066.666666666667</v>
      </c>
      <c r="V27" s="42">
        <f t="shared" si="1"/>
        <v>6248.666666666667</v>
      </c>
      <c r="W27" s="42">
        <f t="shared" si="1"/>
        <v>6248.666666666667</v>
      </c>
      <c r="X27" s="42">
        <f t="shared" si="1"/>
        <v>6248.666666666667</v>
      </c>
      <c r="Y27" s="42"/>
      <c r="Z27" s="42">
        <f t="shared" si="3"/>
        <v>73346</v>
      </c>
      <c r="AB27" s="44" t="str">
        <f t="shared" si="2"/>
        <v/>
      </c>
    </row>
    <row r="28" spans="2:28" x14ac:dyDescent="0.3">
      <c r="B28" s="37" t="s">
        <v>249</v>
      </c>
      <c r="C28" s="37" t="s">
        <v>251</v>
      </c>
      <c r="D28" s="38">
        <v>62400</v>
      </c>
      <c r="E28" s="39">
        <v>46266</v>
      </c>
      <c r="F28" s="39">
        <v>46722</v>
      </c>
      <c r="G28" s="40">
        <v>0.03</v>
      </c>
      <c r="H28" s="41">
        <f t="shared" si="0"/>
        <v>46661</v>
      </c>
      <c r="I28" s="42">
        <f t="shared" si="1"/>
        <v>5200</v>
      </c>
      <c r="J28" s="42">
        <f t="shared" si="1"/>
        <v>5200</v>
      </c>
      <c r="K28" s="42">
        <f t="shared" si="1"/>
        <v>5200</v>
      </c>
      <c r="L28" s="42">
        <f t="shared" si="1"/>
        <v>5200</v>
      </c>
      <c r="M28" s="42">
        <f t="shared" si="1"/>
        <v>5200</v>
      </c>
      <c r="N28" s="42">
        <f t="shared" si="1"/>
        <v>5200</v>
      </c>
      <c r="O28" s="42">
        <f t="shared" si="1"/>
        <v>5200</v>
      </c>
      <c r="P28" s="42">
        <f t="shared" si="1"/>
        <v>5200</v>
      </c>
      <c r="Q28" s="42">
        <f t="shared" si="1"/>
        <v>5200</v>
      </c>
      <c r="R28" s="42">
        <f t="shared" si="1"/>
        <v>5200</v>
      </c>
      <c r="S28" s="42">
        <f t="shared" si="1"/>
        <v>5200</v>
      </c>
      <c r="T28" s="42">
        <f t="shared" si="1"/>
        <v>5200</v>
      </c>
      <c r="U28" s="42">
        <f t="shared" si="1"/>
        <v>5200</v>
      </c>
      <c r="V28" s="42">
        <f t="shared" si="1"/>
        <v>5356</v>
      </c>
      <c r="W28" s="42">
        <f t="shared" si="1"/>
        <v>5356</v>
      </c>
      <c r="X28" s="42">
        <f t="shared" si="1"/>
        <v>5356</v>
      </c>
      <c r="Y28" s="42"/>
      <c r="Z28" s="42">
        <f t="shared" si="3"/>
        <v>62868</v>
      </c>
      <c r="AB28" s="44" t="str">
        <f t="shared" si="2"/>
        <v/>
      </c>
    </row>
    <row r="29" spans="2:28" x14ac:dyDescent="0.3">
      <c r="B29" s="37" t="s">
        <v>250</v>
      </c>
      <c r="C29" s="37" t="s">
        <v>251</v>
      </c>
      <c r="D29" s="38">
        <v>66560</v>
      </c>
      <c r="E29" s="39">
        <v>46266</v>
      </c>
      <c r="F29" s="39">
        <v>46722</v>
      </c>
      <c r="G29" s="40">
        <v>0.03</v>
      </c>
      <c r="H29" s="41">
        <f t="shared" si="0"/>
        <v>46661</v>
      </c>
      <c r="I29" s="42">
        <f t="shared" si="1"/>
        <v>5546.666666666667</v>
      </c>
      <c r="J29" s="42">
        <f t="shared" si="1"/>
        <v>5546.666666666667</v>
      </c>
      <c r="K29" s="42">
        <f t="shared" si="1"/>
        <v>5546.666666666667</v>
      </c>
      <c r="L29" s="42">
        <f t="shared" si="1"/>
        <v>5546.666666666667</v>
      </c>
      <c r="M29" s="42">
        <f t="shared" si="1"/>
        <v>5546.666666666667</v>
      </c>
      <c r="N29" s="42">
        <f t="shared" si="1"/>
        <v>5546.666666666667</v>
      </c>
      <c r="O29" s="42">
        <f t="shared" si="1"/>
        <v>5546.666666666667</v>
      </c>
      <c r="P29" s="42">
        <f t="shared" si="1"/>
        <v>5546.666666666667</v>
      </c>
      <c r="Q29" s="42">
        <f t="shared" si="1"/>
        <v>5546.666666666667</v>
      </c>
      <c r="R29" s="42">
        <f t="shared" si="1"/>
        <v>5546.666666666667</v>
      </c>
      <c r="S29" s="42">
        <f t="shared" si="1"/>
        <v>5546.666666666667</v>
      </c>
      <c r="T29" s="42">
        <f t="shared" si="1"/>
        <v>5546.666666666667</v>
      </c>
      <c r="U29" s="42">
        <f t="shared" si="1"/>
        <v>5546.666666666667</v>
      </c>
      <c r="V29" s="42">
        <f t="shared" si="1"/>
        <v>5713.0666666666675</v>
      </c>
      <c r="W29" s="42">
        <f t="shared" si="1"/>
        <v>5713.0666666666675</v>
      </c>
      <c r="X29" s="42">
        <f t="shared" si="1"/>
        <v>5713.0666666666675</v>
      </c>
      <c r="Y29" s="42"/>
      <c r="Z29" s="42">
        <f t="shared" si="3"/>
        <v>67059.199999999997</v>
      </c>
      <c r="AB29" s="44" t="str">
        <f t="shared" si="2"/>
        <v/>
      </c>
    </row>
    <row r="30" spans="2:28" x14ac:dyDescent="0.3">
      <c r="B30" s="37"/>
      <c r="C30" s="37"/>
      <c r="D30" s="38"/>
      <c r="E30" s="39">
        <v>46266</v>
      </c>
      <c r="F30" s="39">
        <v>46722</v>
      </c>
      <c r="G30" s="40">
        <v>0.03</v>
      </c>
      <c r="H30" s="41">
        <f t="shared" si="0"/>
        <v>46661</v>
      </c>
      <c r="I30" s="42" t="str">
        <f t="shared" si="1"/>
        <v/>
      </c>
      <c r="J30" s="42" t="str">
        <f t="shared" si="1"/>
        <v/>
      </c>
      <c r="K30" s="42" t="str">
        <f t="shared" si="1"/>
        <v/>
      </c>
      <c r="L30" s="42" t="str">
        <f t="shared" si="1"/>
        <v/>
      </c>
      <c r="M30" s="42" t="str">
        <f t="shared" si="1"/>
        <v/>
      </c>
      <c r="N30" s="42" t="str">
        <f t="shared" si="1"/>
        <v/>
      </c>
      <c r="O30" s="42" t="str">
        <f t="shared" si="1"/>
        <v/>
      </c>
      <c r="P30" s="42" t="str">
        <f t="shared" si="1"/>
        <v/>
      </c>
      <c r="Q30" s="42" t="str">
        <f t="shared" si="1"/>
        <v/>
      </c>
      <c r="R30" s="42" t="str">
        <f t="shared" si="1"/>
        <v/>
      </c>
      <c r="S30" s="42" t="str">
        <f t="shared" si="1"/>
        <v/>
      </c>
      <c r="T30" s="42" t="str">
        <f t="shared" si="1"/>
        <v/>
      </c>
      <c r="U30" s="42" t="str">
        <f t="shared" si="1"/>
        <v/>
      </c>
      <c r="V30" s="42" t="str">
        <f t="shared" si="1"/>
        <v/>
      </c>
      <c r="W30" s="42" t="str">
        <f t="shared" si="1"/>
        <v/>
      </c>
      <c r="X30" s="42" t="str">
        <f t="shared" si="1"/>
        <v/>
      </c>
      <c r="Y30" s="42"/>
      <c r="Z30" s="42">
        <f t="shared" si="3"/>
        <v>0</v>
      </c>
      <c r="AB30" s="44" t="str">
        <f t="shared" si="2"/>
        <v/>
      </c>
    </row>
    <row r="31" spans="2:28" x14ac:dyDescent="0.3">
      <c r="B31" s="37"/>
      <c r="C31" s="37"/>
      <c r="D31" s="38"/>
      <c r="E31" s="39">
        <v>46266</v>
      </c>
      <c r="F31" s="39">
        <v>46722</v>
      </c>
      <c r="G31" s="40">
        <v>0.03</v>
      </c>
      <c r="H31" s="41">
        <f t="shared" si="0"/>
        <v>46661</v>
      </c>
      <c r="I31" s="42" t="str">
        <f t="shared" si="1"/>
        <v/>
      </c>
      <c r="J31" s="42" t="str">
        <f t="shared" si="1"/>
        <v/>
      </c>
      <c r="K31" s="42" t="str">
        <f t="shared" si="1"/>
        <v/>
      </c>
      <c r="L31" s="42" t="str">
        <f t="shared" si="1"/>
        <v/>
      </c>
      <c r="M31" s="42" t="str">
        <f t="shared" si="1"/>
        <v/>
      </c>
      <c r="N31" s="42" t="str">
        <f t="shared" si="1"/>
        <v/>
      </c>
      <c r="O31" s="42" t="str">
        <f t="shared" si="1"/>
        <v/>
      </c>
      <c r="P31" s="42" t="str">
        <f t="shared" si="1"/>
        <v/>
      </c>
      <c r="Q31" s="42" t="str">
        <f t="shared" si="1"/>
        <v/>
      </c>
      <c r="R31" s="42" t="str">
        <f t="shared" si="1"/>
        <v/>
      </c>
      <c r="S31" s="42" t="str">
        <f t="shared" si="1"/>
        <v/>
      </c>
      <c r="T31" s="42" t="str">
        <f t="shared" si="1"/>
        <v/>
      </c>
      <c r="U31" s="42" t="str">
        <f t="shared" si="1"/>
        <v/>
      </c>
      <c r="V31" s="42" t="str">
        <f t="shared" si="1"/>
        <v/>
      </c>
      <c r="W31" s="42" t="str">
        <f t="shared" si="1"/>
        <v/>
      </c>
      <c r="X31" s="42" t="str">
        <f t="shared" si="1"/>
        <v/>
      </c>
      <c r="Y31" s="42"/>
      <c r="Z31" s="42">
        <f t="shared" si="3"/>
        <v>0</v>
      </c>
      <c r="AB31" s="44" t="str">
        <f t="shared" si="2"/>
        <v/>
      </c>
    </row>
    <row r="32" spans="2:28" x14ac:dyDescent="0.3">
      <c r="B32" s="37"/>
      <c r="C32" s="37"/>
      <c r="D32" s="38"/>
      <c r="E32" s="39">
        <v>46266</v>
      </c>
      <c r="F32" s="39">
        <v>46722</v>
      </c>
      <c r="G32" s="40">
        <v>0.03</v>
      </c>
      <c r="H32" s="41">
        <f t="shared" si="0"/>
        <v>46661</v>
      </c>
      <c r="I32" s="42" t="str">
        <f t="shared" si="1"/>
        <v/>
      </c>
      <c r="J32" s="42" t="str">
        <f t="shared" si="1"/>
        <v/>
      </c>
      <c r="K32" s="42" t="str">
        <f t="shared" si="1"/>
        <v/>
      </c>
      <c r="L32" s="42" t="str">
        <f t="shared" si="1"/>
        <v/>
      </c>
      <c r="M32" s="42" t="str">
        <f t="shared" si="1"/>
        <v/>
      </c>
      <c r="N32" s="42" t="str">
        <f t="shared" si="1"/>
        <v/>
      </c>
      <c r="O32" s="42" t="str">
        <f t="shared" si="1"/>
        <v/>
      </c>
      <c r="P32" s="42" t="str">
        <f t="shared" si="1"/>
        <v/>
      </c>
      <c r="Q32" s="42" t="str">
        <f t="shared" si="1"/>
        <v/>
      </c>
      <c r="R32" s="42" t="str">
        <f t="shared" si="1"/>
        <v/>
      </c>
      <c r="S32" s="42" t="str">
        <f t="shared" si="1"/>
        <v/>
      </c>
      <c r="T32" s="42" t="str">
        <f t="shared" si="1"/>
        <v/>
      </c>
      <c r="U32" s="42" t="str">
        <f t="shared" si="1"/>
        <v/>
      </c>
      <c r="V32" s="42" t="str">
        <f t="shared" si="1"/>
        <v/>
      </c>
      <c r="W32" s="42" t="str">
        <f t="shared" si="1"/>
        <v/>
      </c>
      <c r="X32" s="42" t="str">
        <f t="shared" si="1"/>
        <v/>
      </c>
      <c r="Y32" s="42"/>
      <c r="Z32" s="42">
        <f t="shared" si="3"/>
        <v>0</v>
      </c>
      <c r="AB32" s="44" t="str">
        <f t="shared" si="2"/>
        <v/>
      </c>
    </row>
    <row r="33" spans="2:28" x14ac:dyDescent="0.3">
      <c r="B33" s="37"/>
      <c r="C33" s="37"/>
      <c r="D33" s="38"/>
      <c r="E33" s="39">
        <v>46266</v>
      </c>
      <c r="F33" s="39">
        <v>46722</v>
      </c>
      <c r="G33" s="40">
        <v>0.03</v>
      </c>
      <c r="H33" s="41">
        <f t="shared" si="0"/>
        <v>46661</v>
      </c>
      <c r="I33" s="42" t="str">
        <f t="shared" si="1"/>
        <v/>
      </c>
      <c r="J33" s="42" t="str">
        <f t="shared" si="1"/>
        <v/>
      </c>
      <c r="K33" s="42" t="str">
        <f t="shared" si="1"/>
        <v/>
      </c>
      <c r="L33" s="42" t="str">
        <f t="shared" si="1"/>
        <v/>
      </c>
      <c r="M33" s="42" t="str">
        <f t="shared" si="1"/>
        <v/>
      </c>
      <c r="N33" s="42" t="str">
        <f t="shared" si="1"/>
        <v/>
      </c>
      <c r="O33" s="42" t="str">
        <f t="shared" si="1"/>
        <v/>
      </c>
      <c r="P33" s="42" t="str">
        <f t="shared" si="1"/>
        <v/>
      </c>
      <c r="Q33" s="42" t="str">
        <f t="shared" si="1"/>
        <v/>
      </c>
      <c r="R33" s="42" t="str">
        <f t="shared" si="1"/>
        <v/>
      </c>
      <c r="S33" s="42" t="str">
        <f t="shared" si="1"/>
        <v/>
      </c>
      <c r="T33" s="42" t="str">
        <f t="shared" si="1"/>
        <v/>
      </c>
      <c r="U33" s="42" t="str">
        <f t="shared" si="1"/>
        <v/>
      </c>
      <c r="V33" s="42" t="str">
        <f t="shared" si="1"/>
        <v/>
      </c>
      <c r="W33" s="42" t="str">
        <f t="shared" si="1"/>
        <v/>
      </c>
      <c r="X33" s="42" t="str">
        <f t="shared" si="1"/>
        <v/>
      </c>
      <c r="Y33" s="42"/>
      <c r="Z33" s="42">
        <f t="shared" si="3"/>
        <v>0</v>
      </c>
      <c r="AB33" s="44" t="str">
        <f t="shared" si="2"/>
        <v/>
      </c>
    </row>
    <row r="34" spans="2:28" x14ac:dyDescent="0.3">
      <c r="B34" s="8" t="s">
        <v>55</v>
      </c>
      <c r="D34" s="45"/>
      <c r="E34" s="46"/>
      <c r="F34" s="46"/>
      <c r="G34" s="46"/>
      <c r="H34" s="46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B34" s="44"/>
    </row>
    <row r="35" spans="2:28" x14ac:dyDescent="0.3">
      <c r="B35" s="37"/>
      <c r="C35" s="37"/>
      <c r="D35" s="38"/>
      <c r="E35" s="39"/>
      <c r="F35" s="39">
        <v>46722</v>
      </c>
      <c r="G35" s="40">
        <v>0.03</v>
      </c>
      <c r="H35" s="41">
        <f>$D$8</f>
        <v>46661</v>
      </c>
      <c r="I35" s="42" t="str">
        <f t="shared" ref="I35:X39" si="7">IF(OR($D35="",$E35="",NOT(ISNUMBER($D35))),"",IF(AND($E35&lt;=I$10,IF($F35="",$X$10,$F35)&gt;=I$10),$D35/12*(1+N($G35))^IF(AND(ISNUMBER($H35),I$10&gt;=$H35),1+INT(DATEDIF($H35,I$10,"m")/12),0),0))</f>
        <v/>
      </c>
      <c r="J35" s="42" t="str">
        <f t="shared" si="7"/>
        <v/>
      </c>
      <c r="K35" s="42" t="str">
        <f t="shared" si="7"/>
        <v/>
      </c>
      <c r="L35" s="42" t="str">
        <f t="shared" si="7"/>
        <v/>
      </c>
      <c r="M35" s="42" t="str">
        <f t="shared" si="7"/>
        <v/>
      </c>
      <c r="N35" s="42" t="str">
        <f t="shared" si="7"/>
        <v/>
      </c>
      <c r="O35" s="42" t="str">
        <f t="shared" si="7"/>
        <v/>
      </c>
      <c r="P35" s="42" t="str">
        <f t="shared" si="7"/>
        <v/>
      </c>
      <c r="Q35" s="42" t="str">
        <f t="shared" si="7"/>
        <v/>
      </c>
      <c r="R35" s="42" t="str">
        <f t="shared" si="7"/>
        <v/>
      </c>
      <c r="S35" s="42" t="str">
        <f t="shared" si="7"/>
        <v/>
      </c>
      <c r="T35" s="42" t="str">
        <f t="shared" si="7"/>
        <v/>
      </c>
      <c r="U35" s="42" t="str">
        <f t="shared" si="7"/>
        <v/>
      </c>
      <c r="V35" s="42" t="str">
        <f t="shared" si="7"/>
        <v/>
      </c>
      <c r="W35" s="42" t="str">
        <f t="shared" si="7"/>
        <v/>
      </c>
      <c r="X35" s="42" t="str">
        <f t="shared" si="7"/>
        <v/>
      </c>
      <c r="Y35" s="42"/>
      <c r="Z35" s="42">
        <f t="shared" ref="Z35:Z50" si="8">SUM(M35:X35)</f>
        <v>0</v>
      </c>
      <c r="AB35" s="44" t="str">
        <f>IF($D35&amp;$E35="","",IF(AND($D35&lt;&gt;"",NOT(ISNUMBER($D35))),"Salary must be a number",IF(AND($D35&lt;&gt;"",$E35=""),"Start month missing",IF(AND(ISNUMBER($E35),ISNUMBER($F35),$F35&lt;$E35),"End is before Start",IF(AND($D35&lt;&gt;"",NOT(ISNUMBER($H35))),"Increase month missing","")))))</f>
        <v/>
      </c>
    </row>
    <row r="36" spans="2:28" x14ac:dyDescent="0.3">
      <c r="B36" s="37"/>
      <c r="C36" s="37"/>
      <c r="D36" s="38"/>
      <c r="E36" s="39"/>
      <c r="F36" s="39">
        <v>46722</v>
      </c>
      <c r="G36" s="40">
        <v>0.03</v>
      </c>
      <c r="H36" s="41">
        <f>$D$8</f>
        <v>46661</v>
      </c>
      <c r="I36" s="42" t="str">
        <f t="shared" si="7"/>
        <v/>
      </c>
      <c r="J36" s="42" t="str">
        <f t="shared" si="7"/>
        <v/>
      </c>
      <c r="K36" s="42" t="str">
        <f t="shared" si="7"/>
        <v/>
      </c>
      <c r="L36" s="42" t="str">
        <f t="shared" si="7"/>
        <v/>
      </c>
      <c r="M36" s="42" t="str">
        <f t="shared" si="7"/>
        <v/>
      </c>
      <c r="N36" s="42" t="str">
        <f t="shared" si="7"/>
        <v/>
      </c>
      <c r="O36" s="42" t="str">
        <f t="shared" si="7"/>
        <v/>
      </c>
      <c r="P36" s="42" t="str">
        <f t="shared" si="7"/>
        <v/>
      </c>
      <c r="Q36" s="42" t="str">
        <f t="shared" si="7"/>
        <v/>
      </c>
      <c r="R36" s="42" t="str">
        <f t="shared" si="7"/>
        <v/>
      </c>
      <c r="S36" s="42" t="str">
        <f t="shared" si="7"/>
        <v/>
      </c>
      <c r="T36" s="42" t="str">
        <f t="shared" si="7"/>
        <v/>
      </c>
      <c r="U36" s="42" t="str">
        <f t="shared" si="7"/>
        <v/>
      </c>
      <c r="V36" s="42" t="str">
        <f t="shared" si="7"/>
        <v/>
      </c>
      <c r="W36" s="42" t="str">
        <f t="shared" si="7"/>
        <v/>
      </c>
      <c r="X36" s="42" t="str">
        <f t="shared" si="7"/>
        <v/>
      </c>
      <c r="Y36" s="42"/>
      <c r="Z36" s="42">
        <f t="shared" si="8"/>
        <v>0</v>
      </c>
      <c r="AB36" s="44" t="str">
        <f>IF($D36&amp;$E36="","",IF(AND($D36&lt;&gt;"",NOT(ISNUMBER($D36))),"Salary must be a number",IF(AND($D36&lt;&gt;"",$E36=""),"Start month missing",IF(AND(ISNUMBER($E36),ISNUMBER($F36),$F36&lt;$E36),"End is before Start",IF(AND($D36&lt;&gt;"",NOT(ISNUMBER($H36))),"Increase month missing","")))))</f>
        <v/>
      </c>
    </row>
    <row r="37" spans="2:28" x14ac:dyDescent="0.3">
      <c r="B37" s="37"/>
      <c r="C37" s="37"/>
      <c r="D37" s="38"/>
      <c r="E37" s="39"/>
      <c r="F37" s="39">
        <v>46722</v>
      </c>
      <c r="G37" s="40">
        <v>0.03</v>
      </c>
      <c r="H37" s="41">
        <f>$D$8</f>
        <v>46661</v>
      </c>
      <c r="I37" s="42" t="str">
        <f t="shared" si="7"/>
        <v/>
      </c>
      <c r="J37" s="42" t="str">
        <f t="shared" si="7"/>
        <v/>
      </c>
      <c r="K37" s="42" t="str">
        <f t="shared" si="7"/>
        <v/>
      </c>
      <c r="L37" s="42" t="str">
        <f t="shared" si="7"/>
        <v/>
      </c>
      <c r="M37" s="42" t="str">
        <f t="shared" si="7"/>
        <v/>
      </c>
      <c r="N37" s="42" t="str">
        <f t="shared" si="7"/>
        <v/>
      </c>
      <c r="O37" s="42" t="str">
        <f t="shared" si="7"/>
        <v/>
      </c>
      <c r="P37" s="42" t="str">
        <f t="shared" si="7"/>
        <v/>
      </c>
      <c r="Q37" s="42" t="str">
        <f t="shared" si="7"/>
        <v/>
      </c>
      <c r="R37" s="42" t="str">
        <f t="shared" si="7"/>
        <v/>
      </c>
      <c r="S37" s="42" t="str">
        <f t="shared" si="7"/>
        <v/>
      </c>
      <c r="T37" s="42" t="str">
        <f t="shared" si="7"/>
        <v/>
      </c>
      <c r="U37" s="42" t="str">
        <f t="shared" si="7"/>
        <v/>
      </c>
      <c r="V37" s="42" t="str">
        <f t="shared" si="7"/>
        <v/>
      </c>
      <c r="W37" s="42" t="str">
        <f t="shared" si="7"/>
        <v/>
      </c>
      <c r="X37" s="42" t="str">
        <f t="shared" si="7"/>
        <v/>
      </c>
      <c r="Y37" s="42"/>
      <c r="Z37" s="42">
        <f t="shared" si="8"/>
        <v>0</v>
      </c>
      <c r="AB37" s="44" t="str">
        <f>IF($D37&amp;$E37="","",IF(AND($D37&lt;&gt;"",NOT(ISNUMBER($D37))),"Salary must be a number",IF(AND($D37&lt;&gt;"",$E37=""),"Start month missing",IF(AND(ISNUMBER($E37),ISNUMBER($F37),$F37&lt;$E37),"End is before Start",IF(AND($D37&lt;&gt;"",NOT(ISNUMBER($H37))),"Increase month missing","")))))</f>
        <v/>
      </c>
    </row>
    <row r="38" spans="2:28" x14ac:dyDescent="0.3">
      <c r="B38" s="37"/>
      <c r="C38" s="37"/>
      <c r="D38" s="38"/>
      <c r="E38" s="39"/>
      <c r="F38" s="39">
        <v>46722</v>
      </c>
      <c r="G38" s="40">
        <v>0.03</v>
      </c>
      <c r="H38" s="41">
        <f>$D$8</f>
        <v>46661</v>
      </c>
      <c r="I38" s="42" t="str">
        <f t="shared" si="7"/>
        <v/>
      </c>
      <c r="J38" s="42" t="str">
        <f t="shared" si="7"/>
        <v/>
      </c>
      <c r="K38" s="42" t="str">
        <f t="shared" si="7"/>
        <v/>
      </c>
      <c r="L38" s="42" t="str">
        <f t="shared" si="7"/>
        <v/>
      </c>
      <c r="M38" s="42" t="str">
        <f t="shared" si="7"/>
        <v/>
      </c>
      <c r="N38" s="42" t="str">
        <f t="shared" si="7"/>
        <v/>
      </c>
      <c r="O38" s="42" t="str">
        <f t="shared" si="7"/>
        <v/>
      </c>
      <c r="P38" s="42" t="str">
        <f t="shared" si="7"/>
        <v/>
      </c>
      <c r="Q38" s="42" t="str">
        <f t="shared" si="7"/>
        <v/>
      </c>
      <c r="R38" s="42" t="str">
        <f t="shared" si="7"/>
        <v/>
      </c>
      <c r="S38" s="42" t="str">
        <f t="shared" si="7"/>
        <v/>
      </c>
      <c r="T38" s="42" t="str">
        <f t="shared" si="7"/>
        <v/>
      </c>
      <c r="U38" s="42" t="str">
        <f t="shared" si="7"/>
        <v/>
      </c>
      <c r="V38" s="42" t="str">
        <f t="shared" si="7"/>
        <v/>
      </c>
      <c r="W38" s="42" t="str">
        <f t="shared" si="7"/>
        <v/>
      </c>
      <c r="X38" s="42" t="str">
        <f t="shared" si="7"/>
        <v/>
      </c>
      <c r="Y38" s="42"/>
      <c r="Z38" s="42">
        <f t="shared" si="8"/>
        <v>0</v>
      </c>
      <c r="AB38" s="44" t="str">
        <f>IF($D38&amp;$E38="","",IF(AND($D38&lt;&gt;"",NOT(ISNUMBER($D38))),"Salary must be a number",IF(AND($D38&lt;&gt;"",$E38=""),"Start month missing",IF(AND(ISNUMBER($E38),ISNUMBER($F38),$F38&lt;$E38),"End is before Start",IF(AND($D38&lt;&gt;"",NOT(ISNUMBER($H38))),"Increase month missing","")))))</f>
        <v/>
      </c>
    </row>
    <row r="39" spans="2:28" x14ac:dyDescent="0.3">
      <c r="B39" s="37"/>
      <c r="C39" s="37"/>
      <c r="D39" s="38"/>
      <c r="E39" s="39"/>
      <c r="F39" s="39">
        <v>46722</v>
      </c>
      <c r="G39" s="40">
        <v>0.03</v>
      </c>
      <c r="H39" s="41">
        <f>$D$8</f>
        <v>46661</v>
      </c>
      <c r="I39" s="42" t="str">
        <f t="shared" si="7"/>
        <v/>
      </c>
      <c r="J39" s="42" t="str">
        <f t="shared" si="7"/>
        <v/>
      </c>
      <c r="K39" s="42" t="str">
        <f t="shared" si="7"/>
        <v/>
      </c>
      <c r="L39" s="42" t="str">
        <f t="shared" si="7"/>
        <v/>
      </c>
      <c r="M39" s="42" t="str">
        <f t="shared" si="7"/>
        <v/>
      </c>
      <c r="N39" s="42" t="str">
        <f t="shared" si="7"/>
        <v/>
      </c>
      <c r="O39" s="42" t="str">
        <f t="shared" si="7"/>
        <v/>
      </c>
      <c r="P39" s="42" t="str">
        <f t="shared" si="7"/>
        <v/>
      </c>
      <c r="Q39" s="42" t="str">
        <f t="shared" si="7"/>
        <v/>
      </c>
      <c r="R39" s="42" t="str">
        <f t="shared" si="7"/>
        <v/>
      </c>
      <c r="S39" s="42" t="str">
        <f t="shared" si="7"/>
        <v/>
      </c>
      <c r="T39" s="42" t="str">
        <f t="shared" si="7"/>
        <v/>
      </c>
      <c r="U39" s="42" t="str">
        <f t="shared" si="7"/>
        <v/>
      </c>
      <c r="V39" s="42" t="str">
        <f t="shared" si="7"/>
        <v/>
      </c>
      <c r="W39" s="42" t="str">
        <f t="shared" si="7"/>
        <v/>
      </c>
      <c r="X39" s="42" t="str">
        <f t="shared" si="7"/>
        <v/>
      </c>
      <c r="Y39" s="42"/>
      <c r="Z39" s="42">
        <f t="shared" si="8"/>
        <v>0</v>
      </c>
      <c r="AB39" s="44" t="str">
        <f>IF($D39&amp;$E39="","",IF(AND($D39&lt;&gt;"",NOT(ISNUMBER($D39))),"Salary must be a number",IF(AND($D39&lt;&gt;"",$E39=""),"Start month missing",IF(AND(ISNUMBER($E39),ISNUMBER($F39),$F39&lt;$E39),"End is before Start",IF(AND($D39&lt;&gt;"",NOT(ISNUMBER($H39))),"Increase month missing","")))))</f>
        <v/>
      </c>
    </row>
    <row r="40" spans="2:28" x14ac:dyDescent="0.3">
      <c r="B40" s="8" t="s">
        <v>56</v>
      </c>
      <c r="D40" s="45"/>
      <c r="E40" s="46"/>
      <c r="F40" s="46"/>
      <c r="G40" s="46"/>
      <c r="H40" s="46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B40" s="44"/>
    </row>
    <row r="41" spans="2:28" x14ac:dyDescent="0.3">
      <c r="B41" s="37"/>
      <c r="C41" s="37"/>
      <c r="D41" s="38"/>
      <c r="E41" s="39"/>
      <c r="F41" s="39">
        <v>46722</v>
      </c>
      <c r="G41" s="40">
        <v>0.03</v>
      </c>
      <c r="H41" s="41">
        <f t="shared" ref="H41:H50" si="9">$D$8</f>
        <v>46661</v>
      </c>
      <c r="I41" s="42" t="str">
        <f t="shared" ref="I41:X50" si="10">IF(OR($D41="",$E41="",NOT(ISNUMBER($D41))),"",IF(AND($E41&lt;=I$10,IF($F41="",$X$10,$F41)&gt;=I$10),$D41/12*(1+N($G41))^IF(AND(ISNUMBER($H41),I$10&gt;=$H41),1+INT(DATEDIF($H41,I$10,"m")/12),0),0))</f>
        <v/>
      </c>
      <c r="J41" s="42" t="str">
        <f t="shared" si="10"/>
        <v/>
      </c>
      <c r="K41" s="42" t="str">
        <f t="shared" si="10"/>
        <v/>
      </c>
      <c r="L41" s="42" t="str">
        <f t="shared" si="10"/>
        <v/>
      </c>
      <c r="M41" s="42" t="str">
        <f t="shared" si="10"/>
        <v/>
      </c>
      <c r="N41" s="42" t="str">
        <f t="shared" si="10"/>
        <v/>
      </c>
      <c r="O41" s="42" t="str">
        <f t="shared" si="10"/>
        <v/>
      </c>
      <c r="P41" s="42" t="str">
        <f t="shared" si="10"/>
        <v/>
      </c>
      <c r="Q41" s="42" t="str">
        <f t="shared" si="10"/>
        <v/>
      </c>
      <c r="R41" s="42" t="str">
        <f t="shared" si="10"/>
        <v/>
      </c>
      <c r="S41" s="42" t="str">
        <f t="shared" si="10"/>
        <v/>
      </c>
      <c r="T41" s="42" t="str">
        <f t="shared" si="10"/>
        <v/>
      </c>
      <c r="U41" s="42" t="str">
        <f t="shared" si="10"/>
        <v/>
      </c>
      <c r="V41" s="42" t="str">
        <f t="shared" si="10"/>
        <v/>
      </c>
      <c r="W41" s="42" t="str">
        <f t="shared" si="10"/>
        <v/>
      </c>
      <c r="X41" s="42" t="str">
        <f t="shared" si="10"/>
        <v/>
      </c>
      <c r="Y41" s="42"/>
      <c r="Z41" s="42">
        <f t="shared" si="8"/>
        <v>0</v>
      </c>
      <c r="AB41" s="44" t="str">
        <f t="shared" ref="AB41:AB50" si="11">IF($D41&amp;$E41="","",IF(AND($D41&lt;&gt;"",NOT(ISNUMBER($D41))),"Salary must be a number",IF(AND($D41&lt;&gt;"",$E41=""),"Start month missing",IF(AND(ISNUMBER($E41),ISNUMBER($F41),$F41&lt;$E41),"End is before Start",IF(AND($D41&lt;&gt;"",NOT(ISNUMBER($H41))),"Increase month missing","")))))</f>
        <v/>
      </c>
    </row>
    <row r="42" spans="2:28" x14ac:dyDescent="0.3">
      <c r="B42" s="37"/>
      <c r="C42" s="37"/>
      <c r="D42" s="38"/>
      <c r="E42" s="39"/>
      <c r="F42" s="39">
        <v>46722</v>
      </c>
      <c r="G42" s="40">
        <v>0.03</v>
      </c>
      <c r="H42" s="41">
        <f t="shared" si="9"/>
        <v>46661</v>
      </c>
      <c r="I42" s="42" t="str">
        <f t="shared" si="10"/>
        <v/>
      </c>
      <c r="J42" s="42" t="str">
        <f t="shared" si="10"/>
        <v/>
      </c>
      <c r="K42" s="42" t="str">
        <f t="shared" si="10"/>
        <v/>
      </c>
      <c r="L42" s="42" t="str">
        <f t="shared" si="10"/>
        <v/>
      </c>
      <c r="M42" s="42" t="str">
        <f t="shared" si="10"/>
        <v/>
      </c>
      <c r="N42" s="42" t="str">
        <f t="shared" si="10"/>
        <v/>
      </c>
      <c r="O42" s="42" t="str">
        <f t="shared" si="10"/>
        <v/>
      </c>
      <c r="P42" s="42" t="str">
        <f t="shared" si="10"/>
        <v/>
      </c>
      <c r="Q42" s="42" t="str">
        <f t="shared" si="10"/>
        <v/>
      </c>
      <c r="R42" s="42" t="str">
        <f t="shared" si="10"/>
        <v/>
      </c>
      <c r="S42" s="42" t="str">
        <f t="shared" si="10"/>
        <v/>
      </c>
      <c r="T42" s="42" t="str">
        <f t="shared" si="10"/>
        <v/>
      </c>
      <c r="U42" s="42" t="str">
        <f t="shared" si="10"/>
        <v/>
      </c>
      <c r="V42" s="42" t="str">
        <f t="shared" si="10"/>
        <v/>
      </c>
      <c r="W42" s="42" t="str">
        <f t="shared" si="10"/>
        <v/>
      </c>
      <c r="X42" s="42" t="str">
        <f t="shared" si="10"/>
        <v/>
      </c>
      <c r="Y42" s="42"/>
      <c r="Z42" s="42">
        <f t="shared" si="8"/>
        <v>0</v>
      </c>
      <c r="AB42" s="44" t="str">
        <f t="shared" si="11"/>
        <v/>
      </c>
    </row>
    <row r="43" spans="2:28" x14ac:dyDescent="0.3">
      <c r="B43" s="37"/>
      <c r="C43" s="37"/>
      <c r="D43" s="38"/>
      <c r="E43" s="39"/>
      <c r="F43" s="39">
        <v>46722</v>
      </c>
      <c r="G43" s="40">
        <v>0.03</v>
      </c>
      <c r="H43" s="41">
        <f t="shared" si="9"/>
        <v>46661</v>
      </c>
      <c r="I43" s="42" t="str">
        <f t="shared" si="10"/>
        <v/>
      </c>
      <c r="J43" s="42" t="str">
        <f t="shared" si="10"/>
        <v/>
      </c>
      <c r="K43" s="42" t="str">
        <f t="shared" si="10"/>
        <v/>
      </c>
      <c r="L43" s="42" t="str">
        <f t="shared" si="10"/>
        <v/>
      </c>
      <c r="M43" s="42" t="str">
        <f t="shared" si="10"/>
        <v/>
      </c>
      <c r="N43" s="42" t="str">
        <f t="shared" si="10"/>
        <v/>
      </c>
      <c r="O43" s="42" t="str">
        <f t="shared" si="10"/>
        <v/>
      </c>
      <c r="P43" s="42" t="str">
        <f t="shared" si="10"/>
        <v/>
      </c>
      <c r="Q43" s="42" t="str">
        <f t="shared" si="10"/>
        <v/>
      </c>
      <c r="R43" s="42" t="str">
        <f t="shared" si="10"/>
        <v/>
      </c>
      <c r="S43" s="42" t="str">
        <f t="shared" si="10"/>
        <v/>
      </c>
      <c r="T43" s="42" t="str">
        <f t="shared" si="10"/>
        <v/>
      </c>
      <c r="U43" s="42" t="str">
        <f t="shared" si="10"/>
        <v/>
      </c>
      <c r="V43" s="42" t="str">
        <f t="shared" si="10"/>
        <v/>
      </c>
      <c r="W43" s="42" t="str">
        <f t="shared" si="10"/>
        <v/>
      </c>
      <c r="X43" s="42" t="str">
        <f t="shared" si="10"/>
        <v/>
      </c>
      <c r="Y43" s="42"/>
      <c r="Z43" s="42">
        <f t="shared" si="8"/>
        <v>0</v>
      </c>
      <c r="AB43" s="44" t="str">
        <f t="shared" si="11"/>
        <v/>
      </c>
    </row>
    <row r="44" spans="2:28" x14ac:dyDescent="0.3">
      <c r="B44" s="37"/>
      <c r="C44" s="37"/>
      <c r="D44" s="38"/>
      <c r="E44" s="39"/>
      <c r="F44" s="39">
        <v>46722</v>
      </c>
      <c r="G44" s="40">
        <v>0.03</v>
      </c>
      <c r="H44" s="41">
        <f t="shared" si="9"/>
        <v>46661</v>
      </c>
      <c r="I44" s="42" t="str">
        <f t="shared" si="10"/>
        <v/>
      </c>
      <c r="J44" s="42" t="str">
        <f t="shared" si="10"/>
        <v/>
      </c>
      <c r="K44" s="42" t="str">
        <f t="shared" si="10"/>
        <v/>
      </c>
      <c r="L44" s="42" t="str">
        <f t="shared" si="10"/>
        <v/>
      </c>
      <c r="M44" s="42" t="str">
        <f t="shared" si="10"/>
        <v/>
      </c>
      <c r="N44" s="42" t="str">
        <f t="shared" si="10"/>
        <v/>
      </c>
      <c r="O44" s="42" t="str">
        <f t="shared" si="10"/>
        <v/>
      </c>
      <c r="P44" s="42" t="str">
        <f t="shared" si="10"/>
        <v/>
      </c>
      <c r="Q44" s="42" t="str">
        <f t="shared" si="10"/>
        <v/>
      </c>
      <c r="R44" s="42" t="str">
        <f t="shared" si="10"/>
        <v/>
      </c>
      <c r="S44" s="42" t="str">
        <f t="shared" si="10"/>
        <v/>
      </c>
      <c r="T44" s="42" t="str">
        <f t="shared" si="10"/>
        <v/>
      </c>
      <c r="U44" s="42" t="str">
        <f t="shared" si="10"/>
        <v/>
      </c>
      <c r="V44" s="42" t="str">
        <f t="shared" si="10"/>
        <v/>
      </c>
      <c r="W44" s="42" t="str">
        <f t="shared" si="10"/>
        <v/>
      </c>
      <c r="X44" s="42" t="str">
        <f t="shared" si="10"/>
        <v/>
      </c>
      <c r="Y44" s="42"/>
      <c r="Z44" s="42">
        <f t="shared" si="8"/>
        <v>0</v>
      </c>
      <c r="AB44" s="44" t="str">
        <f t="shared" si="11"/>
        <v/>
      </c>
    </row>
    <row r="45" spans="2:28" x14ac:dyDescent="0.3">
      <c r="B45" s="37"/>
      <c r="C45" s="37"/>
      <c r="D45" s="38"/>
      <c r="E45" s="39"/>
      <c r="F45" s="39">
        <v>46722</v>
      </c>
      <c r="G45" s="40">
        <v>0.03</v>
      </c>
      <c r="H45" s="41">
        <f t="shared" si="9"/>
        <v>46661</v>
      </c>
      <c r="I45" s="42" t="str">
        <f t="shared" si="10"/>
        <v/>
      </c>
      <c r="J45" s="42" t="str">
        <f t="shared" si="10"/>
        <v/>
      </c>
      <c r="K45" s="42" t="str">
        <f t="shared" si="10"/>
        <v/>
      </c>
      <c r="L45" s="42" t="str">
        <f t="shared" si="10"/>
        <v/>
      </c>
      <c r="M45" s="42" t="str">
        <f t="shared" si="10"/>
        <v/>
      </c>
      <c r="N45" s="42" t="str">
        <f t="shared" si="10"/>
        <v/>
      </c>
      <c r="O45" s="42" t="str">
        <f t="shared" si="10"/>
        <v/>
      </c>
      <c r="P45" s="42" t="str">
        <f t="shared" si="10"/>
        <v/>
      </c>
      <c r="Q45" s="42" t="str">
        <f t="shared" si="10"/>
        <v/>
      </c>
      <c r="R45" s="42" t="str">
        <f t="shared" si="10"/>
        <v/>
      </c>
      <c r="S45" s="42" t="str">
        <f t="shared" si="10"/>
        <v/>
      </c>
      <c r="T45" s="42" t="str">
        <f t="shared" si="10"/>
        <v/>
      </c>
      <c r="U45" s="42" t="str">
        <f t="shared" si="10"/>
        <v/>
      </c>
      <c r="V45" s="42" t="str">
        <f t="shared" si="10"/>
        <v/>
      </c>
      <c r="W45" s="42" t="str">
        <f t="shared" si="10"/>
        <v/>
      </c>
      <c r="X45" s="42" t="str">
        <f t="shared" si="10"/>
        <v/>
      </c>
      <c r="Y45" s="42"/>
      <c r="Z45" s="42">
        <f t="shared" si="8"/>
        <v>0</v>
      </c>
      <c r="AB45" s="44" t="str">
        <f t="shared" si="11"/>
        <v/>
      </c>
    </row>
    <row r="46" spans="2:28" x14ac:dyDescent="0.3">
      <c r="B46" s="37"/>
      <c r="C46" s="37"/>
      <c r="D46" s="38"/>
      <c r="E46" s="39"/>
      <c r="F46" s="39">
        <v>46722</v>
      </c>
      <c r="G46" s="40">
        <v>0.03</v>
      </c>
      <c r="H46" s="41">
        <f t="shared" si="9"/>
        <v>46661</v>
      </c>
      <c r="I46" s="42" t="str">
        <f t="shared" si="10"/>
        <v/>
      </c>
      <c r="J46" s="42" t="str">
        <f t="shared" si="10"/>
        <v/>
      </c>
      <c r="K46" s="42" t="str">
        <f t="shared" si="10"/>
        <v/>
      </c>
      <c r="L46" s="42" t="str">
        <f t="shared" si="10"/>
        <v/>
      </c>
      <c r="M46" s="42" t="str">
        <f t="shared" si="10"/>
        <v/>
      </c>
      <c r="N46" s="42" t="str">
        <f t="shared" si="10"/>
        <v/>
      </c>
      <c r="O46" s="42" t="str">
        <f t="shared" si="10"/>
        <v/>
      </c>
      <c r="P46" s="42" t="str">
        <f t="shared" si="10"/>
        <v/>
      </c>
      <c r="Q46" s="42" t="str">
        <f t="shared" si="10"/>
        <v/>
      </c>
      <c r="R46" s="42" t="str">
        <f t="shared" si="10"/>
        <v/>
      </c>
      <c r="S46" s="42" t="str">
        <f t="shared" si="10"/>
        <v/>
      </c>
      <c r="T46" s="42" t="str">
        <f t="shared" si="10"/>
        <v/>
      </c>
      <c r="U46" s="42" t="str">
        <f t="shared" si="10"/>
        <v/>
      </c>
      <c r="V46" s="42" t="str">
        <f t="shared" si="10"/>
        <v/>
      </c>
      <c r="W46" s="42" t="str">
        <f t="shared" si="10"/>
        <v/>
      </c>
      <c r="X46" s="42" t="str">
        <f t="shared" si="10"/>
        <v/>
      </c>
      <c r="Y46" s="42"/>
      <c r="Z46" s="42">
        <f t="shared" si="8"/>
        <v>0</v>
      </c>
      <c r="AB46" s="44" t="str">
        <f t="shared" si="11"/>
        <v/>
      </c>
    </row>
    <row r="47" spans="2:28" x14ac:dyDescent="0.3">
      <c r="B47" s="37"/>
      <c r="C47" s="37"/>
      <c r="D47" s="38"/>
      <c r="E47" s="39"/>
      <c r="F47" s="39">
        <v>46722</v>
      </c>
      <c r="G47" s="40">
        <v>0.03</v>
      </c>
      <c r="H47" s="41">
        <f t="shared" si="9"/>
        <v>46661</v>
      </c>
      <c r="I47" s="42" t="str">
        <f t="shared" si="10"/>
        <v/>
      </c>
      <c r="J47" s="42" t="str">
        <f t="shared" si="10"/>
        <v/>
      </c>
      <c r="K47" s="42" t="str">
        <f t="shared" si="10"/>
        <v/>
      </c>
      <c r="L47" s="42" t="str">
        <f t="shared" si="10"/>
        <v/>
      </c>
      <c r="M47" s="42" t="str">
        <f t="shared" si="10"/>
        <v/>
      </c>
      <c r="N47" s="42" t="str">
        <f t="shared" si="10"/>
        <v/>
      </c>
      <c r="O47" s="42" t="str">
        <f t="shared" si="10"/>
        <v/>
      </c>
      <c r="P47" s="42" t="str">
        <f t="shared" si="10"/>
        <v/>
      </c>
      <c r="Q47" s="42" t="str">
        <f t="shared" si="10"/>
        <v/>
      </c>
      <c r="R47" s="42" t="str">
        <f t="shared" si="10"/>
        <v/>
      </c>
      <c r="S47" s="42" t="str">
        <f t="shared" si="10"/>
        <v/>
      </c>
      <c r="T47" s="42" t="str">
        <f t="shared" si="10"/>
        <v/>
      </c>
      <c r="U47" s="42" t="str">
        <f t="shared" si="10"/>
        <v/>
      </c>
      <c r="V47" s="42" t="str">
        <f t="shared" si="10"/>
        <v/>
      </c>
      <c r="W47" s="42" t="str">
        <f t="shared" si="10"/>
        <v/>
      </c>
      <c r="X47" s="42" t="str">
        <f t="shared" si="10"/>
        <v/>
      </c>
      <c r="Y47" s="42"/>
      <c r="Z47" s="42">
        <f t="shared" si="8"/>
        <v>0</v>
      </c>
      <c r="AB47" s="44" t="str">
        <f t="shared" si="11"/>
        <v/>
      </c>
    </row>
    <row r="48" spans="2:28" x14ac:dyDescent="0.3">
      <c r="B48" s="37"/>
      <c r="C48" s="37"/>
      <c r="D48" s="38"/>
      <c r="E48" s="39"/>
      <c r="F48" s="39">
        <v>46722</v>
      </c>
      <c r="G48" s="40">
        <v>0.03</v>
      </c>
      <c r="H48" s="41">
        <f t="shared" si="9"/>
        <v>46661</v>
      </c>
      <c r="I48" s="42" t="str">
        <f t="shared" si="10"/>
        <v/>
      </c>
      <c r="J48" s="42" t="str">
        <f t="shared" si="10"/>
        <v/>
      </c>
      <c r="K48" s="42" t="str">
        <f t="shared" si="10"/>
        <v/>
      </c>
      <c r="L48" s="42" t="str">
        <f t="shared" si="10"/>
        <v/>
      </c>
      <c r="M48" s="42" t="str">
        <f t="shared" si="10"/>
        <v/>
      </c>
      <c r="N48" s="42" t="str">
        <f t="shared" si="10"/>
        <v/>
      </c>
      <c r="O48" s="42" t="str">
        <f t="shared" si="10"/>
        <v/>
      </c>
      <c r="P48" s="42" t="str">
        <f t="shared" si="10"/>
        <v/>
      </c>
      <c r="Q48" s="42" t="str">
        <f t="shared" si="10"/>
        <v/>
      </c>
      <c r="R48" s="42" t="str">
        <f t="shared" si="10"/>
        <v/>
      </c>
      <c r="S48" s="42" t="str">
        <f t="shared" si="10"/>
        <v/>
      </c>
      <c r="T48" s="42" t="str">
        <f t="shared" si="10"/>
        <v/>
      </c>
      <c r="U48" s="42" t="str">
        <f t="shared" si="10"/>
        <v/>
      </c>
      <c r="V48" s="42" t="str">
        <f t="shared" si="10"/>
        <v/>
      </c>
      <c r="W48" s="42" t="str">
        <f t="shared" si="10"/>
        <v/>
      </c>
      <c r="X48" s="42" t="str">
        <f t="shared" si="10"/>
        <v/>
      </c>
      <c r="Y48" s="42"/>
      <c r="Z48" s="42">
        <f t="shared" si="8"/>
        <v>0</v>
      </c>
      <c r="AB48" s="44" t="str">
        <f t="shared" si="11"/>
        <v/>
      </c>
    </row>
    <row r="49" spans="1:28" x14ac:dyDescent="0.3">
      <c r="B49" s="37"/>
      <c r="C49" s="37"/>
      <c r="D49" s="38"/>
      <c r="E49" s="39"/>
      <c r="F49" s="39">
        <v>46722</v>
      </c>
      <c r="G49" s="40">
        <v>0.03</v>
      </c>
      <c r="H49" s="41">
        <f t="shared" si="9"/>
        <v>46661</v>
      </c>
      <c r="I49" s="42" t="str">
        <f t="shared" si="10"/>
        <v/>
      </c>
      <c r="J49" s="42" t="str">
        <f t="shared" si="10"/>
        <v/>
      </c>
      <c r="K49" s="42" t="str">
        <f t="shared" si="10"/>
        <v/>
      </c>
      <c r="L49" s="42" t="str">
        <f t="shared" si="10"/>
        <v/>
      </c>
      <c r="M49" s="42" t="str">
        <f t="shared" si="10"/>
        <v/>
      </c>
      <c r="N49" s="42" t="str">
        <f t="shared" si="10"/>
        <v/>
      </c>
      <c r="O49" s="42" t="str">
        <f t="shared" si="10"/>
        <v/>
      </c>
      <c r="P49" s="42" t="str">
        <f t="shared" si="10"/>
        <v/>
      </c>
      <c r="Q49" s="42" t="str">
        <f t="shared" si="10"/>
        <v/>
      </c>
      <c r="R49" s="42" t="str">
        <f t="shared" si="10"/>
        <v/>
      </c>
      <c r="S49" s="42" t="str">
        <f t="shared" si="10"/>
        <v/>
      </c>
      <c r="T49" s="42" t="str">
        <f t="shared" si="10"/>
        <v/>
      </c>
      <c r="U49" s="42" t="str">
        <f t="shared" si="10"/>
        <v/>
      </c>
      <c r="V49" s="42" t="str">
        <f t="shared" si="10"/>
        <v/>
      </c>
      <c r="W49" s="42" t="str">
        <f t="shared" si="10"/>
        <v/>
      </c>
      <c r="X49" s="42" t="str">
        <f t="shared" si="10"/>
        <v/>
      </c>
      <c r="Y49" s="42"/>
      <c r="Z49" s="42">
        <f t="shared" si="8"/>
        <v>0</v>
      </c>
      <c r="AB49" s="44" t="str">
        <f t="shared" si="11"/>
        <v/>
      </c>
    </row>
    <row r="50" spans="1:28" x14ac:dyDescent="0.3">
      <c r="B50" s="37"/>
      <c r="C50" s="37"/>
      <c r="D50" s="38"/>
      <c r="E50" s="39"/>
      <c r="F50" s="39">
        <v>46722</v>
      </c>
      <c r="G50" s="40">
        <v>0.03</v>
      </c>
      <c r="H50" s="41">
        <f t="shared" si="9"/>
        <v>46661</v>
      </c>
      <c r="I50" s="42" t="str">
        <f t="shared" si="10"/>
        <v/>
      </c>
      <c r="J50" s="42" t="str">
        <f t="shared" si="10"/>
        <v/>
      </c>
      <c r="K50" s="42" t="str">
        <f t="shared" si="10"/>
        <v/>
      </c>
      <c r="L50" s="42" t="str">
        <f t="shared" si="10"/>
        <v/>
      </c>
      <c r="M50" s="42" t="str">
        <f t="shared" si="10"/>
        <v/>
      </c>
      <c r="N50" s="42" t="str">
        <f t="shared" si="10"/>
        <v/>
      </c>
      <c r="O50" s="42" t="str">
        <f t="shared" si="10"/>
        <v/>
      </c>
      <c r="P50" s="42" t="str">
        <f t="shared" si="10"/>
        <v/>
      </c>
      <c r="Q50" s="42" t="str">
        <f t="shared" si="10"/>
        <v/>
      </c>
      <c r="R50" s="42" t="str">
        <f t="shared" si="10"/>
        <v/>
      </c>
      <c r="S50" s="42" t="str">
        <f t="shared" si="10"/>
        <v/>
      </c>
      <c r="T50" s="42" t="str">
        <f t="shared" si="10"/>
        <v/>
      </c>
      <c r="U50" s="42" t="str">
        <f t="shared" si="10"/>
        <v/>
      </c>
      <c r="V50" s="42" t="str">
        <f t="shared" si="10"/>
        <v/>
      </c>
      <c r="W50" s="42" t="str">
        <f t="shared" si="10"/>
        <v/>
      </c>
      <c r="X50" s="42" t="str">
        <f t="shared" si="10"/>
        <v/>
      </c>
      <c r="Y50" s="42"/>
      <c r="Z50" s="42">
        <f t="shared" si="8"/>
        <v>0</v>
      </c>
      <c r="AB50" s="44" t="str">
        <f t="shared" si="11"/>
        <v/>
      </c>
    </row>
    <row r="51" spans="1:28" x14ac:dyDescent="0.3">
      <c r="A51" s="78" t="s">
        <v>57</v>
      </c>
      <c r="B51" s="8" t="s">
        <v>58</v>
      </c>
      <c r="C51" s="8"/>
      <c r="D51" s="47"/>
      <c r="E51" s="48"/>
      <c r="F51" s="48"/>
      <c r="G51" s="49"/>
      <c r="H51" s="48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B51" s="44"/>
    </row>
    <row r="52" spans="1:28" x14ac:dyDescent="0.3">
      <c r="A52" s="79"/>
      <c r="B52" s="37"/>
      <c r="C52" s="37"/>
      <c r="D52" s="38"/>
      <c r="E52" s="39"/>
      <c r="F52" s="39">
        <v>46722</v>
      </c>
      <c r="G52" s="40">
        <v>0.03</v>
      </c>
      <c r="H52" s="41">
        <f t="shared" ref="H52:H57" si="12">$D$8</f>
        <v>46661</v>
      </c>
      <c r="I52" s="42" t="str">
        <f t="shared" ref="I52:X57" si="13">IF(OR($D52="",$E52="",NOT(ISNUMBER($D52))),"",IF(AND($E52&lt;=I$10,IF($F52="",$X$10,$F52)&gt;=I$10),$D52/12*(1+N($G52))^IF(AND(ISNUMBER($H52),I$10&gt;=$H52),1+INT(DATEDIF($H52,I$10,"m")/12),0),0))</f>
        <v/>
      </c>
      <c r="J52" s="42" t="str">
        <f t="shared" si="13"/>
        <v/>
      </c>
      <c r="K52" s="42" t="str">
        <f t="shared" si="13"/>
        <v/>
      </c>
      <c r="L52" s="42" t="str">
        <f t="shared" si="13"/>
        <v/>
      </c>
      <c r="M52" s="42" t="str">
        <f t="shared" si="13"/>
        <v/>
      </c>
      <c r="N52" s="42" t="str">
        <f t="shared" si="13"/>
        <v/>
      </c>
      <c r="O52" s="42" t="str">
        <f t="shared" si="13"/>
        <v/>
      </c>
      <c r="P52" s="42" t="str">
        <f t="shared" si="13"/>
        <v/>
      </c>
      <c r="Q52" s="42" t="str">
        <f t="shared" si="13"/>
        <v/>
      </c>
      <c r="R52" s="42" t="str">
        <f t="shared" si="13"/>
        <v/>
      </c>
      <c r="S52" s="42" t="str">
        <f t="shared" si="13"/>
        <v/>
      </c>
      <c r="T52" s="42" t="str">
        <f t="shared" si="13"/>
        <v/>
      </c>
      <c r="U52" s="42" t="str">
        <f t="shared" si="13"/>
        <v/>
      </c>
      <c r="V52" s="42" t="str">
        <f t="shared" si="13"/>
        <v/>
      </c>
      <c r="W52" s="42" t="str">
        <f t="shared" si="13"/>
        <v/>
      </c>
      <c r="X52" s="42" t="str">
        <f t="shared" si="13"/>
        <v/>
      </c>
      <c r="Y52" s="42"/>
      <c r="Z52" s="42">
        <f t="shared" ref="Z52:Z57" si="14">SUM(M52:X52)</f>
        <v>0</v>
      </c>
      <c r="AB52" s="44" t="str">
        <f t="shared" ref="AB52:AB57" si="15">IF($D52&amp;$E52="","",IF(AND($D52&lt;&gt;"",NOT(ISNUMBER($D52))),"Salary must be a number",IF(AND($D52&lt;&gt;"",$E52=""),"Start month missing",IF(AND(ISNUMBER($E52),ISNUMBER($F52),$F52&lt;$E52),"End is before Start",IF(AND($D52&lt;&gt;"",NOT(ISNUMBER($H52))),"Increase month missing","")))))</f>
        <v/>
      </c>
    </row>
    <row r="53" spans="1:28" x14ac:dyDescent="0.3">
      <c r="A53" s="79"/>
      <c r="B53" s="37"/>
      <c r="C53" s="37"/>
      <c r="D53" s="38"/>
      <c r="E53" s="39"/>
      <c r="F53" s="39">
        <v>46722</v>
      </c>
      <c r="G53" s="40">
        <v>0.03</v>
      </c>
      <c r="H53" s="41">
        <f t="shared" si="12"/>
        <v>46661</v>
      </c>
      <c r="I53" s="42" t="str">
        <f t="shared" si="13"/>
        <v/>
      </c>
      <c r="J53" s="42" t="str">
        <f t="shared" si="13"/>
        <v/>
      </c>
      <c r="K53" s="42" t="str">
        <f t="shared" si="13"/>
        <v/>
      </c>
      <c r="L53" s="42" t="str">
        <f t="shared" si="13"/>
        <v/>
      </c>
      <c r="M53" s="42" t="str">
        <f t="shared" si="13"/>
        <v/>
      </c>
      <c r="N53" s="42" t="str">
        <f t="shared" si="13"/>
        <v/>
      </c>
      <c r="O53" s="42" t="str">
        <f t="shared" si="13"/>
        <v/>
      </c>
      <c r="P53" s="42" t="str">
        <f t="shared" si="13"/>
        <v/>
      </c>
      <c r="Q53" s="42" t="str">
        <f t="shared" si="13"/>
        <v/>
      </c>
      <c r="R53" s="42" t="str">
        <f t="shared" si="13"/>
        <v/>
      </c>
      <c r="S53" s="42" t="str">
        <f t="shared" si="13"/>
        <v/>
      </c>
      <c r="T53" s="42" t="str">
        <f t="shared" si="13"/>
        <v/>
      </c>
      <c r="U53" s="42" t="str">
        <f t="shared" si="13"/>
        <v/>
      </c>
      <c r="V53" s="42" t="str">
        <f t="shared" si="13"/>
        <v/>
      </c>
      <c r="W53" s="42" t="str">
        <f t="shared" si="13"/>
        <v/>
      </c>
      <c r="X53" s="42" t="str">
        <f t="shared" si="13"/>
        <v/>
      </c>
      <c r="Y53" s="42"/>
      <c r="Z53" s="42">
        <f t="shared" si="14"/>
        <v>0</v>
      </c>
      <c r="AB53" s="44" t="str">
        <f t="shared" si="15"/>
        <v/>
      </c>
    </row>
    <row r="54" spans="1:28" x14ac:dyDescent="0.3">
      <c r="A54" s="79"/>
      <c r="B54" s="37"/>
      <c r="C54" s="37"/>
      <c r="D54" s="38"/>
      <c r="E54" s="39"/>
      <c r="F54" s="39">
        <v>46722</v>
      </c>
      <c r="G54" s="40">
        <v>0.03</v>
      </c>
      <c r="H54" s="41">
        <f t="shared" si="12"/>
        <v>46661</v>
      </c>
      <c r="I54" s="42" t="str">
        <f t="shared" si="13"/>
        <v/>
      </c>
      <c r="J54" s="42" t="str">
        <f t="shared" si="13"/>
        <v/>
      </c>
      <c r="K54" s="42" t="str">
        <f t="shared" si="13"/>
        <v/>
      </c>
      <c r="L54" s="42" t="str">
        <f t="shared" si="13"/>
        <v/>
      </c>
      <c r="M54" s="42" t="str">
        <f t="shared" si="13"/>
        <v/>
      </c>
      <c r="N54" s="42" t="str">
        <f t="shared" si="13"/>
        <v/>
      </c>
      <c r="O54" s="42" t="str">
        <f t="shared" si="13"/>
        <v/>
      </c>
      <c r="P54" s="42" t="str">
        <f t="shared" si="13"/>
        <v/>
      </c>
      <c r="Q54" s="42" t="str">
        <f t="shared" si="13"/>
        <v/>
      </c>
      <c r="R54" s="42" t="str">
        <f t="shared" si="13"/>
        <v/>
      </c>
      <c r="S54" s="42" t="str">
        <f t="shared" si="13"/>
        <v/>
      </c>
      <c r="T54" s="42" t="str">
        <f t="shared" si="13"/>
        <v/>
      </c>
      <c r="U54" s="42" t="str">
        <f t="shared" si="13"/>
        <v/>
      </c>
      <c r="V54" s="42" t="str">
        <f t="shared" si="13"/>
        <v/>
      </c>
      <c r="W54" s="42" t="str">
        <f t="shared" si="13"/>
        <v/>
      </c>
      <c r="X54" s="42" t="str">
        <f t="shared" si="13"/>
        <v/>
      </c>
      <c r="Y54" s="42"/>
      <c r="Z54" s="42">
        <f t="shared" si="14"/>
        <v>0</v>
      </c>
      <c r="AB54" s="44" t="str">
        <f t="shared" si="15"/>
        <v/>
      </c>
    </row>
    <row r="55" spans="1:28" x14ac:dyDescent="0.3">
      <c r="A55" s="79"/>
      <c r="B55" s="37"/>
      <c r="C55" s="37"/>
      <c r="D55" s="38"/>
      <c r="E55" s="39"/>
      <c r="F55" s="39">
        <v>46722</v>
      </c>
      <c r="G55" s="40">
        <v>0.03</v>
      </c>
      <c r="H55" s="41">
        <f t="shared" si="12"/>
        <v>46661</v>
      </c>
      <c r="I55" s="42" t="str">
        <f t="shared" si="13"/>
        <v/>
      </c>
      <c r="J55" s="42" t="str">
        <f t="shared" si="13"/>
        <v/>
      </c>
      <c r="K55" s="42" t="str">
        <f t="shared" si="13"/>
        <v/>
      </c>
      <c r="L55" s="42" t="str">
        <f t="shared" si="13"/>
        <v/>
      </c>
      <c r="M55" s="42" t="str">
        <f t="shared" si="13"/>
        <v/>
      </c>
      <c r="N55" s="42" t="str">
        <f t="shared" si="13"/>
        <v/>
      </c>
      <c r="O55" s="42" t="str">
        <f t="shared" si="13"/>
        <v/>
      </c>
      <c r="P55" s="42" t="str">
        <f t="shared" si="13"/>
        <v/>
      </c>
      <c r="Q55" s="42" t="str">
        <f t="shared" si="13"/>
        <v/>
      </c>
      <c r="R55" s="42" t="str">
        <f t="shared" si="13"/>
        <v/>
      </c>
      <c r="S55" s="42" t="str">
        <f t="shared" si="13"/>
        <v/>
      </c>
      <c r="T55" s="42" t="str">
        <f t="shared" si="13"/>
        <v/>
      </c>
      <c r="U55" s="42" t="str">
        <f t="shared" si="13"/>
        <v/>
      </c>
      <c r="V55" s="42" t="str">
        <f t="shared" si="13"/>
        <v/>
      </c>
      <c r="W55" s="42" t="str">
        <f t="shared" si="13"/>
        <v/>
      </c>
      <c r="X55" s="42" t="str">
        <f t="shared" si="13"/>
        <v/>
      </c>
      <c r="Y55" s="42"/>
      <c r="Z55" s="42">
        <f t="shared" si="14"/>
        <v>0</v>
      </c>
      <c r="AB55" s="44" t="str">
        <f t="shared" si="15"/>
        <v/>
      </c>
    </row>
    <row r="56" spans="1:28" x14ac:dyDescent="0.3">
      <c r="A56" s="79"/>
      <c r="B56" s="37"/>
      <c r="C56" s="37"/>
      <c r="D56" s="38"/>
      <c r="E56" s="39"/>
      <c r="F56" s="39">
        <v>46722</v>
      </c>
      <c r="G56" s="40">
        <v>0.03</v>
      </c>
      <c r="H56" s="41">
        <f t="shared" si="12"/>
        <v>46661</v>
      </c>
      <c r="I56" s="42" t="str">
        <f t="shared" si="13"/>
        <v/>
      </c>
      <c r="J56" s="42" t="str">
        <f t="shared" si="13"/>
        <v/>
      </c>
      <c r="K56" s="42" t="str">
        <f t="shared" si="13"/>
        <v/>
      </c>
      <c r="L56" s="42" t="str">
        <f t="shared" si="13"/>
        <v/>
      </c>
      <c r="M56" s="42" t="str">
        <f t="shared" si="13"/>
        <v/>
      </c>
      <c r="N56" s="42" t="str">
        <f t="shared" si="13"/>
        <v/>
      </c>
      <c r="O56" s="42" t="str">
        <f t="shared" si="13"/>
        <v/>
      </c>
      <c r="P56" s="42" t="str">
        <f t="shared" si="13"/>
        <v/>
      </c>
      <c r="Q56" s="42" t="str">
        <f t="shared" si="13"/>
        <v/>
      </c>
      <c r="R56" s="42" t="str">
        <f t="shared" si="13"/>
        <v/>
      </c>
      <c r="S56" s="42" t="str">
        <f t="shared" si="13"/>
        <v/>
      </c>
      <c r="T56" s="42" t="str">
        <f t="shared" si="13"/>
        <v/>
      </c>
      <c r="U56" s="42" t="str">
        <f t="shared" si="13"/>
        <v/>
      </c>
      <c r="V56" s="42" t="str">
        <f t="shared" si="13"/>
        <v/>
      </c>
      <c r="W56" s="42" t="str">
        <f t="shared" si="13"/>
        <v/>
      </c>
      <c r="X56" s="42" t="str">
        <f t="shared" si="13"/>
        <v/>
      </c>
      <c r="Y56" s="42"/>
      <c r="Z56" s="42">
        <f t="shared" si="14"/>
        <v>0</v>
      </c>
      <c r="AB56" s="44" t="str">
        <f t="shared" si="15"/>
        <v/>
      </c>
    </row>
    <row r="57" spans="1:28" x14ac:dyDescent="0.3">
      <c r="A57" s="79"/>
      <c r="B57" s="37"/>
      <c r="C57" s="37"/>
      <c r="D57" s="38"/>
      <c r="E57" s="39"/>
      <c r="F57" s="39">
        <v>46722</v>
      </c>
      <c r="G57" s="40">
        <v>0.03</v>
      </c>
      <c r="H57" s="41">
        <f t="shared" si="12"/>
        <v>46661</v>
      </c>
      <c r="I57" s="42" t="str">
        <f t="shared" si="13"/>
        <v/>
      </c>
      <c r="J57" s="42" t="str">
        <f t="shared" si="13"/>
        <v/>
      </c>
      <c r="K57" s="42" t="str">
        <f t="shared" si="13"/>
        <v/>
      </c>
      <c r="L57" s="42" t="str">
        <f t="shared" si="13"/>
        <v/>
      </c>
      <c r="M57" s="42" t="str">
        <f t="shared" si="13"/>
        <v/>
      </c>
      <c r="N57" s="42" t="str">
        <f t="shared" si="13"/>
        <v/>
      </c>
      <c r="O57" s="42" t="str">
        <f t="shared" si="13"/>
        <v/>
      </c>
      <c r="P57" s="42" t="str">
        <f t="shared" si="13"/>
        <v/>
      </c>
      <c r="Q57" s="42" t="str">
        <f t="shared" si="13"/>
        <v/>
      </c>
      <c r="R57" s="42" t="str">
        <f t="shared" si="13"/>
        <v/>
      </c>
      <c r="S57" s="42" t="str">
        <f t="shared" si="13"/>
        <v/>
      </c>
      <c r="T57" s="42" t="str">
        <f t="shared" si="13"/>
        <v/>
      </c>
      <c r="U57" s="42" t="str">
        <f t="shared" si="13"/>
        <v/>
      </c>
      <c r="V57" s="42" t="str">
        <f t="shared" si="13"/>
        <v/>
      </c>
      <c r="W57" s="42" t="str">
        <f t="shared" si="13"/>
        <v/>
      </c>
      <c r="X57" s="42" t="str">
        <f t="shared" si="13"/>
        <v/>
      </c>
      <c r="Y57" s="42"/>
      <c r="Z57" s="42">
        <f t="shared" si="14"/>
        <v>0</v>
      </c>
      <c r="AB57" s="44" t="str">
        <f t="shared" si="15"/>
        <v/>
      </c>
    </row>
    <row r="58" spans="1:28" x14ac:dyDescent="0.3">
      <c r="A58" s="78" t="s">
        <v>59</v>
      </c>
      <c r="B58" s="8" t="s">
        <v>60</v>
      </c>
      <c r="C58" s="8"/>
      <c r="D58" s="47"/>
      <c r="E58" s="48"/>
      <c r="F58" s="48"/>
      <c r="G58" s="49"/>
      <c r="H58" s="48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B58" s="44"/>
    </row>
    <row r="59" spans="1:28" x14ac:dyDescent="0.3">
      <c r="A59" s="80"/>
      <c r="B59" s="51"/>
      <c r="C59" s="51"/>
      <c r="D59" s="52"/>
      <c r="E59" s="53"/>
      <c r="F59" s="54"/>
      <c r="G59" s="55"/>
      <c r="H59" s="54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B59" s="44" t="str">
        <f t="shared" ref="AB59:AB64" si="16">IF($B59&amp;$E59="","",IF($A59="","Receiving dept missing",IF(NOT(ISNUMBER($E59)),"Effective month missing","")))</f>
        <v/>
      </c>
    </row>
    <row r="60" spans="1:28" x14ac:dyDescent="0.3">
      <c r="A60" s="80"/>
      <c r="B60" s="51"/>
      <c r="C60" s="51"/>
      <c r="D60" s="52"/>
      <c r="E60" s="53"/>
      <c r="F60" s="54"/>
      <c r="G60" s="55"/>
      <c r="H60" s="54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B60" s="44" t="str">
        <f t="shared" si="16"/>
        <v/>
      </c>
    </row>
    <row r="61" spans="1:28" x14ac:dyDescent="0.3">
      <c r="A61" s="80"/>
      <c r="B61" s="51"/>
      <c r="C61" s="51"/>
      <c r="D61" s="52"/>
      <c r="E61" s="53"/>
      <c r="F61" s="54"/>
      <c r="G61" s="55"/>
      <c r="H61" s="54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B61" s="44" t="str">
        <f t="shared" si="16"/>
        <v/>
      </c>
    </row>
    <row r="62" spans="1:28" x14ac:dyDescent="0.3">
      <c r="A62" s="80"/>
      <c r="B62" s="51"/>
      <c r="C62" s="51"/>
      <c r="D62" s="52"/>
      <c r="E62" s="53"/>
      <c r="F62" s="54"/>
      <c r="G62" s="55"/>
      <c r="H62" s="54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B62" s="44" t="str">
        <f t="shared" si="16"/>
        <v/>
      </c>
    </row>
    <row r="63" spans="1:28" x14ac:dyDescent="0.3">
      <c r="A63" s="80"/>
      <c r="B63" s="51"/>
      <c r="C63" s="51"/>
      <c r="D63" s="52"/>
      <c r="E63" s="53"/>
      <c r="F63" s="54"/>
      <c r="G63" s="55"/>
      <c r="H63" s="54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B63" s="44" t="str">
        <f t="shared" si="16"/>
        <v/>
      </c>
    </row>
    <row r="64" spans="1:28" x14ac:dyDescent="0.3">
      <c r="A64" s="80"/>
      <c r="B64" s="51"/>
      <c r="C64" s="51"/>
      <c r="D64" s="52"/>
      <c r="E64" s="53"/>
      <c r="F64" s="54"/>
      <c r="G64" s="55"/>
      <c r="H64" s="54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B64" s="44" t="str">
        <f t="shared" si="16"/>
        <v/>
      </c>
    </row>
    <row r="65" spans="1:26" x14ac:dyDescent="0.3">
      <c r="A65" s="81"/>
      <c r="B65" s="56"/>
      <c r="C65" s="56"/>
      <c r="D65" s="57"/>
      <c r="E65" s="58"/>
      <c r="F65" s="58"/>
      <c r="G65" s="59"/>
      <c r="H65" s="58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x14ac:dyDescent="0.3">
      <c r="A66" s="81"/>
      <c r="B66" s="56"/>
      <c r="C66" s="56"/>
      <c r="D66" s="57"/>
      <c r="E66" s="58"/>
      <c r="F66" s="58"/>
      <c r="G66" s="59"/>
      <c r="H66" s="58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x14ac:dyDescent="0.3">
      <c r="B67" s="10" t="s">
        <v>7</v>
      </c>
      <c r="C67" s="10"/>
      <c r="D67" s="61"/>
      <c r="E67" s="62"/>
      <c r="F67" s="62"/>
      <c r="G67" s="62"/>
      <c r="H67" s="62"/>
      <c r="I67" s="63">
        <f t="shared" ref="I67:X67" si="17">SUM(I14:I57)</f>
        <v>90012.583333333343</v>
      </c>
      <c r="J67" s="63">
        <f t="shared" si="17"/>
        <v>90012.583333333343</v>
      </c>
      <c r="K67" s="63">
        <f t="shared" si="17"/>
        <v>90012.583333333343</v>
      </c>
      <c r="L67" s="63">
        <f t="shared" si="17"/>
        <v>90012.583333333343</v>
      </c>
      <c r="M67" s="63">
        <f t="shared" si="17"/>
        <v>90012.583333333343</v>
      </c>
      <c r="N67" s="63">
        <f t="shared" si="17"/>
        <v>90012.583333333343</v>
      </c>
      <c r="O67" s="63">
        <f t="shared" si="17"/>
        <v>90012.583333333343</v>
      </c>
      <c r="P67" s="63">
        <f t="shared" si="17"/>
        <v>90012.583333333343</v>
      </c>
      <c r="Q67" s="63">
        <f t="shared" si="17"/>
        <v>90012.583333333343</v>
      </c>
      <c r="R67" s="63">
        <f t="shared" si="17"/>
        <v>90012.583333333343</v>
      </c>
      <c r="S67" s="63">
        <f t="shared" si="17"/>
        <v>90012.583333333343</v>
      </c>
      <c r="T67" s="63">
        <f t="shared" si="17"/>
        <v>90012.583333333343</v>
      </c>
      <c r="U67" s="63">
        <f t="shared" si="17"/>
        <v>90012.583333333343</v>
      </c>
      <c r="V67" s="63">
        <f t="shared" si="17"/>
        <v>92712.960833333345</v>
      </c>
      <c r="W67" s="63">
        <f t="shared" si="17"/>
        <v>92712.960833333345</v>
      </c>
      <c r="X67" s="63">
        <f t="shared" si="17"/>
        <v>92712.960833333345</v>
      </c>
      <c r="Y67" s="64"/>
      <c r="Z67" s="63">
        <f>SUM(M67:X67)</f>
        <v>1088252.1325000003</v>
      </c>
    </row>
    <row r="68" spans="1:26" x14ac:dyDescent="0.3">
      <c r="B68" s="10" t="s">
        <v>21</v>
      </c>
      <c r="C68" s="10"/>
      <c r="D68" s="61"/>
      <c r="E68" s="62"/>
      <c r="F68" s="62"/>
      <c r="G68" s="62"/>
      <c r="H68" s="62"/>
      <c r="I68" s="63">
        <f t="shared" ref="I68:X68" si="18">I67*$D$6</f>
        <v>6163.2433510037235</v>
      </c>
      <c r="J68" s="63">
        <f t="shared" si="18"/>
        <v>6163.2433510037235</v>
      </c>
      <c r="K68" s="63">
        <f t="shared" si="18"/>
        <v>6163.2433510037235</v>
      </c>
      <c r="L68" s="63">
        <f t="shared" si="18"/>
        <v>6163.2433510037235</v>
      </c>
      <c r="M68" s="63">
        <f t="shared" si="18"/>
        <v>6163.2433510037235</v>
      </c>
      <c r="N68" s="63">
        <f t="shared" si="18"/>
        <v>6163.2433510037235</v>
      </c>
      <c r="O68" s="63">
        <f t="shared" si="18"/>
        <v>6163.2433510037235</v>
      </c>
      <c r="P68" s="63">
        <f t="shared" si="18"/>
        <v>6163.2433510037235</v>
      </c>
      <c r="Q68" s="63">
        <f t="shared" si="18"/>
        <v>6163.2433510037235</v>
      </c>
      <c r="R68" s="63">
        <f t="shared" si="18"/>
        <v>6163.2433510037235</v>
      </c>
      <c r="S68" s="63">
        <f t="shared" si="18"/>
        <v>6163.2433510037235</v>
      </c>
      <c r="T68" s="63">
        <f t="shared" si="18"/>
        <v>6163.2433510037235</v>
      </c>
      <c r="U68" s="63">
        <f t="shared" si="18"/>
        <v>6163.2433510037235</v>
      </c>
      <c r="V68" s="63">
        <f t="shared" si="18"/>
        <v>6348.1406515338349</v>
      </c>
      <c r="W68" s="63">
        <f t="shared" si="18"/>
        <v>6348.1406515338349</v>
      </c>
      <c r="X68" s="63">
        <f t="shared" si="18"/>
        <v>6348.1406515338349</v>
      </c>
      <c r="Y68" s="64"/>
      <c r="Z68" s="63">
        <f>SUM(M68:X68)</f>
        <v>74513.612113635012</v>
      </c>
    </row>
    <row r="69" spans="1:26" x14ac:dyDescent="0.3">
      <c r="B69" s="10" t="s">
        <v>23</v>
      </c>
      <c r="C69" s="10"/>
      <c r="D69" s="61"/>
      <c r="E69" s="62"/>
      <c r="F69" s="62"/>
      <c r="G69" s="62"/>
      <c r="H69" s="62"/>
      <c r="I69" s="63">
        <f t="shared" ref="I69:X69" si="19">I67*$D$7</f>
        <v>14766.898018835556</v>
      </c>
      <c r="J69" s="63">
        <f t="shared" si="19"/>
        <v>14766.898018835556</v>
      </c>
      <c r="K69" s="63">
        <f t="shared" si="19"/>
        <v>14766.898018835556</v>
      </c>
      <c r="L69" s="63">
        <f t="shared" si="19"/>
        <v>14766.898018835556</v>
      </c>
      <c r="M69" s="63">
        <f t="shared" si="19"/>
        <v>14766.898018835556</v>
      </c>
      <c r="N69" s="63">
        <f t="shared" si="19"/>
        <v>14766.898018835556</v>
      </c>
      <c r="O69" s="63">
        <f t="shared" si="19"/>
        <v>14766.898018835556</v>
      </c>
      <c r="P69" s="63">
        <f t="shared" si="19"/>
        <v>14766.898018835556</v>
      </c>
      <c r="Q69" s="63">
        <f t="shared" si="19"/>
        <v>14766.898018835556</v>
      </c>
      <c r="R69" s="63">
        <f t="shared" si="19"/>
        <v>14766.898018835556</v>
      </c>
      <c r="S69" s="63">
        <f t="shared" si="19"/>
        <v>14766.898018835556</v>
      </c>
      <c r="T69" s="63">
        <f t="shared" si="19"/>
        <v>14766.898018835556</v>
      </c>
      <c r="U69" s="63">
        <f t="shared" si="19"/>
        <v>14766.898018835556</v>
      </c>
      <c r="V69" s="63">
        <f t="shared" si="19"/>
        <v>15209.904959400623</v>
      </c>
      <c r="W69" s="63">
        <f t="shared" si="19"/>
        <v>15209.904959400623</v>
      </c>
      <c r="X69" s="63">
        <f t="shared" si="19"/>
        <v>15209.904959400623</v>
      </c>
      <c r="Y69" s="64"/>
      <c r="Z69" s="63">
        <f>SUM(M69:X69)</f>
        <v>178531.79704772183</v>
      </c>
    </row>
    <row r="70" spans="1:26" x14ac:dyDescent="0.3">
      <c r="B70" s="65" t="s">
        <v>25</v>
      </c>
      <c r="C70" s="65"/>
      <c r="D70" s="66"/>
      <c r="E70" s="67"/>
      <c r="F70" s="67"/>
      <c r="G70" s="67"/>
      <c r="H70" s="67"/>
      <c r="I70" s="68">
        <f t="shared" ref="I70:X70" si="20">SUM(I67:I69)</f>
        <v>110942.72470317263</v>
      </c>
      <c r="J70" s="68">
        <f t="shared" si="20"/>
        <v>110942.72470317263</v>
      </c>
      <c r="K70" s="68">
        <f t="shared" si="20"/>
        <v>110942.72470317263</v>
      </c>
      <c r="L70" s="68">
        <f t="shared" si="20"/>
        <v>110942.72470317263</v>
      </c>
      <c r="M70" s="68">
        <f t="shared" si="20"/>
        <v>110942.72470317263</v>
      </c>
      <c r="N70" s="68">
        <f t="shared" si="20"/>
        <v>110942.72470317263</v>
      </c>
      <c r="O70" s="68">
        <f t="shared" si="20"/>
        <v>110942.72470317263</v>
      </c>
      <c r="P70" s="68">
        <f t="shared" si="20"/>
        <v>110942.72470317263</v>
      </c>
      <c r="Q70" s="68">
        <f t="shared" si="20"/>
        <v>110942.72470317263</v>
      </c>
      <c r="R70" s="68">
        <f t="shared" si="20"/>
        <v>110942.72470317263</v>
      </c>
      <c r="S70" s="68">
        <f t="shared" si="20"/>
        <v>110942.72470317263</v>
      </c>
      <c r="T70" s="68">
        <f t="shared" si="20"/>
        <v>110942.72470317263</v>
      </c>
      <c r="U70" s="68">
        <f t="shared" si="20"/>
        <v>110942.72470317263</v>
      </c>
      <c r="V70" s="68">
        <f t="shared" si="20"/>
        <v>114271.0064442678</v>
      </c>
      <c r="W70" s="68">
        <f t="shared" si="20"/>
        <v>114271.0064442678</v>
      </c>
      <c r="X70" s="68">
        <f t="shared" si="20"/>
        <v>114271.0064442678</v>
      </c>
      <c r="Y70" s="64"/>
      <c r="Z70" s="68">
        <f>SUM(M70:X70)</f>
        <v>1341297.541661357</v>
      </c>
    </row>
    <row r="71" spans="1:26" x14ac:dyDescent="0.3">
      <c r="B71" s="16"/>
      <c r="C71" s="16"/>
      <c r="D71" s="69"/>
      <c r="E71" s="70"/>
      <c r="F71" s="70"/>
      <c r="G71" s="70"/>
      <c r="H71" s="70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</sheetData>
  <dataValidations count="3">
    <dataValidation type="list" allowBlank="1" showInputMessage="1" showErrorMessage="1" promptTitle="Effective month" prompt="Pick the month the employee leaves this department." sqref="E59:E64" xr:uid="{F566005B-2B65-40C1-AD69-C32935A5E68C}">
      <formula1>$I$10:$X$10</formula1>
    </dataValidation>
    <dataValidation type="list" allowBlank="1" showInputMessage="1" showErrorMessage="1" errorTitle="Outside the planning window" error="Choose a month between Sep-26 and Dec-27 from the dropdown." promptTitle="Month" prompt="Pick the month from the list (Sep-26 through Dec-27)." sqref="E52:F57 E41:F50 E35:F39 E14:F33" xr:uid="{85F59A8B-63FF-4D84-B3F4-D60A94B4B097}">
      <formula1>$I$10:$X$10</formula1>
    </dataValidation>
    <dataValidation type="whole" allowBlank="1" showInputMessage="1" showErrorMessage="1" sqref="E51:F51 E65:E66 G41:H66 G35:H39 F58:F66 E58 G14:H33" xr:uid="{AC9AB30B-4DFA-4452-9360-2C54667ECC74}">
      <formula1>1</formula1>
      <formula2>24</formula2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08AEB-7F77-43E7-AAA7-D7A587A812D0}">
  <sheetPr>
    <tabColor theme="5" tint="0.59999389629810485"/>
  </sheetPr>
  <dimension ref="A1:AB71"/>
  <sheetViews>
    <sheetView zoomScale="80" zoomScaleNormal="80" workbookViewId="0">
      <pane xSplit="8" ySplit="11" topLeftCell="I12" activePane="bottomRight" state="frozen"/>
      <selection activeCell="C20" sqref="C20"/>
      <selection pane="topRight" activeCell="C20" sqref="C20"/>
      <selection pane="bottomLeft" activeCell="C20" sqref="C20"/>
      <selection pane="bottomRight" activeCell="A18" sqref="A18"/>
    </sheetView>
  </sheetViews>
  <sheetFormatPr defaultRowHeight="14.4" x14ac:dyDescent="0.3"/>
  <cols>
    <col min="1" max="1" width="19.44140625" style="76" customWidth="1"/>
    <col min="2" max="2" width="25.33203125" customWidth="1"/>
    <col min="3" max="3" width="32.77734375" customWidth="1"/>
    <col min="4" max="4" width="11.21875" customWidth="1"/>
    <col min="5" max="6" width="13.5546875" style="18" bestFit="1" customWidth="1"/>
    <col min="7" max="7" width="11.77734375" style="18" customWidth="1"/>
    <col min="8" max="8" width="14.44140625" style="18" bestFit="1" customWidth="1"/>
    <col min="9" max="24" width="9.21875" customWidth="1"/>
    <col min="25" max="25" width="2.44140625" customWidth="1"/>
    <col min="26" max="26" width="11.77734375" customWidth="1"/>
    <col min="28" max="28" width="27.21875" customWidth="1"/>
  </cols>
  <sheetData>
    <row r="1" spans="1:28" ht="18" x14ac:dyDescent="0.35">
      <c r="A1" s="73" t="s">
        <v>0</v>
      </c>
    </row>
    <row r="2" spans="1:28" ht="15.6" x14ac:dyDescent="0.3">
      <c r="A2" s="169" t="s">
        <v>36</v>
      </c>
    </row>
    <row r="3" spans="1:28" x14ac:dyDescent="0.3">
      <c r="A3" s="74" t="s">
        <v>37</v>
      </c>
    </row>
    <row r="4" spans="1:28" x14ac:dyDescent="0.3">
      <c r="A4" s="75" t="s">
        <v>38</v>
      </c>
    </row>
    <row r="5" spans="1:28" x14ac:dyDescent="0.3">
      <c r="B5" s="19" t="s">
        <v>39</v>
      </c>
    </row>
    <row r="6" spans="1:28" x14ac:dyDescent="0.3">
      <c r="B6" s="16" t="s">
        <v>40</v>
      </c>
      <c r="D6" s="178">
        <f>INDEX('[1]T&amp;B'!$S$13:$S$122,MATCH("PO",'[1]T&amp;B'!$R$13:$R$122,0))</f>
        <v>3.6368896884417502E-2</v>
      </c>
      <c r="E6" s="20"/>
    </row>
    <row r="7" spans="1:28" x14ac:dyDescent="0.3">
      <c r="B7" s="16" t="s">
        <v>41</v>
      </c>
      <c r="D7" s="179">
        <f>INDEX('[1]T&amp;B'!$T$13:$T$122,MATCH("PO",'[1]T&amp;B'!$R$13:$R$122,0))</f>
        <v>0.20636268701944149</v>
      </c>
      <c r="E7" s="20"/>
    </row>
    <row r="8" spans="1:28" x14ac:dyDescent="0.3">
      <c r="B8" s="16" t="s">
        <v>234</v>
      </c>
      <c r="D8" s="21">
        <v>46661</v>
      </c>
      <c r="V8" s="22" t="s">
        <v>42</v>
      </c>
    </row>
    <row r="9" spans="1:28" x14ac:dyDescent="0.3">
      <c r="V9" s="22" t="s">
        <v>43</v>
      </c>
    </row>
    <row r="10" spans="1:28" s="23" customFormat="1" ht="29.55" customHeight="1" x14ac:dyDescent="0.3">
      <c r="A10" s="77"/>
      <c r="B10" s="24" t="s">
        <v>44</v>
      </c>
      <c r="C10" s="24" t="s">
        <v>45</v>
      </c>
      <c r="D10" s="25" t="s">
        <v>46</v>
      </c>
      <c r="E10" s="25" t="s">
        <v>47</v>
      </c>
      <c r="F10" s="25" t="s">
        <v>48</v>
      </c>
      <c r="G10" s="26" t="s">
        <v>49</v>
      </c>
      <c r="H10" s="26" t="s">
        <v>50</v>
      </c>
      <c r="I10" s="27">
        <f>DATE(2026,9,1)</f>
        <v>46266</v>
      </c>
      <c r="J10" s="27">
        <f>DATE(2026,10,1)</f>
        <v>46296</v>
      </c>
      <c r="K10" s="27">
        <f>DATE(2026,11,1)</f>
        <v>46327</v>
      </c>
      <c r="L10" s="27">
        <f>DATE(2026,12,1)</f>
        <v>46357</v>
      </c>
      <c r="M10" s="28">
        <f>DATE(2027,1,1)</f>
        <v>46388</v>
      </c>
      <c r="N10" s="28">
        <f>DATE(2027,2,1)</f>
        <v>46419</v>
      </c>
      <c r="O10" s="28">
        <f>DATE(2027,3,1)</f>
        <v>46447</v>
      </c>
      <c r="P10" s="28">
        <f>DATE(2027,4,1)</f>
        <v>46478</v>
      </c>
      <c r="Q10" s="28">
        <f>DATE(2027,5,1)</f>
        <v>46508</v>
      </c>
      <c r="R10" s="28">
        <f>DATE(2027,6,1)</f>
        <v>46539</v>
      </c>
      <c r="S10" s="28">
        <f>DATE(2027,7,1)</f>
        <v>46569</v>
      </c>
      <c r="T10" s="28">
        <f>DATE(2027,8,1)</f>
        <v>46600</v>
      </c>
      <c r="U10" s="28">
        <f>DATE(2027,9,1)</f>
        <v>46631</v>
      </c>
      <c r="V10" s="28">
        <f>DATE(2027,10,1)</f>
        <v>46661</v>
      </c>
      <c r="W10" s="28">
        <f>DATE(2027,11,1)</f>
        <v>46692</v>
      </c>
      <c r="X10" s="28">
        <f>DATE(2027,12,1)</f>
        <v>46722</v>
      </c>
      <c r="Y10" s="29"/>
      <c r="Z10" s="30" t="s">
        <v>6</v>
      </c>
      <c r="AB10" s="31" t="s">
        <v>51</v>
      </c>
    </row>
    <row r="11" spans="1:28" x14ac:dyDescent="0.3">
      <c r="E11" s="7" t="s">
        <v>52</v>
      </c>
      <c r="F11" s="7" t="s">
        <v>52</v>
      </c>
      <c r="G11" s="32"/>
      <c r="H11" s="33" t="s">
        <v>53</v>
      </c>
      <c r="I11" s="7">
        <v>1</v>
      </c>
      <c r="J11" s="7">
        <v>2</v>
      </c>
      <c r="K11" s="7">
        <v>3</v>
      </c>
      <c r="L11" s="7">
        <v>4</v>
      </c>
      <c r="M11" s="7">
        <v>5</v>
      </c>
      <c r="N11" s="7">
        <v>6</v>
      </c>
      <c r="O11" s="7">
        <v>7</v>
      </c>
      <c r="P11" s="7">
        <v>8</v>
      </c>
      <c r="Q11" s="7">
        <v>9</v>
      </c>
      <c r="R11" s="7">
        <v>10</v>
      </c>
      <c r="S11" s="7">
        <v>11</v>
      </c>
      <c r="T11" s="7">
        <v>12</v>
      </c>
      <c r="U11" s="7">
        <v>13</v>
      </c>
      <c r="V11" s="7">
        <v>14</v>
      </c>
      <c r="W11" s="7">
        <v>15</v>
      </c>
      <c r="X11" s="7">
        <v>16</v>
      </c>
      <c r="Y11" s="7"/>
    </row>
    <row r="12" spans="1:28" x14ac:dyDescent="0.3">
      <c r="B12" s="34"/>
      <c r="C12" s="34"/>
      <c r="D12" s="34"/>
      <c r="E12" s="35"/>
      <c r="F12" s="35"/>
      <c r="G12" s="35"/>
      <c r="H12" s="35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6"/>
      <c r="Z12" s="34"/>
    </row>
    <row r="13" spans="1:28" x14ac:dyDescent="0.3">
      <c r="B13" s="8" t="s">
        <v>54</v>
      </c>
    </row>
    <row r="14" spans="1:28" x14ac:dyDescent="0.3">
      <c r="B14" s="37" t="s">
        <v>254</v>
      </c>
      <c r="C14" s="37" t="s">
        <v>263</v>
      </c>
      <c r="D14" s="38">
        <v>67891</v>
      </c>
      <c r="E14" s="39">
        <v>46266</v>
      </c>
      <c r="F14" s="39">
        <v>46722</v>
      </c>
      <c r="G14" s="40">
        <v>0.03</v>
      </c>
      <c r="H14" s="41">
        <f t="shared" ref="H14:H33" si="0">$D$8</f>
        <v>46661</v>
      </c>
      <c r="I14" s="42">
        <f t="shared" ref="I14:X33" si="1">IF(OR($D14="",$E14="",NOT(ISNUMBER($D14))),"",IF(AND($E14&lt;=I$10,IF($F14="",$X$10,$F14)&gt;=I$10),$D14/12*(1+N($G14))^IF(AND(ISNUMBER($H14),I$10&gt;=$H14),1+INT(DATEDIF($H14,I$10,"m")/12),0),0))</f>
        <v>5657.583333333333</v>
      </c>
      <c r="J14" s="42">
        <f t="shared" si="1"/>
        <v>5657.583333333333</v>
      </c>
      <c r="K14" s="42">
        <f t="shared" si="1"/>
        <v>5657.583333333333</v>
      </c>
      <c r="L14" s="42">
        <f t="shared" si="1"/>
        <v>5657.583333333333</v>
      </c>
      <c r="M14" s="43">
        <f t="shared" si="1"/>
        <v>5657.583333333333</v>
      </c>
      <c r="N14" s="42">
        <f t="shared" si="1"/>
        <v>5657.583333333333</v>
      </c>
      <c r="O14" s="42">
        <f t="shared" si="1"/>
        <v>5657.583333333333</v>
      </c>
      <c r="P14" s="42">
        <f t="shared" si="1"/>
        <v>5657.583333333333</v>
      </c>
      <c r="Q14" s="42">
        <f t="shared" si="1"/>
        <v>5657.583333333333</v>
      </c>
      <c r="R14" s="42">
        <f t="shared" si="1"/>
        <v>5657.583333333333</v>
      </c>
      <c r="S14" s="42">
        <f t="shared" si="1"/>
        <v>5657.583333333333</v>
      </c>
      <c r="T14" s="42">
        <f t="shared" si="1"/>
        <v>5657.583333333333</v>
      </c>
      <c r="U14" s="42">
        <f t="shared" si="1"/>
        <v>5657.583333333333</v>
      </c>
      <c r="V14" s="42">
        <f t="shared" si="1"/>
        <v>5827.310833333333</v>
      </c>
      <c r="W14" s="42">
        <f t="shared" si="1"/>
        <v>5827.310833333333</v>
      </c>
      <c r="X14" s="42">
        <f t="shared" si="1"/>
        <v>5827.310833333333</v>
      </c>
      <c r="Y14" s="42"/>
      <c r="Z14" s="42">
        <f>SUM(M14:X14)</f>
        <v>68400.18250000001</v>
      </c>
      <c r="AB14" s="44" t="str">
        <f t="shared" ref="AB14:AB33" si="2">IF($D14&amp;$E14="","",IF(AND($D14&lt;&gt;"",NOT(ISNUMBER($D14))),"Salary must be a number",IF(AND($D14&lt;&gt;"",$E14=""),"Start month missing",IF(AND(ISNUMBER($E14),ISNUMBER($F14),$F14&lt;$E14),"End is before Start",IF(AND($D14&lt;&gt;"",NOT(ISNUMBER($H14))),"Increase month missing","")))))</f>
        <v/>
      </c>
    </row>
    <row r="15" spans="1:28" x14ac:dyDescent="0.3">
      <c r="A15" s="76" t="s">
        <v>362</v>
      </c>
      <c r="B15" s="37" t="s">
        <v>255</v>
      </c>
      <c r="C15" s="37" t="s">
        <v>263</v>
      </c>
      <c r="D15" s="38">
        <v>68810</v>
      </c>
      <c r="E15" s="39">
        <v>46266</v>
      </c>
      <c r="F15" s="39">
        <v>46722</v>
      </c>
      <c r="G15" s="40">
        <v>0.03</v>
      </c>
      <c r="H15" s="41">
        <f t="shared" si="0"/>
        <v>46661</v>
      </c>
      <c r="I15" s="42">
        <f t="shared" si="1"/>
        <v>5734.166666666667</v>
      </c>
      <c r="J15" s="42">
        <f t="shared" si="1"/>
        <v>5734.166666666667</v>
      </c>
      <c r="K15" s="42">
        <f t="shared" si="1"/>
        <v>5734.166666666667</v>
      </c>
      <c r="L15" s="42">
        <f t="shared" si="1"/>
        <v>5734.166666666667</v>
      </c>
      <c r="M15" s="42">
        <f t="shared" si="1"/>
        <v>5734.166666666667</v>
      </c>
      <c r="N15" s="42">
        <f t="shared" si="1"/>
        <v>5734.166666666667</v>
      </c>
      <c r="O15" s="42">
        <f t="shared" si="1"/>
        <v>5734.166666666667</v>
      </c>
      <c r="P15" s="42">
        <f t="shared" si="1"/>
        <v>5734.166666666667</v>
      </c>
      <c r="Q15" s="42">
        <f t="shared" si="1"/>
        <v>5734.166666666667</v>
      </c>
      <c r="R15" s="42">
        <f t="shared" si="1"/>
        <v>5734.166666666667</v>
      </c>
      <c r="S15" s="42">
        <f t="shared" si="1"/>
        <v>5734.166666666667</v>
      </c>
      <c r="T15" s="42">
        <f t="shared" si="1"/>
        <v>5734.166666666667</v>
      </c>
      <c r="U15" s="42">
        <f t="shared" si="1"/>
        <v>5734.166666666667</v>
      </c>
      <c r="V15" s="42">
        <f t="shared" si="1"/>
        <v>5906.1916666666675</v>
      </c>
      <c r="W15" s="42">
        <f t="shared" si="1"/>
        <v>5906.1916666666675</v>
      </c>
      <c r="X15" s="42">
        <f t="shared" si="1"/>
        <v>5906.1916666666675</v>
      </c>
      <c r="Y15" s="42"/>
      <c r="Z15" s="42">
        <f t="shared" ref="Z15:Z33" si="3">SUM(M15:X15)</f>
        <v>69326.074999999997</v>
      </c>
      <c r="AB15" s="44" t="str">
        <f t="shared" si="2"/>
        <v/>
      </c>
    </row>
    <row r="16" spans="1:28" x14ac:dyDescent="0.3">
      <c r="B16" s="37" t="s">
        <v>256</v>
      </c>
      <c r="C16" s="37" t="s">
        <v>264</v>
      </c>
      <c r="D16" s="38">
        <v>57554</v>
      </c>
      <c r="E16" s="39">
        <v>46266</v>
      </c>
      <c r="F16" s="39">
        <v>46722</v>
      </c>
      <c r="G16" s="40">
        <v>0.03</v>
      </c>
      <c r="H16" s="41">
        <f t="shared" si="0"/>
        <v>46661</v>
      </c>
      <c r="I16" s="42">
        <f t="shared" si="1"/>
        <v>4796.166666666667</v>
      </c>
      <c r="J16" s="42">
        <f t="shared" si="1"/>
        <v>4796.166666666667</v>
      </c>
      <c r="K16" s="42">
        <f t="shared" si="1"/>
        <v>4796.166666666667</v>
      </c>
      <c r="L16" s="42">
        <f t="shared" si="1"/>
        <v>4796.166666666667</v>
      </c>
      <c r="M16" s="42">
        <f t="shared" si="1"/>
        <v>4796.166666666667</v>
      </c>
      <c r="N16" s="42">
        <f t="shared" si="1"/>
        <v>4796.166666666667</v>
      </c>
      <c r="O16" s="42">
        <f t="shared" si="1"/>
        <v>4796.166666666667</v>
      </c>
      <c r="P16" s="42">
        <f t="shared" si="1"/>
        <v>4796.166666666667</v>
      </c>
      <c r="Q16" s="42">
        <f t="shared" si="1"/>
        <v>4796.166666666667</v>
      </c>
      <c r="R16" s="42">
        <f t="shared" si="1"/>
        <v>4796.166666666667</v>
      </c>
      <c r="S16" s="42">
        <f t="shared" si="1"/>
        <v>4796.166666666667</v>
      </c>
      <c r="T16" s="42">
        <f t="shared" si="1"/>
        <v>4796.166666666667</v>
      </c>
      <c r="U16" s="42">
        <f t="shared" si="1"/>
        <v>4796.166666666667</v>
      </c>
      <c r="V16" s="42">
        <f t="shared" si="1"/>
        <v>4940.0516666666672</v>
      </c>
      <c r="W16" s="42">
        <f t="shared" si="1"/>
        <v>4940.0516666666672</v>
      </c>
      <c r="X16" s="42">
        <f t="shared" si="1"/>
        <v>4940.0516666666672</v>
      </c>
      <c r="Y16" s="42"/>
      <c r="Z16" s="42">
        <f t="shared" si="3"/>
        <v>57985.654999999999</v>
      </c>
      <c r="AB16" s="44" t="str">
        <f t="shared" si="2"/>
        <v/>
      </c>
    </row>
    <row r="17" spans="1:28" x14ac:dyDescent="0.3">
      <c r="B17" s="37" t="s">
        <v>257</v>
      </c>
      <c r="C17" s="37" t="s">
        <v>265</v>
      </c>
      <c r="D17" s="38">
        <v>64409</v>
      </c>
      <c r="E17" s="39">
        <v>46266</v>
      </c>
      <c r="F17" s="39">
        <v>46722</v>
      </c>
      <c r="G17" s="40">
        <v>0.03</v>
      </c>
      <c r="H17" s="41">
        <f t="shared" si="0"/>
        <v>46661</v>
      </c>
      <c r="I17" s="42">
        <f t="shared" si="1"/>
        <v>5367.416666666667</v>
      </c>
      <c r="J17" s="42">
        <f t="shared" si="1"/>
        <v>5367.416666666667</v>
      </c>
      <c r="K17" s="42">
        <f t="shared" si="1"/>
        <v>5367.416666666667</v>
      </c>
      <c r="L17" s="42">
        <f t="shared" si="1"/>
        <v>5367.416666666667</v>
      </c>
      <c r="M17" s="42">
        <f t="shared" si="1"/>
        <v>5367.416666666667</v>
      </c>
      <c r="N17" s="42">
        <f t="shared" si="1"/>
        <v>5367.416666666667</v>
      </c>
      <c r="O17" s="42">
        <f t="shared" si="1"/>
        <v>5367.416666666667</v>
      </c>
      <c r="P17" s="42">
        <f t="shared" si="1"/>
        <v>5367.416666666667</v>
      </c>
      <c r="Q17" s="42">
        <f t="shared" si="1"/>
        <v>5367.416666666667</v>
      </c>
      <c r="R17" s="42">
        <f t="shared" si="1"/>
        <v>5367.416666666667</v>
      </c>
      <c r="S17" s="42">
        <f t="shared" si="1"/>
        <v>5367.416666666667</v>
      </c>
      <c r="T17" s="42">
        <f t="shared" si="1"/>
        <v>5367.416666666667</v>
      </c>
      <c r="U17" s="42">
        <f t="shared" si="1"/>
        <v>5367.416666666667</v>
      </c>
      <c r="V17" s="42">
        <f t="shared" si="1"/>
        <v>5528.439166666667</v>
      </c>
      <c r="W17" s="42">
        <f t="shared" si="1"/>
        <v>5528.439166666667</v>
      </c>
      <c r="X17" s="42">
        <f t="shared" si="1"/>
        <v>5528.439166666667</v>
      </c>
      <c r="Y17" s="42"/>
      <c r="Z17" s="42">
        <f t="shared" si="3"/>
        <v>64892.06749999999</v>
      </c>
      <c r="AB17" s="44" t="str">
        <f t="shared" si="2"/>
        <v/>
      </c>
    </row>
    <row r="18" spans="1:28" x14ac:dyDescent="0.3">
      <c r="A18" s="76" t="s">
        <v>362</v>
      </c>
      <c r="B18" s="37" t="s">
        <v>258</v>
      </c>
      <c r="C18" s="37" t="s">
        <v>265</v>
      </c>
      <c r="D18" s="38">
        <v>57814</v>
      </c>
      <c r="E18" s="39">
        <v>46266</v>
      </c>
      <c r="F18" s="39">
        <v>46722</v>
      </c>
      <c r="G18" s="40">
        <v>0.03</v>
      </c>
      <c r="H18" s="41">
        <f t="shared" si="0"/>
        <v>46661</v>
      </c>
      <c r="I18" s="42">
        <f t="shared" si="1"/>
        <v>4817.833333333333</v>
      </c>
      <c r="J18" s="42">
        <f t="shared" si="1"/>
        <v>4817.833333333333</v>
      </c>
      <c r="K18" s="42">
        <f t="shared" si="1"/>
        <v>4817.833333333333</v>
      </c>
      <c r="L18" s="42">
        <f t="shared" si="1"/>
        <v>4817.833333333333</v>
      </c>
      <c r="M18" s="42">
        <f t="shared" si="1"/>
        <v>4817.833333333333</v>
      </c>
      <c r="N18" s="42">
        <f t="shared" si="1"/>
        <v>4817.833333333333</v>
      </c>
      <c r="O18" s="42">
        <f t="shared" si="1"/>
        <v>4817.833333333333</v>
      </c>
      <c r="P18" s="42">
        <f t="shared" si="1"/>
        <v>4817.833333333333</v>
      </c>
      <c r="Q18" s="42">
        <f t="shared" si="1"/>
        <v>4817.833333333333</v>
      </c>
      <c r="R18" s="42">
        <f t="shared" si="1"/>
        <v>4817.833333333333</v>
      </c>
      <c r="S18" s="42">
        <f t="shared" si="1"/>
        <v>4817.833333333333</v>
      </c>
      <c r="T18" s="42">
        <f t="shared" si="1"/>
        <v>4817.833333333333</v>
      </c>
      <c r="U18" s="42">
        <f t="shared" si="1"/>
        <v>4817.833333333333</v>
      </c>
      <c r="V18" s="42">
        <f t="shared" si="1"/>
        <v>4962.3683333333329</v>
      </c>
      <c r="W18" s="42">
        <f t="shared" si="1"/>
        <v>4962.3683333333329</v>
      </c>
      <c r="X18" s="42">
        <f t="shared" si="1"/>
        <v>4962.3683333333329</v>
      </c>
      <c r="Y18" s="42"/>
      <c r="Z18" s="42">
        <f t="shared" si="3"/>
        <v>58247.604999999996</v>
      </c>
      <c r="AB18" s="44" t="str">
        <f t="shared" si="2"/>
        <v/>
      </c>
    </row>
    <row r="19" spans="1:28" x14ac:dyDescent="0.3">
      <c r="A19" s="76" t="s">
        <v>362</v>
      </c>
      <c r="B19" s="37" t="s">
        <v>259</v>
      </c>
      <c r="C19" s="37" t="s">
        <v>266</v>
      </c>
      <c r="D19" s="38">
        <v>55162</v>
      </c>
      <c r="E19" s="39">
        <v>46266</v>
      </c>
      <c r="F19" s="39">
        <v>46722</v>
      </c>
      <c r="G19" s="40">
        <v>0.03</v>
      </c>
      <c r="H19" s="41">
        <f t="shared" si="0"/>
        <v>46661</v>
      </c>
      <c r="I19" s="42">
        <f t="shared" si="1"/>
        <v>4596.833333333333</v>
      </c>
      <c r="J19" s="42">
        <f t="shared" si="1"/>
        <v>4596.833333333333</v>
      </c>
      <c r="K19" s="42">
        <f t="shared" si="1"/>
        <v>4596.833333333333</v>
      </c>
      <c r="L19" s="42">
        <f t="shared" si="1"/>
        <v>4596.833333333333</v>
      </c>
      <c r="M19" s="42">
        <f t="shared" si="1"/>
        <v>4596.833333333333</v>
      </c>
      <c r="N19" s="42">
        <f t="shared" si="1"/>
        <v>4596.833333333333</v>
      </c>
      <c r="O19" s="42">
        <f t="shared" si="1"/>
        <v>4596.833333333333</v>
      </c>
      <c r="P19" s="42">
        <f t="shared" si="1"/>
        <v>4596.833333333333</v>
      </c>
      <c r="Q19" s="42">
        <f t="shared" si="1"/>
        <v>4596.833333333333</v>
      </c>
      <c r="R19" s="42">
        <f t="shared" si="1"/>
        <v>4596.833333333333</v>
      </c>
      <c r="S19" s="42">
        <f t="shared" si="1"/>
        <v>4596.833333333333</v>
      </c>
      <c r="T19" s="42">
        <f t="shared" si="1"/>
        <v>4596.833333333333</v>
      </c>
      <c r="U19" s="42">
        <f t="shared" si="1"/>
        <v>4596.833333333333</v>
      </c>
      <c r="V19" s="42">
        <f t="shared" si="1"/>
        <v>4734.7383333333328</v>
      </c>
      <c r="W19" s="42">
        <f t="shared" si="1"/>
        <v>4734.7383333333328</v>
      </c>
      <c r="X19" s="42">
        <f t="shared" si="1"/>
        <v>4734.7383333333328</v>
      </c>
      <c r="Y19" s="42"/>
      <c r="Z19" s="42">
        <f t="shared" si="3"/>
        <v>55575.715000000004</v>
      </c>
      <c r="AB19" s="44" t="str">
        <f t="shared" si="2"/>
        <v/>
      </c>
    </row>
    <row r="20" spans="1:28" x14ac:dyDescent="0.3">
      <c r="A20" s="76" t="s">
        <v>362</v>
      </c>
      <c r="B20" s="37" t="s">
        <v>260</v>
      </c>
      <c r="C20" s="37" t="s">
        <v>267</v>
      </c>
      <c r="D20" s="38">
        <v>49920</v>
      </c>
      <c r="E20" s="39">
        <v>46266</v>
      </c>
      <c r="F20" s="39">
        <v>46722</v>
      </c>
      <c r="G20" s="40">
        <v>0.03</v>
      </c>
      <c r="H20" s="41">
        <f t="shared" si="0"/>
        <v>46661</v>
      </c>
      <c r="I20" s="42">
        <f t="shared" si="1"/>
        <v>4160</v>
      </c>
      <c r="J20" s="42">
        <f t="shared" si="1"/>
        <v>4160</v>
      </c>
      <c r="K20" s="42">
        <f t="shared" si="1"/>
        <v>4160</v>
      </c>
      <c r="L20" s="42">
        <f t="shared" si="1"/>
        <v>4160</v>
      </c>
      <c r="M20" s="42">
        <f t="shared" si="1"/>
        <v>4160</v>
      </c>
      <c r="N20" s="42">
        <f t="shared" si="1"/>
        <v>4160</v>
      </c>
      <c r="O20" s="42">
        <f t="shared" si="1"/>
        <v>4160</v>
      </c>
      <c r="P20" s="42">
        <f t="shared" si="1"/>
        <v>4160</v>
      </c>
      <c r="Q20" s="42">
        <f t="shared" si="1"/>
        <v>4160</v>
      </c>
      <c r="R20" s="42">
        <f t="shared" si="1"/>
        <v>4160</v>
      </c>
      <c r="S20" s="42">
        <f t="shared" si="1"/>
        <v>4160</v>
      </c>
      <c r="T20" s="42">
        <f t="shared" si="1"/>
        <v>4160</v>
      </c>
      <c r="U20" s="42">
        <f t="shared" si="1"/>
        <v>4160</v>
      </c>
      <c r="V20" s="42">
        <f t="shared" si="1"/>
        <v>4284.8</v>
      </c>
      <c r="W20" s="42">
        <f t="shared" si="1"/>
        <v>4284.8</v>
      </c>
      <c r="X20" s="42">
        <f t="shared" si="1"/>
        <v>4284.8</v>
      </c>
      <c r="Y20" s="42"/>
      <c r="Z20" s="42">
        <f t="shared" si="3"/>
        <v>50294.400000000009</v>
      </c>
      <c r="AB20" s="44" t="str">
        <f t="shared" si="2"/>
        <v/>
      </c>
    </row>
    <row r="21" spans="1:28" x14ac:dyDescent="0.3">
      <c r="A21" s="76" t="s">
        <v>362</v>
      </c>
      <c r="B21" s="37" t="s">
        <v>261</v>
      </c>
      <c r="C21" s="37" t="s">
        <v>268</v>
      </c>
      <c r="D21" s="38">
        <v>49920</v>
      </c>
      <c r="E21" s="39">
        <v>46266</v>
      </c>
      <c r="F21" s="39">
        <v>46722</v>
      </c>
      <c r="G21" s="40">
        <v>0.03</v>
      </c>
      <c r="H21" s="41">
        <f t="shared" si="0"/>
        <v>46661</v>
      </c>
      <c r="I21" s="42">
        <f t="shared" si="1"/>
        <v>4160</v>
      </c>
      <c r="J21" s="42">
        <f t="shared" si="1"/>
        <v>4160</v>
      </c>
      <c r="K21" s="42">
        <f t="shared" si="1"/>
        <v>4160</v>
      </c>
      <c r="L21" s="42">
        <f t="shared" si="1"/>
        <v>4160</v>
      </c>
      <c r="M21" s="42">
        <f t="shared" si="1"/>
        <v>4160</v>
      </c>
      <c r="N21" s="42">
        <f t="shared" si="1"/>
        <v>4160</v>
      </c>
      <c r="O21" s="42">
        <f t="shared" si="1"/>
        <v>4160</v>
      </c>
      <c r="P21" s="42">
        <f t="shared" si="1"/>
        <v>4160</v>
      </c>
      <c r="Q21" s="42">
        <f t="shared" si="1"/>
        <v>4160</v>
      </c>
      <c r="R21" s="42">
        <f t="shared" si="1"/>
        <v>4160</v>
      </c>
      <c r="S21" s="42">
        <f t="shared" si="1"/>
        <v>4160</v>
      </c>
      <c r="T21" s="42">
        <f t="shared" si="1"/>
        <v>4160</v>
      </c>
      <c r="U21" s="42">
        <f t="shared" si="1"/>
        <v>4160</v>
      </c>
      <c r="V21" s="42">
        <f t="shared" si="1"/>
        <v>4284.8</v>
      </c>
      <c r="W21" s="42">
        <f t="shared" si="1"/>
        <v>4284.8</v>
      </c>
      <c r="X21" s="42">
        <f t="shared" si="1"/>
        <v>4284.8</v>
      </c>
      <c r="Y21" s="42"/>
      <c r="Z21" s="42">
        <f t="shared" si="3"/>
        <v>50294.400000000009</v>
      </c>
      <c r="AB21" s="44" t="str">
        <f t="shared" si="2"/>
        <v/>
      </c>
    </row>
    <row r="22" spans="1:28" x14ac:dyDescent="0.3">
      <c r="A22" s="76" t="s">
        <v>362</v>
      </c>
      <c r="B22" s="37" t="s">
        <v>262</v>
      </c>
      <c r="C22" s="37" t="s">
        <v>268</v>
      </c>
      <c r="D22" s="38">
        <v>49920</v>
      </c>
      <c r="E22" s="39">
        <v>46266</v>
      </c>
      <c r="F22" s="39">
        <v>46722</v>
      </c>
      <c r="G22" s="40">
        <v>0.03</v>
      </c>
      <c r="H22" s="41">
        <f t="shared" si="0"/>
        <v>46661</v>
      </c>
      <c r="I22" s="42">
        <f t="shared" si="1"/>
        <v>4160</v>
      </c>
      <c r="J22" s="42">
        <f t="shared" si="1"/>
        <v>4160</v>
      </c>
      <c r="K22" s="42">
        <f t="shared" si="1"/>
        <v>4160</v>
      </c>
      <c r="L22" s="42">
        <f t="shared" si="1"/>
        <v>4160</v>
      </c>
      <c r="M22" s="42">
        <f t="shared" si="1"/>
        <v>4160</v>
      </c>
      <c r="N22" s="42">
        <f t="shared" si="1"/>
        <v>4160</v>
      </c>
      <c r="O22" s="42">
        <f t="shared" si="1"/>
        <v>4160</v>
      </c>
      <c r="P22" s="42">
        <f t="shared" si="1"/>
        <v>4160</v>
      </c>
      <c r="Q22" s="42">
        <f t="shared" si="1"/>
        <v>4160</v>
      </c>
      <c r="R22" s="42">
        <f t="shared" si="1"/>
        <v>4160</v>
      </c>
      <c r="S22" s="42">
        <f t="shared" si="1"/>
        <v>4160</v>
      </c>
      <c r="T22" s="42">
        <f t="shared" si="1"/>
        <v>4160</v>
      </c>
      <c r="U22" s="42">
        <f t="shared" si="1"/>
        <v>4160</v>
      </c>
      <c r="V22" s="42">
        <f t="shared" si="1"/>
        <v>4284.8</v>
      </c>
      <c r="W22" s="42">
        <f t="shared" si="1"/>
        <v>4284.8</v>
      </c>
      <c r="X22" s="42">
        <f t="shared" si="1"/>
        <v>4284.8</v>
      </c>
      <c r="Y22" s="42"/>
      <c r="Z22" s="42">
        <f t="shared" si="3"/>
        <v>50294.400000000009</v>
      </c>
      <c r="AB22" s="44" t="str">
        <f t="shared" si="2"/>
        <v/>
      </c>
    </row>
    <row r="23" spans="1:28" x14ac:dyDescent="0.3">
      <c r="B23" s="37"/>
      <c r="C23" s="37"/>
      <c r="D23" s="38"/>
      <c r="E23" s="39">
        <v>46266</v>
      </c>
      <c r="F23" s="39">
        <v>46722</v>
      </c>
      <c r="G23" s="40">
        <v>0.03</v>
      </c>
      <c r="H23" s="41">
        <f t="shared" si="0"/>
        <v>46661</v>
      </c>
      <c r="I23" s="42" t="str">
        <f t="shared" si="1"/>
        <v/>
      </c>
      <c r="J23" s="42" t="str">
        <f t="shared" si="1"/>
        <v/>
      </c>
      <c r="K23" s="42" t="str">
        <f t="shared" si="1"/>
        <v/>
      </c>
      <c r="L23" s="42" t="str">
        <f t="shared" si="1"/>
        <v/>
      </c>
      <c r="M23" s="42" t="str">
        <f t="shared" si="1"/>
        <v/>
      </c>
      <c r="N23" s="42" t="str">
        <f t="shared" si="1"/>
        <v/>
      </c>
      <c r="O23" s="42" t="str">
        <f t="shared" si="1"/>
        <v/>
      </c>
      <c r="P23" s="42" t="str">
        <f t="shared" si="1"/>
        <v/>
      </c>
      <c r="Q23" s="42" t="str">
        <f t="shared" si="1"/>
        <v/>
      </c>
      <c r="R23" s="42" t="str">
        <f t="shared" si="1"/>
        <v/>
      </c>
      <c r="S23" s="42" t="str">
        <f t="shared" si="1"/>
        <v/>
      </c>
      <c r="T23" s="42" t="str">
        <f t="shared" si="1"/>
        <v/>
      </c>
      <c r="U23" s="42" t="str">
        <f t="shared" si="1"/>
        <v/>
      </c>
      <c r="V23" s="42" t="str">
        <f t="shared" si="1"/>
        <v/>
      </c>
      <c r="W23" s="42" t="str">
        <f t="shared" si="1"/>
        <v/>
      </c>
      <c r="X23" s="42" t="str">
        <f t="shared" si="1"/>
        <v/>
      </c>
      <c r="Y23" s="42"/>
      <c r="Z23" s="42">
        <f t="shared" si="3"/>
        <v>0</v>
      </c>
      <c r="AB23" s="44" t="str">
        <f t="shared" si="2"/>
        <v/>
      </c>
    </row>
    <row r="24" spans="1:28" x14ac:dyDescent="0.3">
      <c r="B24" s="37"/>
      <c r="C24" s="37"/>
      <c r="D24" s="38"/>
      <c r="E24" s="39">
        <v>46266</v>
      </c>
      <c r="F24" s="39">
        <v>46722</v>
      </c>
      <c r="G24" s="40">
        <v>0.03</v>
      </c>
      <c r="H24" s="41">
        <f t="shared" si="0"/>
        <v>46661</v>
      </c>
      <c r="I24" s="42" t="str">
        <f t="shared" ref="I24:X24" si="4">IF(OR($D24="",$E24="",NOT(ISNUMBER($D24))),"",IF(AND($E24&lt;=I$10,IF($F24="",$X$10,$F24)&gt;=I$10),$D24/12*(1+N($G24))^IF(AND(ISNUMBER($H24),I$10&gt;=$H24),1+INT(DATEDIF($H24,I$10,"m")/12),0),0))</f>
        <v/>
      </c>
      <c r="J24" s="42" t="str">
        <f t="shared" si="4"/>
        <v/>
      </c>
      <c r="K24" s="42" t="str">
        <f t="shared" si="4"/>
        <v/>
      </c>
      <c r="L24" s="42" t="str">
        <f t="shared" si="4"/>
        <v/>
      </c>
      <c r="M24" s="42" t="str">
        <f t="shared" si="4"/>
        <v/>
      </c>
      <c r="N24" s="42" t="str">
        <f t="shared" si="4"/>
        <v/>
      </c>
      <c r="O24" s="42" t="str">
        <f t="shared" si="4"/>
        <v/>
      </c>
      <c r="P24" s="42" t="str">
        <f t="shared" si="4"/>
        <v/>
      </c>
      <c r="Q24" s="42" t="str">
        <f t="shared" si="4"/>
        <v/>
      </c>
      <c r="R24" s="42" t="str">
        <f t="shared" si="4"/>
        <v/>
      </c>
      <c r="S24" s="42" t="str">
        <f t="shared" si="4"/>
        <v/>
      </c>
      <c r="T24" s="42" t="str">
        <f t="shared" si="4"/>
        <v/>
      </c>
      <c r="U24" s="42" t="str">
        <f t="shared" si="4"/>
        <v/>
      </c>
      <c r="V24" s="42" t="str">
        <f t="shared" si="4"/>
        <v/>
      </c>
      <c r="W24" s="42" t="str">
        <f t="shared" si="4"/>
        <v/>
      </c>
      <c r="X24" s="42" t="str">
        <f t="shared" si="4"/>
        <v/>
      </c>
      <c r="Y24" s="42"/>
      <c r="Z24" s="42">
        <f t="shared" ref="Z24" si="5">SUM(M24:X24)</f>
        <v>0</v>
      </c>
      <c r="AB24" s="44" t="str">
        <f t="shared" si="2"/>
        <v/>
      </c>
    </row>
    <row r="25" spans="1:28" x14ac:dyDescent="0.3">
      <c r="B25" s="37"/>
      <c r="C25" s="37"/>
      <c r="D25" s="38"/>
      <c r="E25" s="39">
        <v>46266</v>
      </c>
      <c r="F25" s="39">
        <v>46722</v>
      </c>
      <c r="G25" s="40">
        <v>0.03</v>
      </c>
      <c r="H25" s="41">
        <f t="shared" si="0"/>
        <v>46661</v>
      </c>
      <c r="I25" s="42" t="str">
        <f t="shared" ref="I25:X25" si="6">IF(OR($D25="",$E25="",NOT(ISNUMBER($D25))),"",IF(AND($E25&lt;=I$10,IF($F25="",$X$10,$F25)&gt;=I$10),$D25/12*(1+N($G25))^IF(AND(ISNUMBER($H25),I$10&gt;=$H25),1+INT(DATEDIF($H25,I$10,"m")/12),0),0))</f>
        <v/>
      </c>
      <c r="J25" s="42" t="str">
        <f t="shared" si="6"/>
        <v/>
      </c>
      <c r="K25" s="42" t="str">
        <f t="shared" si="6"/>
        <v/>
      </c>
      <c r="L25" s="42" t="str">
        <f t="shared" si="6"/>
        <v/>
      </c>
      <c r="M25" s="42" t="str">
        <f t="shared" si="6"/>
        <v/>
      </c>
      <c r="N25" s="42" t="str">
        <f t="shared" si="6"/>
        <v/>
      </c>
      <c r="O25" s="42" t="str">
        <f t="shared" si="6"/>
        <v/>
      </c>
      <c r="P25" s="42" t="str">
        <f t="shared" si="6"/>
        <v/>
      </c>
      <c r="Q25" s="42" t="str">
        <f t="shared" si="6"/>
        <v/>
      </c>
      <c r="R25" s="42" t="str">
        <f t="shared" si="6"/>
        <v/>
      </c>
      <c r="S25" s="42" t="str">
        <f t="shared" si="6"/>
        <v/>
      </c>
      <c r="T25" s="42" t="str">
        <f t="shared" si="6"/>
        <v/>
      </c>
      <c r="U25" s="42" t="str">
        <f t="shared" si="6"/>
        <v/>
      </c>
      <c r="V25" s="42" t="str">
        <f t="shared" si="6"/>
        <v/>
      </c>
      <c r="W25" s="42" t="str">
        <f t="shared" si="6"/>
        <v/>
      </c>
      <c r="X25" s="42" t="str">
        <f t="shared" si="6"/>
        <v/>
      </c>
      <c r="Y25" s="42"/>
      <c r="Z25" s="42">
        <f t="shared" ref="Z25" si="7">SUM(M25:X25)</f>
        <v>0</v>
      </c>
      <c r="AB25" s="44" t="str">
        <f t="shared" si="2"/>
        <v/>
      </c>
    </row>
    <row r="26" spans="1:28" x14ac:dyDescent="0.3">
      <c r="B26" s="37"/>
      <c r="C26" s="37"/>
      <c r="D26" s="38"/>
      <c r="E26" s="39">
        <v>46266</v>
      </c>
      <c r="F26" s="39">
        <v>46722</v>
      </c>
      <c r="G26" s="40">
        <v>0.03</v>
      </c>
      <c r="H26" s="41">
        <f t="shared" si="0"/>
        <v>46661</v>
      </c>
      <c r="I26" s="42" t="str">
        <f t="shared" ref="I26:X26" si="8">IF(OR($D26="",$E26="",NOT(ISNUMBER($D26))),"",IF(AND($E26&lt;=I$10,IF($F26="",$X$10,$F26)&gt;=I$10),$D26/12*(1+N($G26))^IF(AND(ISNUMBER($H26),I$10&gt;=$H26),1+INT(DATEDIF($H26,I$10,"m")/12),0),0))</f>
        <v/>
      </c>
      <c r="J26" s="42" t="str">
        <f t="shared" si="8"/>
        <v/>
      </c>
      <c r="K26" s="42" t="str">
        <f t="shared" si="8"/>
        <v/>
      </c>
      <c r="L26" s="42" t="str">
        <f t="shared" si="8"/>
        <v/>
      </c>
      <c r="M26" s="42" t="str">
        <f t="shared" si="8"/>
        <v/>
      </c>
      <c r="N26" s="42" t="str">
        <f t="shared" si="8"/>
        <v/>
      </c>
      <c r="O26" s="42" t="str">
        <f t="shared" si="8"/>
        <v/>
      </c>
      <c r="P26" s="42" t="str">
        <f t="shared" si="8"/>
        <v/>
      </c>
      <c r="Q26" s="42" t="str">
        <f t="shared" si="8"/>
        <v/>
      </c>
      <c r="R26" s="42" t="str">
        <f t="shared" si="8"/>
        <v/>
      </c>
      <c r="S26" s="42" t="str">
        <f t="shared" si="8"/>
        <v/>
      </c>
      <c r="T26" s="42" t="str">
        <f t="shared" si="8"/>
        <v/>
      </c>
      <c r="U26" s="42" t="str">
        <f t="shared" si="8"/>
        <v/>
      </c>
      <c r="V26" s="42" t="str">
        <f t="shared" si="8"/>
        <v/>
      </c>
      <c r="W26" s="42" t="str">
        <f t="shared" si="8"/>
        <v/>
      </c>
      <c r="X26" s="42" t="str">
        <f t="shared" si="8"/>
        <v/>
      </c>
      <c r="Y26" s="42"/>
      <c r="Z26" s="42">
        <f t="shared" ref="Z26" si="9">SUM(M26:X26)</f>
        <v>0</v>
      </c>
      <c r="AB26" s="44" t="str">
        <f t="shared" si="2"/>
        <v/>
      </c>
    </row>
    <row r="27" spans="1:28" x14ac:dyDescent="0.3">
      <c r="B27" s="37"/>
      <c r="C27" s="37"/>
      <c r="D27" s="38"/>
      <c r="E27" s="39">
        <v>46266</v>
      </c>
      <c r="F27" s="39">
        <v>46722</v>
      </c>
      <c r="G27" s="40">
        <v>0.03</v>
      </c>
      <c r="H27" s="41">
        <f t="shared" si="0"/>
        <v>46661</v>
      </c>
      <c r="I27" s="42" t="str">
        <f t="shared" ref="I27:X27" si="10">IF(OR($D27="",$E27="",NOT(ISNUMBER($D27))),"",IF(AND($E27&lt;=I$10,IF($F27="",$X$10,$F27)&gt;=I$10),$D27/12*(1+N($G27))^IF(AND(ISNUMBER($H27),I$10&gt;=$H27),1+INT(DATEDIF($H27,I$10,"m")/12),0),0))</f>
        <v/>
      </c>
      <c r="J27" s="42" t="str">
        <f t="shared" si="10"/>
        <v/>
      </c>
      <c r="K27" s="42" t="str">
        <f t="shared" si="10"/>
        <v/>
      </c>
      <c r="L27" s="42" t="str">
        <f t="shared" si="10"/>
        <v/>
      </c>
      <c r="M27" s="42" t="str">
        <f t="shared" si="10"/>
        <v/>
      </c>
      <c r="N27" s="42" t="str">
        <f t="shared" si="10"/>
        <v/>
      </c>
      <c r="O27" s="42" t="str">
        <f t="shared" si="10"/>
        <v/>
      </c>
      <c r="P27" s="42" t="str">
        <f t="shared" si="10"/>
        <v/>
      </c>
      <c r="Q27" s="42" t="str">
        <f t="shared" si="10"/>
        <v/>
      </c>
      <c r="R27" s="42" t="str">
        <f t="shared" si="10"/>
        <v/>
      </c>
      <c r="S27" s="42" t="str">
        <f t="shared" si="10"/>
        <v/>
      </c>
      <c r="T27" s="42" t="str">
        <f t="shared" si="10"/>
        <v/>
      </c>
      <c r="U27" s="42" t="str">
        <f t="shared" si="10"/>
        <v/>
      </c>
      <c r="V27" s="42" t="str">
        <f t="shared" si="10"/>
        <v/>
      </c>
      <c r="W27" s="42" t="str">
        <f t="shared" si="10"/>
        <v/>
      </c>
      <c r="X27" s="42" t="str">
        <f t="shared" si="10"/>
        <v/>
      </c>
      <c r="Y27" s="42"/>
      <c r="Z27" s="42">
        <f t="shared" ref="Z27" si="11">SUM(M27:X27)</f>
        <v>0</v>
      </c>
      <c r="AB27" s="44" t="str">
        <f t="shared" si="2"/>
        <v/>
      </c>
    </row>
    <row r="28" spans="1:28" x14ac:dyDescent="0.3">
      <c r="B28" s="37"/>
      <c r="C28" s="37"/>
      <c r="D28" s="38"/>
      <c r="E28" s="39">
        <v>46266</v>
      </c>
      <c r="F28" s="39">
        <v>46722</v>
      </c>
      <c r="G28" s="40">
        <v>0.03</v>
      </c>
      <c r="H28" s="41">
        <f t="shared" si="0"/>
        <v>46661</v>
      </c>
      <c r="I28" s="42" t="str">
        <f t="shared" si="1"/>
        <v/>
      </c>
      <c r="J28" s="42" t="str">
        <f t="shared" si="1"/>
        <v/>
      </c>
      <c r="K28" s="42" t="str">
        <f t="shared" si="1"/>
        <v/>
      </c>
      <c r="L28" s="42" t="str">
        <f t="shared" si="1"/>
        <v/>
      </c>
      <c r="M28" s="42" t="str">
        <f t="shared" si="1"/>
        <v/>
      </c>
      <c r="N28" s="42" t="str">
        <f t="shared" si="1"/>
        <v/>
      </c>
      <c r="O28" s="42" t="str">
        <f t="shared" si="1"/>
        <v/>
      </c>
      <c r="P28" s="42" t="str">
        <f t="shared" si="1"/>
        <v/>
      </c>
      <c r="Q28" s="42" t="str">
        <f t="shared" si="1"/>
        <v/>
      </c>
      <c r="R28" s="42" t="str">
        <f t="shared" si="1"/>
        <v/>
      </c>
      <c r="S28" s="42" t="str">
        <f t="shared" si="1"/>
        <v/>
      </c>
      <c r="T28" s="42" t="str">
        <f t="shared" si="1"/>
        <v/>
      </c>
      <c r="U28" s="42" t="str">
        <f t="shared" si="1"/>
        <v/>
      </c>
      <c r="V28" s="42" t="str">
        <f t="shared" si="1"/>
        <v/>
      </c>
      <c r="W28" s="42" t="str">
        <f t="shared" si="1"/>
        <v/>
      </c>
      <c r="X28" s="42" t="str">
        <f t="shared" ref="X28" si="12">IF(OR($D28="",$E28="",NOT(ISNUMBER($D28))),"",IF(AND($E28&lt;=X$10,IF($F28="",$X$10,$F28)&gt;=X$10),$D28/12*(1+N($G28))^IF(AND(ISNUMBER($H28),X$10&gt;=$H28),1+INT(DATEDIF($H28,X$10,"m")/12),0),0))</f>
        <v/>
      </c>
      <c r="Y28" s="42"/>
      <c r="Z28" s="42">
        <f t="shared" ref="Z28" si="13">SUM(M28:X28)</f>
        <v>0</v>
      </c>
      <c r="AB28" s="44" t="str">
        <f t="shared" si="2"/>
        <v/>
      </c>
    </row>
    <row r="29" spans="1:28" x14ac:dyDescent="0.3">
      <c r="B29" s="37"/>
      <c r="C29" s="37"/>
      <c r="D29" s="38"/>
      <c r="E29" s="39">
        <v>46266</v>
      </c>
      <c r="F29" s="39">
        <v>46722</v>
      </c>
      <c r="G29" s="40">
        <v>0.03</v>
      </c>
      <c r="H29" s="41">
        <f t="shared" si="0"/>
        <v>46661</v>
      </c>
      <c r="I29" s="42" t="str">
        <f t="shared" si="1"/>
        <v/>
      </c>
      <c r="J29" s="42" t="str">
        <f t="shared" si="1"/>
        <v/>
      </c>
      <c r="K29" s="42" t="str">
        <f t="shared" si="1"/>
        <v/>
      </c>
      <c r="L29" s="42" t="str">
        <f t="shared" si="1"/>
        <v/>
      </c>
      <c r="M29" s="42" t="str">
        <f t="shared" si="1"/>
        <v/>
      </c>
      <c r="N29" s="42" t="str">
        <f t="shared" si="1"/>
        <v/>
      </c>
      <c r="O29" s="42" t="str">
        <f t="shared" si="1"/>
        <v/>
      </c>
      <c r="P29" s="42" t="str">
        <f t="shared" si="1"/>
        <v/>
      </c>
      <c r="Q29" s="42" t="str">
        <f t="shared" si="1"/>
        <v/>
      </c>
      <c r="R29" s="42" t="str">
        <f t="shared" si="1"/>
        <v/>
      </c>
      <c r="S29" s="42" t="str">
        <f t="shared" si="1"/>
        <v/>
      </c>
      <c r="T29" s="42" t="str">
        <f t="shared" si="1"/>
        <v/>
      </c>
      <c r="U29" s="42" t="str">
        <f t="shared" si="1"/>
        <v/>
      </c>
      <c r="V29" s="42" t="str">
        <f t="shared" si="1"/>
        <v/>
      </c>
      <c r="W29" s="42" t="str">
        <f t="shared" si="1"/>
        <v/>
      </c>
      <c r="X29" s="42" t="str">
        <f t="shared" si="1"/>
        <v/>
      </c>
      <c r="Y29" s="42"/>
      <c r="Z29" s="42">
        <f t="shared" si="3"/>
        <v>0</v>
      </c>
      <c r="AB29" s="44" t="str">
        <f t="shared" si="2"/>
        <v/>
      </c>
    </row>
    <row r="30" spans="1:28" x14ac:dyDescent="0.3">
      <c r="B30" s="37"/>
      <c r="C30" s="37"/>
      <c r="D30" s="38"/>
      <c r="E30" s="39">
        <v>46266</v>
      </c>
      <c r="F30" s="39">
        <v>46722</v>
      </c>
      <c r="G30" s="40">
        <v>0.03</v>
      </c>
      <c r="H30" s="41">
        <f t="shared" si="0"/>
        <v>46661</v>
      </c>
      <c r="I30" s="42" t="str">
        <f t="shared" si="1"/>
        <v/>
      </c>
      <c r="J30" s="42" t="str">
        <f t="shared" si="1"/>
        <v/>
      </c>
      <c r="K30" s="42" t="str">
        <f t="shared" si="1"/>
        <v/>
      </c>
      <c r="L30" s="42" t="str">
        <f t="shared" si="1"/>
        <v/>
      </c>
      <c r="M30" s="42" t="str">
        <f t="shared" si="1"/>
        <v/>
      </c>
      <c r="N30" s="42" t="str">
        <f t="shared" si="1"/>
        <v/>
      </c>
      <c r="O30" s="42" t="str">
        <f t="shared" si="1"/>
        <v/>
      </c>
      <c r="P30" s="42" t="str">
        <f t="shared" si="1"/>
        <v/>
      </c>
      <c r="Q30" s="42" t="str">
        <f t="shared" si="1"/>
        <v/>
      </c>
      <c r="R30" s="42" t="str">
        <f t="shared" si="1"/>
        <v/>
      </c>
      <c r="S30" s="42" t="str">
        <f t="shared" si="1"/>
        <v/>
      </c>
      <c r="T30" s="42" t="str">
        <f t="shared" si="1"/>
        <v/>
      </c>
      <c r="U30" s="42" t="str">
        <f t="shared" si="1"/>
        <v/>
      </c>
      <c r="V30" s="42" t="str">
        <f t="shared" si="1"/>
        <v/>
      </c>
      <c r="W30" s="42" t="str">
        <f t="shared" si="1"/>
        <v/>
      </c>
      <c r="X30" s="42" t="str">
        <f t="shared" si="1"/>
        <v/>
      </c>
      <c r="Y30" s="42"/>
      <c r="Z30" s="42">
        <f t="shared" si="3"/>
        <v>0</v>
      </c>
      <c r="AB30" s="44" t="str">
        <f t="shared" si="2"/>
        <v/>
      </c>
    </row>
    <row r="31" spans="1:28" x14ac:dyDescent="0.3">
      <c r="B31" s="37"/>
      <c r="C31" s="37"/>
      <c r="D31" s="38"/>
      <c r="E31" s="39">
        <v>46266</v>
      </c>
      <c r="F31" s="39">
        <v>46722</v>
      </c>
      <c r="G31" s="40">
        <v>0.03</v>
      </c>
      <c r="H31" s="41">
        <f t="shared" si="0"/>
        <v>46661</v>
      </c>
      <c r="I31" s="42" t="str">
        <f t="shared" si="1"/>
        <v/>
      </c>
      <c r="J31" s="42" t="str">
        <f t="shared" si="1"/>
        <v/>
      </c>
      <c r="K31" s="42" t="str">
        <f t="shared" si="1"/>
        <v/>
      </c>
      <c r="L31" s="42" t="str">
        <f t="shared" si="1"/>
        <v/>
      </c>
      <c r="M31" s="42" t="str">
        <f t="shared" si="1"/>
        <v/>
      </c>
      <c r="N31" s="42" t="str">
        <f t="shared" si="1"/>
        <v/>
      </c>
      <c r="O31" s="42" t="str">
        <f t="shared" si="1"/>
        <v/>
      </c>
      <c r="P31" s="42" t="str">
        <f t="shared" si="1"/>
        <v/>
      </c>
      <c r="Q31" s="42" t="str">
        <f t="shared" si="1"/>
        <v/>
      </c>
      <c r="R31" s="42" t="str">
        <f t="shared" si="1"/>
        <v/>
      </c>
      <c r="S31" s="42" t="str">
        <f t="shared" si="1"/>
        <v/>
      </c>
      <c r="T31" s="42" t="str">
        <f t="shared" si="1"/>
        <v/>
      </c>
      <c r="U31" s="42" t="str">
        <f t="shared" si="1"/>
        <v/>
      </c>
      <c r="V31" s="42" t="str">
        <f t="shared" si="1"/>
        <v/>
      </c>
      <c r="W31" s="42" t="str">
        <f t="shared" si="1"/>
        <v/>
      </c>
      <c r="X31" s="42" t="str">
        <f t="shared" si="1"/>
        <v/>
      </c>
      <c r="Y31" s="42"/>
      <c r="Z31" s="42">
        <f t="shared" si="3"/>
        <v>0</v>
      </c>
      <c r="AB31" s="44" t="str">
        <f t="shared" si="2"/>
        <v/>
      </c>
    </row>
    <row r="32" spans="1:28" x14ac:dyDescent="0.3">
      <c r="B32" s="37"/>
      <c r="C32" s="37"/>
      <c r="D32" s="38"/>
      <c r="E32" s="39">
        <v>46266</v>
      </c>
      <c r="F32" s="39">
        <v>46722</v>
      </c>
      <c r="G32" s="40">
        <v>0.03</v>
      </c>
      <c r="H32" s="41">
        <f t="shared" si="0"/>
        <v>46661</v>
      </c>
      <c r="I32" s="42" t="str">
        <f t="shared" si="1"/>
        <v/>
      </c>
      <c r="J32" s="42" t="str">
        <f t="shared" si="1"/>
        <v/>
      </c>
      <c r="K32" s="42" t="str">
        <f t="shared" si="1"/>
        <v/>
      </c>
      <c r="L32" s="42" t="str">
        <f t="shared" si="1"/>
        <v/>
      </c>
      <c r="M32" s="42" t="str">
        <f t="shared" si="1"/>
        <v/>
      </c>
      <c r="N32" s="42" t="str">
        <f t="shared" si="1"/>
        <v/>
      </c>
      <c r="O32" s="42" t="str">
        <f t="shared" si="1"/>
        <v/>
      </c>
      <c r="P32" s="42" t="str">
        <f t="shared" si="1"/>
        <v/>
      </c>
      <c r="Q32" s="42" t="str">
        <f t="shared" si="1"/>
        <v/>
      </c>
      <c r="R32" s="42" t="str">
        <f t="shared" si="1"/>
        <v/>
      </c>
      <c r="S32" s="42" t="str">
        <f t="shared" si="1"/>
        <v/>
      </c>
      <c r="T32" s="42" t="str">
        <f t="shared" si="1"/>
        <v/>
      </c>
      <c r="U32" s="42" t="str">
        <f t="shared" si="1"/>
        <v/>
      </c>
      <c r="V32" s="42" t="str">
        <f t="shared" si="1"/>
        <v/>
      </c>
      <c r="W32" s="42" t="str">
        <f t="shared" si="1"/>
        <v/>
      </c>
      <c r="X32" s="42" t="str">
        <f t="shared" si="1"/>
        <v/>
      </c>
      <c r="Y32" s="42"/>
      <c r="Z32" s="42">
        <f t="shared" si="3"/>
        <v>0</v>
      </c>
      <c r="AB32" s="44" t="str">
        <f t="shared" si="2"/>
        <v/>
      </c>
    </row>
    <row r="33" spans="2:28" x14ac:dyDescent="0.3">
      <c r="B33" s="37"/>
      <c r="C33" s="37"/>
      <c r="D33" s="38"/>
      <c r="E33" s="39">
        <v>46266</v>
      </c>
      <c r="F33" s="39">
        <v>46722</v>
      </c>
      <c r="G33" s="40">
        <v>0.03</v>
      </c>
      <c r="H33" s="41">
        <f t="shared" si="0"/>
        <v>46661</v>
      </c>
      <c r="I33" s="42" t="str">
        <f t="shared" si="1"/>
        <v/>
      </c>
      <c r="J33" s="42" t="str">
        <f t="shared" si="1"/>
        <v/>
      </c>
      <c r="K33" s="42" t="str">
        <f t="shared" si="1"/>
        <v/>
      </c>
      <c r="L33" s="42" t="str">
        <f t="shared" si="1"/>
        <v/>
      </c>
      <c r="M33" s="42" t="str">
        <f t="shared" si="1"/>
        <v/>
      </c>
      <c r="N33" s="42" t="str">
        <f t="shared" si="1"/>
        <v/>
      </c>
      <c r="O33" s="42" t="str">
        <f t="shared" si="1"/>
        <v/>
      </c>
      <c r="P33" s="42" t="str">
        <f t="shared" si="1"/>
        <v/>
      </c>
      <c r="Q33" s="42" t="str">
        <f t="shared" si="1"/>
        <v/>
      </c>
      <c r="R33" s="42" t="str">
        <f t="shared" si="1"/>
        <v/>
      </c>
      <c r="S33" s="42" t="str">
        <f t="shared" si="1"/>
        <v/>
      </c>
      <c r="T33" s="42" t="str">
        <f t="shared" si="1"/>
        <v/>
      </c>
      <c r="U33" s="42" t="str">
        <f t="shared" si="1"/>
        <v/>
      </c>
      <c r="V33" s="42" t="str">
        <f t="shared" si="1"/>
        <v/>
      </c>
      <c r="W33" s="42" t="str">
        <f t="shared" si="1"/>
        <v/>
      </c>
      <c r="X33" s="42" t="str">
        <f t="shared" si="1"/>
        <v/>
      </c>
      <c r="Y33" s="42"/>
      <c r="Z33" s="42">
        <f t="shared" si="3"/>
        <v>0</v>
      </c>
      <c r="AB33" s="44" t="str">
        <f t="shared" si="2"/>
        <v/>
      </c>
    </row>
    <row r="34" spans="2:28" x14ac:dyDescent="0.3">
      <c r="B34" s="8" t="s">
        <v>55</v>
      </c>
      <c r="D34" s="45"/>
      <c r="E34" s="46"/>
      <c r="F34" s="46"/>
      <c r="G34" s="46"/>
      <c r="H34" s="46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B34" s="44"/>
    </row>
    <row r="35" spans="2:28" x14ac:dyDescent="0.3">
      <c r="B35" s="37"/>
      <c r="C35" s="37"/>
      <c r="D35" s="38"/>
      <c r="E35" s="39"/>
      <c r="F35" s="39">
        <v>46722</v>
      </c>
      <c r="G35" s="40">
        <v>0.03</v>
      </c>
      <c r="H35" s="41">
        <f>$D$8</f>
        <v>46661</v>
      </c>
      <c r="I35" s="42" t="str">
        <f t="shared" ref="I35:X39" si="14">IF(OR($D35="",$E35="",NOT(ISNUMBER($D35))),"",IF(AND($E35&lt;=I$10,IF($F35="",$X$10,$F35)&gt;=I$10),$D35/12*(1+N($G35))^IF(AND(ISNUMBER($H35),I$10&gt;=$H35),1+INT(DATEDIF($H35,I$10,"m")/12),0),0))</f>
        <v/>
      </c>
      <c r="J35" s="42" t="str">
        <f t="shared" si="14"/>
        <v/>
      </c>
      <c r="K35" s="42" t="str">
        <f t="shared" si="14"/>
        <v/>
      </c>
      <c r="L35" s="42" t="str">
        <f t="shared" si="14"/>
        <v/>
      </c>
      <c r="M35" s="42" t="str">
        <f t="shared" si="14"/>
        <v/>
      </c>
      <c r="N35" s="42" t="str">
        <f t="shared" si="14"/>
        <v/>
      </c>
      <c r="O35" s="42" t="str">
        <f t="shared" si="14"/>
        <v/>
      </c>
      <c r="P35" s="42" t="str">
        <f t="shared" si="14"/>
        <v/>
      </c>
      <c r="Q35" s="42" t="str">
        <f t="shared" si="14"/>
        <v/>
      </c>
      <c r="R35" s="42" t="str">
        <f t="shared" si="14"/>
        <v/>
      </c>
      <c r="S35" s="42" t="str">
        <f t="shared" si="14"/>
        <v/>
      </c>
      <c r="T35" s="42" t="str">
        <f t="shared" si="14"/>
        <v/>
      </c>
      <c r="U35" s="42" t="str">
        <f t="shared" si="14"/>
        <v/>
      </c>
      <c r="V35" s="42" t="str">
        <f t="shared" si="14"/>
        <v/>
      </c>
      <c r="W35" s="42" t="str">
        <f t="shared" si="14"/>
        <v/>
      </c>
      <c r="X35" s="42" t="str">
        <f t="shared" si="14"/>
        <v/>
      </c>
      <c r="Y35" s="42"/>
      <c r="Z35" s="42">
        <f t="shared" ref="Z35:Z50" si="15">SUM(M35:X35)</f>
        <v>0</v>
      </c>
      <c r="AB35" s="44" t="str">
        <f>IF($D35&amp;$E35="","",IF(AND($D35&lt;&gt;"",NOT(ISNUMBER($D35))),"Salary must be a number",IF(AND($D35&lt;&gt;"",$E35=""),"Start month missing",IF(AND(ISNUMBER($E35),ISNUMBER($F35),$F35&lt;$E35),"End is before Start",IF(AND($D35&lt;&gt;"",NOT(ISNUMBER($H35))),"Increase month missing","")))))</f>
        <v/>
      </c>
    </row>
    <row r="36" spans="2:28" x14ac:dyDescent="0.3">
      <c r="B36" s="37"/>
      <c r="C36" s="37"/>
      <c r="D36" s="38"/>
      <c r="E36" s="39"/>
      <c r="F36" s="39">
        <v>46722</v>
      </c>
      <c r="G36" s="40">
        <v>0.03</v>
      </c>
      <c r="H36" s="41">
        <f>$D$8</f>
        <v>46661</v>
      </c>
      <c r="I36" s="42" t="str">
        <f t="shared" si="14"/>
        <v/>
      </c>
      <c r="J36" s="42" t="str">
        <f t="shared" si="14"/>
        <v/>
      </c>
      <c r="K36" s="42" t="str">
        <f t="shared" si="14"/>
        <v/>
      </c>
      <c r="L36" s="42" t="str">
        <f t="shared" si="14"/>
        <v/>
      </c>
      <c r="M36" s="42" t="str">
        <f t="shared" si="14"/>
        <v/>
      </c>
      <c r="N36" s="42" t="str">
        <f t="shared" si="14"/>
        <v/>
      </c>
      <c r="O36" s="42" t="str">
        <f t="shared" si="14"/>
        <v/>
      </c>
      <c r="P36" s="42" t="str">
        <f t="shared" si="14"/>
        <v/>
      </c>
      <c r="Q36" s="42" t="str">
        <f t="shared" si="14"/>
        <v/>
      </c>
      <c r="R36" s="42" t="str">
        <f t="shared" si="14"/>
        <v/>
      </c>
      <c r="S36" s="42" t="str">
        <f t="shared" si="14"/>
        <v/>
      </c>
      <c r="T36" s="42" t="str">
        <f t="shared" si="14"/>
        <v/>
      </c>
      <c r="U36" s="42" t="str">
        <f t="shared" si="14"/>
        <v/>
      </c>
      <c r="V36" s="42" t="str">
        <f t="shared" si="14"/>
        <v/>
      </c>
      <c r="W36" s="42" t="str">
        <f t="shared" si="14"/>
        <v/>
      </c>
      <c r="X36" s="42" t="str">
        <f t="shared" si="14"/>
        <v/>
      </c>
      <c r="Y36" s="42"/>
      <c r="Z36" s="42">
        <f t="shared" si="15"/>
        <v>0</v>
      </c>
      <c r="AB36" s="44" t="str">
        <f>IF($D36&amp;$E36="","",IF(AND($D36&lt;&gt;"",NOT(ISNUMBER($D36))),"Salary must be a number",IF(AND($D36&lt;&gt;"",$E36=""),"Start month missing",IF(AND(ISNUMBER($E36),ISNUMBER($F36),$F36&lt;$E36),"End is before Start",IF(AND($D36&lt;&gt;"",NOT(ISNUMBER($H36))),"Increase month missing","")))))</f>
        <v/>
      </c>
    </row>
    <row r="37" spans="2:28" x14ac:dyDescent="0.3">
      <c r="B37" s="37"/>
      <c r="C37" s="37"/>
      <c r="D37" s="38"/>
      <c r="E37" s="39"/>
      <c r="F37" s="39">
        <v>46722</v>
      </c>
      <c r="G37" s="40">
        <v>0.03</v>
      </c>
      <c r="H37" s="41">
        <f>$D$8</f>
        <v>46661</v>
      </c>
      <c r="I37" s="42" t="str">
        <f t="shared" si="14"/>
        <v/>
      </c>
      <c r="J37" s="42" t="str">
        <f t="shared" si="14"/>
        <v/>
      </c>
      <c r="K37" s="42" t="str">
        <f t="shared" si="14"/>
        <v/>
      </c>
      <c r="L37" s="42" t="str">
        <f t="shared" si="14"/>
        <v/>
      </c>
      <c r="M37" s="42" t="str">
        <f t="shared" si="14"/>
        <v/>
      </c>
      <c r="N37" s="42" t="str">
        <f t="shared" si="14"/>
        <v/>
      </c>
      <c r="O37" s="42" t="str">
        <f t="shared" si="14"/>
        <v/>
      </c>
      <c r="P37" s="42" t="str">
        <f t="shared" si="14"/>
        <v/>
      </c>
      <c r="Q37" s="42" t="str">
        <f t="shared" si="14"/>
        <v/>
      </c>
      <c r="R37" s="42" t="str">
        <f t="shared" si="14"/>
        <v/>
      </c>
      <c r="S37" s="42" t="str">
        <f t="shared" si="14"/>
        <v/>
      </c>
      <c r="T37" s="42" t="str">
        <f t="shared" si="14"/>
        <v/>
      </c>
      <c r="U37" s="42" t="str">
        <f t="shared" si="14"/>
        <v/>
      </c>
      <c r="V37" s="42" t="str">
        <f t="shared" si="14"/>
        <v/>
      </c>
      <c r="W37" s="42" t="str">
        <f t="shared" si="14"/>
        <v/>
      </c>
      <c r="X37" s="42" t="str">
        <f t="shared" si="14"/>
        <v/>
      </c>
      <c r="Y37" s="42"/>
      <c r="Z37" s="42">
        <f t="shared" si="15"/>
        <v>0</v>
      </c>
      <c r="AB37" s="44" t="str">
        <f>IF($D37&amp;$E37="","",IF(AND($D37&lt;&gt;"",NOT(ISNUMBER($D37))),"Salary must be a number",IF(AND($D37&lt;&gt;"",$E37=""),"Start month missing",IF(AND(ISNUMBER($E37),ISNUMBER($F37),$F37&lt;$E37),"End is before Start",IF(AND($D37&lt;&gt;"",NOT(ISNUMBER($H37))),"Increase month missing","")))))</f>
        <v/>
      </c>
    </row>
    <row r="38" spans="2:28" x14ac:dyDescent="0.3">
      <c r="B38" s="37"/>
      <c r="C38" s="37"/>
      <c r="D38" s="38"/>
      <c r="E38" s="39"/>
      <c r="F38" s="39">
        <v>46722</v>
      </c>
      <c r="G38" s="40">
        <v>0.03</v>
      </c>
      <c r="H38" s="41">
        <f>$D$8</f>
        <v>46661</v>
      </c>
      <c r="I38" s="42" t="str">
        <f t="shared" si="14"/>
        <v/>
      </c>
      <c r="J38" s="42" t="str">
        <f t="shared" si="14"/>
        <v/>
      </c>
      <c r="K38" s="42" t="str">
        <f t="shared" si="14"/>
        <v/>
      </c>
      <c r="L38" s="42" t="str">
        <f t="shared" si="14"/>
        <v/>
      </c>
      <c r="M38" s="42" t="str">
        <f t="shared" si="14"/>
        <v/>
      </c>
      <c r="N38" s="42" t="str">
        <f t="shared" si="14"/>
        <v/>
      </c>
      <c r="O38" s="42" t="str">
        <f t="shared" si="14"/>
        <v/>
      </c>
      <c r="P38" s="42" t="str">
        <f t="shared" si="14"/>
        <v/>
      </c>
      <c r="Q38" s="42" t="str">
        <f t="shared" si="14"/>
        <v/>
      </c>
      <c r="R38" s="42" t="str">
        <f t="shared" si="14"/>
        <v/>
      </c>
      <c r="S38" s="42" t="str">
        <f t="shared" si="14"/>
        <v/>
      </c>
      <c r="T38" s="42" t="str">
        <f t="shared" si="14"/>
        <v/>
      </c>
      <c r="U38" s="42" t="str">
        <f t="shared" si="14"/>
        <v/>
      </c>
      <c r="V38" s="42" t="str">
        <f t="shared" si="14"/>
        <v/>
      </c>
      <c r="W38" s="42" t="str">
        <f t="shared" si="14"/>
        <v/>
      </c>
      <c r="X38" s="42" t="str">
        <f t="shared" si="14"/>
        <v/>
      </c>
      <c r="Y38" s="42"/>
      <c r="Z38" s="42">
        <f t="shared" si="15"/>
        <v>0</v>
      </c>
      <c r="AB38" s="44" t="str">
        <f>IF($D38&amp;$E38="","",IF(AND($D38&lt;&gt;"",NOT(ISNUMBER($D38))),"Salary must be a number",IF(AND($D38&lt;&gt;"",$E38=""),"Start month missing",IF(AND(ISNUMBER($E38),ISNUMBER($F38),$F38&lt;$E38),"End is before Start",IF(AND($D38&lt;&gt;"",NOT(ISNUMBER($H38))),"Increase month missing","")))))</f>
        <v/>
      </c>
    </row>
    <row r="39" spans="2:28" x14ac:dyDescent="0.3">
      <c r="B39" s="37"/>
      <c r="C39" s="37"/>
      <c r="D39" s="38"/>
      <c r="E39" s="39"/>
      <c r="F39" s="39">
        <v>46722</v>
      </c>
      <c r="G39" s="40">
        <v>0.03</v>
      </c>
      <c r="H39" s="41">
        <f>$D$8</f>
        <v>46661</v>
      </c>
      <c r="I39" s="42" t="str">
        <f t="shared" si="14"/>
        <v/>
      </c>
      <c r="J39" s="42" t="str">
        <f t="shared" si="14"/>
        <v/>
      </c>
      <c r="K39" s="42" t="str">
        <f t="shared" si="14"/>
        <v/>
      </c>
      <c r="L39" s="42" t="str">
        <f t="shared" si="14"/>
        <v/>
      </c>
      <c r="M39" s="42" t="str">
        <f t="shared" si="14"/>
        <v/>
      </c>
      <c r="N39" s="42" t="str">
        <f t="shared" si="14"/>
        <v/>
      </c>
      <c r="O39" s="42" t="str">
        <f t="shared" si="14"/>
        <v/>
      </c>
      <c r="P39" s="42" t="str">
        <f t="shared" si="14"/>
        <v/>
      </c>
      <c r="Q39" s="42" t="str">
        <f t="shared" si="14"/>
        <v/>
      </c>
      <c r="R39" s="42" t="str">
        <f t="shared" si="14"/>
        <v/>
      </c>
      <c r="S39" s="42" t="str">
        <f t="shared" si="14"/>
        <v/>
      </c>
      <c r="T39" s="42" t="str">
        <f t="shared" si="14"/>
        <v/>
      </c>
      <c r="U39" s="42" t="str">
        <f t="shared" si="14"/>
        <v/>
      </c>
      <c r="V39" s="42" t="str">
        <f t="shared" si="14"/>
        <v/>
      </c>
      <c r="W39" s="42" t="str">
        <f t="shared" si="14"/>
        <v/>
      </c>
      <c r="X39" s="42" t="str">
        <f t="shared" si="14"/>
        <v/>
      </c>
      <c r="Y39" s="42"/>
      <c r="Z39" s="42">
        <f t="shared" si="15"/>
        <v>0</v>
      </c>
      <c r="AB39" s="44" t="str">
        <f>IF($D39&amp;$E39="","",IF(AND($D39&lt;&gt;"",NOT(ISNUMBER($D39))),"Salary must be a number",IF(AND($D39&lt;&gt;"",$E39=""),"Start month missing",IF(AND(ISNUMBER($E39),ISNUMBER($F39),$F39&lt;$E39),"End is before Start",IF(AND($D39&lt;&gt;"",NOT(ISNUMBER($H39))),"Increase month missing","")))))</f>
        <v/>
      </c>
    </row>
    <row r="40" spans="2:28" x14ac:dyDescent="0.3">
      <c r="B40" s="8" t="s">
        <v>56</v>
      </c>
      <c r="D40" s="45"/>
      <c r="E40" s="46"/>
      <c r="F40" s="46"/>
      <c r="G40" s="46"/>
      <c r="H40" s="46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B40" s="44"/>
    </row>
    <row r="41" spans="2:28" x14ac:dyDescent="0.3">
      <c r="B41" s="37"/>
      <c r="C41" s="37"/>
      <c r="D41" s="38"/>
      <c r="E41" s="39"/>
      <c r="F41" s="39">
        <v>46722</v>
      </c>
      <c r="G41" s="40">
        <v>0.03</v>
      </c>
      <c r="H41" s="41">
        <f t="shared" ref="H41:H50" si="16">$D$8</f>
        <v>46661</v>
      </c>
      <c r="I41" s="42" t="str">
        <f t="shared" ref="I41:X50" si="17">IF(OR($D41="",$E41="",NOT(ISNUMBER($D41))),"",IF(AND($E41&lt;=I$10,IF($F41="",$X$10,$F41)&gt;=I$10),$D41/12*(1+N($G41))^IF(AND(ISNUMBER($H41),I$10&gt;=$H41),1+INT(DATEDIF($H41,I$10,"m")/12),0),0))</f>
        <v/>
      </c>
      <c r="J41" s="42" t="str">
        <f t="shared" si="17"/>
        <v/>
      </c>
      <c r="K41" s="42" t="str">
        <f t="shared" si="17"/>
        <v/>
      </c>
      <c r="L41" s="42" t="str">
        <f t="shared" si="17"/>
        <v/>
      </c>
      <c r="M41" s="42" t="str">
        <f t="shared" si="17"/>
        <v/>
      </c>
      <c r="N41" s="42" t="str">
        <f t="shared" si="17"/>
        <v/>
      </c>
      <c r="O41" s="42" t="str">
        <f t="shared" si="17"/>
        <v/>
      </c>
      <c r="P41" s="42" t="str">
        <f t="shared" si="17"/>
        <v/>
      </c>
      <c r="Q41" s="42" t="str">
        <f t="shared" si="17"/>
        <v/>
      </c>
      <c r="R41" s="42" t="str">
        <f t="shared" si="17"/>
        <v/>
      </c>
      <c r="S41" s="42" t="str">
        <f t="shared" si="17"/>
        <v/>
      </c>
      <c r="T41" s="42" t="str">
        <f t="shared" si="17"/>
        <v/>
      </c>
      <c r="U41" s="42" t="str">
        <f t="shared" si="17"/>
        <v/>
      </c>
      <c r="V41" s="42" t="str">
        <f t="shared" si="17"/>
        <v/>
      </c>
      <c r="W41" s="42" t="str">
        <f t="shared" si="17"/>
        <v/>
      </c>
      <c r="X41" s="42" t="str">
        <f t="shared" si="17"/>
        <v/>
      </c>
      <c r="Y41" s="42"/>
      <c r="Z41" s="42">
        <f t="shared" si="15"/>
        <v>0</v>
      </c>
      <c r="AB41" s="44" t="str">
        <f t="shared" ref="AB41:AB50" si="18">IF($D41&amp;$E41="","",IF(AND($D41&lt;&gt;"",NOT(ISNUMBER($D41))),"Salary must be a number",IF(AND($D41&lt;&gt;"",$E41=""),"Start month missing",IF(AND(ISNUMBER($E41),ISNUMBER($F41),$F41&lt;$E41),"End is before Start",IF(AND($D41&lt;&gt;"",NOT(ISNUMBER($H41))),"Increase month missing","")))))</f>
        <v/>
      </c>
    </row>
    <row r="42" spans="2:28" x14ac:dyDescent="0.3">
      <c r="B42" s="37"/>
      <c r="C42" s="37"/>
      <c r="D42" s="38"/>
      <c r="E42" s="39"/>
      <c r="F42" s="39">
        <v>46722</v>
      </c>
      <c r="G42" s="40">
        <v>0.03</v>
      </c>
      <c r="H42" s="41">
        <f t="shared" si="16"/>
        <v>46661</v>
      </c>
      <c r="I42" s="42" t="str">
        <f t="shared" si="17"/>
        <v/>
      </c>
      <c r="J42" s="42" t="str">
        <f t="shared" si="17"/>
        <v/>
      </c>
      <c r="K42" s="42" t="str">
        <f t="shared" si="17"/>
        <v/>
      </c>
      <c r="L42" s="42" t="str">
        <f t="shared" si="17"/>
        <v/>
      </c>
      <c r="M42" s="42" t="str">
        <f t="shared" si="17"/>
        <v/>
      </c>
      <c r="N42" s="42" t="str">
        <f t="shared" si="17"/>
        <v/>
      </c>
      <c r="O42" s="42" t="str">
        <f t="shared" si="17"/>
        <v/>
      </c>
      <c r="P42" s="42" t="str">
        <f t="shared" si="17"/>
        <v/>
      </c>
      <c r="Q42" s="42" t="str">
        <f t="shared" si="17"/>
        <v/>
      </c>
      <c r="R42" s="42" t="str">
        <f t="shared" si="17"/>
        <v/>
      </c>
      <c r="S42" s="42" t="str">
        <f t="shared" si="17"/>
        <v/>
      </c>
      <c r="T42" s="42" t="str">
        <f t="shared" si="17"/>
        <v/>
      </c>
      <c r="U42" s="42" t="str">
        <f t="shared" si="17"/>
        <v/>
      </c>
      <c r="V42" s="42" t="str">
        <f t="shared" si="17"/>
        <v/>
      </c>
      <c r="W42" s="42" t="str">
        <f t="shared" si="17"/>
        <v/>
      </c>
      <c r="X42" s="42" t="str">
        <f t="shared" si="17"/>
        <v/>
      </c>
      <c r="Y42" s="42"/>
      <c r="Z42" s="42">
        <f t="shared" si="15"/>
        <v>0</v>
      </c>
      <c r="AB42" s="44" t="str">
        <f t="shared" si="18"/>
        <v/>
      </c>
    </row>
    <row r="43" spans="2:28" x14ac:dyDescent="0.3">
      <c r="B43" s="37"/>
      <c r="C43" s="37"/>
      <c r="D43" s="38"/>
      <c r="E43" s="39"/>
      <c r="F43" s="39">
        <v>46722</v>
      </c>
      <c r="G43" s="40">
        <v>0.03</v>
      </c>
      <c r="H43" s="41">
        <f t="shared" si="16"/>
        <v>46661</v>
      </c>
      <c r="I43" s="42" t="str">
        <f t="shared" si="17"/>
        <v/>
      </c>
      <c r="J43" s="42" t="str">
        <f t="shared" si="17"/>
        <v/>
      </c>
      <c r="K43" s="42" t="str">
        <f t="shared" si="17"/>
        <v/>
      </c>
      <c r="L43" s="42" t="str">
        <f t="shared" si="17"/>
        <v/>
      </c>
      <c r="M43" s="42" t="str">
        <f t="shared" si="17"/>
        <v/>
      </c>
      <c r="N43" s="42" t="str">
        <f t="shared" si="17"/>
        <v/>
      </c>
      <c r="O43" s="42" t="str">
        <f t="shared" si="17"/>
        <v/>
      </c>
      <c r="P43" s="42" t="str">
        <f t="shared" si="17"/>
        <v/>
      </c>
      <c r="Q43" s="42" t="str">
        <f t="shared" si="17"/>
        <v/>
      </c>
      <c r="R43" s="42" t="str">
        <f t="shared" si="17"/>
        <v/>
      </c>
      <c r="S43" s="42" t="str">
        <f t="shared" si="17"/>
        <v/>
      </c>
      <c r="T43" s="42" t="str">
        <f t="shared" si="17"/>
        <v/>
      </c>
      <c r="U43" s="42" t="str">
        <f t="shared" si="17"/>
        <v/>
      </c>
      <c r="V43" s="42" t="str">
        <f t="shared" si="17"/>
        <v/>
      </c>
      <c r="W43" s="42" t="str">
        <f t="shared" si="17"/>
        <v/>
      </c>
      <c r="X43" s="42" t="str">
        <f t="shared" si="17"/>
        <v/>
      </c>
      <c r="Y43" s="42"/>
      <c r="Z43" s="42">
        <f t="shared" si="15"/>
        <v>0</v>
      </c>
      <c r="AB43" s="44" t="str">
        <f t="shared" si="18"/>
        <v/>
      </c>
    </row>
    <row r="44" spans="2:28" x14ac:dyDescent="0.3">
      <c r="B44" s="37"/>
      <c r="C44" s="37"/>
      <c r="D44" s="38"/>
      <c r="E44" s="39"/>
      <c r="F44" s="39">
        <v>46722</v>
      </c>
      <c r="G44" s="40">
        <v>0.03</v>
      </c>
      <c r="H44" s="41">
        <f t="shared" si="16"/>
        <v>46661</v>
      </c>
      <c r="I44" s="42" t="str">
        <f t="shared" si="17"/>
        <v/>
      </c>
      <c r="J44" s="42" t="str">
        <f t="shared" si="17"/>
        <v/>
      </c>
      <c r="K44" s="42" t="str">
        <f t="shared" si="17"/>
        <v/>
      </c>
      <c r="L44" s="42" t="str">
        <f t="shared" si="17"/>
        <v/>
      </c>
      <c r="M44" s="42" t="str">
        <f t="shared" si="17"/>
        <v/>
      </c>
      <c r="N44" s="42" t="str">
        <f t="shared" si="17"/>
        <v/>
      </c>
      <c r="O44" s="42" t="str">
        <f t="shared" si="17"/>
        <v/>
      </c>
      <c r="P44" s="42" t="str">
        <f t="shared" si="17"/>
        <v/>
      </c>
      <c r="Q44" s="42" t="str">
        <f t="shared" si="17"/>
        <v/>
      </c>
      <c r="R44" s="42" t="str">
        <f t="shared" si="17"/>
        <v/>
      </c>
      <c r="S44" s="42" t="str">
        <f t="shared" si="17"/>
        <v/>
      </c>
      <c r="T44" s="42" t="str">
        <f t="shared" si="17"/>
        <v/>
      </c>
      <c r="U44" s="42" t="str">
        <f t="shared" si="17"/>
        <v/>
      </c>
      <c r="V44" s="42" t="str">
        <f t="shared" si="17"/>
        <v/>
      </c>
      <c r="W44" s="42" t="str">
        <f t="shared" si="17"/>
        <v/>
      </c>
      <c r="X44" s="42" t="str">
        <f t="shared" si="17"/>
        <v/>
      </c>
      <c r="Y44" s="42"/>
      <c r="Z44" s="42">
        <f t="shared" si="15"/>
        <v>0</v>
      </c>
      <c r="AB44" s="44" t="str">
        <f t="shared" si="18"/>
        <v/>
      </c>
    </row>
    <row r="45" spans="2:28" x14ac:dyDescent="0.3">
      <c r="B45" s="37"/>
      <c r="C45" s="37"/>
      <c r="D45" s="38"/>
      <c r="E45" s="39"/>
      <c r="F45" s="39">
        <v>46722</v>
      </c>
      <c r="G45" s="40">
        <v>0.03</v>
      </c>
      <c r="H45" s="41">
        <f t="shared" si="16"/>
        <v>46661</v>
      </c>
      <c r="I45" s="42" t="str">
        <f t="shared" si="17"/>
        <v/>
      </c>
      <c r="J45" s="42" t="str">
        <f t="shared" si="17"/>
        <v/>
      </c>
      <c r="K45" s="42" t="str">
        <f t="shared" si="17"/>
        <v/>
      </c>
      <c r="L45" s="42" t="str">
        <f t="shared" si="17"/>
        <v/>
      </c>
      <c r="M45" s="42" t="str">
        <f t="shared" si="17"/>
        <v/>
      </c>
      <c r="N45" s="42" t="str">
        <f t="shared" si="17"/>
        <v/>
      </c>
      <c r="O45" s="42" t="str">
        <f t="shared" si="17"/>
        <v/>
      </c>
      <c r="P45" s="42" t="str">
        <f t="shared" si="17"/>
        <v/>
      </c>
      <c r="Q45" s="42" t="str">
        <f t="shared" si="17"/>
        <v/>
      </c>
      <c r="R45" s="42" t="str">
        <f t="shared" si="17"/>
        <v/>
      </c>
      <c r="S45" s="42" t="str">
        <f t="shared" si="17"/>
        <v/>
      </c>
      <c r="T45" s="42" t="str">
        <f t="shared" si="17"/>
        <v/>
      </c>
      <c r="U45" s="42" t="str">
        <f t="shared" si="17"/>
        <v/>
      </c>
      <c r="V45" s="42" t="str">
        <f t="shared" si="17"/>
        <v/>
      </c>
      <c r="W45" s="42" t="str">
        <f t="shared" si="17"/>
        <v/>
      </c>
      <c r="X45" s="42" t="str">
        <f t="shared" si="17"/>
        <v/>
      </c>
      <c r="Y45" s="42"/>
      <c r="Z45" s="42">
        <f t="shared" si="15"/>
        <v>0</v>
      </c>
      <c r="AB45" s="44" t="str">
        <f t="shared" si="18"/>
        <v/>
      </c>
    </row>
    <row r="46" spans="2:28" x14ac:dyDescent="0.3">
      <c r="B46" s="37"/>
      <c r="C46" s="37"/>
      <c r="D46" s="38"/>
      <c r="E46" s="39"/>
      <c r="F46" s="39">
        <v>46722</v>
      </c>
      <c r="G46" s="40">
        <v>0.03</v>
      </c>
      <c r="H46" s="41">
        <f t="shared" si="16"/>
        <v>46661</v>
      </c>
      <c r="I46" s="42" t="str">
        <f t="shared" si="17"/>
        <v/>
      </c>
      <c r="J46" s="42" t="str">
        <f t="shared" si="17"/>
        <v/>
      </c>
      <c r="K46" s="42" t="str">
        <f t="shared" si="17"/>
        <v/>
      </c>
      <c r="L46" s="42" t="str">
        <f t="shared" si="17"/>
        <v/>
      </c>
      <c r="M46" s="42" t="str">
        <f t="shared" si="17"/>
        <v/>
      </c>
      <c r="N46" s="42" t="str">
        <f t="shared" si="17"/>
        <v/>
      </c>
      <c r="O46" s="42" t="str">
        <f t="shared" si="17"/>
        <v/>
      </c>
      <c r="P46" s="42" t="str">
        <f t="shared" si="17"/>
        <v/>
      </c>
      <c r="Q46" s="42" t="str">
        <f t="shared" si="17"/>
        <v/>
      </c>
      <c r="R46" s="42" t="str">
        <f t="shared" si="17"/>
        <v/>
      </c>
      <c r="S46" s="42" t="str">
        <f t="shared" si="17"/>
        <v/>
      </c>
      <c r="T46" s="42" t="str">
        <f t="shared" si="17"/>
        <v/>
      </c>
      <c r="U46" s="42" t="str">
        <f t="shared" si="17"/>
        <v/>
      </c>
      <c r="V46" s="42" t="str">
        <f t="shared" si="17"/>
        <v/>
      </c>
      <c r="W46" s="42" t="str">
        <f t="shared" si="17"/>
        <v/>
      </c>
      <c r="X46" s="42" t="str">
        <f t="shared" si="17"/>
        <v/>
      </c>
      <c r="Y46" s="42"/>
      <c r="Z46" s="42">
        <f t="shared" si="15"/>
        <v>0</v>
      </c>
      <c r="AB46" s="44" t="str">
        <f t="shared" si="18"/>
        <v/>
      </c>
    </row>
    <row r="47" spans="2:28" x14ac:dyDescent="0.3">
      <c r="B47" s="37"/>
      <c r="C47" s="37"/>
      <c r="D47" s="38"/>
      <c r="E47" s="39"/>
      <c r="F47" s="39">
        <v>46722</v>
      </c>
      <c r="G47" s="40">
        <v>0.03</v>
      </c>
      <c r="H47" s="41">
        <f t="shared" si="16"/>
        <v>46661</v>
      </c>
      <c r="I47" s="42" t="str">
        <f t="shared" si="17"/>
        <v/>
      </c>
      <c r="J47" s="42" t="str">
        <f t="shared" si="17"/>
        <v/>
      </c>
      <c r="K47" s="42" t="str">
        <f t="shared" si="17"/>
        <v/>
      </c>
      <c r="L47" s="42" t="str">
        <f t="shared" si="17"/>
        <v/>
      </c>
      <c r="M47" s="42" t="str">
        <f t="shared" si="17"/>
        <v/>
      </c>
      <c r="N47" s="42" t="str">
        <f t="shared" si="17"/>
        <v/>
      </c>
      <c r="O47" s="42" t="str">
        <f t="shared" si="17"/>
        <v/>
      </c>
      <c r="P47" s="42" t="str">
        <f t="shared" si="17"/>
        <v/>
      </c>
      <c r="Q47" s="42" t="str">
        <f t="shared" si="17"/>
        <v/>
      </c>
      <c r="R47" s="42" t="str">
        <f t="shared" si="17"/>
        <v/>
      </c>
      <c r="S47" s="42" t="str">
        <f t="shared" si="17"/>
        <v/>
      </c>
      <c r="T47" s="42" t="str">
        <f t="shared" si="17"/>
        <v/>
      </c>
      <c r="U47" s="42" t="str">
        <f t="shared" si="17"/>
        <v/>
      </c>
      <c r="V47" s="42" t="str">
        <f t="shared" si="17"/>
        <v/>
      </c>
      <c r="W47" s="42" t="str">
        <f t="shared" si="17"/>
        <v/>
      </c>
      <c r="X47" s="42" t="str">
        <f t="shared" si="17"/>
        <v/>
      </c>
      <c r="Y47" s="42"/>
      <c r="Z47" s="42">
        <f t="shared" si="15"/>
        <v>0</v>
      </c>
      <c r="AB47" s="44" t="str">
        <f t="shared" si="18"/>
        <v/>
      </c>
    </row>
    <row r="48" spans="2:28" x14ac:dyDescent="0.3">
      <c r="B48" s="37"/>
      <c r="C48" s="37"/>
      <c r="D48" s="38"/>
      <c r="E48" s="39"/>
      <c r="F48" s="39">
        <v>46722</v>
      </c>
      <c r="G48" s="40">
        <v>0.03</v>
      </c>
      <c r="H48" s="41">
        <f t="shared" si="16"/>
        <v>46661</v>
      </c>
      <c r="I48" s="42" t="str">
        <f t="shared" si="17"/>
        <v/>
      </c>
      <c r="J48" s="42" t="str">
        <f t="shared" si="17"/>
        <v/>
      </c>
      <c r="K48" s="42" t="str">
        <f t="shared" si="17"/>
        <v/>
      </c>
      <c r="L48" s="42" t="str">
        <f t="shared" si="17"/>
        <v/>
      </c>
      <c r="M48" s="42" t="str">
        <f t="shared" si="17"/>
        <v/>
      </c>
      <c r="N48" s="42" t="str">
        <f t="shared" si="17"/>
        <v/>
      </c>
      <c r="O48" s="42" t="str">
        <f t="shared" si="17"/>
        <v/>
      </c>
      <c r="P48" s="42" t="str">
        <f t="shared" si="17"/>
        <v/>
      </c>
      <c r="Q48" s="42" t="str">
        <f t="shared" si="17"/>
        <v/>
      </c>
      <c r="R48" s="42" t="str">
        <f t="shared" si="17"/>
        <v/>
      </c>
      <c r="S48" s="42" t="str">
        <f t="shared" si="17"/>
        <v/>
      </c>
      <c r="T48" s="42" t="str">
        <f t="shared" si="17"/>
        <v/>
      </c>
      <c r="U48" s="42" t="str">
        <f t="shared" si="17"/>
        <v/>
      </c>
      <c r="V48" s="42" t="str">
        <f t="shared" si="17"/>
        <v/>
      </c>
      <c r="W48" s="42" t="str">
        <f t="shared" si="17"/>
        <v/>
      </c>
      <c r="X48" s="42" t="str">
        <f t="shared" si="17"/>
        <v/>
      </c>
      <c r="Y48" s="42"/>
      <c r="Z48" s="42">
        <f t="shared" si="15"/>
        <v>0</v>
      </c>
      <c r="AB48" s="44" t="str">
        <f t="shared" si="18"/>
        <v/>
      </c>
    </row>
    <row r="49" spans="1:28" x14ac:dyDescent="0.3">
      <c r="B49" s="37"/>
      <c r="C49" s="37"/>
      <c r="D49" s="38"/>
      <c r="E49" s="39"/>
      <c r="F49" s="39">
        <v>46722</v>
      </c>
      <c r="G49" s="40">
        <v>0.03</v>
      </c>
      <c r="H49" s="41">
        <f t="shared" si="16"/>
        <v>46661</v>
      </c>
      <c r="I49" s="42" t="str">
        <f t="shared" si="17"/>
        <v/>
      </c>
      <c r="J49" s="42" t="str">
        <f t="shared" si="17"/>
        <v/>
      </c>
      <c r="K49" s="42" t="str">
        <f t="shared" si="17"/>
        <v/>
      </c>
      <c r="L49" s="42" t="str">
        <f t="shared" si="17"/>
        <v/>
      </c>
      <c r="M49" s="42" t="str">
        <f t="shared" si="17"/>
        <v/>
      </c>
      <c r="N49" s="42" t="str">
        <f t="shared" si="17"/>
        <v/>
      </c>
      <c r="O49" s="42" t="str">
        <f t="shared" si="17"/>
        <v/>
      </c>
      <c r="P49" s="42" t="str">
        <f t="shared" si="17"/>
        <v/>
      </c>
      <c r="Q49" s="42" t="str">
        <f t="shared" si="17"/>
        <v/>
      </c>
      <c r="R49" s="42" t="str">
        <f t="shared" si="17"/>
        <v/>
      </c>
      <c r="S49" s="42" t="str">
        <f t="shared" si="17"/>
        <v/>
      </c>
      <c r="T49" s="42" t="str">
        <f t="shared" si="17"/>
        <v/>
      </c>
      <c r="U49" s="42" t="str">
        <f t="shared" si="17"/>
        <v/>
      </c>
      <c r="V49" s="42" t="str">
        <f t="shared" si="17"/>
        <v/>
      </c>
      <c r="W49" s="42" t="str">
        <f t="shared" si="17"/>
        <v/>
      </c>
      <c r="X49" s="42" t="str">
        <f t="shared" si="17"/>
        <v/>
      </c>
      <c r="Y49" s="42"/>
      <c r="Z49" s="42">
        <f t="shared" si="15"/>
        <v>0</v>
      </c>
      <c r="AB49" s="44" t="str">
        <f t="shared" si="18"/>
        <v/>
      </c>
    </row>
    <row r="50" spans="1:28" x14ac:dyDescent="0.3">
      <c r="B50" s="37"/>
      <c r="C50" s="37"/>
      <c r="D50" s="38"/>
      <c r="E50" s="39"/>
      <c r="F50" s="39">
        <v>46722</v>
      </c>
      <c r="G50" s="40">
        <v>0.03</v>
      </c>
      <c r="H50" s="41">
        <f t="shared" si="16"/>
        <v>46661</v>
      </c>
      <c r="I50" s="42" t="str">
        <f t="shared" si="17"/>
        <v/>
      </c>
      <c r="J50" s="42" t="str">
        <f t="shared" si="17"/>
        <v/>
      </c>
      <c r="K50" s="42" t="str">
        <f t="shared" si="17"/>
        <v/>
      </c>
      <c r="L50" s="42" t="str">
        <f t="shared" si="17"/>
        <v/>
      </c>
      <c r="M50" s="42" t="str">
        <f t="shared" si="17"/>
        <v/>
      </c>
      <c r="N50" s="42" t="str">
        <f t="shared" si="17"/>
        <v/>
      </c>
      <c r="O50" s="42" t="str">
        <f t="shared" si="17"/>
        <v/>
      </c>
      <c r="P50" s="42" t="str">
        <f t="shared" si="17"/>
        <v/>
      </c>
      <c r="Q50" s="42" t="str">
        <f t="shared" si="17"/>
        <v/>
      </c>
      <c r="R50" s="42" t="str">
        <f t="shared" si="17"/>
        <v/>
      </c>
      <c r="S50" s="42" t="str">
        <f t="shared" si="17"/>
        <v/>
      </c>
      <c r="T50" s="42" t="str">
        <f t="shared" si="17"/>
        <v/>
      </c>
      <c r="U50" s="42" t="str">
        <f t="shared" si="17"/>
        <v/>
      </c>
      <c r="V50" s="42" t="str">
        <f t="shared" si="17"/>
        <v/>
      </c>
      <c r="W50" s="42" t="str">
        <f t="shared" si="17"/>
        <v/>
      </c>
      <c r="X50" s="42" t="str">
        <f t="shared" si="17"/>
        <v/>
      </c>
      <c r="Y50" s="42"/>
      <c r="Z50" s="42">
        <f t="shared" si="15"/>
        <v>0</v>
      </c>
      <c r="AB50" s="44" t="str">
        <f t="shared" si="18"/>
        <v/>
      </c>
    </row>
    <row r="51" spans="1:28" x14ac:dyDescent="0.3">
      <c r="A51" s="78" t="s">
        <v>57</v>
      </c>
      <c r="B51" s="8" t="s">
        <v>58</v>
      </c>
      <c r="C51" s="8"/>
      <c r="D51" s="47"/>
      <c r="E51" s="48"/>
      <c r="F51" s="48"/>
      <c r="G51" s="49"/>
      <c r="H51" s="48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B51" s="44"/>
    </row>
    <row r="52" spans="1:28" x14ac:dyDescent="0.3">
      <c r="A52" s="79"/>
      <c r="B52" s="37"/>
      <c r="C52" s="37"/>
      <c r="D52" s="38"/>
      <c r="E52" s="39"/>
      <c r="F52" s="39">
        <v>46722</v>
      </c>
      <c r="G52" s="40">
        <v>0.03</v>
      </c>
      <c r="H52" s="41">
        <f t="shared" ref="H52:H57" si="19">$D$8</f>
        <v>46661</v>
      </c>
      <c r="I52" s="42" t="str">
        <f t="shared" ref="I52:X57" si="20">IF(OR($D52="",$E52="",NOT(ISNUMBER($D52))),"",IF(AND($E52&lt;=I$10,IF($F52="",$X$10,$F52)&gt;=I$10),$D52/12*(1+N($G52))^IF(AND(ISNUMBER($H52),I$10&gt;=$H52),1+INT(DATEDIF($H52,I$10,"m")/12),0),0))</f>
        <v/>
      </c>
      <c r="J52" s="42" t="str">
        <f t="shared" si="20"/>
        <v/>
      </c>
      <c r="K52" s="42" t="str">
        <f t="shared" si="20"/>
        <v/>
      </c>
      <c r="L52" s="42" t="str">
        <f t="shared" si="20"/>
        <v/>
      </c>
      <c r="M52" s="42" t="str">
        <f t="shared" si="20"/>
        <v/>
      </c>
      <c r="N52" s="42" t="str">
        <f t="shared" si="20"/>
        <v/>
      </c>
      <c r="O52" s="42" t="str">
        <f t="shared" si="20"/>
        <v/>
      </c>
      <c r="P52" s="42" t="str">
        <f t="shared" si="20"/>
        <v/>
      </c>
      <c r="Q52" s="42" t="str">
        <f t="shared" si="20"/>
        <v/>
      </c>
      <c r="R52" s="42" t="str">
        <f t="shared" si="20"/>
        <v/>
      </c>
      <c r="S52" s="42" t="str">
        <f t="shared" si="20"/>
        <v/>
      </c>
      <c r="T52" s="42" t="str">
        <f t="shared" si="20"/>
        <v/>
      </c>
      <c r="U52" s="42" t="str">
        <f t="shared" si="20"/>
        <v/>
      </c>
      <c r="V52" s="42" t="str">
        <f t="shared" si="20"/>
        <v/>
      </c>
      <c r="W52" s="42" t="str">
        <f t="shared" si="20"/>
        <v/>
      </c>
      <c r="X52" s="42" t="str">
        <f t="shared" si="20"/>
        <v/>
      </c>
      <c r="Y52" s="42"/>
      <c r="Z52" s="42">
        <f t="shared" ref="Z52:Z57" si="21">SUM(M52:X52)</f>
        <v>0</v>
      </c>
      <c r="AB52" s="44" t="str">
        <f t="shared" ref="AB52:AB57" si="22">IF($D52&amp;$E52="","",IF(AND($D52&lt;&gt;"",NOT(ISNUMBER($D52))),"Salary must be a number",IF(AND($D52&lt;&gt;"",$E52=""),"Start month missing",IF(AND(ISNUMBER($E52),ISNUMBER($F52),$F52&lt;$E52),"End is before Start",IF(AND($D52&lt;&gt;"",NOT(ISNUMBER($H52))),"Increase month missing","")))))</f>
        <v/>
      </c>
    </row>
    <row r="53" spans="1:28" x14ac:dyDescent="0.3">
      <c r="A53" s="79"/>
      <c r="B53" s="37"/>
      <c r="C53" s="37"/>
      <c r="D53" s="38"/>
      <c r="E53" s="39"/>
      <c r="F53" s="39">
        <v>46722</v>
      </c>
      <c r="G53" s="40">
        <v>0.03</v>
      </c>
      <c r="H53" s="41">
        <f t="shared" si="19"/>
        <v>46661</v>
      </c>
      <c r="I53" s="42" t="str">
        <f t="shared" si="20"/>
        <v/>
      </c>
      <c r="J53" s="42" t="str">
        <f t="shared" si="20"/>
        <v/>
      </c>
      <c r="K53" s="42" t="str">
        <f t="shared" si="20"/>
        <v/>
      </c>
      <c r="L53" s="42" t="str">
        <f t="shared" si="20"/>
        <v/>
      </c>
      <c r="M53" s="42" t="str">
        <f t="shared" si="20"/>
        <v/>
      </c>
      <c r="N53" s="42" t="str">
        <f t="shared" si="20"/>
        <v/>
      </c>
      <c r="O53" s="42" t="str">
        <f t="shared" si="20"/>
        <v/>
      </c>
      <c r="P53" s="42" t="str">
        <f t="shared" si="20"/>
        <v/>
      </c>
      <c r="Q53" s="42" t="str">
        <f t="shared" si="20"/>
        <v/>
      </c>
      <c r="R53" s="42" t="str">
        <f t="shared" si="20"/>
        <v/>
      </c>
      <c r="S53" s="42" t="str">
        <f t="shared" si="20"/>
        <v/>
      </c>
      <c r="T53" s="42" t="str">
        <f t="shared" si="20"/>
        <v/>
      </c>
      <c r="U53" s="42" t="str">
        <f t="shared" si="20"/>
        <v/>
      </c>
      <c r="V53" s="42" t="str">
        <f t="shared" si="20"/>
        <v/>
      </c>
      <c r="W53" s="42" t="str">
        <f t="shared" si="20"/>
        <v/>
      </c>
      <c r="X53" s="42" t="str">
        <f t="shared" si="20"/>
        <v/>
      </c>
      <c r="Y53" s="42"/>
      <c r="Z53" s="42">
        <f t="shared" si="21"/>
        <v>0</v>
      </c>
      <c r="AB53" s="44" t="str">
        <f t="shared" si="22"/>
        <v/>
      </c>
    </row>
    <row r="54" spans="1:28" x14ac:dyDescent="0.3">
      <c r="A54" s="79"/>
      <c r="B54" s="37"/>
      <c r="C54" s="37"/>
      <c r="D54" s="38"/>
      <c r="E54" s="39"/>
      <c r="F54" s="39">
        <v>46722</v>
      </c>
      <c r="G54" s="40">
        <v>0.03</v>
      </c>
      <c r="H54" s="41">
        <f t="shared" si="19"/>
        <v>46661</v>
      </c>
      <c r="I54" s="42" t="str">
        <f t="shared" si="20"/>
        <v/>
      </c>
      <c r="J54" s="42" t="str">
        <f t="shared" si="20"/>
        <v/>
      </c>
      <c r="K54" s="42" t="str">
        <f t="shared" si="20"/>
        <v/>
      </c>
      <c r="L54" s="42" t="str">
        <f t="shared" si="20"/>
        <v/>
      </c>
      <c r="M54" s="42" t="str">
        <f t="shared" si="20"/>
        <v/>
      </c>
      <c r="N54" s="42" t="str">
        <f t="shared" si="20"/>
        <v/>
      </c>
      <c r="O54" s="42" t="str">
        <f t="shared" si="20"/>
        <v/>
      </c>
      <c r="P54" s="42" t="str">
        <f t="shared" si="20"/>
        <v/>
      </c>
      <c r="Q54" s="42" t="str">
        <f t="shared" si="20"/>
        <v/>
      </c>
      <c r="R54" s="42" t="str">
        <f t="shared" si="20"/>
        <v/>
      </c>
      <c r="S54" s="42" t="str">
        <f t="shared" si="20"/>
        <v/>
      </c>
      <c r="T54" s="42" t="str">
        <f t="shared" si="20"/>
        <v/>
      </c>
      <c r="U54" s="42" t="str">
        <f t="shared" si="20"/>
        <v/>
      </c>
      <c r="V54" s="42" t="str">
        <f t="shared" si="20"/>
        <v/>
      </c>
      <c r="W54" s="42" t="str">
        <f t="shared" si="20"/>
        <v/>
      </c>
      <c r="X54" s="42" t="str">
        <f t="shared" si="20"/>
        <v/>
      </c>
      <c r="Y54" s="42"/>
      <c r="Z54" s="42">
        <f t="shared" si="21"/>
        <v>0</v>
      </c>
      <c r="AB54" s="44" t="str">
        <f t="shared" si="22"/>
        <v/>
      </c>
    </row>
    <row r="55" spans="1:28" x14ac:dyDescent="0.3">
      <c r="A55" s="79"/>
      <c r="B55" s="37"/>
      <c r="C55" s="37"/>
      <c r="D55" s="38"/>
      <c r="E55" s="39"/>
      <c r="F55" s="39">
        <v>46722</v>
      </c>
      <c r="G55" s="40">
        <v>0.03</v>
      </c>
      <c r="H55" s="41">
        <f t="shared" si="19"/>
        <v>46661</v>
      </c>
      <c r="I55" s="42" t="str">
        <f t="shared" si="20"/>
        <v/>
      </c>
      <c r="J55" s="42" t="str">
        <f t="shared" si="20"/>
        <v/>
      </c>
      <c r="K55" s="42" t="str">
        <f t="shared" si="20"/>
        <v/>
      </c>
      <c r="L55" s="42" t="str">
        <f t="shared" si="20"/>
        <v/>
      </c>
      <c r="M55" s="42" t="str">
        <f t="shared" si="20"/>
        <v/>
      </c>
      <c r="N55" s="42" t="str">
        <f t="shared" si="20"/>
        <v/>
      </c>
      <c r="O55" s="42" t="str">
        <f t="shared" si="20"/>
        <v/>
      </c>
      <c r="P55" s="42" t="str">
        <f t="shared" si="20"/>
        <v/>
      </c>
      <c r="Q55" s="42" t="str">
        <f t="shared" si="20"/>
        <v/>
      </c>
      <c r="R55" s="42" t="str">
        <f t="shared" si="20"/>
        <v/>
      </c>
      <c r="S55" s="42" t="str">
        <f t="shared" si="20"/>
        <v/>
      </c>
      <c r="T55" s="42" t="str">
        <f t="shared" si="20"/>
        <v/>
      </c>
      <c r="U55" s="42" t="str">
        <f t="shared" si="20"/>
        <v/>
      </c>
      <c r="V55" s="42" t="str">
        <f t="shared" si="20"/>
        <v/>
      </c>
      <c r="W55" s="42" t="str">
        <f t="shared" si="20"/>
        <v/>
      </c>
      <c r="X55" s="42" t="str">
        <f t="shared" si="20"/>
        <v/>
      </c>
      <c r="Y55" s="42"/>
      <c r="Z55" s="42">
        <f t="shared" si="21"/>
        <v>0</v>
      </c>
      <c r="AB55" s="44" t="str">
        <f t="shared" si="22"/>
        <v/>
      </c>
    </row>
    <row r="56" spans="1:28" x14ac:dyDescent="0.3">
      <c r="A56" s="79"/>
      <c r="B56" s="37"/>
      <c r="C56" s="37"/>
      <c r="D56" s="38"/>
      <c r="E56" s="39"/>
      <c r="F56" s="39">
        <v>46722</v>
      </c>
      <c r="G56" s="40">
        <v>0.03</v>
      </c>
      <c r="H56" s="41">
        <f t="shared" si="19"/>
        <v>46661</v>
      </c>
      <c r="I56" s="42" t="str">
        <f t="shared" si="20"/>
        <v/>
      </c>
      <c r="J56" s="42" t="str">
        <f t="shared" si="20"/>
        <v/>
      </c>
      <c r="K56" s="42" t="str">
        <f t="shared" si="20"/>
        <v/>
      </c>
      <c r="L56" s="42" t="str">
        <f t="shared" si="20"/>
        <v/>
      </c>
      <c r="M56" s="42" t="str">
        <f t="shared" si="20"/>
        <v/>
      </c>
      <c r="N56" s="42" t="str">
        <f t="shared" si="20"/>
        <v/>
      </c>
      <c r="O56" s="42" t="str">
        <f t="shared" si="20"/>
        <v/>
      </c>
      <c r="P56" s="42" t="str">
        <f t="shared" si="20"/>
        <v/>
      </c>
      <c r="Q56" s="42" t="str">
        <f t="shared" si="20"/>
        <v/>
      </c>
      <c r="R56" s="42" t="str">
        <f t="shared" si="20"/>
        <v/>
      </c>
      <c r="S56" s="42" t="str">
        <f t="shared" si="20"/>
        <v/>
      </c>
      <c r="T56" s="42" t="str">
        <f t="shared" si="20"/>
        <v/>
      </c>
      <c r="U56" s="42" t="str">
        <f t="shared" si="20"/>
        <v/>
      </c>
      <c r="V56" s="42" t="str">
        <f t="shared" si="20"/>
        <v/>
      </c>
      <c r="W56" s="42" t="str">
        <f t="shared" si="20"/>
        <v/>
      </c>
      <c r="X56" s="42" t="str">
        <f t="shared" si="20"/>
        <v/>
      </c>
      <c r="Y56" s="42"/>
      <c r="Z56" s="42">
        <f t="shared" si="21"/>
        <v>0</v>
      </c>
      <c r="AB56" s="44" t="str">
        <f t="shared" si="22"/>
        <v/>
      </c>
    </row>
    <row r="57" spans="1:28" x14ac:dyDescent="0.3">
      <c r="A57" s="79"/>
      <c r="B57" s="37"/>
      <c r="C57" s="37"/>
      <c r="D57" s="38"/>
      <c r="E57" s="39"/>
      <c r="F57" s="39">
        <v>46722</v>
      </c>
      <c r="G57" s="40">
        <v>0.03</v>
      </c>
      <c r="H57" s="41">
        <f t="shared" si="19"/>
        <v>46661</v>
      </c>
      <c r="I57" s="42" t="str">
        <f t="shared" si="20"/>
        <v/>
      </c>
      <c r="J57" s="42" t="str">
        <f t="shared" si="20"/>
        <v/>
      </c>
      <c r="K57" s="42" t="str">
        <f t="shared" si="20"/>
        <v/>
      </c>
      <c r="L57" s="42" t="str">
        <f t="shared" si="20"/>
        <v/>
      </c>
      <c r="M57" s="42" t="str">
        <f t="shared" si="20"/>
        <v/>
      </c>
      <c r="N57" s="42" t="str">
        <f t="shared" si="20"/>
        <v/>
      </c>
      <c r="O57" s="42" t="str">
        <f t="shared" si="20"/>
        <v/>
      </c>
      <c r="P57" s="42" t="str">
        <f t="shared" si="20"/>
        <v/>
      </c>
      <c r="Q57" s="42" t="str">
        <f t="shared" si="20"/>
        <v/>
      </c>
      <c r="R57" s="42" t="str">
        <f t="shared" si="20"/>
        <v/>
      </c>
      <c r="S57" s="42" t="str">
        <f t="shared" si="20"/>
        <v/>
      </c>
      <c r="T57" s="42" t="str">
        <f t="shared" si="20"/>
        <v/>
      </c>
      <c r="U57" s="42" t="str">
        <f t="shared" si="20"/>
        <v/>
      </c>
      <c r="V57" s="42" t="str">
        <f t="shared" si="20"/>
        <v/>
      </c>
      <c r="W57" s="42" t="str">
        <f t="shared" si="20"/>
        <v/>
      </c>
      <c r="X57" s="42" t="str">
        <f t="shared" si="20"/>
        <v/>
      </c>
      <c r="Y57" s="42"/>
      <c r="Z57" s="42">
        <f t="shared" si="21"/>
        <v>0</v>
      </c>
      <c r="AB57" s="44" t="str">
        <f t="shared" si="22"/>
        <v/>
      </c>
    </row>
    <row r="58" spans="1:28" x14ac:dyDescent="0.3">
      <c r="A58" s="78" t="s">
        <v>59</v>
      </c>
      <c r="B58" s="8" t="s">
        <v>60</v>
      </c>
      <c r="C58" s="8"/>
      <c r="D58" s="47"/>
      <c r="E58" s="48"/>
      <c r="F58" s="48"/>
      <c r="G58" s="49"/>
      <c r="H58" s="48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B58" s="44"/>
    </row>
    <row r="59" spans="1:28" x14ac:dyDescent="0.3">
      <c r="A59" s="80"/>
      <c r="B59" s="51"/>
      <c r="C59" s="51"/>
      <c r="D59" s="52"/>
      <c r="E59" s="53"/>
      <c r="F59" s="54"/>
      <c r="G59" s="55"/>
      <c r="H59" s="54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B59" s="44" t="str">
        <f t="shared" ref="AB59:AB64" si="23">IF($B59&amp;$E59="","",IF($A59="","Receiving dept missing",IF(NOT(ISNUMBER($E59)),"Effective month missing","")))</f>
        <v/>
      </c>
    </row>
    <row r="60" spans="1:28" x14ac:dyDescent="0.3">
      <c r="A60" s="80"/>
      <c r="B60" s="51"/>
      <c r="C60" s="51"/>
      <c r="D60" s="52"/>
      <c r="E60" s="53"/>
      <c r="F60" s="54"/>
      <c r="G60" s="55"/>
      <c r="H60" s="54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B60" s="44" t="str">
        <f t="shared" si="23"/>
        <v/>
      </c>
    </row>
    <row r="61" spans="1:28" x14ac:dyDescent="0.3">
      <c r="A61" s="80"/>
      <c r="B61" s="51"/>
      <c r="C61" s="51"/>
      <c r="D61" s="52"/>
      <c r="E61" s="53"/>
      <c r="F61" s="54"/>
      <c r="G61" s="55"/>
      <c r="H61" s="54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B61" s="44" t="str">
        <f t="shared" si="23"/>
        <v/>
      </c>
    </row>
    <row r="62" spans="1:28" x14ac:dyDescent="0.3">
      <c r="A62" s="80"/>
      <c r="B62" s="51"/>
      <c r="C62" s="51"/>
      <c r="D62" s="52"/>
      <c r="E62" s="53"/>
      <c r="F62" s="54"/>
      <c r="G62" s="55"/>
      <c r="H62" s="54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B62" s="44" t="str">
        <f t="shared" si="23"/>
        <v/>
      </c>
    </row>
    <row r="63" spans="1:28" x14ac:dyDescent="0.3">
      <c r="A63" s="80"/>
      <c r="B63" s="51"/>
      <c r="C63" s="51"/>
      <c r="D63" s="52"/>
      <c r="E63" s="53"/>
      <c r="F63" s="54"/>
      <c r="G63" s="55"/>
      <c r="H63" s="54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B63" s="44" t="str">
        <f t="shared" si="23"/>
        <v/>
      </c>
    </row>
    <row r="64" spans="1:28" x14ac:dyDescent="0.3">
      <c r="A64" s="80"/>
      <c r="B64" s="51"/>
      <c r="C64" s="51"/>
      <c r="D64" s="52"/>
      <c r="E64" s="53"/>
      <c r="F64" s="54"/>
      <c r="G64" s="55"/>
      <c r="H64" s="54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B64" s="44" t="str">
        <f t="shared" si="23"/>
        <v/>
      </c>
    </row>
    <row r="65" spans="1:26" x14ac:dyDescent="0.3">
      <c r="A65" s="81"/>
      <c r="B65" s="56"/>
      <c r="C65" s="56"/>
      <c r="D65" s="57"/>
      <c r="E65" s="58"/>
      <c r="F65" s="58"/>
      <c r="G65" s="59"/>
      <c r="H65" s="58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x14ac:dyDescent="0.3">
      <c r="A66" s="81"/>
      <c r="B66" s="56"/>
      <c r="C66" s="56"/>
      <c r="D66" s="57"/>
      <c r="E66" s="58"/>
      <c r="F66" s="58"/>
      <c r="G66" s="59"/>
      <c r="H66" s="58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x14ac:dyDescent="0.3">
      <c r="B67" s="10" t="s">
        <v>7</v>
      </c>
      <c r="C67" s="10"/>
      <c r="D67" s="61"/>
      <c r="E67" s="62"/>
      <c r="F67" s="62"/>
      <c r="G67" s="62"/>
      <c r="H67" s="62"/>
      <c r="I67" s="63">
        <f t="shared" ref="I67:X67" si="24">SUM(I14:I57)</f>
        <v>43450</v>
      </c>
      <c r="J67" s="63">
        <f t="shared" si="24"/>
        <v>43450</v>
      </c>
      <c r="K67" s="63">
        <f t="shared" si="24"/>
        <v>43450</v>
      </c>
      <c r="L67" s="63">
        <f t="shared" si="24"/>
        <v>43450</v>
      </c>
      <c r="M67" s="63">
        <f t="shared" si="24"/>
        <v>43450</v>
      </c>
      <c r="N67" s="63">
        <f t="shared" si="24"/>
        <v>43450</v>
      </c>
      <c r="O67" s="63">
        <f t="shared" si="24"/>
        <v>43450</v>
      </c>
      <c r="P67" s="63">
        <f t="shared" si="24"/>
        <v>43450</v>
      </c>
      <c r="Q67" s="63">
        <f t="shared" si="24"/>
        <v>43450</v>
      </c>
      <c r="R67" s="63">
        <f t="shared" si="24"/>
        <v>43450</v>
      </c>
      <c r="S67" s="63">
        <f t="shared" si="24"/>
        <v>43450</v>
      </c>
      <c r="T67" s="63">
        <f t="shared" si="24"/>
        <v>43450</v>
      </c>
      <c r="U67" s="63">
        <f t="shared" si="24"/>
        <v>43450</v>
      </c>
      <c r="V67" s="63">
        <f t="shared" si="24"/>
        <v>44753.500000000007</v>
      </c>
      <c r="W67" s="63">
        <f t="shared" si="24"/>
        <v>44753.500000000007</v>
      </c>
      <c r="X67" s="63">
        <f t="shared" si="24"/>
        <v>44753.500000000007</v>
      </c>
      <c r="Y67" s="64"/>
      <c r="Z67" s="63">
        <f>SUM(M67:X67)</f>
        <v>525310.5</v>
      </c>
    </row>
    <row r="68" spans="1:26" x14ac:dyDescent="0.3">
      <c r="B68" s="10" t="s">
        <v>21</v>
      </c>
      <c r="C68" s="10"/>
      <c r="D68" s="61"/>
      <c r="E68" s="62"/>
      <c r="F68" s="62"/>
      <c r="G68" s="62"/>
      <c r="H68" s="62"/>
      <c r="I68" s="63">
        <f t="shared" ref="I68:X68" si="25">I67*$D$6</f>
        <v>1580.2285696279405</v>
      </c>
      <c r="J68" s="63">
        <f t="shared" si="25"/>
        <v>1580.2285696279405</v>
      </c>
      <c r="K68" s="63">
        <f t="shared" si="25"/>
        <v>1580.2285696279405</v>
      </c>
      <c r="L68" s="63">
        <f t="shared" si="25"/>
        <v>1580.2285696279405</v>
      </c>
      <c r="M68" s="63">
        <f t="shared" si="25"/>
        <v>1580.2285696279405</v>
      </c>
      <c r="N68" s="63">
        <f t="shared" si="25"/>
        <v>1580.2285696279405</v>
      </c>
      <c r="O68" s="63">
        <f t="shared" si="25"/>
        <v>1580.2285696279405</v>
      </c>
      <c r="P68" s="63">
        <f t="shared" si="25"/>
        <v>1580.2285696279405</v>
      </c>
      <c r="Q68" s="63">
        <f t="shared" si="25"/>
        <v>1580.2285696279405</v>
      </c>
      <c r="R68" s="63">
        <f t="shared" si="25"/>
        <v>1580.2285696279405</v>
      </c>
      <c r="S68" s="63">
        <f t="shared" si="25"/>
        <v>1580.2285696279405</v>
      </c>
      <c r="T68" s="63">
        <f t="shared" si="25"/>
        <v>1580.2285696279405</v>
      </c>
      <c r="U68" s="63">
        <f t="shared" si="25"/>
        <v>1580.2285696279405</v>
      </c>
      <c r="V68" s="63">
        <f t="shared" si="25"/>
        <v>1627.635426716779</v>
      </c>
      <c r="W68" s="63">
        <f t="shared" si="25"/>
        <v>1627.635426716779</v>
      </c>
      <c r="X68" s="63">
        <f t="shared" si="25"/>
        <v>1627.635426716779</v>
      </c>
      <c r="Y68" s="64"/>
      <c r="Z68" s="63">
        <f>SUM(M68:X68)</f>
        <v>19104.963406801799</v>
      </c>
    </row>
    <row r="69" spans="1:26" x14ac:dyDescent="0.3">
      <c r="B69" s="10" t="s">
        <v>23</v>
      </c>
      <c r="C69" s="10"/>
      <c r="D69" s="61"/>
      <c r="E69" s="62"/>
      <c r="F69" s="62"/>
      <c r="G69" s="62"/>
      <c r="H69" s="62"/>
      <c r="I69" s="63">
        <f t="shared" ref="I69:X69" si="26">I67*$D$7</f>
        <v>8966.4587509947323</v>
      </c>
      <c r="J69" s="63">
        <f t="shared" si="26"/>
        <v>8966.4587509947323</v>
      </c>
      <c r="K69" s="63">
        <f t="shared" si="26"/>
        <v>8966.4587509947323</v>
      </c>
      <c r="L69" s="63">
        <f t="shared" si="26"/>
        <v>8966.4587509947323</v>
      </c>
      <c r="M69" s="63">
        <f t="shared" si="26"/>
        <v>8966.4587509947323</v>
      </c>
      <c r="N69" s="63">
        <f t="shared" si="26"/>
        <v>8966.4587509947323</v>
      </c>
      <c r="O69" s="63">
        <f t="shared" si="26"/>
        <v>8966.4587509947323</v>
      </c>
      <c r="P69" s="63">
        <f t="shared" si="26"/>
        <v>8966.4587509947323</v>
      </c>
      <c r="Q69" s="63">
        <f t="shared" si="26"/>
        <v>8966.4587509947323</v>
      </c>
      <c r="R69" s="63">
        <f t="shared" si="26"/>
        <v>8966.4587509947323</v>
      </c>
      <c r="S69" s="63">
        <f t="shared" si="26"/>
        <v>8966.4587509947323</v>
      </c>
      <c r="T69" s="63">
        <f t="shared" si="26"/>
        <v>8966.4587509947323</v>
      </c>
      <c r="U69" s="63">
        <f t="shared" si="26"/>
        <v>8966.4587509947323</v>
      </c>
      <c r="V69" s="63">
        <f t="shared" si="26"/>
        <v>9235.4525135245767</v>
      </c>
      <c r="W69" s="63">
        <f t="shared" si="26"/>
        <v>9235.4525135245767</v>
      </c>
      <c r="X69" s="63">
        <f t="shared" si="26"/>
        <v>9235.4525135245767</v>
      </c>
      <c r="Y69" s="64"/>
      <c r="Z69" s="63">
        <f>SUM(M69:X69)</f>
        <v>108404.48629952632</v>
      </c>
    </row>
    <row r="70" spans="1:26" x14ac:dyDescent="0.3">
      <c r="B70" s="65" t="s">
        <v>25</v>
      </c>
      <c r="C70" s="65"/>
      <c r="D70" s="66"/>
      <c r="E70" s="67"/>
      <c r="F70" s="67"/>
      <c r="G70" s="67"/>
      <c r="H70" s="67"/>
      <c r="I70" s="68">
        <f t="shared" ref="I70:X70" si="27">SUM(I67:I69)</f>
        <v>53996.687320622674</v>
      </c>
      <c r="J70" s="68">
        <f t="shared" si="27"/>
        <v>53996.687320622674</v>
      </c>
      <c r="K70" s="68">
        <f t="shared" si="27"/>
        <v>53996.687320622674</v>
      </c>
      <c r="L70" s="68">
        <f t="shared" si="27"/>
        <v>53996.687320622674</v>
      </c>
      <c r="M70" s="68">
        <f t="shared" si="27"/>
        <v>53996.687320622674</v>
      </c>
      <c r="N70" s="68">
        <f t="shared" si="27"/>
        <v>53996.687320622674</v>
      </c>
      <c r="O70" s="68">
        <f t="shared" si="27"/>
        <v>53996.687320622674</v>
      </c>
      <c r="P70" s="68">
        <f t="shared" si="27"/>
        <v>53996.687320622674</v>
      </c>
      <c r="Q70" s="68">
        <f t="shared" si="27"/>
        <v>53996.687320622674</v>
      </c>
      <c r="R70" s="68">
        <f t="shared" si="27"/>
        <v>53996.687320622674</v>
      </c>
      <c r="S70" s="68">
        <f t="shared" si="27"/>
        <v>53996.687320622674</v>
      </c>
      <c r="T70" s="68">
        <f t="shared" si="27"/>
        <v>53996.687320622674</v>
      </c>
      <c r="U70" s="68">
        <f t="shared" si="27"/>
        <v>53996.687320622674</v>
      </c>
      <c r="V70" s="68">
        <f t="shared" si="27"/>
        <v>55616.587940241363</v>
      </c>
      <c r="W70" s="68">
        <f t="shared" si="27"/>
        <v>55616.587940241363</v>
      </c>
      <c r="X70" s="68">
        <f t="shared" si="27"/>
        <v>55616.587940241363</v>
      </c>
      <c r="Y70" s="64"/>
      <c r="Z70" s="68">
        <f>SUM(M70:X70)</f>
        <v>652819.9497063281</v>
      </c>
    </row>
    <row r="71" spans="1:26" x14ac:dyDescent="0.3">
      <c r="B71" s="16"/>
      <c r="C71" s="16"/>
      <c r="D71" s="69"/>
      <c r="E71" s="70"/>
      <c r="F71" s="70"/>
      <c r="G71" s="70"/>
      <c r="H71" s="70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</sheetData>
  <dataValidations count="3">
    <dataValidation type="list" allowBlank="1" showInputMessage="1" showErrorMessage="1" promptTitle="Effective month" prompt="Pick the month the employee leaves this department." sqref="E59:E64" xr:uid="{428E90B9-EB69-46E9-83C1-A05417B8EBF7}">
      <formula1>$I$10:$X$10</formula1>
    </dataValidation>
    <dataValidation type="list" allowBlank="1" showInputMessage="1" showErrorMessage="1" errorTitle="Outside the planning window" error="Choose a month between Sep-26 and Dec-27 from the dropdown." promptTitle="Month" prompt="Pick the month from the list (Sep-26 through Dec-27)." sqref="E52:F57 E41:F50 E35:F39 E14:F33" xr:uid="{FF8B5AB0-596B-4156-AD0A-80704AB883C0}">
      <formula1>$I$10:$X$10</formula1>
    </dataValidation>
    <dataValidation type="whole" allowBlank="1" showInputMessage="1" showErrorMessage="1" sqref="E51:F51 E65:E66 G41:H66 G35:H39 F58:F66 E58 G14:H33" xr:uid="{3453DE3C-3939-4371-85FA-4E0A0EFA35A3}">
      <formula1>1</formula1>
      <formula2>24</formula2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029E2-D67D-4826-9303-22B11085B5AB}">
  <sheetPr>
    <tabColor theme="5" tint="0.59999389629810485"/>
  </sheetPr>
  <dimension ref="A1:AB71"/>
  <sheetViews>
    <sheetView zoomScale="80" zoomScaleNormal="80" workbookViewId="0">
      <pane xSplit="8" ySplit="11" topLeftCell="I12" activePane="bottomRight" state="frozen"/>
      <selection activeCell="C20" sqref="C20"/>
      <selection pane="topRight" activeCell="C20" sqref="C20"/>
      <selection pane="bottomLeft" activeCell="C20" sqref="C20"/>
      <selection pane="bottomRight" activeCell="C1" sqref="C1"/>
    </sheetView>
  </sheetViews>
  <sheetFormatPr defaultRowHeight="14.4" x14ac:dyDescent="0.3"/>
  <cols>
    <col min="1" max="1" width="17.21875" style="76" customWidth="1"/>
    <col min="2" max="2" width="25.33203125" customWidth="1"/>
    <col min="3" max="3" width="45.109375" bestFit="1" customWidth="1"/>
    <col min="4" max="4" width="11.21875" customWidth="1"/>
    <col min="5" max="6" width="13.5546875" style="18" bestFit="1" customWidth="1"/>
    <col min="7" max="7" width="11.77734375" style="18" customWidth="1"/>
    <col min="8" max="8" width="14.44140625" style="18" bestFit="1" customWidth="1"/>
    <col min="9" max="24" width="9.21875" customWidth="1"/>
    <col min="25" max="25" width="2.44140625" customWidth="1"/>
    <col min="26" max="26" width="11.77734375" customWidth="1"/>
    <col min="28" max="28" width="27.21875" customWidth="1"/>
  </cols>
  <sheetData>
    <row r="1" spans="1:28" ht="18" x14ac:dyDescent="0.35">
      <c r="A1" s="73" t="s">
        <v>0</v>
      </c>
    </row>
    <row r="2" spans="1:28" ht="15.6" x14ac:dyDescent="0.3">
      <c r="A2" s="169" t="s">
        <v>67</v>
      </c>
    </row>
    <row r="3" spans="1:28" x14ac:dyDescent="0.3">
      <c r="A3" s="74" t="s">
        <v>37</v>
      </c>
    </row>
    <row r="4" spans="1:28" x14ac:dyDescent="0.3">
      <c r="A4" s="75" t="s">
        <v>68</v>
      </c>
    </row>
    <row r="5" spans="1:28" x14ac:dyDescent="0.3">
      <c r="B5" s="19" t="s">
        <v>39</v>
      </c>
    </row>
    <row r="6" spans="1:28" x14ac:dyDescent="0.3">
      <c r="B6" s="16" t="s">
        <v>40</v>
      </c>
      <c r="D6" s="178">
        <f>INDEX('[1]T&amp;B'!$S$13:$S$122,MATCH("CO",'[1]T&amp;B'!$R$13:$R$122,0))</f>
        <v>5.221456081868095E-2</v>
      </c>
      <c r="E6" s="20"/>
    </row>
    <row r="7" spans="1:28" x14ac:dyDescent="0.3">
      <c r="B7" s="16" t="s">
        <v>41</v>
      </c>
      <c r="D7" s="179">
        <f>INDEX('[1]T&amp;B'!$T$13:$T$122,MATCH("CO",'[1]T&amp;B'!$R$13:$R$122,0))</f>
        <v>0.11905805336231291</v>
      </c>
      <c r="E7" s="20"/>
    </row>
    <row r="8" spans="1:28" x14ac:dyDescent="0.3">
      <c r="B8" s="16" t="s">
        <v>234</v>
      </c>
      <c r="D8" s="21">
        <v>46661</v>
      </c>
      <c r="V8" s="22" t="s">
        <v>42</v>
      </c>
    </row>
    <row r="9" spans="1:28" x14ac:dyDescent="0.3">
      <c r="V9" s="22" t="s">
        <v>43</v>
      </c>
    </row>
    <row r="10" spans="1:28" s="23" customFormat="1" ht="29.55" customHeight="1" x14ac:dyDescent="0.3">
      <c r="A10" s="77"/>
      <c r="B10" s="24" t="s">
        <v>44</v>
      </c>
      <c r="C10" s="24" t="s">
        <v>45</v>
      </c>
      <c r="D10" s="25" t="s">
        <v>46</v>
      </c>
      <c r="E10" s="25" t="s">
        <v>47</v>
      </c>
      <c r="F10" s="25" t="s">
        <v>48</v>
      </c>
      <c r="G10" s="26" t="s">
        <v>49</v>
      </c>
      <c r="H10" s="26" t="s">
        <v>50</v>
      </c>
      <c r="I10" s="27">
        <f>DATE(2026,9,1)</f>
        <v>46266</v>
      </c>
      <c r="J10" s="27">
        <f>DATE(2026,10,1)</f>
        <v>46296</v>
      </c>
      <c r="K10" s="27">
        <f>DATE(2026,11,1)</f>
        <v>46327</v>
      </c>
      <c r="L10" s="27">
        <f>DATE(2026,12,1)</f>
        <v>46357</v>
      </c>
      <c r="M10" s="28">
        <f>DATE(2027,1,1)</f>
        <v>46388</v>
      </c>
      <c r="N10" s="28">
        <f>DATE(2027,2,1)</f>
        <v>46419</v>
      </c>
      <c r="O10" s="28">
        <f>DATE(2027,3,1)</f>
        <v>46447</v>
      </c>
      <c r="P10" s="28">
        <f>DATE(2027,4,1)</f>
        <v>46478</v>
      </c>
      <c r="Q10" s="28">
        <f>DATE(2027,5,1)</f>
        <v>46508</v>
      </c>
      <c r="R10" s="28">
        <f>DATE(2027,6,1)</f>
        <v>46539</v>
      </c>
      <c r="S10" s="28">
        <f>DATE(2027,7,1)</f>
        <v>46569</v>
      </c>
      <c r="T10" s="28">
        <f>DATE(2027,8,1)</f>
        <v>46600</v>
      </c>
      <c r="U10" s="28">
        <f>DATE(2027,9,1)</f>
        <v>46631</v>
      </c>
      <c r="V10" s="28">
        <f>DATE(2027,10,1)</f>
        <v>46661</v>
      </c>
      <c r="W10" s="28">
        <f>DATE(2027,11,1)</f>
        <v>46692</v>
      </c>
      <c r="X10" s="28">
        <f>DATE(2027,12,1)</f>
        <v>46722</v>
      </c>
      <c r="Y10" s="29"/>
      <c r="Z10" s="30" t="s">
        <v>6</v>
      </c>
      <c r="AB10" s="31" t="s">
        <v>51</v>
      </c>
    </row>
    <row r="11" spans="1:28" x14ac:dyDescent="0.3">
      <c r="E11" s="7" t="s">
        <v>52</v>
      </c>
      <c r="F11" s="7" t="s">
        <v>52</v>
      </c>
      <c r="G11" s="32"/>
      <c r="H11" s="72" t="s">
        <v>53</v>
      </c>
      <c r="I11" s="7">
        <v>1</v>
      </c>
      <c r="J11" s="7">
        <v>2</v>
      </c>
      <c r="K11" s="7">
        <v>3</v>
      </c>
      <c r="L11" s="7">
        <v>4</v>
      </c>
      <c r="M11" s="7">
        <v>5</v>
      </c>
      <c r="N11" s="7">
        <v>6</v>
      </c>
      <c r="O11" s="7">
        <v>7</v>
      </c>
      <c r="P11" s="7">
        <v>8</v>
      </c>
      <c r="Q11" s="7">
        <v>9</v>
      </c>
      <c r="R11" s="7">
        <v>10</v>
      </c>
      <c r="S11" s="7">
        <v>11</v>
      </c>
      <c r="T11" s="7">
        <v>12</v>
      </c>
      <c r="U11" s="7">
        <v>13</v>
      </c>
      <c r="V11" s="7">
        <v>14</v>
      </c>
      <c r="W11" s="7">
        <v>15</v>
      </c>
      <c r="X11" s="7">
        <v>16</v>
      </c>
      <c r="Y11" s="7"/>
    </row>
    <row r="12" spans="1:28" x14ac:dyDescent="0.3">
      <c r="B12" s="34"/>
      <c r="C12" s="34"/>
      <c r="D12" s="34"/>
      <c r="E12" s="35"/>
      <c r="F12" s="35"/>
      <c r="G12" s="35"/>
      <c r="H12" s="35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6"/>
      <c r="Z12" s="34"/>
    </row>
    <row r="13" spans="1:28" x14ac:dyDescent="0.3">
      <c r="B13" s="8" t="s">
        <v>54</v>
      </c>
    </row>
    <row r="14" spans="1:28" x14ac:dyDescent="0.3">
      <c r="B14" s="37" t="s">
        <v>269</v>
      </c>
      <c r="C14" s="37" t="s">
        <v>274</v>
      </c>
      <c r="D14" s="38">
        <v>138600</v>
      </c>
      <c r="E14" s="39">
        <v>46266</v>
      </c>
      <c r="F14" s="39">
        <v>46722</v>
      </c>
      <c r="G14" s="40">
        <v>0.03</v>
      </c>
      <c r="H14" s="41">
        <f t="shared" ref="H14:H33" si="0">$D$8</f>
        <v>46661</v>
      </c>
      <c r="I14" s="42">
        <f t="shared" ref="I14:X33" si="1">IF(OR($D14="",$E14="",NOT(ISNUMBER($D14))),"",IF(AND($E14&lt;=I$10,IF($F14="",$X$10,$F14)&gt;=I$10),$D14/12*(1+N($G14))^IF(AND(ISNUMBER($H14),I$10&gt;=$H14),1+INT(DATEDIF($H14,I$10,"m")/12),0),0))</f>
        <v>11550</v>
      </c>
      <c r="J14" s="42">
        <f t="shared" si="1"/>
        <v>11550</v>
      </c>
      <c r="K14" s="42">
        <f t="shared" si="1"/>
        <v>11550</v>
      </c>
      <c r="L14" s="42">
        <f t="shared" si="1"/>
        <v>11550</v>
      </c>
      <c r="M14" s="43">
        <f t="shared" si="1"/>
        <v>11550</v>
      </c>
      <c r="N14" s="42">
        <f t="shared" si="1"/>
        <v>11550</v>
      </c>
      <c r="O14" s="42">
        <f t="shared" si="1"/>
        <v>11550</v>
      </c>
      <c r="P14" s="42">
        <f t="shared" si="1"/>
        <v>11550</v>
      </c>
      <c r="Q14" s="42">
        <f t="shared" si="1"/>
        <v>11550</v>
      </c>
      <c r="R14" s="42">
        <f t="shared" si="1"/>
        <v>11550</v>
      </c>
      <c r="S14" s="42">
        <f t="shared" si="1"/>
        <v>11550</v>
      </c>
      <c r="T14" s="42">
        <f t="shared" si="1"/>
        <v>11550</v>
      </c>
      <c r="U14" s="42">
        <f t="shared" si="1"/>
        <v>11550</v>
      </c>
      <c r="V14" s="42">
        <f t="shared" si="1"/>
        <v>11896.5</v>
      </c>
      <c r="W14" s="42">
        <f t="shared" si="1"/>
        <v>11896.5</v>
      </c>
      <c r="X14" s="42">
        <f t="shared" si="1"/>
        <v>11896.5</v>
      </c>
      <c r="Y14" s="42"/>
      <c r="Z14" s="42">
        <f>SUM(M14:X14)</f>
        <v>139639.5</v>
      </c>
      <c r="AB14" s="44" t="str">
        <f t="shared" ref="AB14:AB33" si="2">IF($D14&amp;$E14="","",IF(AND($D14&lt;&gt;"",NOT(ISNUMBER($D14))),"Salary must be a number",IF(AND($D14&lt;&gt;"",$E14=""),"Start month missing",IF(AND(ISNUMBER($E14),ISNUMBER($F14),$F14&lt;$E14),"End is before Start",IF(AND($D14&lt;&gt;"",NOT(ISNUMBER($H14))),"Increase month missing","")))))</f>
        <v/>
      </c>
    </row>
    <row r="15" spans="1:28" x14ac:dyDescent="0.3">
      <c r="B15" s="37" t="s">
        <v>270</v>
      </c>
      <c r="C15" s="37" t="s">
        <v>275</v>
      </c>
      <c r="D15" s="38">
        <v>118500</v>
      </c>
      <c r="E15" s="39">
        <v>46266</v>
      </c>
      <c r="F15" s="39">
        <v>46722</v>
      </c>
      <c r="G15" s="40">
        <v>0.03</v>
      </c>
      <c r="H15" s="41">
        <f t="shared" si="0"/>
        <v>46661</v>
      </c>
      <c r="I15" s="42">
        <f t="shared" si="1"/>
        <v>9875</v>
      </c>
      <c r="J15" s="42">
        <f t="shared" si="1"/>
        <v>9875</v>
      </c>
      <c r="K15" s="42">
        <f t="shared" si="1"/>
        <v>9875</v>
      </c>
      <c r="L15" s="42">
        <f t="shared" si="1"/>
        <v>9875</v>
      </c>
      <c r="M15" s="42">
        <f t="shared" si="1"/>
        <v>9875</v>
      </c>
      <c r="N15" s="42">
        <f t="shared" si="1"/>
        <v>9875</v>
      </c>
      <c r="O15" s="42">
        <f t="shared" si="1"/>
        <v>9875</v>
      </c>
      <c r="P15" s="42">
        <f t="shared" si="1"/>
        <v>9875</v>
      </c>
      <c r="Q15" s="42">
        <f t="shared" si="1"/>
        <v>9875</v>
      </c>
      <c r="R15" s="42">
        <f t="shared" si="1"/>
        <v>9875</v>
      </c>
      <c r="S15" s="42">
        <f t="shared" si="1"/>
        <v>9875</v>
      </c>
      <c r="T15" s="42">
        <f t="shared" si="1"/>
        <v>9875</v>
      </c>
      <c r="U15" s="42">
        <f t="shared" si="1"/>
        <v>9875</v>
      </c>
      <c r="V15" s="42">
        <f t="shared" si="1"/>
        <v>10171.25</v>
      </c>
      <c r="W15" s="42">
        <f t="shared" si="1"/>
        <v>10171.25</v>
      </c>
      <c r="X15" s="42">
        <f t="shared" si="1"/>
        <v>10171.25</v>
      </c>
      <c r="Y15" s="42"/>
      <c r="Z15" s="42">
        <f t="shared" ref="Z15:Z33" si="3">SUM(M15:X15)</f>
        <v>119388.75</v>
      </c>
      <c r="AB15" s="44" t="str">
        <f t="shared" si="2"/>
        <v/>
      </c>
    </row>
    <row r="16" spans="1:28" x14ac:dyDescent="0.3">
      <c r="B16" s="37" t="s">
        <v>271</v>
      </c>
      <c r="C16" s="37" t="s">
        <v>276</v>
      </c>
      <c r="D16" s="38">
        <v>57418</v>
      </c>
      <c r="E16" s="39">
        <v>46266</v>
      </c>
      <c r="F16" s="39">
        <v>46722</v>
      </c>
      <c r="G16" s="40">
        <v>0.03</v>
      </c>
      <c r="H16" s="41">
        <f t="shared" si="0"/>
        <v>46661</v>
      </c>
      <c r="I16" s="42">
        <f t="shared" si="1"/>
        <v>4784.833333333333</v>
      </c>
      <c r="J16" s="42">
        <f t="shared" si="1"/>
        <v>4784.833333333333</v>
      </c>
      <c r="K16" s="42">
        <f t="shared" si="1"/>
        <v>4784.833333333333</v>
      </c>
      <c r="L16" s="42">
        <f t="shared" si="1"/>
        <v>4784.833333333333</v>
      </c>
      <c r="M16" s="42">
        <f t="shared" si="1"/>
        <v>4784.833333333333</v>
      </c>
      <c r="N16" s="42">
        <f t="shared" si="1"/>
        <v>4784.833333333333</v>
      </c>
      <c r="O16" s="42">
        <f t="shared" si="1"/>
        <v>4784.833333333333</v>
      </c>
      <c r="P16" s="42">
        <f t="shared" si="1"/>
        <v>4784.833333333333</v>
      </c>
      <c r="Q16" s="42">
        <f t="shared" si="1"/>
        <v>4784.833333333333</v>
      </c>
      <c r="R16" s="42">
        <f t="shared" si="1"/>
        <v>4784.833333333333</v>
      </c>
      <c r="S16" s="42">
        <f t="shared" si="1"/>
        <v>4784.833333333333</v>
      </c>
      <c r="T16" s="42">
        <f t="shared" si="1"/>
        <v>4784.833333333333</v>
      </c>
      <c r="U16" s="42">
        <f t="shared" si="1"/>
        <v>4784.833333333333</v>
      </c>
      <c r="V16" s="42">
        <f t="shared" si="1"/>
        <v>4928.3783333333331</v>
      </c>
      <c r="W16" s="42">
        <f t="shared" si="1"/>
        <v>4928.3783333333331</v>
      </c>
      <c r="X16" s="42">
        <f t="shared" si="1"/>
        <v>4928.3783333333331</v>
      </c>
      <c r="Y16" s="42"/>
      <c r="Z16" s="42">
        <f t="shared" si="3"/>
        <v>57848.635000000002</v>
      </c>
      <c r="AB16" s="44" t="str">
        <f t="shared" si="2"/>
        <v/>
      </c>
    </row>
    <row r="17" spans="2:28" x14ac:dyDescent="0.3">
      <c r="B17" s="37" t="s">
        <v>272</v>
      </c>
      <c r="C17" s="37" t="s">
        <v>277</v>
      </c>
      <c r="D17" s="38">
        <v>120000</v>
      </c>
      <c r="E17" s="39">
        <v>46266</v>
      </c>
      <c r="F17" s="39">
        <v>46722</v>
      </c>
      <c r="G17" s="40">
        <v>0.03</v>
      </c>
      <c r="H17" s="41">
        <f t="shared" si="0"/>
        <v>46661</v>
      </c>
      <c r="I17" s="42">
        <f t="shared" si="1"/>
        <v>10000</v>
      </c>
      <c r="J17" s="42">
        <f t="shared" si="1"/>
        <v>10000</v>
      </c>
      <c r="K17" s="42">
        <f t="shared" si="1"/>
        <v>10000</v>
      </c>
      <c r="L17" s="42">
        <f t="shared" si="1"/>
        <v>10000</v>
      </c>
      <c r="M17" s="42">
        <f t="shared" si="1"/>
        <v>10000</v>
      </c>
      <c r="N17" s="42">
        <f t="shared" si="1"/>
        <v>10000</v>
      </c>
      <c r="O17" s="42">
        <f t="shared" si="1"/>
        <v>10000</v>
      </c>
      <c r="P17" s="42">
        <f t="shared" si="1"/>
        <v>10000</v>
      </c>
      <c r="Q17" s="42">
        <f t="shared" si="1"/>
        <v>10000</v>
      </c>
      <c r="R17" s="42">
        <f t="shared" si="1"/>
        <v>10000</v>
      </c>
      <c r="S17" s="42">
        <f t="shared" si="1"/>
        <v>10000</v>
      </c>
      <c r="T17" s="42">
        <f t="shared" si="1"/>
        <v>10000</v>
      </c>
      <c r="U17" s="42">
        <f t="shared" si="1"/>
        <v>10000</v>
      </c>
      <c r="V17" s="42">
        <f t="shared" si="1"/>
        <v>10300</v>
      </c>
      <c r="W17" s="42">
        <f t="shared" si="1"/>
        <v>10300</v>
      </c>
      <c r="X17" s="42">
        <f t="shared" si="1"/>
        <v>10300</v>
      </c>
      <c r="Y17" s="42"/>
      <c r="Z17" s="42">
        <f t="shared" si="3"/>
        <v>120900</v>
      </c>
      <c r="AB17" s="44" t="str">
        <f t="shared" si="2"/>
        <v/>
      </c>
    </row>
    <row r="18" spans="2:28" x14ac:dyDescent="0.3">
      <c r="B18" s="37"/>
      <c r="C18" s="37"/>
      <c r="D18" s="38"/>
      <c r="E18" s="39">
        <v>46266</v>
      </c>
      <c r="F18" s="39">
        <v>46722</v>
      </c>
      <c r="G18" s="40">
        <v>0.03</v>
      </c>
      <c r="H18" s="41">
        <f t="shared" si="0"/>
        <v>46661</v>
      </c>
      <c r="I18" s="42" t="str">
        <f t="shared" si="1"/>
        <v/>
      </c>
      <c r="J18" s="42" t="str">
        <f t="shared" si="1"/>
        <v/>
      </c>
      <c r="K18" s="42" t="str">
        <f t="shared" si="1"/>
        <v/>
      </c>
      <c r="L18" s="42" t="str">
        <f t="shared" si="1"/>
        <v/>
      </c>
      <c r="M18" s="42" t="str">
        <f t="shared" si="1"/>
        <v/>
      </c>
      <c r="N18" s="42" t="str">
        <f t="shared" si="1"/>
        <v/>
      </c>
      <c r="O18" s="42" t="str">
        <f t="shared" si="1"/>
        <v/>
      </c>
      <c r="P18" s="42" t="str">
        <f t="shared" si="1"/>
        <v/>
      </c>
      <c r="Q18" s="42" t="str">
        <f t="shared" si="1"/>
        <v/>
      </c>
      <c r="R18" s="42" t="str">
        <f t="shared" si="1"/>
        <v/>
      </c>
      <c r="S18" s="42" t="str">
        <f t="shared" si="1"/>
        <v/>
      </c>
      <c r="T18" s="42" t="str">
        <f t="shared" si="1"/>
        <v/>
      </c>
      <c r="U18" s="42" t="str">
        <f t="shared" si="1"/>
        <v/>
      </c>
      <c r="V18" s="42" t="str">
        <f t="shared" si="1"/>
        <v/>
      </c>
      <c r="W18" s="42" t="str">
        <f t="shared" si="1"/>
        <v/>
      </c>
      <c r="X18" s="42" t="str">
        <f t="shared" si="1"/>
        <v/>
      </c>
      <c r="Y18" s="42"/>
      <c r="Z18" s="42">
        <f t="shared" si="3"/>
        <v>0</v>
      </c>
      <c r="AB18" s="44" t="str">
        <f t="shared" si="2"/>
        <v/>
      </c>
    </row>
    <row r="19" spans="2:28" x14ac:dyDescent="0.3">
      <c r="B19" s="37"/>
      <c r="C19" s="37"/>
      <c r="D19" s="38"/>
      <c r="E19" s="39">
        <v>46266</v>
      </c>
      <c r="F19" s="39">
        <v>46722</v>
      </c>
      <c r="G19" s="40">
        <v>0.03</v>
      </c>
      <c r="H19" s="41">
        <f t="shared" si="0"/>
        <v>46661</v>
      </c>
      <c r="I19" s="42" t="str">
        <f t="shared" si="1"/>
        <v/>
      </c>
      <c r="J19" s="42" t="str">
        <f t="shared" si="1"/>
        <v/>
      </c>
      <c r="K19" s="42" t="str">
        <f t="shared" si="1"/>
        <v/>
      </c>
      <c r="L19" s="42" t="str">
        <f t="shared" si="1"/>
        <v/>
      </c>
      <c r="M19" s="42" t="str">
        <f t="shared" si="1"/>
        <v/>
      </c>
      <c r="N19" s="42" t="str">
        <f t="shared" si="1"/>
        <v/>
      </c>
      <c r="O19" s="42" t="str">
        <f t="shared" si="1"/>
        <v/>
      </c>
      <c r="P19" s="42" t="str">
        <f t="shared" si="1"/>
        <v/>
      </c>
      <c r="Q19" s="42" t="str">
        <f t="shared" si="1"/>
        <v/>
      </c>
      <c r="R19" s="42" t="str">
        <f t="shared" si="1"/>
        <v/>
      </c>
      <c r="S19" s="42" t="str">
        <f t="shared" si="1"/>
        <v/>
      </c>
      <c r="T19" s="42" t="str">
        <f t="shared" si="1"/>
        <v/>
      </c>
      <c r="U19" s="42" t="str">
        <f t="shared" si="1"/>
        <v/>
      </c>
      <c r="V19" s="42" t="str">
        <f t="shared" si="1"/>
        <v/>
      </c>
      <c r="W19" s="42" t="str">
        <f t="shared" si="1"/>
        <v/>
      </c>
      <c r="X19" s="42" t="str">
        <f t="shared" ref="X19" si="4">IF(OR($D19="",$E19="",NOT(ISNUMBER($D19))),"",IF(AND($E19&lt;=X$10,IF($F19="",$X$10,$F19)&gt;=X$10),$D19/12*(1+N($G19))^IF(AND(ISNUMBER($H19),X$10&gt;=$H19),1+INT(DATEDIF($H19,X$10,"m")/12),0),0))</f>
        <v/>
      </c>
      <c r="Y19" s="42"/>
      <c r="Z19" s="42">
        <f t="shared" ref="Z19:Z24" si="5">SUM(M19:X19)</f>
        <v>0</v>
      </c>
      <c r="AB19" s="44" t="str">
        <f t="shared" si="2"/>
        <v/>
      </c>
    </row>
    <row r="20" spans="2:28" x14ac:dyDescent="0.3">
      <c r="B20" s="37"/>
      <c r="C20" s="37"/>
      <c r="D20" s="38"/>
      <c r="E20" s="39">
        <v>46266</v>
      </c>
      <c r="F20" s="39">
        <v>46722</v>
      </c>
      <c r="G20" s="40">
        <v>0.03</v>
      </c>
      <c r="H20" s="41">
        <f t="shared" si="0"/>
        <v>46661</v>
      </c>
      <c r="I20" s="42" t="str">
        <f t="shared" ref="I20:X24" si="6">IF(OR($D20="",$E20="",NOT(ISNUMBER($D20))),"",IF(AND($E20&lt;=I$10,IF($F20="",$X$10,$F20)&gt;=I$10),$D20/12*(1+N($G20))^IF(AND(ISNUMBER($H20),I$10&gt;=$H20),1+INT(DATEDIF($H20,I$10,"m")/12),0),0))</f>
        <v/>
      </c>
      <c r="J20" s="42" t="str">
        <f t="shared" si="6"/>
        <v/>
      </c>
      <c r="K20" s="42" t="str">
        <f t="shared" si="6"/>
        <v/>
      </c>
      <c r="L20" s="42" t="str">
        <f t="shared" si="6"/>
        <v/>
      </c>
      <c r="M20" s="42" t="str">
        <f t="shared" si="6"/>
        <v/>
      </c>
      <c r="N20" s="42" t="str">
        <f t="shared" si="6"/>
        <v/>
      </c>
      <c r="O20" s="42" t="str">
        <f t="shared" si="6"/>
        <v/>
      </c>
      <c r="P20" s="42" t="str">
        <f t="shared" si="6"/>
        <v/>
      </c>
      <c r="Q20" s="42" t="str">
        <f t="shared" si="6"/>
        <v/>
      </c>
      <c r="R20" s="42" t="str">
        <f t="shared" si="6"/>
        <v/>
      </c>
      <c r="S20" s="42" t="str">
        <f t="shared" si="6"/>
        <v/>
      </c>
      <c r="T20" s="42" t="str">
        <f t="shared" si="6"/>
        <v/>
      </c>
      <c r="U20" s="42" t="str">
        <f t="shared" si="6"/>
        <v/>
      </c>
      <c r="V20" s="42" t="str">
        <f t="shared" si="6"/>
        <v/>
      </c>
      <c r="W20" s="42" t="str">
        <f t="shared" si="6"/>
        <v/>
      </c>
      <c r="X20" s="42" t="str">
        <f t="shared" si="6"/>
        <v/>
      </c>
      <c r="Y20" s="42"/>
      <c r="Z20" s="42">
        <f t="shared" si="5"/>
        <v>0</v>
      </c>
      <c r="AB20" s="44" t="str">
        <f t="shared" si="2"/>
        <v/>
      </c>
    </row>
    <row r="21" spans="2:28" x14ac:dyDescent="0.3">
      <c r="B21" s="37"/>
      <c r="C21" s="37"/>
      <c r="D21" s="38"/>
      <c r="E21" s="39">
        <v>46266</v>
      </c>
      <c r="F21" s="39">
        <v>46722</v>
      </c>
      <c r="G21" s="40">
        <v>0.03</v>
      </c>
      <c r="H21" s="41">
        <f t="shared" si="0"/>
        <v>46661</v>
      </c>
      <c r="I21" s="42" t="str">
        <f t="shared" si="6"/>
        <v/>
      </c>
      <c r="J21" s="42" t="str">
        <f t="shared" si="6"/>
        <v/>
      </c>
      <c r="K21" s="42" t="str">
        <f t="shared" si="6"/>
        <v/>
      </c>
      <c r="L21" s="42" t="str">
        <f t="shared" si="6"/>
        <v/>
      </c>
      <c r="M21" s="42" t="str">
        <f t="shared" si="6"/>
        <v/>
      </c>
      <c r="N21" s="42" t="str">
        <f t="shared" si="6"/>
        <v/>
      </c>
      <c r="O21" s="42" t="str">
        <f t="shared" si="6"/>
        <v/>
      </c>
      <c r="P21" s="42" t="str">
        <f t="shared" si="6"/>
        <v/>
      </c>
      <c r="Q21" s="42" t="str">
        <f t="shared" si="6"/>
        <v/>
      </c>
      <c r="R21" s="42" t="str">
        <f t="shared" si="6"/>
        <v/>
      </c>
      <c r="S21" s="42" t="str">
        <f t="shared" si="6"/>
        <v/>
      </c>
      <c r="T21" s="42" t="str">
        <f t="shared" si="6"/>
        <v/>
      </c>
      <c r="U21" s="42" t="str">
        <f t="shared" si="6"/>
        <v/>
      </c>
      <c r="V21" s="42" t="str">
        <f t="shared" si="6"/>
        <v/>
      </c>
      <c r="W21" s="42" t="str">
        <f t="shared" si="6"/>
        <v/>
      </c>
      <c r="X21" s="42" t="str">
        <f t="shared" si="6"/>
        <v/>
      </c>
      <c r="Y21" s="42"/>
      <c r="Z21" s="42">
        <f t="shared" si="5"/>
        <v>0</v>
      </c>
      <c r="AB21" s="44" t="str">
        <f t="shared" si="2"/>
        <v/>
      </c>
    </row>
    <row r="22" spans="2:28" x14ac:dyDescent="0.3">
      <c r="B22" s="37"/>
      <c r="C22" s="37"/>
      <c r="D22" s="38"/>
      <c r="E22" s="39">
        <v>46266</v>
      </c>
      <c r="F22" s="39">
        <v>46722</v>
      </c>
      <c r="G22" s="40">
        <v>0.03</v>
      </c>
      <c r="H22" s="41">
        <f t="shared" si="0"/>
        <v>46661</v>
      </c>
      <c r="I22" s="42" t="str">
        <f t="shared" si="6"/>
        <v/>
      </c>
      <c r="J22" s="42" t="str">
        <f t="shared" si="6"/>
        <v/>
      </c>
      <c r="K22" s="42" t="str">
        <f t="shared" si="6"/>
        <v/>
      </c>
      <c r="L22" s="42" t="str">
        <f t="shared" si="6"/>
        <v/>
      </c>
      <c r="M22" s="42" t="str">
        <f t="shared" si="6"/>
        <v/>
      </c>
      <c r="N22" s="42" t="str">
        <f t="shared" si="6"/>
        <v/>
      </c>
      <c r="O22" s="42" t="str">
        <f t="shared" si="6"/>
        <v/>
      </c>
      <c r="P22" s="42" t="str">
        <f t="shared" si="6"/>
        <v/>
      </c>
      <c r="Q22" s="42" t="str">
        <f t="shared" si="6"/>
        <v/>
      </c>
      <c r="R22" s="42" t="str">
        <f t="shared" si="6"/>
        <v/>
      </c>
      <c r="S22" s="42" t="str">
        <f t="shared" si="6"/>
        <v/>
      </c>
      <c r="T22" s="42" t="str">
        <f t="shared" si="6"/>
        <v/>
      </c>
      <c r="U22" s="42" t="str">
        <f t="shared" si="6"/>
        <v/>
      </c>
      <c r="V22" s="42" t="str">
        <f t="shared" si="6"/>
        <v/>
      </c>
      <c r="W22" s="42" t="str">
        <f t="shared" si="6"/>
        <v/>
      </c>
      <c r="X22" s="42" t="str">
        <f t="shared" si="6"/>
        <v/>
      </c>
      <c r="Y22" s="42"/>
      <c r="Z22" s="42">
        <f t="shared" si="5"/>
        <v>0</v>
      </c>
      <c r="AB22" s="44" t="str">
        <f t="shared" si="2"/>
        <v/>
      </c>
    </row>
    <row r="23" spans="2:28" x14ac:dyDescent="0.3">
      <c r="B23" s="37"/>
      <c r="C23" s="37"/>
      <c r="D23" s="38"/>
      <c r="E23" s="39">
        <v>46266</v>
      </c>
      <c r="F23" s="39">
        <v>46722</v>
      </c>
      <c r="G23" s="40">
        <v>0.03</v>
      </c>
      <c r="H23" s="41">
        <f t="shared" si="0"/>
        <v>46661</v>
      </c>
      <c r="I23" s="42" t="str">
        <f t="shared" si="6"/>
        <v/>
      </c>
      <c r="J23" s="42" t="str">
        <f t="shared" si="6"/>
        <v/>
      </c>
      <c r="K23" s="42" t="str">
        <f t="shared" si="6"/>
        <v/>
      </c>
      <c r="L23" s="42" t="str">
        <f t="shared" si="6"/>
        <v/>
      </c>
      <c r="M23" s="42" t="str">
        <f t="shared" si="6"/>
        <v/>
      </c>
      <c r="N23" s="42" t="str">
        <f t="shared" si="6"/>
        <v/>
      </c>
      <c r="O23" s="42" t="str">
        <f t="shared" si="6"/>
        <v/>
      </c>
      <c r="P23" s="42" t="str">
        <f t="shared" si="6"/>
        <v/>
      </c>
      <c r="Q23" s="42" t="str">
        <f t="shared" si="6"/>
        <v/>
      </c>
      <c r="R23" s="42" t="str">
        <f t="shared" si="6"/>
        <v/>
      </c>
      <c r="S23" s="42" t="str">
        <f t="shared" si="6"/>
        <v/>
      </c>
      <c r="T23" s="42" t="str">
        <f t="shared" si="6"/>
        <v/>
      </c>
      <c r="U23" s="42" t="str">
        <f t="shared" si="6"/>
        <v/>
      </c>
      <c r="V23" s="42" t="str">
        <f t="shared" si="6"/>
        <v/>
      </c>
      <c r="W23" s="42" t="str">
        <f t="shared" si="6"/>
        <v/>
      </c>
      <c r="X23" s="42" t="str">
        <f t="shared" si="6"/>
        <v/>
      </c>
      <c r="Y23" s="42"/>
      <c r="Z23" s="42">
        <f t="shared" si="5"/>
        <v>0</v>
      </c>
      <c r="AB23" s="44" t="str">
        <f t="shared" si="2"/>
        <v/>
      </c>
    </row>
    <row r="24" spans="2:28" x14ac:dyDescent="0.3">
      <c r="B24" s="37"/>
      <c r="C24" s="37"/>
      <c r="D24" s="38"/>
      <c r="E24" s="39">
        <v>46266</v>
      </c>
      <c r="F24" s="39">
        <v>46722</v>
      </c>
      <c r="G24" s="40">
        <v>0.03</v>
      </c>
      <c r="H24" s="41">
        <f t="shared" si="0"/>
        <v>46661</v>
      </c>
      <c r="I24" s="42" t="str">
        <f t="shared" si="6"/>
        <v/>
      </c>
      <c r="J24" s="42" t="str">
        <f t="shared" si="6"/>
        <v/>
      </c>
      <c r="K24" s="42" t="str">
        <f t="shared" si="6"/>
        <v/>
      </c>
      <c r="L24" s="42" t="str">
        <f t="shared" si="6"/>
        <v/>
      </c>
      <c r="M24" s="42" t="str">
        <f t="shared" si="6"/>
        <v/>
      </c>
      <c r="N24" s="42" t="str">
        <f t="shared" si="6"/>
        <v/>
      </c>
      <c r="O24" s="42" t="str">
        <f t="shared" si="6"/>
        <v/>
      </c>
      <c r="P24" s="42" t="str">
        <f t="shared" si="6"/>
        <v/>
      </c>
      <c r="Q24" s="42" t="str">
        <f t="shared" si="6"/>
        <v/>
      </c>
      <c r="R24" s="42" t="str">
        <f t="shared" si="6"/>
        <v/>
      </c>
      <c r="S24" s="42" t="str">
        <f t="shared" si="6"/>
        <v/>
      </c>
      <c r="T24" s="42" t="str">
        <f t="shared" si="6"/>
        <v/>
      </c>
      <c r="U24" s="42" t="str">
        <f t="shared" si="6"/>
        <v/>
      </c>
      <c r="V24" s="42" t="str">
        <f t="shared" si="6"/>
        <v/>
      </c>
      <c r="W24" s="42" t="str">
        <f t="shared" si="6"/>
        <v/>
      </c>
      <c r="X24" s="42" t="str">
        <f t="shared" si="6"/>
        <v/>
      </c>
      <c r="Y24" s="42"/>
      <c r="Z24" s="42">
        <f t="shared" si="5"/>
        <v>0</v>
      </c>
      <c r="AB24" s="44" t="str">
        <f t="shared" si="2"/>
        <v/>
      </c>
    </row>
    <row r="25" spans="2:28" x14ac:dyDescent="0.3">
      <c r="B25" s="37"/>
      <c r="C25" s="37"/>
      <c r="D25" s="38"/>
      <c r="E25" s="39">
        <v>46266</v>
      </c>
      <c r="F25" s="39">
        <v>46722</v>
      </c>
      <c r="G25" s="40">
        <v>0.03</v>
      </c>
      <c r="H25" s="41">
        <f t="shared" si="0"/>
        <v>46661</v>
      </c>
      <c r="I25" s="42" t="str">
        <f t="shared" si="1"/>
        <v/>
      </c>
      <c r="J25" s="42" t="str">
        <f t="shared" si="1"/>
        <v/>
      </c>
      <c r="K25" s="42" t="str">
        <f t="shared" si="1"/>
        <v/>
      </c>
      <c r="L25" s="42" t="str">
        <f t="shared" si="1"/>
        <v/>
      </c>
      <c r="M25" s="42" t="str">
        <f t="shared" si="1"/>
        <v/>
      </c>
      <c r="N25" s="42" t="str">
        <f t="shared" si="1"/>
        <v/>
      </c>
      <c r="O25" s="42" t="str">
        <f t="shared" si="1"/>
        <v/>
      </c>
      <c r="P25" s="42" t="str">
        <f t="shared" si="1"/>
        <v/>
      </c>
      <c r="Q25" s="42" t="str">
        <f t="shared" si="1"/>
        <v/>
      </c>
      <c r="R25" s="42" t="str">
        <f t="shared" si="1"/>
        <v/>
      </c>
      <c r="S25" s="42" t="str">
        <f t="shared" si="1"/>
        <v/>
      </c>
      <c r="T25" s="42" t="str">
        <f t="shared" si="1"/>
        <v/>
      </c>
      <c r="U25" s="42" t="str">
        <f t="shared" si="1"/>
        <v/>
      </c>
      <c r="V25" s="42" t="str">
        <f t="shared" si="1"/>
        <v/>
      </c>
      <c r="W25" s="42" t="str">
        <f t="shared" si="1"/>
        <v/>
      </c>
      <c r="X25" s="42" t="str">
        <f t="shared" si="1"/>
        <v/>
      </c>
      <c r="Y25" s="42"/>
      <c r="Z25" s="42">
        <f t="shared" si="3"/>
        <v>0</v>
      </c>
      <c r="AB25" s="44" t="str">
        <f t="shared" si="2"/>
        <v/>
      </c>
    </row>
    <row r="26" spans="2:28" x14ac:dyDescent="0.3">
      <c r="B26" s="37"/>
      <c r="C26" s="37"/>
      <c r="D26" s="38"/>
      <c r="E26" s="39">
        <v>46266</v>
      </c>
      <c r="F26" s="39">
        <v>46722</v>
      </c>
      <c r="G26" s="40">
        <v>0.03</v>
      </c>
      <c r="H26" s="41">
        <f t="shared" si="0"/>
        <v>46661</v>
      </c>
      <c r="I26" s="42" t="str">
        <f t="shared" si="1"/>
        <v/>
      </c>
      <c r="J26" s="42" t="str">
        <f t="shared" si="1"/>
        <v/>
      </c>
      <c r="K26" s="42" t="str">
        <f t="shared" si="1"/>
        <v/>
      </c>
      <c r="L26" s="42" t="str">
        <f t="shared" si="1"/>
        <v/>
      </c>
      <c r="M26" s="42" t="str">
        <f t="shared" si="1"/>
        <v/>
      </c>
      <c r="N26" s="42" t="str">
        <f t="shared" si="1"/>
        <v/>
      </c>
      <c r="O26" s="42" t="str">
        <f t="shared" si="1"/>
        <v/>
      </c>
      <c r="P26" s="42" t="str">
        <f t="shared" si="1"/>
        <v/>
      </c>
      <c r="Q26" s="42" t="str">
        <f t="shared" si="1"/>
        <v/>
      </c>
      <c r="R26" s="42" t="str">
        <f t="shared" si="1"/>
        <v/>
      </c>
      <c r="S26" s="42" t="str">
        <f t="shared" si="1"/>
        <v/>
      </c>
      <c r="T26" s="42" t="str">
        <f t="shared" si="1"/>
        <v/>
      </c>
      <c r="U26" s="42" t="str">
        <f t="shared" si="1"/>
        <v/>
      </c>
      <c r="V26" s="42" t="str">
        <f t="shared" si="1"/>
        <v/>
      </c>
      <c r="W26" s="42" t="str">
        <f t="shared" si="1"/>
        <v/>
      </c>
      <c r="X26" s="42" t="str">
        <f t="shared" si="1"/>
        <v/>
      </c>
      <c r="Y26" s="42"/>
      <c r="Z26" s="42">
        <f t="shared" si="3"/>
        <v>0</v>
      </c>
      <c r="AB26" s="44" t="str">
        <f t="shared" si="2"/>
        <v/>
      </c>
    </row>
    <row r="27" spans="2:28" x14ac:dyDescent="0.3">
      <c r="B27" s="37"/>
      <c r="C27" s="37"/>
      <c r="D27" s="38"/>
      <c r="E27" s="39">
        <v>46266</v>
      </c>
      <c r="F27" s="39">
        <v>46722</v>
      </c>
      <c r="G27" s="40">
        <v>0.03</v>
      </c>
      <c r="H27" s="41">
        <f t="shared" si="0"/>
        <v>46661</v>
      </c>
      <c r="I27" s="42" t="str">
        <f t="shared" si="1"/>
        <v/>
      </c>
      <c r="J27" s="42" t="str">
        <f t="shared" si="1"/>
        <v/>
      </c>
      <c r="K27" s="42" t="str">
        <f t="shared" si="1"/>
        <v/>
      </c>
      <c r="L27" s="42" t="str">
        <f t="shared" si="1"/>
        <v/>
      </c>
      <c r="M27" s="42" t="str">
        <f t="shared" si="1"/>
        <v/>
      </c>
      <c r="N27" s="42" t="str">
        <f t="shared" si="1"/>
        <v/>
      </c>
      <c r="O27" s="42" t="str">
        <f t="shared" si="1"/>
        <v/>
      </c>
      <c r="P27" s="42" t="str">
        <f t="shared" si="1"/>
        <v/>
      </c>
      <c r="Q27" s="42" t="str">
        <f t="shared" si="1"/>
        <v/>
      </c>
      <c r="R27" s="42" t="str">
        <f t="shared" si="1"/>
        <v/>
      </c>
      <c r="S27" s="42" t="str">
        <f t="shared" si="1"/>
        <v/>
      </c>
      <c r="T27" s="42" t="str">
        <f t="shared" si="1"/>
        <v/>
      </c>
      <c r="U27" s="42" t="str">
        <f t="shared" si="1"/>
        <v/>
      </c>
      <c r="V27" s="42" t="str">
        <f t="shared" si="1"/>
        <v/>
      </c>
      <c r="W27" s="42" t="str">
        <f t="shared" si="1"/>
        <v/>
      </c>
      <c r="X27" s="42" t="str">
        <f t="shared" si="1"/>
        <v/>
      </c>
      <c r="Y27" s="42"/>
      <c r="Z27" s="42">
        <f t="shared" si="3"/>
        <v>0</v>
      </c>
      <c r="AB27" s="44" t="str">
        <f t="shared" si="2"/>
        <v/>
      </c>
    </row>
    <row r="28" spans="2:28" x14ac:dyDescent="0.3">
      <c r="B28" s="37"/>
      <c r="C28" s="37"/>
      <c r="D28" s="38"/>
      <c r="E28" s="39">
        <v>46266</v>
      </c>
      <c r="F28" s="39">
        <v>46722</v>
      </c>
      <c r="G28" s="40">
        <v>0.03</v>
      </c>
      <c r="H28" s="41">
        <f t="shared" si="0"/>
        <v>46661</v>
      </c>
      <c r="I28" s="42" t="str">
        <f t="shared" si="1"/>
        <v/>
      </c>
      <c r="J28" s="42" t="str">
        <f t="shared" si="1"/>
        <v/>
      </c>
      <c r="K28" s="42" t="str">
        <f t="shared" si="1"/>
        <v/>
      </c>
      <c r="L28" s="42" t="str">
        <f t="shared" si="1"/>
        <v/>
      </c>
      <c r="M28" s="42" t="str">
        <f t="shared" si="1"/>
        <v/>
      </c>
      <c r="N28" s="42" t="str">
        <f t="shared" si="1"/>
        <v/>
      </c>
      <c r="O28" s="42" t="str">
        <f t="shared" si="1"/>
        <v/>
      </c>
      <c r="P28" s="42" t="str">
        <f t="shared" si="1"/>
        <v/>
      </c>
      <c r="Q28" s="42" t="str">
        <f t="shared" si="1"/>
        <v/>
      </c>
      <c r="R28" s="42" t="str">
        <f t="shared" si="1"/>
        <v/>
      </c>
      <c r="S28" s="42" t="str">
        <f t="shared" si="1"/>
        <v/>
      </c>
      <c r="T28" s="42" t="str">
        <f t="shared" si="1"/>
        <v/>
      </c>
      <c r="U28" s="42" t="str">
        <f t="shared" si="1"/>
        <v/>
      </c>
      <c r="V28" s="42" t="str">
        <f t="shared" si="1"/>
        <v/>
      </c>
      <c r="W28" s="42" t="str">
        <f t="shared" si="1"/>
        <v/>
      </c>
      <c r="X28" s="42" t="str">
        <f t="shared" si="1"/>
        <v/>
      </c>
      <c r="Y28" s="42"/>
      <c r="Z28" s="42">
        <f t="shared" si="3"/>
        <v>0</v>
      </c>
      <c r="AB28" s="44" t="str">
        <f t="shared" si="2"/>
        <v/>
      </c>
    </row>
    <row r="29" spans="2:28" x14ac:dyDescent="0.3">
      <c r="B29" s="37"/>
      <c r="C29" s="37"/>
      <c r="D29" s="38"/>
      <c r="E29" s="39">
        <v>46266</v>
      </c>
      <c r="F29" s="39">
        <v>46722</v>
      </c>
      <c r="G29" s="40">
        <v>0.03</v>
      </c>
      <c r="H29" s="41">
        <f t="shared" si="0"/>
        <v>46661</v>
      </c>
      <c r="I29" s="42" t="str">
        <f t="shared" si="1"/>
        <v/>
      </c>
      <c r="J29" s="42" t="str">
        <f t="shared" si="1"/>
        <v/>
      </c>
      <c r="K29" s="42" t="str">
        <f t="shared" si="1"/>
        <v/>
      </c>
      <c r="L29" s="42" t="str">
        <f t="shared" si="1"/>
        <v/>
      </c>
      <c r="M29" s="42" t="str">
        <f t="shared" si="1"/>
        <v/>
      </c>
      <c r="N29" s="42" t="str">
        <f t="shared" si="1"/>
        <v/>
      </c>
      <c r="O29" s="42" t="str">
        <f t="shared" si="1"/>
        <v/>
      </c>
      <c r="P29" s="42" t="str">
        <f t="shared" si="1"/>
        <v/>
      </c>
      <c r="Q29" s="42" t="str">
        <f t="shared" si="1"/>
        <v/>
      </c>
      <c r="R29" s="42" t="str">
        <f t="shared" si="1"/>
        <v/>
      </c>
      <c r="S29" s="42" t="str">
        <f t="shared" si="1"/>
        <v/>
      </c>
      <c r="T29" s="42" t="str">
        <f t="shared" si="1"/>
        <v/>
      </c>
      <c r="U29" s="42" t="str">
        <f t="shared" si="1"/>
        <v/>
      </c>
      <c r="V29" s="42" t="str">
        <f t="shared" si="1"/>
        <v/>
      </c>
      <c r="W29" s="42" t="str">
        <f t="shared" si="1"/>
        <v/>
      </c>
      <c r="X29" s="42" t="str">
        <f t="shared" si="1"/>
        <v/>
      </c>
      <c r="Y29" s="42"/>
      <c r="Z29" s="42">
        <f t="shared" si="3"/>
        <v>0</v>
      </c>
      <c r="AB29" s="44" t="str">
        <f t="shared" si="2"/>
        <v/>
      </c>
    </row>
    <row r="30" spans="2:28" x14ac:dyDescent="0.3">
      <c r="B30" s="37"/>
      <c r="C30" s="37"/>
      <c r="D30" s="38"/>
      <c r="E30" s="39">
        <v>46266</v>
      </c>
      <c r="F30" s="39">
        <v>46722</v>
      </c>
      <c r="G30" s="40">
        <v>0.03</v>
      </c>
      <c r="H30" s="41">
        <f t="shared" si="0"/>
        <v>46661</v>
      </c>
      <c r="I30" s="42" t="str">
        <f t="shared" si="1"/>
        <v/>
      </c>
      <c r="J30" s="42" t="str">
        <f t="shared" si="1"/>
        <v/>
      </c>
      <c r="K30" s="42" t="str">
        <f t="shared" si="1"/>
        <v/>
      </c>
      <c r="L30" s="42" t="str">
        <f t="shared" si="1"/>
        <v/>
      </c>
      <c r="M30" s="42" t="str">
        <f t="shared" si="1"/>
        <v/>
      </c>
      <c r="N30" s="42" t="str">
        <f t="shared" si="1"/>
        <v/>
      </c>
      <c r="O30" s="42" t="str">
        <f t="shared" si="1"/>
        <v/>
      </c>
      <c r="P30" s="42" t="str">
        <f t="shared" si="1"/>
        <v/>
      </c>
      <c r="Q30" s="42" t="str">
        <f t="shared" si="1"/>
        <v/>
      </c>
      <c r="R30" s="42" t="str">
        <f t="shared" si="1"/>
        <v/>
      </c>
      <c r="S30" s="42" t="str">
        <f t="shared" si="1"/>
        <v/>
      </c>
      <c r="T30" s="42" t="str">
        <f t="shared" si="1"/>
        <v/>
      </c>
      <c r="U30" s="42" t="str">
        <f t="shared" si="1"/>
        <v/>
      </c>
      <c r="V30" s="42" t="str">
        <f t="shared" si="1"/>
        <v/>
      </c>
      <c r="W30" s="42" t="str">
        <f t="shared" si="1"/>
        <v/>
      </c>
      <c r="X30" s="42" t="str">
        <f t="shared" si="1"/>
        <v/>
      </c>
      <c r="Y30" s="42"/>
      <c r="Z30" s="42">
        <f t="shared" si="3"/>
        <v>0</v>
      </c>
      <c r="AB30" s="44" t="str">
        <f t="shared" si="2"/>
        <v/>
      </c>
    </row>
    <row r="31" spans="2:28" x14ac:dyDescent="0.3">
      <c r="B31" s="37"/>
      <c r="C31" s="37"/>
      <c r="D31" s="38"/>
      <c r="E31" s="39">
        <v>46266</v>
      </c>
      <c r="F31" s="39">
        <v>46722</v>
      </c>
      <c r="G31" s="40">
        <v>0.03</v>
      </c>
      <c r="H31" s="41">
        <f t="shared" si="0"/>
        <v>46661</v>
      </c>
      <c r="I31" s="42" t="str">
        <f t="shared" si="1"/>
        <v/>
      </c>
      <c r="J31" s="42" t="str">
        <f t="shared" si="1"/>
        <v/>
      </c>
      <c r="K31" s="42" t="str">
        <f t="shared" si="1"/>
        <v/>
      </c>
      <c r="L31" s="42" t="str">
        <f t="shared" si="1"/>
        <v/>
      </c>
      <c r="M31" s="42" t="str">
        <f t="shared" si="1"/>
        <v/>
      </c>
      <c r="N31" s="42" t="str">
        <f t="shared" si="1"/>
        <v/>
      </c>
      <c r="O31" s="42" t="str">
        <f t="shared" si="1"/>
        <v/>
      </c>
      <c r="P31" s="42" t="str">
        <f t="shared" si="1"/>
        <v/>
      </c>
      <c r="Q31" s="42" t="str">
        <f t="shared" si="1"/>
        <v/>
      </c>
      <c r="R31" s="42" t="str">
        <f t="shared" si="1"/>
        <v/>
      </c>
      <c r="S31" s="42" t="str">
        <f t="shared" si="1"/>
        <v/>
      </c>
      <c r="T31" s="42" t="str">
        <f t="shared" si="1"/>
        <v/>
      </c>
      <c r="U31" s="42" t="str">
        <f t="shared" si="1"/>
        <v/>
      </c>
      <c r="V31" s="42" t="str">
        <f t="shared" si="1"/>
        <v/>
      </c>
      <c r="W31" s="42" t="str">
        <f t="shared" si="1"/>
        <v/>
      </c>
      <c r="X31" s="42" t="str">
        <f t="shared" si="1"/>
        <v/>
      </c>
      <c r="Y31" s="42"/>
      <c r="Z31" s="42">
        <f t="shared" si="3"/>
        <v>0</v>
      </c>
      <c r="AB31" s="44" t="str">
        <f t="shared" si="2"/>
        <v/>
      </c>
    </row>
    <row r="32" spans="2:28" x14ac:dyDescent="0.3">
      <c r="B32" s="37"/>
      <c r="C32" s="37"/>
      <c r="D32" s="38"/>
      <c r="E32" s="39">
        <v>46266</v>
      </c>
      <c r="F32" s="39">
        <v>46722</v>
      </c>
      <c r="G32" s="40">
        <v>0.03</v>
      </c>
      <c r="H32" s="41">
        <f t="shared" si="0"/>
        <v>46661</v>
      </c>
      <c r="I32" s="42" t="str">
        <f t="shared" si="1"/>
        <v/>
      </c>
      <c r="J32" s="42" t="str">
        <f t="shared" si="1"/>
        <v/>
      </c>
      <c r="K32" s="42" t="str">
        <f t="shared" si="1"/>
        <v/>
      </c>
      <c r="L32" s="42" t="str">
        <f t="shared" si="1"/>
        <v/>
      </c>
      <c r="M32" s="42" t="str">
        <f t="shared" si="1"/>
        <v/>
      </c>
      <c r="N32" s="42" t="str">
        <f t="shared" si="1"/>
        <v/>
      </c>
      <c r="O32" s="42" t="str">
        <f t="shared" si="1"/>
        <v/>
      </c>
      <c r="P32" s="42" t="str">
        <f t="shared" si="1"/>
        <v/>
      </c>
      <c r="Q32" s="42" t="str">
        <f t="shared" si="1"/>
        <v/>
      </c>
      <c r="R32" s="42" t="str">
        <f t="shared" si="1"/>
        <v/>
      </c>
      <c r="S32" s="42" t="str">
        <f t="shared" si="1"/>
        <v/>
      </c>
      <c r="T32" s="42" t="str">
        <f t="shared" si="1"/>
        <v/>
      </c>
      <c r="U32" s="42" t="str">
        <f t="shared" si="1"/>
        <v/>
      </c>
      <c r="V32" s="42" t="str">
        <f t="shared" si="1"/>
        <v/>
      </c>
      <c r="W32" s="42" t="str">
        <f t="shared" si="1"/>
        <v/>
      </c>
      <c r="X32" s="42" t="str">
        <f t="shared" si="1"/>
        <v/>
      </c>
      <c r="Y32" s="42"/>
      <c r="Z32" s="42">
        <f t="shared" si="3"/>
        <v>0</v>
      </c>
      <c r="AB32" s="44" t="str">
        <f t="shared" si="2"/>
        <v/>
      </c>
    </row>
    <row r="33" spans="2:28" x14ac:dyDescent="0.3">
      <c r="B33" s="37"/>
      <c r="C33" s="37"/>
      <c r="D33" s="38"/>
      <c r="E33" s="39">
        <v>46266</v>
      </c>
      <c r="F33" s="39">
        <v>46722</v>
      </c>
      <c r="G33" s="40">
        <v>0.03</v>
      </c>
      <c r="H33" s="41">
        <f t="shared" si="0"/>
        <v>46661</v>
      </c>
      <c r="I33" s="42" t="str">
        <f t="shared" si="1"/>
        <v/>
      </c>
      <c r="J33" s="42" t="str">
        <f t="shared" si="1"/>
        <v/>
      </c>
      <c r="K33" s="42" t="str">
        <f t="shared" si="1"/>
        <v/>
      </c>
      <c r="L33" s="42" t="str">
        <f t="shared" si="1"/>
        <v/>
      </c>
      <c r="M33" s="42" t="str">
        <f t="shared" si="1"/>
        <v/>
      </c>
      <c r="N33" s="42" t="str">
        <f t="shared" si="1"/>
        <v/>
      </c>
      <c r="O33" s="42" t="str">
        <f t="shared" si="1"/>
        <v/>
      </c>
      <c r="P33" s="42" t="str">
        <f t="shared" si="1"/>
        <v/>
      </c>
      <c r="Q33" s="42" t="str">
        <f t="shared" si="1"/>
        <v/>
      </c>
      <c r="R33" s="42" t="str">
        <f t="shared" si="1"/>
        <v/>
      </c>
      <c r="S33" s="42" t="str">
        <f t="shared" si="1"/>
        <v/>
      </c>
      <c r="T33" s="42" t="str">
        <f t="shared" si="1"/>
        <v/>
      </c>
      <c r="U33" s="42" t="str">
        <f t="shared" si="1"/>
        <v/>
      </c>
      <c r="V33" s="42" t="str">
        <f t="shared" si="1"/>
        <v/>
      </c>
      <c r="W33" s="42" t="str">
        <f t="shared" si="1"/>
        <v/>
      </c>
      <c r="X33" s="42" t="str">
        <f t="shared" si="1"/>
        <v/>
      </c>
      <c r="Y33" s="42"/>
      <c r="Z33" s="42">
        <f t="shared" si="3"/>
        <v>0</v>
      </c>
      <c r="AB33" s="44" t="str">
        <f t="shared" si="2"/>
        <v/>
      </c>
    </row>
    <row r="34" spans="2:28" x14ac:dyDescent="0.3">
      <c r="B34" s="8" t="s">
        <v>55</v>
      </c>
      <c r="D34" s="45"/>
      <c r="E34" s="46"/>
      <c r="F34" s="46"/>
      <c r="G34" s="46"/>
      <c r="H34" s="46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B34" s="44"/>
    </row>
    <row r="35" spans="2:28" x14ac:dyDescent="0.3">
      <c r="B35" s="37"/>
      <c r="C35" s="37"/>
      <c r="D35" s="38"/>
      <c r="E35" s="39"/>
      <c r="F35" s="39">
        <v>46722</v>
      </c>
      <c r="G35" s="40">
        <v>0.03</v>
      </c>
      <c r="H35" s="41">
        <f>$D$8</f>
        <v>46661</v>
      </c>
      <c r="I35" s="42" t="str">
        <f t="shared" ref="I35:X39" si="7">IF(OR($D35="",$E35="",NOT(ISNUMBER($D35))),"",IF(AND($E35&lt;=I$10,IF($F35="",$X$10,$F35)&gt;=I$10),$D35/12*(1+N($G35))^IF(AND(ISNUMBER($H35),I$10&gt;=$H35),1+INT(DATEDIF($H35,I$10,"m")/12),0),0))</f>
        <v/>
      </c>
      <c r="J35" s="42" t="str">
        <f t="shared" si="7"/>
        <v/>
      </c>
      <c r="K35" s="42" t="str">
        <f t="shared" si="7"/>
        <v/>
      </c>
      <c r="L35" s="42" t="str">
        <f t="shared" si="7"/>
        <v/>
      </c>
      <c r="M35" s="42" t="str">
        <f t="shared" si="7"/>
        <v/>
      </c>
      <c r="N35" s="42" t="str">
        <f t="shared" si="7"/>
        <v/>
      </c>
      <c r="O35" s="42" t="str">
        <f t="shared" si="7"/>
        <v/>
      </c>
      <c r="P35" s="42" t="str">
        <f t="shared" si="7"/>
        <v/>
      </c>
      <c r="Q35" s="42" t="str">
        <f t="shared" si="7"/>
        <v/>
      </c>
      <c r="R35" s="42" t="str">
        <f t="shared" si="7"/>
        <v/>
      </c>
      <c r="S35" s="42" t="str">
        <f t="shared" si="7"/>
        <v/>
      </c>
      <c r="T35" s="42" t="str">
        <f t="shared" si="7"/>
        <v/>
      </c>
      <c r="U35" s="42" t="str">
        <f t="shared" si="7"/>
        <v/>
      </c>
      <c r="V35" s="42" t="str">
        <f t="shared" si="7"/>
        <v/>
      </c>
      <c r="W35" s="42" t="str">
        <f t="shared" si="7"/>
        <v/>
      </c>
      <c r="X35" s="42" t="str">
        <f t="shared" si="7"/>
        <v/>
      </c>
      <c r="Y35" s="42"/>
      <c r="Z35" s="42">
        <f t="shared" ref="Z35:Z50" si="8">SUM(M35:X35)</f>
        <v>0</v>
      </c>
      <c r="AB35" s="44" t="str">
        <f>IF($D35&amp;$E35="","",IF(AND($D35&lt;&gt;"",NOT(ISNUMBER($D35))),"Salary must be a number",IF(AND($D35&lt;&gt;"",$E35=""),"Start month missing",IF(AND(ISNUMBER($E35),ISNUMBER($F35),$F35&lt;$E35),"End is before Start",IF(AND($D35&lt;&gt;"",NOT(ISNUMBER($H35))),"Increase month missing","")))))</f>
        <v/>
      </c>
    </row>
    <row r="36" spans="2:28" x14ac:dyDescent="0.3">
      <c r="B36" s="37"/>
      <c r="C36" s="37"/>
      <c r="D36" s="38"/>
      <c r="E36" s="39"/>
      <c r="F36" s="39">
        <v>46722</v>
      </c>
      <c r="G36" s="40">
        <v>0.03</v>
      </c>
      <c r="H36" s="41">
        <f>$D$8</f>
        <v>46661</v>
      </c>
      <c r="I36" s="42" t="str">
        <f t="shared" si="7"/>
        <v/>
      </c>
      <c r="J36" s="42" t="str">
        <f t="shared" si="7"/>
        <v/>
      </c>
      <c r="K36" s="42" t="str">
        <f t="shared" si="7"/>
        <v/>
      </c>
      <c r="L36" s="42" t="str">
        <f t="shared" si="7"/>
        <v/>
      </c>
      <c r="M36" s="42" t="str">
        <f t="shared" si="7"/>
        <v/>
      </c>
      <c r="N36" s="42" t="str">
        <f t="shared" si="7"/>
        <v/>
      </c>
      <c r="O36" s="42" t="str">
        <f t="shared" si="7"/>
        <v/>
      </c>
      <c r="P36" s="42" t="str">
        <f t="shared" si="7"/>
        <v/>
      </c>
      <c r="Q36" s="42" t="str">
        <f t="shared" si="7"/>
        <v/>
      </c>
      <c r="R36" s="42" t="str">
        <f t="shared" si="7"/>
        <v/>
      </c>
      <c r="S36" s="42" t="str">
        <f t="shared" si="7"/>
        <v/>
      </c>
      <c r="T36" s="42" t="str">
        <f t="shared" si="7"/>
        <v/>
      </c>
      <c r="U36" s="42" t="str">
        <f t="shared" si="7"/>
        <v/>
      </c>
      <c r="V36" s="42" t="str">
        <f t="shared" si="7"/>
        <v/>
      </c>
      <c r="W36" s="42" t="str">
        <f t="shared" si="7"/>
        <v/>
      </c>
      <c r="X36" s="42" t="str">
        <f t="shared" si="7"/>
        <v/>
      </c>
      <c r="Y36" s="42"/>
      <c r="Z36" s="42">
        <f t="shared" si="8"/>
        <v>0</v>
      </c>
      <c r="AB36" s="44" t="str">
        <f>IF($D36&amp;$E36="","",IF(AND($D36&lt;&gt;"",NOT(ISNUMBER($D36))),"Salary must be a number",IF(AND($D36&lt;&gt;"",$E36=""),"Start month missing",IF(AND(ISNUMBER($E36),ISNUMBER($F36),$F36&lt;$E36),"End is before Start",IF(AND($D36&lt;&gt;"",NOT(ISNUMBER($H36))),"Increase month missing","")))))</f>
        <v/>
      </c>
    </row>
    <row r="37" spans="2:28" x14ac:dyDescent="0.3">
      <c r="B37" s="37"/>
      <c r="C37" s="37"/>
      <c r="D37" s="38"/>
      <c r="E37" s="39"/>
      <c r="F37" s="39">
        <v>46722</v>
      </c>
      <c r="G37" s="40">
        <v>0.03</v>
      </c>
      <c r="H37" s="41">
        <f>$D$8</f>
        <v>46661</v>
      </c>
      <c r="I37" s="42" t="str">
        <f t="shared" si="7"/>
        <v/>
      </c>
      <c r="J37" s="42" t="str">
        <f t="shared" si="7"/>
        <v/>
      </c>
      <c r="K37" s="42" t="str">
        <f t="shared" si="7"/>
        <v/>
      </c>
      <c r="L37" s="42" t="str">
        <f t="shared" si="7"/>
        <v/>
      </c>
      <c r="M37" s="42" t="str">
        <f t="shared" si="7"/>
        <v/>
      </c>
      <c r="N37" s="42" t="str">
        <f t="shared" si="7"/>
        <v/>
      </c>
      <c r="O37" s="42" t="str">
        <f t="shared" si="7"/>
        <v/>
      </c>
      <c r="P37" s="42" t="str">
        <f t="shared" si="7"/>
        <v/>
      </c>
      <c r="Q37" s="42" t="str">
        <f t="shared" si="7"/>
        <v/>
      </c>
      <c r="R37" s="42" t="str">
        <f t="shared" si="7"/>
        <v/>
      </c>
      <c r="S37" s="42" t="str">
        <f t="shared" si="7"/>
        <v/>
      </c>
      <c r="T37" s="42" t="str">
        <f t="shared" si="7"/>
        <v/>
      </c>
      <c r="U37" s="42" t="str">
        <f t="shared" si="7"/>
        <v/>
      </c>
      <c r="V37" s="42" t="str">
        <f t="shared" si="7"/>
        <v/>
      </c>
      <c r="W37" s="42" t="str">
        <f t="shared" si="7"/>
        <v/>
      </c>
      <c r="X37" s="42" t="str">
        <f t="shared" si="7"/>
        <v/>
      </c>
      <c r="Y37" s="42"/>
      <c r="Z37" s="42">
        <f t="shared" si="8"/>
        <v>0</v>
      </c>
      <c r="AB37" s="44" t="str">
        <f>IF($D37&amp;$E37="","",IF(AND($D37&lt;&gt;"",NOT(ISNUMBER($D37))),"Salary must be a number",IF(AND($D37&lt;&gt;"",$E37=""),"Start month missing",IF(AND(ISNUMBER($E37),ISNUMBER($F37),$F37&lt;$E37),"End is before Start",IF(AND($D37&lt;&gt;"",NOT(ISNUMBER($H37))),"Increase month missing","")))))</f>
        <v/>
      </c>
    </row>
    <row r="38" spans="2:28" x14ac:dyDescent="0.3">
      <c r="B38" s="37"/>
      <c r="C38" s="37"/>
      <c r="D38" s="38"/>
      <c r="E38" s="39"/>
      <c r="F38" s="39">
        <v>46722</v>
      </c>
      <c r="G38" s="40">
        <v>0.03</v>
      </c>
      <c r="H38" s="41">
        <f>$D$8</f>
        <v>46661</v>
      </c>
      <c r="I38" s="42" t="str">
        <f t="shared" si="7"/>
        <v/>
      </c>
      <c r="J38" s="42" t="str">
        <f t="shared" si="7"/>
        <v/>
      </c>
      <c r="K38" s="42" t="str">
        <f t="shared" si="7"/>
        <v/>
      </c>
      <c r="L38" s="42" t="str">
        <f t="shared" si="7"/>
        <v/>
      </c>
      <c r="M38" s="42" t="str">
        <f t="shared" si="7"/>
        <v/>
      </c>
      <c r="N38" s="42" t="str">
        <f t="shared" si="7"/>
        <v/>
      </c>
      <c r="O38" s="42" t="str">
        <f t="shared" si="7"/>
        <v/>
      </c>
      <c r="P38" s="42" t="str">
        <f t="shared" si="7"/>
        <v/>
      </c>
      <c r="Q38" s="42" t="str">
        <f t="shared" si="7"/>
        <v/>
      </c>
      <c r="R38" s="42" t="str">
        <f t="shared" si="7"/>
        <v/>
      </c>
      <c r="S38" s="42" t="str">
        <f t="shared" si="7"/>
        <v/>
      </c>
      <c r="T38" s="42" t="str">
        <f t="shared" si="7"/>
        <v/>
      </c>
      <c r="U38" s="42" t="str">
        <f t="shared" si="7"/>
        <v/>
      </c>
      <c r="V38" s="42" t="str">
        <f t="shared" si="7"/>
        <v/>
      </c>
      <c r="W38" s="42" t="str">
        <f t="shared" si="7"/>
        <v/>
      </c>
      <c r="X38" s="42" t="str">
        <f t="shared" si="7"/>
        <v/>
      </c>
      <c r="Y38" s="42"/>
      <c r="Z38" s="42">
        <f t="shared" si="8"/>
        <v>0</v>
      </c>
      <c r="AB38" s="44" t="str">
        <f>IF($D38&amp;$E38="","",IF(AND($D38&lt;&gt;"",NOT(ISNUMBER($D38))),"Salary must be a number",IF(AND($D38&lt;&gt;"",$E38=""),"Start month missing",IF(AND(ISNUMBER($E38),ISNUMBER($F38),$F38&lt;$E38),"End is before Start",IF(AND($D38&lt;&gt;"",NOT(ISNUMBER($H38))),"Increase month missing","")))))</f>
        <v/>
      </c>
    </row>
    <row r="39" spans="2:28" x14ac:dyDescent="0.3">
      <c r="B39" s="37"/>
      <c r="C39" s="37"/>
      <c r="D39" s="38"/>
      <c r="E39" s="39"/>
      <c r="F39" s="39">
        <v>46722</v>
      </c>
      <c r="G39" s="40">
        <v>0.03</v>
      </c>
      <c r="H39" s="41">
        <f>$D$8</f>
        <v>46661</v>
      </c>
      <c r="I39" s="42" t="str">
        <f t="shared" si="7"/>
        <v/>
      </c>
      <c r="J39" s="42" t="str">
        <f t="shared" si="7"/>
        <v/>
      </c>
      <c r="K39" s="42" t="str">
        <f t="shared" si="7"/>
        <v/>
      </c>
      <c r="L39" s="42" t="str">
        <f t="shared" si="7"/>
        <v/>
      </c>
      <c r="M39" s="42" t="str">
        <f t="shared" si="7"/>
        <v/>
      </c>
      <c r="N39" s="42" t="str">
        <f t="shared" si="7"/>
        <v/>
      </c>
      <c r="O39" s="42" t="str">
        <f t="shared" si="7"/>
        <v/>
      </c>
      <c r="P39" s="42" t="str">
        <f t="shared" si="7"/>
        <v/>
      </c>
      <c r="Q39" s="42" t="str">
        <f t="shared" si="7"/>
        <v/>
      </c>
      <c r="R39" s="42" t="str">
        <f t="shared" si="7"/>
        <v/>
      </c>
      <c r="S39" s="42" t="str">
        <f t="shared" si="7"/>
        <v/>
      </c>
      <c r="T39" s="42" t="str">
        <f t="shared" si="7"/>
        <v/>
      </c>
      <c r="U39" s="42" t="str">
        <f t="shared" si="7"/>
        <v/>
      </c>
      <c r="V39" s="42" t="str">
        <f t="shared" si="7"/>
        <v/>
      </c>
      <c r="W39" s="42" t="str">
        <f t="shared" si="7"/>
        <v/>
      </c>
      <c r="X39" s="42" t="str">
        <f t="shared" si="7"/>
        <v/>
      </c>
      <c r="Y39" s="42"/>
      <c r="Z39" s="42">
        <f t="shared" si="8"/>
        <v>0</v>
      </c>
      <c r="AB39" s="44" t="str">
        <f>IF($D39&amp;$E39="","",IF(AND($D39&lt;&gt;"",NOT(ISNUMBER($D39))),"Salary must be a number",IF(AND($D39&lt;&gt;"",$E39=""),"Start month missing",IF(AND(ISNUMBER($E39),ISNUMBER($F39),$F39&lt;$E39),"End is before Start",IF(AND($D39&lt;&gt;"",NOT(ISNUMBER($H39))),"Increase month missing","")))))</f>
        <v/>
      </c>
    </row>
    <row r="40" spans="2:28" x14ac:dyDescent="0.3">
      <c r="B40" s="8" t="s">
        <v>56</v>
      </c>
      <c r="D40" s="45"/>
      <c r="E40" s="46"/>
      <c r="F40" s="46"/>
      <c r="G40" s="46"/>
      <c r="H40" s="46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B40" s="44"/>
    </row>
    <row r="41" spans="2:28" x14ac:dyDescent="0.3">
      <c r="B41" s="37" t="s">
        <v>273</v>
      </c>
      <c r="C41" s="37" t="s">
        <v>278</v>
      </c>
      <c r="D41" s="38">
        <v>90000</v>
      </c>
      <c r="E41" s="39">
        <v>46296</v>
      </c>
      <c r="F41" s="39">
        <v>46722</v>
      </c>
      <c r="G41" s="40">
        <v>0.03</v>
      </c>
      <c r="H41" s="41">
        <f t="shared" ref="H41:H50" si="9">$D$8</f>
        <v>46661</v>
      </c>
      <c r="I41" s="42">
        <f t="shared" ref="I41:X50" si="10">IF(OR($D41="",$E41="",NOT(ISNUMBER($D41))),"",IF(AND($E41&lt;=I$10,IF($F41="",$X$10,$F41)&gt;=I$10),$D41/12*(1+N($G41))^IF(AND(ISNUMBER($H41),I$10&gt;=$H41),1+INT(DATEDIF($H41,I$10,"m")/12),0),0))</f>
        <v>0</v>
      </c>
      <c r="J41" s="42">
        <f t="shared" si="10"/>
        <v>7500</v>
      </c>
      <c r="K41" s="42">
        <f t="shared" si="10"/>
        <v>7500</v>
      </c>
      <c r="L41" s="42">
        <f t="shared" si="10"/>
        <v>7500</v>
      </c>
      <c r="M41" s="42">
        <f t="shared" si="10"/>
        <v>7500</v>
      </c>
      <c r="N41" s="42">
        <f t="shared" si="10"/>
        <v>7500</v>
      </c>
      <c r="O41" s="42">
        <f t="shared" si="10"/>
        <v>7500</v>
      </c>
      <c r="P41" s="42">
        <f t="shared" si="10"/>
        <v>7500</v>
      </c>
      <c r="Q41" s="42">
        <f t="shared" si="10"/>
        <v>7500</v>
      </c>
      <c r="R41" s="42">
        <f t="shared" si="10"/>
        <v>7500</v>
      </c>
      <c r="S41" s="42">
        <f t="shared" si="10"/>
        <v>7500</v>
      </c>
      <c r="T41" s="42">
        <f t="shared" si="10"/>
        <v>7500</v>
      </c>
      <c r="U41" s="42">
        <f t="shared" si="10"/>
        <v>7500</v>
      </c>
      <c r="V41" s="42">
        <f t="shared" si="10"/>
        <v>7725</v>
      </c>
      <c r="W41" s="42">
        <f t="shared" si="10"/>
        <v>7725</v>
      </c>
      <c r="X41" s="42">
        <f t="shared" si="10"/>
        <v>7725</v>
      </c>
      <c r="Y41" s="42"/>
      <c r="Z41" s="42">
        <f t="shared" si="8"/>
        <v>90675</v>
      </c>
      <c r="AB41" s="44" t="str">
        <f t="shared" ref="AB41:AB50" si="11">IF($D41&amp;$E41="","",IF(AND($D41&lt;&gt;"",NOT(ISNUMBER($D41))),"Salary must be a number",IF(AND($D41&lt;&gt;"",$E41=""),"Start month missing",IF(AND(ISNUMBER($E41),ISNUMBER($F41),$F41&lt;$E41),"End is before Start",IF(AND($D41&lt;&gt;"",NOT(ISNUMBER($H41))),"Increase month missing","")))))</f>
        <v/>
      </c>
    </row>
    <row r="42" spans="2:28" x14ac:dyDescent="0.3">
      <c r="B42" s="37"/>
      <c r="C42" s="37"/>
      <c r="D42" s="38"/>
      <c r="E42" s="39"/>
      <c r="F42" s="39">
        <v>46722</v>
      </c>
      <c r="G42" s="40">
        <v>0.03</v>
      </c>
      <c r="H42" s="41">
        <f t="shared" si="9"/>
        <v>46661</v>
      </c>
      <c r="I42" s="42" t="str">
        <f t="shared" si="10"/>
        <v/>
      </c>
      <c r="J42" s="42" t="str">
        <f t="shared" si="10"/>
        <v/>
      </c>
      <c r="K42" s="42" t="str">
        <f t="shared" si="10"/>
        <v/>
      </c>
      <c r="L42" s="42" t="str">
        <f t="shared" si="10"/>
        <v/>
      </c>
      <c r="M42" s="42" t="str">
        <f t="shared" si="10"/>
        <v/>
      </c>
      <c r="N42" s="42" t="str">
        <f t="shared" si="10"/>
        <v/>
      </c>
      <c r="O42" s="42" t="str">
        <f t="shared" si="10"/>
        <v/>
      </c>
      <c r="P42" s="42" t="str">
        <f t="shared" si="10"/>
        <v/>
      </c>
      <c r="Q42" s="42" t="str">
        <f t="shared" si="10"/>
        <v/>
      </c>
      <c r="R42" s="42" t="str">
        <f t="shared" si="10"/>
        <v/>
      </c>
      <c r="S42" s="42" t="str">
        <f t="shared" si="10"/>
        <v/>
      </c>
      <c r="T42" s="42" t="str">
        <f t="shared" si="10"/>
        <v/>
      </c>
      <c r="U42" s="42" t="str">
        <f t="shared" si="10"/>
        <v/>
      </c>
      <c r="V42" s="42" t="str">
        <f t="shared" si="10"/>
        <v/>
      </c>
      <c r="W42" s="42" t="str">
        <f t="shared" si="10"/>
        <v/>
      </c>
      <c r="X42" s="42" t="str">
        <f t="shared" si="10"/>
        <v/>
      </c>
      <c r="Y42" s="42"/>
      <c r="Z42" s="42">
        <f t="shared" si="8"/>
        <v>0</v>
      </c>
      <c r="AB42" s="44" t="str">
        <f t="shared" si="11"/>
        <v/>
      </c>
    </row>
    <row r="43" spans="2:28" x14ac:dyDescent="0.3">
      <c r="B43" s="37"/>
      <c r="C43" s="37"/>
      <c r="D43" s="38"/>
      <c r="E43" s="39"/>
      <c r="F43" s="39">
        <v>46722</v>
      </c>
      <c r="G43" s="40">
        <v>0.03</v>
      </c>
      <c r="H43" s="41">
        <f t="shared" si="9"/>
        <v>46661</v>
      </c>
      <c r="I43" s="42" t="str">
        <f t="shared" si="10"/>
        <v/>
      </c>
      <c r="J43" s="42" t="str">
        <f t="shared" si="10"/>
        <v/>
      </c>
      <c r="K43" s="42" t="str">
        <f t="shared" si="10"/>
        <v/>
      </c>
      <c r="L43" s="42" t="str">
        <f t="shared" si="10"/>
        <v/>
      </c>
      <c r="M43" s="42" t="str">
        <f t="shared" si="10"/>
        <v/>
      </c>
      <c r="N43" s="42" t="str">
        <f t="shared" si="10"/>
        <v/>
      </c>
      <c r="O43" s="42" t="str">
        <f t="shared" si="10"/>
        <v/>
      </c>
      <c r="P43" s="42" t="str">
        <f t="shared" si="10"/>
        <v/>
      </c>
      <c r="Q43" s="42" t="str">
        <f t="shared" si="10"/>
        <v/>
      </c>
      <c r="R43" s="42" t="str">
        <f t="shared" si="10"/>
        <v/>
      </c>
      <c r="S43" s="42" t="str">
        <f t="shared" si="10"/>
        <v/>
      </c>
      <c r="T43" s="42" t="str">
        <f t="shared" si="10"/>
        <v/>
      </c>
      <c r="U43" s="42" t="str">
        <f t="shared" si="10"/>
        <v/>
      </c>
      <c r="V43" s="42" t="str">
        <f t="shared" si="10"/>
        <v/>
      </c>
      <c r="W43" s="42" t="str">
        <f t="shared" si="10"/>
        <v/>
      </c>
      <c r="X43" s="42" t="str">
        <f t="shared" si="10"/>
        <v/>
      </c>
      <c r="Y43" s="42"/>
      <c r="Z43" s="42">
        <f t="shared" si="8"/>
        <v>0</v>
      </c>
      <c r="AB43" s="44" t="str">
        <f t="shared" si="11"/>
        <v/>
      </c>
    </row>
    <row r="44" spans="2:28" x14ac:dyDescent="0.3">
      <c r="B44" s="37"/>
      <c r="C44" s="37"/>
      <c r="D44" s="38"/>
      <c r="E44" s="39"/>
      <c r="F44" s="39">
        <v>46722</v>
      </c>
      <c r="G44" s="40">
        <v>0.03</v>
      </c>
      <c r="H44" s="41">
        <f t="shared" si="9"/>
        <v>46661</v>
      </c>
      <c r="I44" s="42" t="str">
        <f t="shared" si="10"/>
        <v/>
      </c>
      <c r="J44" s="42" t="str">
        <f t="shared" si="10"/>
        <v/>
      </c>
      <c r="K44" s="42" t="str">
        <f t="shared" si="10"/>
        <v/>
      </c>
      <c r="L44" s="42" t="str">
        <f t="shared" si="10"/>
        <v/>
      </c>
      <c r="M44" s="42" t="str">
        <f t="shared" si="10"/>
        <v/>
      </c>
      <c r="N44" s="42" t="str">
        <f t="shared" si="10"/>
        <v/>
      </c>
      <c r="O44" s="42" t="str">
        <f t="shared" si="10"/>
        <v/>
      </c>
      <c r="P44" s="42" t="str">
        <f t="shared" si="10"/>
        <v/>
      </c>
      <c r="Q44" s="42" t="str">
        <f t="shared" si="10"/>
        <v/>
      </c>
      <c r="R44" s="42" t="str">
        <f t="shared" si="10"/>
        <v/>
      </c>
      <c r="S44" s="42" t="str">
        <f t="shared" si="10"/>
        <v/>
      </c>
      <c r="T44" s="42" t="str">
        <f t="shared" si="10"/>
        <v/>
      </c>
      <c r="U44" s="42" t="str">
        <f t="shared" si="10"/>
        <v/>
      </c>
      <c r="V44" s="42" t="str">
        <f t="shared" si="10"/>
        <v/>
      </c>
      <c r="W44" s="42" t="str">
        <f t="shared" si="10"/>
        <v/>
      </c>
      <c r="X44" s="42" t="str">
        <f t="shared" si="10"/>
        <v/>
      </c>
      <c r="Y44" s="42"/>
      <c r="Z44" s="42">
        <f t="shared" si="8"/>
        <v>0</v>
      </c>
      <c r="AB44" s="44" t="str">
        <f t="shared" si="11"/>
        <v/>
      </c>
    </row>
    <row r="45" spans="2:28" x14ac:dyDescent="0.3">
      <c r="B45" s="37"/>
      <c r="C45" s="37"/>
      <c r="D45" s="38"/>
      <c r="E45" s="39"/>
      <c r="F45" s="39">
        <v>46722</v>
      </c>
      <c r="G45" s="40">
        <v>0.03</v>
      </c>
      <c r="H45" s="41">
        <f t="shared" si="9"/>
        <v>46661</v>
      </c>
      <c r="I45" s="42" t="str">
        <f t="shared" si="10"/>
        <v/>
      </c>
      <c r="J45" s="42" t="str">
        <f t="shared" si="10"/>
        <v/>
      </c>
      <c r="K45" s="42" t="str">
        <f t="shared" si="10"/>
        <v/>
      </c>
      <c r="L45" s="42" t="str">
        <f t="shared" si="10"/>
        <v/>
      </c>
      <c r="M45" s="42" t="str">
        <f t="shared" si="10"/>
        <v/>
      </c>
      <c r="N45" s="42" t="str">
        <f t="shared" si="10"/>
        <v/>
      </c>
      <c r="O45" s="42" t="str">
        <f t="shared" si="10"/>
        <v/>
      </c>
      <c r="P45" s="42" t="str">
        <f t="shared" si="10"/>
        <v/>
      </c>
      <c r="Q45" s="42" t="str">
        <f t="shared" si="10"/>
        <v/>
      </c>
      <c r="R45" s="42" t="str">
        <f t="shared" si="10"/>
        <v/>
      </c>
      <c r="S45" s="42" t="str">
        <f t="shared" si="10"/>
        <v/>
      </c>
      <c r="T45" s="42" t="str">
        <f t="shared" si="10"/>
        <v/>
      </c>
      <c r="U45" s="42" t="str">
        <f t="shared" si="10"/>
        <v/>
      </c>
      <c r="V45" s="42" t="str">
        <f t="shared" si="10"/>
        <v/>
      </c>
      <c r="W45" s="42" t="str">
        <f t="shared" si="10"/>
        <v/>
      </c>
      <c r="X45" s="42" t="str">
        <f t="shared" si="10"/>
        <v/>
      </c>
      <c r="Y45" s="42"/>
      <c r="Z45" s="42">
        <f t="shared" si="8"/>
        <v>0</v>
      </c>
      <c r="AB45" s="44" t="str">
        <f t="shared" si="11"/>
        <v/>
      </c>
    </row>
    <row r="46" spans="2:28" x14ac:dyDescent="0.3">
      <c r="B46" s="37"/>
      <c r="C46" s="37"/>
      <c r="D46" s="38"/>
      <c r="E46" s="39"/>
      <c r="F46" s="39">
        <v>46722</v>
      </c>
      <c r="G46" s="40">
        <v>0.03</v>
      </c>
      <c r="H46" s="41">
        <f t="shared" si="9"/>
        <v>46661</v>
      </c>
      <c r="I46" s="42" t="str">
        <f t="shared" si="10"/>
        <v/>
      </c>
      <c r="J46" s="42" t="str">
        <f t="shared" si="10"/>
        <v/>
      </c>
      <c r="K46" s="42" t="str">
        <f t="shared" si="10"/>
        <v/>
      </c>
      <c r="L46" s="42" t="str">
        <f t="shared" si="10"/>
        <v/>
      </c>
      <c r="M46" s="42" t="str">
        <f t="shared" si="10"/>
        <v/>
      </c>
      <c r="N46" s="42" t="str">
        <f t="shared" si="10"/>
        <v/>
      </c>
      <c r="O46" s="42" t="str">
        <f t="shared" si="10"/>
        <v/>
      </c>
      <c r="P46" s="42" t="str">
        <f t="shared" si="10"/>
        <v/>
      </c>
      <c r="Q46" s="42" t="str">
        <f t="shared" si="10"/>
        <v/>
      </c>
      <c r="R46" s="42" t="str">
        <f t="shared" si="10"/>
        <v/>
      </c>
      <c r="S46" s="42" t="str">
        <f t="shared" si="10"/>
        <v/>
      </c>
      <c r="T46" s="42" t="str">
        <f t="shared" si="10"/>
        <v/>
      </c>
      <c r="U46" s="42" t="str">
        <f t="shared" si="10"/>
        <v/>
      </c>
      <c r="V46" s="42" t="str">
        <f t="shared" si="10"/>
        <v/>
      </c>
      <c r="W46" s="42" t="str">
        <f t="shared" si="10"/>
        <v/>
      </c>
      <c r="X46" s="42" t="str">
        <f t="shared" si="10"/>
        <v/>
      </c>
      <c r="Y46" s="42"/>
      <c r="Z46" s="42">
        <f t="shared" si="8"/>
        <v>0</v>
      </c>
      <c r="AB46" s="44" t="str">
        <f t="shared" si="11"/>
        <v/>
      </c>
    </row>
    <row r="47" spans="2:28" x14ac:dyDescent="0.3">
      <c r="B47" s="37"/>
      <c r="C47" s="37"/>
      <c r="D47" s="38"/>
      <c r="E47" s="39"/>
      <c r="F47" s="39">
        <v>46722</v>
      </c>
      <c r="G47" s="40">
        <v>0.03</v>
      </c>
      <c r="H47" s="41">
        <f t="shared" si="9"/>
        <v>46661</v>
      </c>
      <c r="I47" s="42" t="str">
        <f t="shared" si="10"/>
        <v/>
      </c>
      <c r="J47" s="42" t="str">
        <f t="shared" si="10"/>
        <v/>
      </c>
      <c r="K47" s="42" t="str">
        <f t="shared" si="10"/>
        <v/>
      </c>
      <c r="L47" s="42" t="str">
        <f t="shared" si="10"/>
        <v/>
      </c>
      <c r="M47" s="42" t="str">
        <f t="shared" si="10"/>
        <v/>
      </c>
      <c r="N47" s="42" t="str">
        <f t="shared" si="10"/>
        <v/>
      </c>
      <c r="O47" s="42" t="str">
        <f t="shared" si="10"/>
        <v/>
      </c>
      <c r="P47" s="42" t="str">
        <f t="shared" si="10"/>
        <v/>
      </c>
      <c r="Q47" s="42" t="str">
        <f t="shared" si="10"/>
        <v/>
      </c>
      <c r="R47" s="42" t="str">
        <f t="shared" si="10"/>
        <v/>
      </c>
      <c r="S47" s="42" t="str">
        <f t="shared" si="10"/>
        <v/>
      </c>
      <c r="T47" s="42" t="str">
        <f t="shared" si="10"/>
        <v/>
      </c>
      <c r="U47" s="42" t="str">
        <f t="shared" si="10"/>
        <v/>
      </c>
      <c r="V47" s="42" t="str">
        <f t="shared" si="10"/>
        <v/>
      </c>
      <c r="W47" s="42" t="str">
        <f t="shared" si="10"/>
        <v/>
      </c>
      <c r="X47" s="42" t="str">
        <f t="shared" si="10"/>
        <v/>
      </c>
      <c r="Y47" s="42"/>
      <c r="Z47" s="42">
        <f t="shared" si="8"/>
        <v>0</v>
      </c>
      <c r="AB47" s="44" t="str">
        <f t="shared" si="11"/>
        <v/>
      </c>
    </row>
    <row r="48" spans="2:28" x14ac:dyDescent="0.3">
      <c r="B48" s="37"/>
      <c r="C48" s="37"/>
      <c r="D48" s="38"/>
      <c r="E48" s="39"/>
      <c r="F48" s="39">
        <v>46722</v>
      </c>
      <c r="G48" s="40">
        <v>0.03</v>
      </c>
      <c r="H48" s="41">
        <f t="shared" si="9"/>
        <v>46661</v>
      </c>
      <c r="I48" s="42" t="str">
        <f t="shared" si="10"/>
        <v/>
      </c>
      <c r="J48" s="42" t="str">
        <f t="shared" si="10"/>
        <v/>
      </c>
      <c r="K48" s="42" t="str">
        <f t="shared" si="10"/>
        <v/>
      </c>
      <c r="L48" s="42" t="str">
        <f t="shared" si="10"/>
        <v/>
      </c>
      <c r="M48" s="42" t="str">
        <f t="shared" si="10"/>
        <v/>
      </c>
      <c r="N48" s="42" t="str">
        <f t="shared" si="10"/>
        <v/>
      </c>
      <c r="O48" s="42" t="str">
        <f t="shared" si="10"/>
        <v/>
      </c>
      <c r="P48" s="42" t="str">
        <f t="shared" si="10"/>
        <v/>
      </c>
      <c r="Q48" s="42" t="str">
        <f t="shared" si="10"/>
        <v/>
      </c>
      <c r="R48" s="42" t="str">
        <f t="shared" si="10"/>
        <v/>
      </c>
      <c r="S48" s="42" t="str">
        <f t="shared" si="10"/>
        <v/>
      </c>
      <c r="T48" s="42" t="str">
        <f t="shared" si="10"/>
        <v/>
      </c>
      <c r="U48" s="42" t="str">
        <f t="shared" si="10"/>
        <v/>
      </c>
      <c r="V48" s="42" t="str">
        <f t="shared" si="10"/>
        <v/>
      </c>
      <c r="W48" s="42" t="str">
        <f t="shared" si="10"/>
        <v/>
      </c>
      <c r="X48" s="42" t="str">
        <f t="shared" si="10"/>
        <v/>
      </c>
      <c r="Y48" s="42"/>
      <c r="Z48" s="42">
        <f t="shared" si="8"/>
        <v>0</v>
      </c>
      <c r="AB48" s="44" t="str">
        <f t="shared" si="11"/>
        <v/>
      </c>
    </row>
    <row r="49" spans="1:28" x14ac:dyDescent="0.3">
      <c r="B49" s="37"/>
      <c r="C49" s="37"/>
      <c r="D49" s="38"/>
      <c r="E49" s="39"/>
      <c r="F49" s="39">
        <v>46722</v>
      </c>
      <c r="G49" s="40">
        <v>0.03</v>
      </c>
      <c r="H49" s="41">
        <f t="shared" si="9"/>
        <v>46661</v>
      </c>
      <c r="I49" s="42" t="str">
        <f t="shared" si="10"/>
        <v/>
      </c>
      <c r="J49" s="42" t="str">
        <f t="shared" si="10"/>
        <v/>
      </c>
      <c r="K49" s="42" t="str">
        <f t="shared" si="10"/>
        <v/>
      </c>
      <c r="L49" s="42" t="str">
        <f t="shared" si="10"/>
        <v/>
      </c>
      <c r="M49" s="42" t="str">
        <f t="shared" si="10"/>
        <v/>
      </c>
      <c r="N49" s="42" t="str">
        <f t="shared" si="10"/>
        <v/>
      </c>
      <c r="O49" s="42" t="str">
        <f t="shared" si="10"/>
        <v/>
      </c>
      <c r="P49" s="42" t="str">
        <f t="shared" si="10"/>
        <v/>
      </c>
      <c r="Q49" s="42" t="str">
        <f t="shared" si="10"/>
        <v/>
      </c>
      <c r="R49" s="42" t="str">
        <f t="shared" si="10"/>
        <v/>
      </c>
      <c r="S49" s="42" t="str">
        <f t="shared" si="10"/>
        <v/>
      </c>
      <c r="T49" s="42" t="str">
        <f t="shared" si="10"/>
        <v/>
      </c>
      <c r="U49" s="42" t="str">
        <f t="shared" si="10"/>
        <v/>
      </c>
      <c r="V49" s="42" t="str">
        <f t="shared" si="10"/>
        <v/>
      </c>
      <c r="W49" s="42" t="str">
        <f t="shared" si="10"/>
        <v/>
      </c>
      <c r="X49" s="42" t="str">
        <f t="shared" si="10"/>
        <v/>
      </c>
      <c r="Y49" s="42"/>
      <c r="Z49" s="42">
        <f t="shared" si="8"/>
        <v>0</v>
      </c>
      <c r="AB49" s="44" t="str">
        <f t="shared" si="11"/>
        <v/>
      </c>
    </row>
    <row r="50" spans="1:28" x14ac:dyDescent="0.3">
      <c r="B50" s="37"/>
      <c r="C50" s="37"/>
      <c r="D50" s="38"/>
      <c r="E50" s="39"/>
      <c r="F50" s="39">
        <v>46722</v>
      </c>
      <c r="G50" s="40">
        <v>0.03</v>
      </c>
      <c r="H50" s="41">
        <f t="shared" si="9"/>
        <v>46661</v>
      </c>
      <c r="I50" s="42" t="str">
        <f t="shared" si="10"/>
        <v/>
      </c>
      <c r="J50" s="42" t="str">
        <f t="shared" si="10"/>
        <v/>
      </c>
      <c r="K50" s="42" t="str">
        <f t="shared" si="10"/>
        <v/>
      </c>
      <c r="L50" s="42" t="str">
        <f t="shared" si="10"/>
        <v/>
      </c>
      <c r="M50" s="42" t="str">
        <f t="shared" si="10"/>
        <v/>
      </c>
      <c r="N50" s="42" t="str">
        <f t="shared" si="10"/>
        <v/>
      </c>
      <c r="O50" s="42" t="str">
        <f t="shared" si="10"/>
        <v/>
      </c>
      <c r="P50" s="42" t="str">
        <f t="shared" si="10"/>
        <v/>
      </c>
      <c r="Q50" s="42" t="str">
        <f t="shared" si="10"/>
        <v/>
      </c>
      <c r="R50" s="42" t="str">
        <f t="shared" si="10"/>
        <v/>
      </c>
      <c r="S50" s="42" t="str">
        <f t="shared" si="10"/>
        <v/>
      </c>
      <c r="T50" s="42" t="str">
        <f t="shared" si="10"/>
        <v/>
      </c>
      <c r="U50" s="42" t="str">
        <f t="shared" si="10"/>
        <v/>
      </c>
      <c r="V50" s="42" t="str">
        <f t="shared" si="10"/>
        <v/>
      </c>
      <c r="W50" s="42" t="str">
        <f t="shared" si="10"/>
        <v/>
      </c>
      <c r="X50" s="42" t="str">
        <f t="shared" si="10"/>
        <v/>
      </c>
      <c r="Y50" s="42"/>
      <c r="Z50" s="42">
        <f t="shared" si="8"/>
        <v>0</v>
      </c>
      <c r="AB50" s="44" t="str">
        <f t="shared" si="11"/>
        <v/>
      </c>
    </row>
    <row r="51" spans="1:28" x14ac:dyDescent="0.3">
      <c r="A51" s="78" t="s">
        <v>57</v>
      </c>
      <c r="B51" s="8" t="s">
        <v>58</v>
      </c>
      <c r="C51" s="8"/>
      <c r="D51" s="47"/>
      <c r="E51" s="48"/>
      <c r="F51" s="48"/>
      <c r="G51" s="49"/>
      <c r="H51" s="48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B51" s="44"/>
    </row>
    <row r="52" spans="1:28" x14ac:dyDescent="0.3">
      <c r="A52" s="79"/>
      <c r="B52" s="37"/>
      <c r="C52" s="37"/>
      <c r="D52" s="38"/>
      <c r="E52" s="39"/>
      <c r="F52" s="39">
        <v>46722</v>
      </c>
      <c r="G52" s="40">
        <v>0.03</v>
      </c>
      <c r="H52" s="41">
        <f t="shared" ref="H52:H57" si="12">$D$8</f>
        <v>46661</v>
      </c>
      <c r="I52" s="42" t="str">
        <f t="shared" ref="I52:X57" si="13">IF(OR($D52="",$E52="",NOT(ISNUMBER($D52))),"",IF(AND($E52&lt;=I$10,IF($F52="",$X$10,$F52)&gt;=I$10),$D52/12*(1+N($G52))^IF(AND(ISNUMBER($H52),I$10&gt;=$H52),1+INT(DATEDIF($H52,I$10,"m")/12),0),0))</f>
        <v/>
      </c>
      <c r="J52" s="42" t="str">
        <f t="shared" si="13"/>
        <v/>
      </c>
      <c r="K52" s="42" t="str">
        <f t="shared" si="13"/>
        <v/>
      </c>
      <c r="L52" s="42" t="str">
        <f t="shared" si="13"/>
        <v/>
      </c>
      <c r="M52" s="42" t="str">
        <f t="shared" si="13"/>
        <v/>
      </c>
      <c r="N52" s="42" t="str">
        <f t="shared" si="13"/>
        <v/>
      </c>
      <c r="O52" s="42" t="str">
        <f t="shared" si="13"/>
        <v/>
      </c>
      <c r="P52" s="42" t="str">
        <f t="shared" si="13"/>
        <v/>
      </c>
      <c r="Q52" s="42" t="str">
        <f t="shared" si="13"/>
        <v/>
      </c>
      <c r="R52" s="42" t="str">
        <f t="shared" si="13"/>
        <v/>
      </c>
      <c r="S52" s="42" t="str">
        <f t="shared" si="13"/>
        <v/>
      </c>
      <c r="T52" s="42" t="str">
        <f t="shared" si="13"/>
        <v/>
      </c>
      <c r="U52" s="42" t="str">
        <f t="shared" si="13"/>
        <v/>
      </c>
      <c r="V52" s="42" t="str">
        <f t="shared" si="13"/>
        <v/>
      </c>
      <c r="W52" s="42" t="str">
        <f t="shared" si="13"/>
        <v/>
      </c>
      <c r="X52" s="42" t="str">
        <f t="shared" si="13"/>
        <v/>
      </c>
      <c r="Y52" s="42"/>
      <c r="Z52" s="42">
        <f t="shared" ref="Z52:Z57" si="14">SUM(M52:X52)</f>
        <v>0</v>
      </c>
      <c r="AB52" s="44" t="str">
        <f t="shared" ref="AB52:AB57" si="15">IF($D52&amp;$E52="","",IF(AND($D52&lt;&gt;"",NOT(ISNUMBER($D52))),"Salary must be a number",IF(AND($D52&lt;&gt;"",$E52=""),"Start month missing",IF(AND(ISNUMBER($E52),ISNUMBER($F52),$F52&lt;$E52),"End is before Start",IF(AND($D52&lt;&gt;"",NOT(ISNUMBER($H52))),"Increase month missing","")))))</f>
        <v/>
      </c>
    </row>
    <row r="53" spans="1:28" x14ac:dyDescent="0.3">
      <c r="A53" s="79"/>
      <c r="B53" s="37"/>
      <c r="C53" s="37"/>
      <c r="D53" s="38"/>
      <c r="E53" s="39"/>
      <c r="F53" s="39">
        <v>46722</v>
      </c>
      <c r="G53" s="40">
        <v>0.03</v>
      </c>
      <c r="H53" s="41">
        <f t="shared" si="12"/>
        <v>46661</v>
      </c>
      <c r="I53" s="42" t="str">
        <f t="shared" si="13"/>
        <v/>
      </c>
      <c r="J53" s="42" t="str">
        <f t="shared" si="13"/>
        <v/>
      </c>
      <c r="K53" s="42" t="str">
        <f t="shared" si="13"/>
        <v/>
      </c>
      <c r="L53" s="42" t="str">
        <f t="shared" si="13"/>
        <v/>
      </c>
      <c r="M53" s="42" t="str">
        <f t="shared" si="13"/>
        <v/>
      </c>
      <c r="N53" s="42" t="str">
        <f t="shared" si="13"/>
        <v/>
      </c>
      <c r="O53" s="42" t="str">
        <f t="shared" si="13"/>
        <v/>
      </c>
      <c r="P53" s="42" t="str">
        <f t="shared" si="13"/>
        <v/>
      </c>
      <c r="Q53" s="42" t="str">
        <f t="shared" si="13"/>
        <v/>
      </c>
      <c r="R53" s="42" t="str">
        <f t="shared" si="13"/>
        <v/>
      </c>
      <c r="S53" s="42" t="str">
        <f t="shared" si="13"/>
        <v/>
      </c>
      <c r="T53" s="42" t="str">
        <f t="shared" si="13"/>
        <v/>
      </c>
      <c r="U53" s="42" t="str">
        <f t="shared" si="13"/>
        <v/>
      </c>
      <c r="V53" s="42" t="str">
        <f t="shared" si="13"/>
        <v/>
      </c>
      <c r="W53" s="42" t="str">
        <f t="shared" si="13"/>
        <v/>
      </c>
      <c r="X53" s="42" t="str">
        <f t="shared" si="13"/>
        <v/>
      </c>
      <c r="Y53" s="42"/>
      <c r="Z53" s="42">
        <f t="shared" si="14"/>
        <v>0</v>
      </c>
      <c r="AB53" s="44" t="str">
        <f t="shared" si="15"/>
        <v/>
      </c>
    </row>
    <row r="54" spans="1:28" x14ac:dyDescent="0.3">
      <c r="A54" s="79"/>
      <c r="B54" s="37"/>
      <c r="C54" s="37"/>
      <c r="D54" s="38"/>
      <c r="E54" s="39"/>
      <c r="F54" s="39">
        <v>46722</v>
      </c>
      <c r="G54" s="40">
        <v>0.03</v>
      </c>
      <c r="H54" s="41">
        <f t="shared" si="12"/>
        <v>46661</v>
      </c>
      <c r="I54" s="42" t="str">
        <f t="shared" si="13"/>
        <v/>
      </c>
      <c r="J54" s="42" t="str">
        <f t="shared" si="13"/>
        <v/>
      </c>
      <c r="K54" s="42" t="str">
        <f t="shared" si="13"/>
        <v/>
      </c>
      <c r="L54" s="42" t="str">
        <f t="shared" si="13"/>
        <v/>
      </c>
      <c r="M54" s="42" t="str">
        <f t="shared" si="13"/>
        <v/>
      </c>
      <c r="N54" s="42" t="str">
        <f t="shared" si="13"/>
        <v/>
      </c>
      <c r="O54" s="42" t="str">
        <f t="shared" si="13"/>
        <v/>
      </c>
      <c r="P54" s="42" t="str">
        <f t="shared" si="13"/>
        <v/>
      </c>
      <c r="Q54" s="42" t="str">
        <f t="shared" si="13"/>
        <v/>
      </c>
      <c r="R54" s="42" t="str">
        <f t="shared" si="13"/>
        <v/>
      </c>
      <c r="S54" s="42" t="str">
        <f t="shared" si="13"/>
        <v/>
      </c>
      <c r="T54" s="42" t="str">
        <f t="shared" si="13"/>
        <v/>
      </c>
      <c r="U54" s="42" t="str">
        <f t="shared" si="13"/>
        <v/>
      </c>
      <c r="V54" s="42" t="str">
        <f t="shared" si="13"/>
        <v/>
      </c>
      <c r="W54" s="42" t="str">
        <f t="shared" si="13"/>
        <v/>
      </c>
      <c r="X54" s="42" t="str">
        <f t="shared" si="13"/>
        <v/>
      </c>
      <c r="Y54" s="42"/>
      <c r="Z54" s="42">
        <f t="shared" si="14"/>
        <v>0</v>
      </c>
      <c r="AB54" s="44" t="str">
        <f t="shared" si="15"/>
        <v/>
      </c>
    </row>
    <row r="55" spans="1:28" x14ac:dyDescent="0.3">
      <c r="A55" s="79"/>
      <c r="B55" s="37"/>
      <c r="C55" s="37"/>
      <c r="D55" s="38"/>
      <c r="E55" s="39"/>
      <c r="F55" s="39">
        <v>46722</v>
      </c>
      <c r="G55" s="40">
        <v>0.03</v>
      </c>
      <c r="H55" s="41">
        <f t="shared" si="12"/>
        <v>46661</v>
      </c>
      <c r="I55" s="42" t="str">
        <f t="shared" si="13"/>
        <v/>
      </c>
      <c r="J55" s="42" t="str">
        <f t="shared" si="13"/>
        <v/>
      </c>
      <c r="K55" s="42" t="str">
        <f t="shared" si="13"/>
        <v/>
      </c>
      <c r="L55" s="42" t="str">
        <f t="shared" si="13"/>
        <v/>
      </c>
      <c r="M55" s="42" t="str">
        <f t="shared" si="13"/>
        <v/>
      </c>
      <c r="N55" s="42" t="str">
        <f t="shared" si="13"/>
        <v/>
      </c>
      <c r="O55" s="42" t="str">
        <f t="shared" si="13"/>
        <v/>
      </c>
      <c r="P55" s="42" t="str">
        <f t="shared" si="13"/>
        <v/>
      </c>
      <c r="Q55" s="42" t="str">
        <f t="shared" si="13"/>
        <v/>
      </c>
      <c r="R55" s="42" t="str">
        <f t="shared" si="13"/>
        <v/>
      </c>
      <c r="S55" s="42" t="str">
        <f t="shared" si="13"/>
        <v/>
      </c>
      <c r="T55" s="42" t="str">
        <f t="shared" si="13"/>
        <v/>
      </c>
      <c r="U55" s="42" t="str">
        <f t="shared" si="13"/>
        <v/>
      </c>
      <c r="V55" s="42" t="str">
        <f t="shared" si="13"/>
        <v/>
      </c>
      <c r="W55" s="42" t="str">
        <f t="shared" si="13"/>
        <v/>
      </c>
      <c r="X55" s="42" t="str">
        <f t="shared" si="13"/>
        <v/>
      </c>
      <c r="Y55" s="42"/>
      <c r="Z55" s="42">
        <f t="shared" si="14"/>
        <v>0</v>
      </c>
      <c r="AB55" s="44" t="str">
        <f t="shared" si="15"/>
        <v/>
      </c>
    </row>
    <row r="56" spans="1:28" x14ac:dyDescent="0.3">
      <c r="A56" s="79"/>
      <c r="B56" s="37"/>
      <c r="C56" s="37"/>
      <c r="D56" s="38"/>
      <c r="E56" s="39"/>
      <c r="F56" s="39">
        <v>46722</v>
      </c>
      <c r="G56" s="40">
        <v>0.03</v>
      </c>
      <c r="H56" s="41">
        <f t="shared" si="12"/>
        <v>46661</v>
      </c>
      <c r="I56" s="42" t="str">
        <f t="shared" si="13"/>
        <v/>
      </c>
      <c r="J56" s="42" t="str">
        <f t="shared" si="13"/>
        <v/>
      </c>
      <c r="K56" s="42" t="str">
        <f t="shared" si="13"/>
        <v/>
      </c>
      <c r="L56" s="42" t="str">
        <f t="shared" si="13"/>
        <v/>
      </c>
      <c r="M56" s="42" t="str">
        <f t="shared" si="13"/>
        <v/>
      </c>
      <c r="N56" s="42" t="str">
        <f t="shared" si="13"/>
        <v/>
      </c>
      <c r="O56" s="42" t="str">
        <f t="shared" si="13"/>
        <v/>
      </c>
      <c r="P56" s="42" t="str">
        <f t="shared" si="13"/>
        <v/>
      </c>
      <c r="Q56" s="42" t="str">
        <f t="shared" si="13"/>
        <v/>
      </c>
      <c r="R56" s="42" t="str">
        <f t="shared" si="13"/>
        <v/>
      </c>
      <c r="S56" s="42" t="str">
        <f t="shared" si="13"/>
        <v/>
      </c>
      <c r="T56" s="42" t="str">
        <f t="shared" si="13"/>
        <v/>
      </c>
      <c r="U56" s="42" t="str">
        <f t="shared" si="13"/>
        <v/>
      </c>
      <c r="V56" s="42" t="str">
        <f t="shared" si="13"/>
        <v/>
      </c>
      <c r="W56" s="42" t="str">
        <f t="shared" si="13"/>
        <v/>
      </c>
      <c r="X56" s="42" t="str">
        <f t="shared" si="13"/>
        <v/>
      </c>
      <c r="Y56" s="42"/>
      <c r="Z56" s="42">
        <f t="shared" si="14"/>
        <v>0</v>
      </c>
      <c r="AB56" s="44" t="str">
        <f t="shared" si="15"/>
        <v/>
      </c>
    </row>
    <row r="57" spans="1:28" x14ac:dyDescent="0.3">
      <c r="A57" s="79"/>
      <c r="B57" s="37"/>
      <c r="C57" s="37"/>
      <c r="D57" s="38"/>
      <c r="E57" s="39"/>
      <c r="F57" s="39">
        <v>46722</v>
      </c>
      <c r="G57" s="40">
        <v>0.03</v>
      </c>
      <c r="H57" s="41">
        <f t="shared" si="12"/>
        <v>46661</v>
      </c>
      <c r="I57" s="42" t="str">
        <f t="shared" si="13"/>
        <v/>
      </c>
      <c r="J57" s="42" t="str">
        <f t="shared" si="13"/>
        <v/>
      </c>
      <c r="K57" s="42" t="str">
        <f t="shared" si="13"/>
        <v/>
      </c>
      <c r="L57" s="42" t="str">
        <f t="shared" si="13"/>
        <v/>
      </c>
      <c r="M57" s="42" t="str">
        <f t="shared" si="13"/>
        <v/>
      </c>
      <c r="N57" s="42" t="str">
        <f t="shared" si="13"/>
        <v/>
      </c>
      <c r="O57" s="42" t="str">
        <f t="shared" si="13"/>
        <v/>
      </c>
      <c r="P57" s="42" t="str">
        <f t="shared" si="13"/>
        <v/>
      </c>
      <c r="Q57" s="42" t="str">
        <f t="shared" si="13"/>
        <v/>
      </c>
      <c r="R57" s="42" t="str">
        <f t="shared" si="13"/>
        <v/>
      </c>
      <c r="S57" s="42" t="str">
        <f t="shared" si="13"/>
        <v/>
      </c>
      <c r="T57" s="42" t="str">
        <f t="shared" si="13"/>
        <v/>
      </c>
      <c r="U57" s="42" t="str">
        <f t="shared" si="13"/>
        <v/>
      </c>
      <c r="V57" s="42" t="str">
        <f t="shared" si="13"/>
        <v/>
      </c>
      <c r="W57" s="42" t="str">
        <f t="shared" si="13"/>
        <v/>
      </c>
      <c r="X57" s="42" t="str">
        <f t="shared" si="13"/>
        <v/>
      </c>
      <c r="Y57" s="42"/>
      <c r="Z57" s="42">
        <f t="shared" si="14"/>
        <v>0</v>
      </c>
      <c r="AB57" s="44" t="str">
        <f t="shared" si="15"/>
        <v/>
      </c>
    </row>
    <row r="58" spans="1:28" x14ac:dyDescent="0.3">
      <c r="A58" s="78" t="s">
        <v>59</v>
      </c>
      <c r="B58" s="8" t="s">
        <v>60</v>
      </c>
      <c r="C58" s="8"/>
      <c r="D58" s="47"/>
      <c r="E58" s="48"/>
      <c r="F58" s="48"/>
      <c r="G58" s="49"/>
      <c r="H58" s="48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B58" s="44"/>
    </row>
    <row r="59" spans="1:28" x14ac:dyDescent="0.3">
      <c r="A59" s="80"/>
      <c r="B59" s="51"/>
      <c r="C59" s="51"/>
      <c r="D59" s="52"/>
      <c r="E59" s="53"/>
      <c r="F59" s="54"/>
      <c r="G59" s="55"/>
      <c r="H59" s="54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B59" s="44" t="str">
        <f t="shared" ref="AB59:AB64" si="16">IF($B59&amp;$E59="","",IF($A59="","Receiving dept missing",IF(NOT(ISNUMBER($E59)),"Effective month missing","")))</f>
        <v/>
      </c>
    </row>
    <row r="60" spans="1:28" x14ac:dyDescent="0.3">
      <c r="A60" s="80"/>
      <c r="B60" s="51"/>
      <c r="C60" s="51"/>
      <c r="D60" s="52"/>
      <c r="E60" s="53"/>
      <c r="F60" s="54"/>
      <c r="G60" s="55"/>
      <c r="H60" s="54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B60" s="44" t="str">
        <f t="shared" si="16"/>
        <v/>
      </c>
    </row>
    <row r="61" spans="1:28" x14ac:dyDescent="0.3">
      <c r="A61" s="80"/>
      <c r="B61" s="51"/>
      <c r="C61" s="51"/>
      <c r="D61" s="52"/>
      <c r="E61" s="53"/>
      <c r="F61" s="54"/>
      <c r="G61" s="55"/>
      <c r="H61" s="54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B61" s="44" t="str">
        <f t="shared" si="16"/>
        <v/>
      </c>
    </row>
    <row r="62" spans="1:28" x14ac:dyDescent="0.3">
      <c r="A62" s="80"/>
      <c r="B62" s="51"/>
      <c r="C62" s="51"/>
      <c r="D62" s="52"/>
      <c r="E62" s="53"/>
      <c r="F62" s="54"/>
      <c r="G62" s="55"/>
      <c r="H62" s="54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B62" s="44" t="str">
        <f t="shared" si="16"/>
        <v/>
      </c>
    </row>
    <row r="63" spans="1:28" x14ac:dyDescent="0.3">
      <c r="A63" s="80"/>
      <c r="B63" s="51"/>
      <c r="C63" s="51"/>
      <c r="D63" s="52"/>
      <c r="E63" s="53"/>
      <c r="F63" s="54"/>
      <c r="G63" s="55"/>
      <c r="H63" s="54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B63" s="44" t="str">
        <f t="shared" si="16"/>
        <v/>
      </c>
    </row>
    <row r="64" spans="1:28" x14ac:dyDescent="0.3">
      <c r="A64" s="80"/>
      <c r="B64" s="51"/>
      <c r="C64" s="51"/>
      <c r="D64" s="52"/>
      <c r="E64" s="53"/>
      <c r="F64" s="54"/>
      <c r="G64" s="55"/>
      <c r="H64" s="54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B64" s="44" t="str">
        <f t="shared" si="16"/>
        <v/>
      </c>
    </row>
    <row r="65" spans="1:26" x14ac:dyDescent="0.3">
      <c r="A65" s="81"/>
      <c r="B65" s="56"/>
      <c r="C65" s="56"/>
      <c r="D65" s="57"/>
      <c r="E65" s="58"/>
      <c r="F65" s="58"/>
      <c r="G65" s="59"/>
      <c r="H65" s="58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x14ac:dyDescent="0.3">
      <c r="A66" s="81"/>
      <c r="B66" s="56"/>
      <c r="C66" s="56"/>
      <c r="D66" s="57"/>
      <c r="E66" s="58"/>
      <c r="F66" s="58"/>
      <c r="G66" s="59"/>
      <c r="H66" s="58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x14ac:dyDescent="0.3">
      <c r="B67" s="10" t="s">
        <v>7</v>
      </c>
      <c r="C67" s="10"/>
      <c r="D67" s="61"/>
      <c r="E67" s="62"/>
      <c r="F67" s="62"/>
      <c r="G67" s="62"/>
      <c r="H67" s="62"/>
      <c r="I67" s="63">
        <f t="shared" ref="I67:X67" si="17">SUM(I14:I57)</f>
        <v>36209.833333333328</v>
      </c>
      <c r="J67" s="63">
        <f t="shared" si="17"/>
        <v>43709.833333333328</v>
      </c>
      <c r="K67" s="63">
        <f t="shared" si="17"/>
        <v>43709.833333333328</v>
      </c>
      <c r="L67" s="63">
        <f t="shared" si="17"/>
        <v>43709.833333333328</v>
      </c>
      <c r="M67" s="63">
        <f t="shared" si="17"/>
        <v>43709.833333333328</v>
      </c>
      <c r="N67" s="63">
        <f t="shared" si="17"/>
        <v>43709.833333333328</v>
      </c>
      <c r="O67" s="63">
        <f t="shared" si="17"/>
        <v>43709.833333333328</v>
      </c>
      <c r="P67" s="63">
        <f t="shared" si="17"/>
        <v>43709.833333333328</v>
      </c>
      <c r="Q67" s="63">
        <f t="shared" si="17"/>
        <v>43709.833333333328</v>
      </c>
      <c r="R67" s="63">
        <f t="shared" si="17"/>
        <v>43709.833333333328</v>
      </c>
      <c r="S67" s="63">
        <f t="shared" si="17"/>
        <v>43709.833333333328</v>
      </c>
      <c r="T67" s="63">
        <f t="shared" si="17"/>
        <v>43709.833333333328</v>
      </c>
      <c r="U67" s="63">
        <f t="shared" si="17"/>
        <v>43709.833333333328</v>
      </c>
      <c r="V67" s="63">
        <f t="shared" si="17"/>
        <v>45021.128333333334</v>
      </c>
      <c r="W67" s="63">
        <f t="shared" si="17"/>
        <v>45021.128333333334</v>
      </c>
      <c r="X67" s="63">
        <f t="shared" si="17"/>
        <v>45021.128333333334</v>
      </c>
      <c r="Y67" s="64"/>
      <c r="Z67" s="63">
        <f>SUM(M67:X67)</f>
        <v>528451.88499999989</v>
      </c>
    </row>
    <row r="68" spans="1:26" x14ac:dyDescent="0.3">
      <c r="B68" s="10" t="s">
        <v>21</v>
      </c>
      <c r="C68" s="10"/>
      <c r="D68" s="61"/>
      <c r="E68" s="62"/>
      <c r="F68" s="62"/>
      <c r="G68" s="62"/>
      <c r="H68" s="62"/>
      <c r="I68" s="63">
        <f t="shared" ref="I68:X68" si="18">I67*$D$6</f>
        <v>1890.6805448176337</v>
      </c>
      <c r="J68" s="63">
        <f t="shared" si="18"/>
        <v>2282.289750957741</v>
      </c>
      <c r="K68" s="63">
        <f t="shared" si="18"/>
        <v>2282.289750957741</v>
      </c>
      <c r="L68" s="63">
        <f t="shared" si="18"/>
        <v>2282.289750957741</v>
      </c>
      <c r="M68" s="63">
        <f t="shared" si="18"/>
        <v>2282.289750957741</v>
      </c>
      <c r="N68" s="63">
        <f t="shared" si="18"/>
        <v>2282.289750957741</v>
      </c>
      <c r="O68" s="63">
        <f t="shared" si="18"/>
        <v>2282.289750957741</v>
      </c>
      <c r="P68" s="63">
        <f t="shared" si="18"/>
        <v>2282.289750957741</v>
      </c>
      <c r="Q68" s="63">
        <f t="shared" si="18"/>
        <v>2282.289750957741</v>
      </c>
      <c r="R68" s="63">
        <f t="shared" si="18"/>
        <v>2282.289750957741</v>
      </c>
      <c r="S68" s="63">
        <f t="shared" si="18"/>
        <v>2282.289750957741</v>
      </c>
      <c r="T68" s="63">
        <f t="shared" si="18"/>
        <v>2282.289750957741</v>
      </c>
      <c r="U68" s="63">
        <f t="shared" si="18"/>
        <v>2282.289750957741</v>
      </c>
      <c r="V68" s="63">
        <f t="shared" si="18"/>
        <v>2350.7584434864734</v>
      </c>
      <c r="W68" s="63">
        <f t="shared" si="18"/>
        <v>2350.7584434864734</v>
      </c>
      <c r="X68" s="63">
        <f t="shared" si="18"/>
        <v>2350.7584434864734</v>
      </c>
      <c r="Y68" s="64"/>
      <c r="Z68" s="63">
        <f>SUM(M68:X68)</f>
        <v>27592.883089079089</v>
      </c>
    </row>
    <row r="69" spans="1:26" x14ac:dyDescent="0.3">
      <c r="B69" s="10" t="s">
        <v>23</v>
      </c>
      <c r="C69" s="10"/>
      <c r="D69" s="61"/>
      <c r="E69" s="62"/>
      <c r="F69" s="62"/>
      <c r="G69" s="62"/>
      <c r="H69" s="62"/>
      <c r="I69" s="63">
        <f t="shared" ref="I69:X69" si="19">I67*$D$7</f>
        <v>4311.0722692404561</v>
      </c>
      <c r="J69" s="63">
        <f t="shared" si="19"/>
        <v>5204.0076694578029</v>
      </c>
      <c r="K69" s="63">
        <f t="shared" si="19"/>
        <v>5204.0076694578029</v>
      </c>
      <c r="L69" s="63">
        <f t="shared" si="19"/>
        <v>5204.0076694578029</v>
      </c>
      <c r="M69" s="63">
        <f t="shared" si="19"/>
        <v>5204.0076694578029</v>
      </c>
      <c r="N69" s="63">
        <f t="shared" si="19"/>
        <v>5204.0076694578029</v>
      </c>
      <c r="O69" s="63">
        <f t="shared" si="19"/>
        <v>5204.0076694578029</v>
      </c>
      <c r="P69" s="63">
        <f t="shared" si="19"/>
        <v>5204.0076694578029</v>
      </c>
      <c r="Q69" s="63">
        <f t="shared" si="19"/>
        <v>5204.0076694578029</v>
      </c>
      <c r="R69" s="63">
        <f t="shared" si="19"/>
        <v>5204.0076694578029</v>
      </c>
      <c r="S69" s="63">
        <f t="shared" si="19"/>
        <v>5204.0076694578029</v>
      </c>
      <c r="T69" s="63">
        <f t="shared" si="19"/>
        <v>5204.0076694578029</v>
      </c>
      <c r="U69" s="63">
        <f t="shared" si="19"/>
        <v>5204.0076694578029</v>
      </c>
      <c r="V69" s="63">
        <f t="shared" si="19"/>
        <v>5360.1278995415378</v>
      </c>
      <c r="W69" s="63">
        <f t="shared" si="19"/>
        <v>5360.1278995415378</v>
      </c>
      <c r="X69" s="63">
        <f t="shared" si="19"/>
        <v>5360.1278995415378</v>
      </c>
      <c r="Y69" s="64"/>
      <c r="Z69" s="63">
        <f>SUM(M69:X69)</f>
        <v>62916.452723744835</v>
      </c>
    </row>
    <row r="70" spans="1:26" x14ac:dyDescent="0.3">
      <c r="B70" s="65" t="s">
        <v>25</v>
      </c>
      <c r="C70" s="65"/>
      <c r="D70" s="66"/>
      <c r="E70" s="67"/>
      <c r="F70" s="67"/>
      <c r="G70" s="67"/>
      <c r="H70" s="67"/>
      <c r="I70" s="68">
        <f t="shared" ref="I70:X70" si="20">SUM(I67:I69)</f>
        <v>42411.586147391412</v>
      </c>
      <c r="J70" s="68">
        <f t="shared" si="20"/>
        <v>51196.130753748868</v>
      </c>
      <c r="K70" s="68">
        <f t="shared" si="20"/>
        <v>51196.130753748868</v>
      </c>
      <c r="L70" s="68">
        <f t="shared" si="20"/>
        <v>51196.130753748868</v>
      </c>
      <c r="M70" s="68">
        <f t="shared" si="20"/>
        <v>51196.130753748868</v>
      </c>
      <c r="N70" s="68">
        <f t="shared" si="20"/>
        <v>51196.130753748868</v>
      </c>
      <c r="O70" s="68">
        <f t="shared" si="20"/>
        <v>51196.130753748868</v>
      </c>
      <c r="P70" s="68">
        <f t="shared" si="20"/>
        <v>51196.130753748868</v>
      </c>
      <c r="Q70" s="68">
        <f t="shared" si="20"/>
        <v>51196.130753748868</v>
      </c>
      <c r="R70" s="68">
        <f t="shared" si="20"/>
        <v>51196.130753748868</v>
      </c>
      <c r="S70" s="68">
        <f t="shared" si="20"/>
        <v>51196.130753748868</v>
      </c>
      <c r="T70" s="68">
        <f t="shared" si="20"/>
        <v>51196.130753748868</v>
      </c>
      <c r="U70" s="68">
        <f t="shared" si="20"/>
        <v>51196.130753748868</v>
      </c>
      <c r="V70" s="68">
        <f t="shared" si="20"/>
        <v>52732.014676361345</v>
      </c>
      <c r="W70" s="68">
        <f t="shared" si="20"/>
        <v>52732.014676361345</v>
      </c>
      <c r="X70" s="68">
        <f t="shared" si="20"/>
        <v>52732.014676361345</v>
      </c>
      <c r="Y70" s="64"/>
      <c r="Z70" s="68">
        <f>SUM(M70:X70)</f>
        <v>618961.22081282386</v>
      </c>
    </row>
    <row r="71" spans="1:26" x14ac:dyDescent="0.3">
      <c r="B71" s="16"/>
      <c r="C71" s="16"/>
      <c r="D71" s="69"/>
      <c r="E71" s="70"/>
      <c r="F71" s="70"/>
      <c r="G71" s="70"/>
      <c r="H71" s="70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</sheetData>
  <dataValidations count="3">
    <dataValidation type="list" allowBlank="1" showInputMessage="1" showErrorMessage="1" promptTitle="Effective month" prompt="Pick the month the employee leaves this department." sqref="E59:E64" xr:uid="{8E84C752-9E6A-462B-8873-3EBB428C6028}">
      <formula1>$I$10:$X$10</formula1>
    </dataValidation>
    <dataValidation type="list" allowBlank="1" showInputMessage="1" showErrorMessage="1" errorTitle="Outside the planning window" error="Choose a month between Sep-26 and Dec-27 from the dropdown." promptTitle="Month" prompt="Pick the month from the list (Sep-26 through Dec-27)." sqref="E52:F57 E41:F50 E35:F39 E14:F33" xr:uid="{6A306FCC-145C-4507-BC6F-97C4A48E177E}">
      <formula1>$I$10:$X$10</formula1>
    </dataValidation>
    <dataValidation type="whole" allowBlank="1" showInputMessage="1" showErrorMessage="1" sqref="E51:F51 E65:E66 G41:H66 G35:H39 F58:F66 E58 G14:H33" xr:uid="{613D969B-A54D-49D1-821F-A2FCCAA8684C}">
      <formula1>1</formula1>
      <formula2>24</formula2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9026B-D1F8-4F78-8886-78F4FC5B0E1B}">
  <sheetPr>
    <tabColor theme="5" tint="0.59999389629810485"/>
  </sheetPr>
  <dimension ref="A1:AB71"/>
  <sheetViews>
    <sheetView tabSelected="1" zoomScale="80" zoomScaleNormal="80" workbookViewId="0">
      <pane xSplit="8" ySplit="11" topLeftCell="I38" activePane="bottomRight" state="frozen"/>
      <selection activeCell="C20" sqref="C20"/>
      <selection pane="topRight" activeCell="C20" sqref="C20"/>
      <selection pane="bottomLeft" activeCell="C20" sqref="C20"/>
      <selection pane="bottomRight" activeCell="F8" sqref="F8"/>
    </sheetView>
  </sheetViews>
  <sheetFormatPr defaultRowHeight="14.4" x14ac:dyDescent="0.3"/>
  <cols>
    <col min="1" max="1" width="21.33203125" style="76" customWidth="1"/>
    <col min="2" max="2" width="25.33203125" customWidth="1"/>
    <col min="3" max="3" width="32.77734375" customWidth="1"/>
    <col min="4" max="4" width="11.21875" customWidth="1"/>
    <col min="5" max="6" width="13.5546875" style="18" bestFit="1" customWidth="1"/>
    <col min="7" max="7" width="11.77734375" style="18" customWidth="1"/>
    <col min="8" max="8" width="14.44140625" style="18" bestFit="1" customWidth="1"/>
    <col min="9" max="24" width="9.21875" customWidth="1"/>
    <col min="25" max="25" width="2.44140625" customWidth="1"/>
    <col min="26" max="26" width="11.77734375" customWidth="1"/>
    <col min="28" max="28" width="27.21875" customWidth="1"/>
  </cols>
  <sheetData>
    <row r="1" spans="1:28" ht="18" x14ac:dyDescent="0.35">
      <c r="A1" s="73" t="s">
        <v>0</v>
      </c>
    </row>
    <row r="2" spans="1:28" ht="15.6" x14ac:dyDescent="0.3">
      <c r="A2" s="169" t="s">
        <v>63</v>
      </c>
    </row>
    <row r="3" spans="1:28" x14ac:dyDescent="0.3">
      <c r="A3" s="74" t="s">
        <v>37</v>
      </c>
    </row>
    <row r="4" spans="1:28" x14ac:dyDescent="0.3">
      <c r="A4" s="75" t="s">
        <v>64</v>
      </c>
    </row>
    <row r="5" spans="1:28" x14ac:dyDescent="0.3">
      <c r="B5" s="19" t="s">
        <v>39</v>
      </c>
    </row>
    <row r="6" spans="1:28" x14ac:dyDescent="0.3">
      <c r="B6" s="16" t="s">
        <v>40</v>
      </c>
      <c r="D6" s="178">
        <f>INDEX('[1]T&amp;B'!$S$13:$S$122,MATCH("FE",'[1]T&amp;B'!$R$13:$R$122,0))</f>
        <v>4.0692069161390718E-2</v>
      </c>
      <c r="E6" s="20"/>
    </row>
    <row r="7" spans="1:28" x14ac:dyDescent="0.3">
      <c r="B7" s="16" t="s">
        <v>41</v>
      </c>
      <c r="D7" s="179">
        <f>INDEX('[1]T&amp;B'!$T$13:$T$122,MATCH("FE",'[1]T&amp;B'!$R$13:$R$122,0))</f>
        <v>7.222908537898412E-2</v>
      </c>
      <c r="E7" s="20"/>
    </row>
    <row r="8" spans="1:28" x14ac:dyDescent="0.3">
      <c r="B8" s="16" t="s">
        <v>234</v>
      </c>
      <c r="D8" s="21">
        <v>46661</v>
      </c>
      <c r="V8" s="22" t="s">
        <v>42</v>
      </c>
    </row>
    <row r="9" spans="1:28" x14ac:dyDescent="0.3">
      <c r="V9" s="22" t="s">
        <v>43</v>
      </c>
    </row>
    <row r="10" spans="1:28" s="23" customFormat="1" ht="29.55" customHeight="1" x14ac:dyDescent="0.3">
      <c r="A10" s="77"/>
      <c r="B10" s="24" t="s">
        <v>44</v>
      </c>
      <c r="C10" s="24" t="s">
        <v>45</v>
      </c>
      <c r="D10" s="25" t="s">
        <v>46</v>
      </c>
      <c r="E10" s="25" t="s">
        <v>47</v>
      </c>
      <c r="F10" s="25" t="s">
        <v>48</v>
      </c>
      <c r="G10" s="26" t="s">
        <v>49</v>
      </c>
      <c r="H10" s="26" t="s">
        <v>50</v>
      </c>
      <c r="I10" s="27">
        <f>DATE(2026,9,1)</f>
        <v>46266</v>
      </c>
      <c r="J10" s="27">
        <f>DATE(2026,10,1)</f>
        <v>46296</v>
      </c>
      <c r="K10" s="27">
        <f>DATE(2026,11,1)</f>
        <v>46327</v>
      </c>
      <c r="L10" s="27">
        <f>DATE(2026,12,1)</f>
        <v>46357</v>
      </c>
      <c r="M10" s="28">
        <f>DATE(2027,1,1)</f>
        <v>46388</v>
      </c>
      <c r="N10" s="28">
        <f>DATE(2027,2,1)</f>
        <v>46419</v>
      </c>
      <c r="O10" s="28">
        <f>DATE(2027,3,1)</f>
        <v>46447</v>
      </c>
      <c r="P10" s="28">
        <f>DATE(2027,4,1)</f>
        <v>46478</v>
      </c>
      <c r="Q10" s="28">
        <f>DATE(2027,5,1)</f>
        <v>46508</v>
      </c>
      <c r="R10" s="28">
        <f>DATE(2027,6,1)</f>
        <v>46539</v>
      </c>
      <c r="S10" s="28">
        <f>DATE(2027,7,1)</f>
        <v>46569</v>
      </c>
      <c r="T10" s="28">
        <f>DATE(2027,8,1)</f>
        <v>46600</v>
      </c>
      <c r="U10" s="28">
        <f>DATE(2027,9,1)</f>
        <v>46631</v>
      </c>
      <c r="V10" s="28">
        <f>DATE(2027,10,1)</f>
        <v>46661</v>
      </c>
      <c r="W10" s="28">
        <f>DATE(2027,11,1)</f>
        <v>46692</v>
      </c>
      <c r="X10" s="28">
        <f>DATE(2027,12,1)</f>
        <v>46722</v>
      </c>
      <c r="Y10" s="29"/>
      <c r="Z10" s="30" t="s">
        <v>6</v>
      </c>
      <c r="AB10" s="31" t="s">
        <v>51</v>
      </c>
    </row>
    <row r="11" spans="1:28" x14ac:dyDescent="0.3">
      <c r="E11" s="7" t="s">
        <v>52</v>
      </c>
      <c r="F11" s="7" t="s">
        <v>52</v>
      </c>
      <c r="G11" s="32"/>
      <c r="H11" s="72" t="s">
        <v>53</v>
      </c>
      <c r="I11" s="7">
        <v>1</v>
      </c>
      <c r="J11" s="7">
        <v>2</v>
      </c>
      <c r="K11" s="7">
        <v>3</v>
      </c>
      <c r="L11" s="7">
        <v>4</v>
      </c>
      <c r="M11" s="7">
        <v>5</v>
      </c>
      <c r="N11" s="7">
        <v>6</v>
      </c>
      <c r="O11" s="7">
        <v>7</v>
      </c>
      <c r="P11" s="7">
        <v>8</v>
      </c>
      <c r="Q11" s="7">
        <v>9</v>
      </c>
      <c r="R11" s="7">
        <v>10</v>
      </c>
      <c r="S11" s="7">
        <v>11</v>
      </c>
      <c r="T11" s="7">
        <v>12</v>
      </c>
      <c r="U11" s="7">
        <v>13</v>
      </c>
      <c r="V11" s="7">
        <v>14</v>
      </c>
      <c r="W11" s="7">
        <v>15</v>
      </c>
      <c r="X11" s="7">
        <v>16</v>
      </c>
      <c r="Y11" s="7"/>
    </row>
    <row r="12" spans="1:28" x14ac:dyDescent="0.3">
      <c r="B12" s="34"/>
      <c r="C12" s="34"/>
      <c r="D12" s="34"/>
      <c r="E12" s="35"/>
      <c r="F12" s="35"/>
      <c r="G12" s="35"/>
      <c r="H12" s="35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6"/>
      <c r="Z12" s="34"/>
    </row>
    <row r="13" spans="1:28" x14ac:dyDescent="0.3">
      <c r="B13" s="8" t="s">
        <v>54</v>
      </c>
    </row>
    <row r="14" spans="1:28" x14ac:dyDescent="0.3">
      <c r="B14" s="37" t="s">
        <v>279</v>
      </c>
      <c r="C14" s="37" t="s">
        <v>285</v>
      </c>
      <c r="D14" s="38">
        <v>98591</v>
      </c>
      <c r="E14" s="39">
        <v>46266</v>
      </c>
      <c r="F14" s="39">
        <v>46722</v>
      </c>
      <c r="G14" s="40">
        <v>0.03</v>
      </c>
      <c r="H14" s="41">
        <f t="shared" ref="H14:H33" si="0">$D$8</f>
        <v>46661</v>
      </c>
      <c r="I14" s="42">
        <f t="shared" ref="I14:X33" si="1">IF(OR($D14="",$E14="",NOT(ISNUMBER($D14))),"",IF(AND($E14&lt;=I$10,IF($F14="",$X$10,$F14)&gt;=I$10),$D14/12*(1+N($G14))^IF(AND(ISNUMBER($H14),I$10&gt;=$H14),1+INT(DATEDIF($H14,I$10,"m")/12),0),0))</f>
        <v>8215.9166666666661</v>
      </c>
      <c r="J14" s="42">
        <f t="shared" si="1"/>
        <v>8215.9166666666661</v>
      </c>
      <c r="K14" s="42">
        <f t="shared" si="1"/>
        <v>8215.9166666666661</v>
      </c>
      <c r="L14" s="42">
        <f t="shared" si="1"/>
        <v>8215.9166666666661</v>
      </c>
      <c r="M14" s="43">
        <f t="shared" si="1"/>
        <v>8215.9166666666661</v>
      </c>
      <c r="N14" s="42">
        <f t="shared" si="1"/>
        <v>8215.9166666666661</v>
      </c>
      <c r="O14" s="42">
        <f t="shared" si="1"/>
        <v>8215.9166666666661</v>
      </c>
      <c r="P14" s="42">
        <f t="shared" si="1"/>
        <v>8215.9166666666661</v>
      </c>
      <c r="Q14" s="42">
        <f t="shared" si="1"/>
        <v>8215.9166666666661</v>
      </c>
      <c r="R14" s="42">
        <f t="shared" si="1"/>
        <v>8215.9166666666661</v>
      </c>
      <c r="S14" s="42">
        <f t="shared" si="1"/>
        <v>8215.9166666666661</v>
      </c>
      <c r="T14" s="42">
        <f t="shared" si="1"/>
        <v>8215.9166666666661</v>
      </c>
      <c r="U14" s="42">
        <f t="shared" si="1"/>
        <v>8215.9166666666661</v>
      </c>
      <c r="V14" s="42">
        <f t="shared" si="1"/>
        <v>8462.3941666666669</v>
      </c>
      <c r="W14" s="42">
        <f t="shared" si="1"/>
        <v>8462.3941666666669</v>
      </c>
      <c r="X14" s="42">
        <f t="shared" si="1"/>
        <v>8462.3941666666669</v>
      </c>
      <c r="Y14" s="42"/>
      <c r="Z14" s="42">
        <f>SUM(M14:X14)</f>
        <v>99330.432499999995</v>
      </c>
      <c r="AB14" s="44" t="str">
        <f t="shared" ref="AB14:AB33" si="2">IF($D14&amp;$E14="","",IF(AND($D14&lt;&gt;"",NOT(ISNUMBER($D14))),"Salary must be a number",IF(AND($D14&lt;&gt;"",$E14=""),"Start month missing",IF(AND(ISNUMBER($E14),ISNUMBER($F14),$F14&lt;$E14),"End is before Start",IF(AND($D14&lt;&gt;"",NOT(ISNUMBER($H14))),"Increase month missing","")))))</f>
        <v/>
      </c>
    </row>
    <row r="15" spans="1:28" x14ac:dyDescent="0.3">
      <c r="B15" s="37" t="s">
        <v>280</v>
      </c>
      <c r="C15" s="37" t="s">
        <v>286</v>
      </c>
      <c r="D15" s="38">
        <v>72080</v>
      </c>
      <c r="E15" s="39">
        <v>46266</v>
      </c>
      <c r="F15" s="39">
        <v>46722</v>
      </c>
      <c r="G15" s="40">
        <v>0.03</v>
      </c>
      <c r="H15" s="41">
        <f t="shared" si="0"/>
        <v>46661</v>
      </c>
      <c r="I15" s="42">
        <f t="shared" si="1"/>
        <v>6006.666666666667</v>
      </c>
      <c r="J15" s="42">
        <f t="shared" si="1"/>
        <v>6006.666666666667</v>
      </c>
      <c r="K15" s="42">
        <f t="shared" si="1"/>
        <v>6006.666666666667</v>
      </c>
      <c r="L15" s="42">
        <f t="shared" si="1"/>
        <v>6006.666666666667</v>
      </c>
      <c r="M15" s="42">
        <f t="shared" si="1"/>
        <v>6006.666666666667</v>
      </c>
      <c r="N15" s="42">
        <f t="shared" si="1"/>
        <v>6006.666666666667</v>
      </c>
      <c r="O15" s="42">
        <f t="shared" si="1"/>
        <v>6006.666666666667</v>
      </c>
      <c r="P15" s="42">
        <f t="shared" si="1"/>
        <v>6006.666666666667</v>
      </c>
      <c r="Q15" s="42">
        <f t="shared" si="1"/>
        <v>6006.666666666667</v>
      </c>
      <c r="R15" s="42">
        <f t="shared" si="1"/>
        <v>6006.666666666667</v>
      </c>
      <c r="S15" s="42">
        <f t="shared" si="1"/>
        <v>6006.666666666667</v>
      </c>
      <c r="T15" s="42">
        <f t="shared" si="1"/>
        <v>6006.666666666667</v>
      </c>
      <c r="U15" s="42">
        <f t="shared" si="1"/>
        <v>6006.666666666667</v>
      </c>
      <c r="V15" s="42">
        <f t="shared" si="1"/>
        <v>6186.8666666666668</v>
      </c>
      <c r="W15" s="42">
        <f t="shared" si="1"/>
        <v>6186.8666666666668</v>
      </c>
      <c r="X15" s="42">
        <f t="shared" si="1"/>
        <v>6186.8666666666668</v>
      </c>
      <c r="Y15" s="42"/>
      <c r="Z15" s="42">
        <f t="shared" ref="Z15:Z33" si="3">SUM(M15:X15)</f>
        <v>72620.599999999991</v>
      </c>
      <c r="AB15" s="44" t="str">
        <f t="shared" si="2"/>
        <v/>
      </c>
    </row>
    <row r="16" spans="1:28" x14ac:dyDescent="0.3">
      <c r="B16" s="37" t="s">
        <v>281</v>
      </c>
      <c r="C16" s="37" t="s">
        <v>287</v>
      </c>
      <c r="D16" s="38">
        <v>205000</v>
      </c>
      <c r="E16" s="39">
        <v>46266</v>
      </c>
      <c r="F16" s="39">
        <v>46722</v>
      </c>
      <c r="G16" s="40">
        <v>0.03</v>
      </c>
      <c r="H16" s="41">
        <f t="shared" si="0"/>
        <v>46661</v>
      </c>
      <c r="I16" s="42">
        <f t="shared" si="1"/>
        <v>17083.333333333332</v>
      </c>
      <c r="J16" s="42">
        <f t="shared" si="1"/>
        <v>17083.333333333332</v>
      </c>
      <c r="K16" s="42">
        <f t="shared" si="1"/>
        <v>17083.333333333332</v>
      </c>
      <c r="L16" s="42">
        <f t="shared" si="1"/>
        <v>17083.333333333332</v>
      </c>
      <c r="M16" s="42">
        <f t="shared" si="1"/>
        <v>17083.333333333332</v>
      </c>
      <c r="N16" s="42">
        <f t="shared" si="1"/>
        <v>17083.333333333332</v>
      </c>
      <c r="O16" s="42">
        <f t="shared" si="1"/>
        <v>17083.333333333332</v>
      </c>
      <c r="P16" s="42">
        <f t="shared" si="1"/>
        <v>17083.333333333332</v>
      </c>
      <c r="Q16" s="42">
        <f t="shared" si="1"/>
        <v>17083.333333333332</v>
      </c>
      <c r="R16" s="42">
        <f t="shared" si="1"/>
        <v>17083.333333333332</v>
      </c>
      <c r="S16" s="42">
        <f t="shared" si="1"/>
        <v>17083.333333333332</v>
      </c>
      <c r="T16" s="42">
        <f t="shared" si="1"/>
        <v>17083.333333333332</v>
      </c>
      <c r="U16" s="42">
        <f t="shared" si="1"/>
        <v>17083.333333333332</v>
      </c>
      <c r="V16" s="42">
        <f t="shared" si="1"/>
        <v>17595.833333333332</v>
      </c>
      <c r="W16" s="42">
        <f t="shared" si="1"/>
        <v>17595.833333333332</v>
      </c>
      <c r="X16" s="42">
        <f t="shared" si="1"/>
        <v>17595.833333333332</v>
      </c>
      <c r="Y16" s="42"/>
      <c r="Z16" s="42">
        <f t="shared" si="3"/>
        <v>206537.50000000003</v>
      </c>
      <c r="AB16" s="44" t="str">
        <f t="shared" si="2"/>
        <v/>
      </c>
    </row>
    <row r="17" spans="2:28" x14ac:dyDescent="0.3">
      <c r="B17" s="37" t="s">
        <v>282</v>
      </c>
      <c r="C17" s="37" t="s">
        <v>288</v>
      </c>
      <c r="D17" s="38">
        <v>160000</v>
      </c>
      <c r="E17" s="39">
        <v>46266</v>
      </c>
      <c r="F17" s="39">
        <v>46722</v>
      </c>
      <c r="G17" s="40">
        <v>0.03</v>
      </c>
      <c r="H17" s="41">
        <f t="shared" si="0"/>
        <v>46661</v>
      </c>
      <c r="I17" s="42">
        <f t="shared" si="1"/>
        <v>13333.333333333334</v>
      </c>
      <c r="J17" s="42">
        <f t="shared" si="1"/>
        <v>13333.333333333334</v>
      </c>
      <c r="K17" s="42">
        <f t="shared" si="1"/>
        <v>13333.333333333334</v>
      </c>
      <c r="L17" s="42">
        <f t="shared" si="1"/>
        <v>13333.333333333334</v>
      </c>
      <c r="M17" s="42">
        <f t="shared" si="1"/>
        <v>13333.333333333334</v>
      </c>
      <c r="N17" s="42">
        <f t="shared" si="1"/>
        <v>13333.333333333334</v>
      </c>
      <c r="O17" s="42">
        <f t="shared" si="1"/>
        <v>13333.333333333334</v>
      </c>
      <c r="P17" s="42">
        <f t="shared" si="1"/>
        <v>13333.333333333334</v>
      </c>
      <c r="Q17" s="42">
        <f t="shared" si="1"/>
        <v>13333.333333333334</v>
      </c>
      <c r="R17" s="42">
        <f t="shared" si="1"/>
        <v>13333.333333333334</v>
      </c>
      <c r="S17" s="42">
        <f t="shared" si="1"/>
        <v>13333.333333333334</v>
      </c>
      <c r="T17" s="42">
        <f t="shared" si="1"/>
        <v>13333.333333333334</v>
      </c>
      <c r="U17" s="42">
        <f t="shared" si="1"/>
        <v>13333.333333333334</v>
      </c>
      <c r="V17" s="42">
        <f t="shared" si="1"/>
        <v>13733.333333333334</v>
      </c>
      <c r="W17" s="42">
        <f t="shared" si="1"/>
        <v>13733.333333333334</v>
      </c>
      <c r="X17" s="42">
        <f t="shared" si="1"/>
        <v>13733.333333333334</v>
      </c>
      <c r="Y17" s="42"/>
      <c r="Z17" s="42">
        <f t="shared" si="3"/>
        <v>161200</v>
      </c>
      <c r="AB17" s="44" t="str">
        <f t="shared" si="2"/>
        <v/>
      </c>
    </row>
    <row r="18" spans="2:28" x14ac:dyDescent="0.3">
      <c r="B18" s="37" t="s">
        <v>283</v>
      </c>
      <c r="C18" s="37" t="s">
        <v>289</v>
      </c>
      <c r="D18" s="38">
        <v>65000</v>
      </c>
      <c r="E18" s="39">
        <v>46266</v>
      </c>
      <c r="F18" s="39">
        <v>46722</v>
      </c>
      <c r="G18" s="40">
        <v>0.03</v>
      </c>
      <c r="H18" s="41">
        <f t="shared" si="0"/>
        <v>46661</v>
      </c>
      <c r="I18" s="42">
        <f t="shared" si="1"/>
        <v>5416.666666666667</v>
      </c>
      <c r="J18" s="42">
        <f t="shared" si="1"/>
        <v>5416.666666666667</v>
      </c>
      <c r="K18" s="42">
        <f t="shared" si="1"/>
        <v>5416.666666666667</v>
      </c>
      <c r="L18" s="42">
        <f t="shared" si="1"/>
        <v>5416.666666666667</v>
      </c>
      <c r="M18" s="42">
        <f t="shared" si="1"/>
        <v>5416.666666666667</v>
      </c>
      <c r="N18" s="42">
        <f t="shared" si="1"/>
        <v>5416.666666666667</v>
      </c>
      <c r="O18" s="42">
        <f t="shared" si="1"/>
        <v>5416.666666666667</v>
      </c>
      <c r="P18" s="42">
        <f t="shared" si="1"/>
        <v>5416.666666666667</v>
      </c>
      <c r="Q18" s="42">
        <f t="shared" si="1"/>
        <v>5416.666666666667</v>
      </c>
      <c r="R18" s="42">
        <f t="shared" si="1"/>
        <v>5416.666666666667</v>
      </c>
      <c r="S18" s="42">
        <f t="shared" si="1"/>
        <v>5416.666666666667</v>
      </c>
      <c r="T18" s="42">
        <f t="shared" si="1"/>
        <v>5416.666666666667</v>
      </c>
      <c r="U18" s="42">
        <f t="shared" si="1"/>
        <v>5416.666666666667</v>
      </c>
      <c r="V18" s="42">
        <f t="shared" si="1"/>
        <v>5579.166666666667</v>
      </c>
      <c r="W18" s="42">
        <f t="shared" si="1"/>
        <v>5579.166666666667</v>
      </c>
      <c r="X18" s="42">
        <f t="shared" si="1"/>
        <v>5579.166666666667</v>
      </c>
      <c r="Y18" s="42"/>
      <c r="Z18" s="42">
        <f t="shared" si="3"/>
        <v>65487.499999999993</v>
      </c>
      <c r="AB18" s="44" t="str">
        <f t="shared" si="2"/>
        <v/>
      </c>
    </row>
    <row r="19" spans="2:28" x14ac:dyDescent="0.3">
      <c r="B19" s="37" t="s">
        <v>284</v>
      </c>
      <c r="C19" s="37" t="s">
        <v>286</v>
      </c>
      <c r="D19" s="38">
        <v>70000</v>
      </c>
      <c r="E19" s="39">
        <v>46266</v>
      </c>
      <c r="F19" s="39">
        <v>46722</v>
      </c>
      <c r="G19" s="40">
        <v>0.03</v>
      </c>
      <c r="H19" s="41">
        <f t="shared" si="0"/>
        <v>46661</v>
      </c>
      <c r="I19" s="42">
        <f t="shared" si="1"/>
        <v>5833.333333333333</v>
      </c>
      <c r="J19" s="42">
        <f t="shared" si="1"/>
        <v>5833.333333333333</v>
      </c>
      <c r="K19" s="42">
        <f t="shared" si="1"/>
        <v>5833.333333333333</v>
      </c>
      <c r="L19" s="42">
        <f t="shared" si="1"/>
        <v>5833.333333333333</v>
      </c>
      <c r="M19" s="42">
        <f t="shared" si="1"/>
        <v>5833.333333333333</v>
      </c>
      <c r="N19" s="42">
        <f t="shared" si="1"/>
        <v>5833.333333333333</v>
      </c>
      <c r="O19" s="42">
        <f t="shared" si="1"/>
        <v>5833.333333333333</v>
      </c>
      <c r="P19" s="42">
        <f t="shared" si="1"/>
        <v>5833.333333333333</v>
      </c>
      <c r="Q19" s="42">
        <f t="shared" si="1"/>
        <v>5833.333333333333</v>
      </c>
      <c r="R19" s="42">
        <f t="shared" si="1"/>
        <v>5833.333333333333</v>
      </c>
      <c r="S19" s="42">
        <f t="shared" si="1"/>
        <v>5833.333333333333</v>
      </c>
      <c r="T19" s="42">
        <f t="shared" si="1"/>
        <v>5833.333333333333</v>
      </c>
      <c r="U19" s="42">
        <f t="shared" si="1"/>
        <v>5833.333333333333</v>
      </c>
      <c r="V19" s="42">
        <f t="shared" si="1"/>
        <v>6008.333333333333</v>
      </c>
      <c r="W19" s="42">
        <f t="shared" si="1"/>
        <v>6008.333333333333</v>
      </c>
      <c r="X19" s="42">
        <f t="shared" si="1"/>
        <v>6008.333333333333</v>
      </c>
      <c r="Y19" s="42"/>
      <c r="Z19" s="42">
        <f t="shared" si="3"/>
        <v>70525.000000000015</v>
      </c>
      <c r="AB19" s="44" t="str">
        <f t="shared" si="2"/>
        <v/>
      </c>
    </row>
    <row r="20" spans="2:28" x14ac:dyDescent="0.3">
      <c r="B20" s="37"/>
      <c r="C20" s="37"/>
      <c r="D20" s="38"/>
      <c r="E20" s="39">
        <v>46266</v>
      </c>
      <c r="F20" s="39">
        <v>46722</v>
      </c>
      <c r="G20" s="40">
        <v>0.03</v>
      </c>
      <c r="H20" s="41">
        <f t="shared" si="0"/>
        <v>46661</v>
      </c>
      <c r="I20" s="42" t="str">
        <f t="shared" si="1"/>
        <v/>
      </c>
      <c r="J20" s="42" t="str">
        <f t="shared" si="1"/>
        <v/>
      </c>
      <c r="K20" s="42" t="str">
        <f t="shared" si="1"/>
        <v/>
      </c>
      <c r="L20" s="42" t="str">
        <f t="shared" si="1"/>
        <v/>
      </c>
      <c r="M20" s="42" t="str">
        <f t="shared" si="1"/>
        <v/>
      </c>
      <c r="N20" s="42" t="str">
        <f t="shared" si="1"/>
        <v/>
      </c>
      <c r="O20" s="42" t="str">
        <f t="shared" si="1"/>
        <v/>
      </c>
      <c r="P20" s="42" t="str">
        <f t="shared" si="1"/>
        <v/>
      </c>
      <c r="Q20" s="42" t="str">
        <f t="shared" si="1"/>
        <v/>
      </c>
      <c r="R20" s="42" t="str">
        <f t="shared" si="1"/>
        <v/>
      </c>
      <c r="S20" s="42" t="str">
        <f t="shared" si="1"/>
        <v/>
      </c>
      <c r="T20" s="42" t="str">
        <f t="shared" si="1"/>
        <v/>
      </c>
      <c r="U20" s="42" t="str">
        <f t="shared" si="1"/>
        <v/>
      </c>
      <c r="V20" s="42" t="str">
        <f t="shared" si="1"/>
        <v/>
      </c>
      <c r="W20" s="42" t="str">
        <f t="shared" si="1"/>
        <v/>
      </c>
      <c r="X20" s="42" t="str">
        <f t="shared" si="1"/>
        <v/>
      </c>
      <c r="Y20" s="42"/>
      <c r="Z20" s="42">
        <f t="shared" si="3"/>
        <v>0</v>
      </c>
      <c r="AB20" s="44" t="str">
        <f t="shared" si="2"/>
        <v/>
      </c>
    </row>
    <row r="21" spans="2:28" x14ac:dyDescent="0.3">
      <c r="B21" s="37"/>
      <c r="C21" s="37"/>
      <c r="D21" s="38"/>
      <c r="E21" s="39">
        <v>46266</v>
      </c>
      <c r="F21" s="39">
        <v>46722</v>
      </c>
      <c r="G21" s="40">
        <v>0.03</v>
      </c>
      <c r="H21" s="41">
        <f t="shared" si="0"/>
        <v>46661</v>
      </c>
      <c r="I21" s="42" t="str">
        <f t="shared" si="1"/>
        <v/>
      </c>
      <c r="J21" s="42" t="str">
        <f t="shared" si="1"/>
        <v/>
      </c>
      <c r="K21" s="42" t="str">
        <f t="shared" si="1"/>
        <v/>
      </c>
      <c r="L21" s="42" t="str">
        <f t="shared" si="1"/>
        <v/>
      </c>
      <c r="M21" s="42" t="str">
        <f t="shared" si="1"/>
        <v/>
      </c>
      <c r="N21" s="42" t="str">
        <f t="shared" si="1"/>
        <v/>
      </c>
      <c r="O21" s="42" t="str">
        <f t="shared" si="1"/>
        <v/>
      </c>
      <c r="P21" s="42" t="str">
        <f t="shared" si="1"/>
        <v/>
      </c>
      <c r="Q21" s="42" t="str">
        <f t="shared" si="1"/>
        <v/>
      </c>
      <c r="R21" s="42" t="str">
        <f t="shared" si="1"/>
        <v/>
      </c>
      <c r="S21" s="42" t="str">
        <f t="shared" si="1"/>
        <v/>
      </c>
      <c r="T21" s="42" t="str">
        <f t="shared" si="1"/>
        <v/>
      </c>
      <c r="U21" s="42" t="str">
        <f t="shared" si="1"/>
        <v/>
      </c>
      <c r="V21" s="42" t="str">
        <f t="shared" si="1"/>
        <v/>
      </c>
      <c r="W21" s="42" t="str">
        <f t="shared" si="1"/>
        <v/>
      </c>
      <c r="X21" s="42" t="str">
        <f t="shared" si="1"/>
        <v/>
      </c>
      <c r="Y21" s="42"/>
      <c r="Z21" s="42">
        <f t="shared" si="3"/>
        <v>0</v>
      </c>
      <c r="AB21" s="44" t="str">
        <f t="shared" si="2"/>
        <v/>
      </c>
    </row>
    <row r="22" spans="2:28" x14ac:dyDescent="0.3">
      <c r="B22" s="37"/>
      <c r="C22" s="37"/>
      <c r="D22" s="38"/>
      <c r="E22" s="39">
        <v>46266</v>
      </c>
      <c r="F22" s="39">
        <v>46722</v>
      </c>
      <c r="G22" s="40">
        <v>0.03</v>
      </c>
      <c r="H22" s="41">
        <f t="shared" si="0"/>
        <v>46661</v>
      </c>
      <c r="I22" s="42" t="str">
        <f t="shared" si="1"/>
        <v/>
      </c>
      <c r="J22" s="42" t="str">
        <f t="shared" si="1"/>
        <v/>
      </c>
      <c r="K22" s="42" t="str">
        <f t="shared" si="1"/>
        <v/>
      </c>
      <c r="L22" s="42" t="str">
        <f t="shared" si="1"/>
        <v/>
      </c>
      <c r="M22" s="42" t="str">
        <f t="shared" si="1"/>
        <v/>
      </c>
      <c r="N22" s="42" t="str">
        <f t="shared" si="1"/>
        <v/>
      </c>
      <c r="O22" s="42" t="str">
        <f t="shared" si="1"/>
        <v/>
      </c>
      <c r="P22" s="42" t="str">
        <f t="shared" si="1"/>
        <v/>
      </c>
      <c r="Q22" s="42" t="str">
        <f t="shared" si="1"/>
        <v/>
      </c>
      <c r="R22" s="42" t="str">
        <f t="shared" si="1"/>
        <v/>
      </c>
      <c r="S22" s="42" t="str">
        <f t="shared" si="1"/>
        <v/>
      </c>
      <c r="T22" s="42" t="str">
        <f t="shared" si="1"/>
        <v/>
      </c>
      <c r="U22" s="42" t="str">
        <f t="shared" si="1"/>
        <v/>
      </c>
      <c r="V22" s="42" t="str">
        <f t="shared" si="1"/>
        <v/>
      </c>
      <c r="W22" s="42" t="str">
        <f t="shared" si="1"/>
        <v/>
      </c>
      <c r="X22" s="42" t="str">
        <f t="shared" ref="X22" si="4">IF(OR($D22="",$E22="",NOT(ISNUMBER($D22))),"",IF(AND($E22&lt;=X$10,IF($F22="",$X$10,$F22)&gt;=X$10),$D22/12*(1+N($G22))^IF(AND(ISNUMBER($H22),X$10&gt;=$H22),1+INT(DATEDIF($H22,X$10,"m")/12),0),0))</f>
        <v/>
      </c>
      <c r="Y22" s="42"/>
      <c r="Z22" s="42">
        <f t="shared" ref="Z22:Z27" si="5">SUM(M22:X22)</f>
        <v>0</v>
      </c>
      <c r="AB22" s="44" t="str">
        <f t="shared" si="2"/>
        <v/>
      </c>
    </row>
    <row r="23" spans="2:28" x14ac:dyDescent="0.3">
      <c r="B23" s="37"/>
      <c r="C23" s="37"/>
      <c r="D23" s="38"/>
      <c r="E23" s="39">
        <v>46266</v>
      </c>
      <c r="F23" s="39">
        <v>46722</v>
      </c>
      <c r="G23" s="40">
        <v>0.03</v>
      </c>
      <c r="H23" s="41">
        <f t="shared" si="0"/>
        <v>46661</v>
      </c>
      <c r="I23" s="42" t="str">
        <f t="shared" ref="I23:X27" si="6">IF(OR($D23="",$E23="",NOT(ISNUMBER($D23))),"",IF(AND($E23&lt;=I$10,IF($F23="",$X$10,$F23)&gt;=I$10),$D23/12*(1+N($G23))^IF(AND(ISNUMBER($H23),I$10&gt;=$H23),1+INT(DATEDIF($H23,I$10,"m")/12),0),0))</f>
        <v/>
      </c>
      <c r="J23" s="42" t="str">
        <f t="shared" si="6"/>
        <v/>
      </c>
      <c r="K23" s="42" t="str">
        <f t="shared" si="6"/>
        <v/>
      </c>
      <c r="L23" s="42" t="str">
        <f t="shared" si="6"/>
        <v/>
      </c>
      <c r="M23" s="42" t="str">
        <f t="shared" si="6"/>
        <v/>
      </c>
      <c r="N23" s="42" t="str">
        <f t="shared" si="6"/>
        <v/>
      </c>
      <c r="O23" s="42" t="str">
        <f t="shared" si="6"/>
        <v/>
      </c>
      <c r="P23" s="42" t="str">
        <f t="shared" si="6"/>
        <v/>
      </c>
      <c r="Q23" s="42" t="str">
        <f t="shared" si="6"/>
        <v/>
      </c>
      <c r="R23" s="42" t="str">
        <f t="shared" si="6"/>
        <v/>
      </c>
      <c r="S23" s="42" t="str">
        <f t="shared" si="6"/>
        <v/>
      </c>
      <c r="T23" s="42" t="str">
        <f t="shared" si="6"/>
        <v/>
      </c>
      <c r="U23" s="42" t="str">
        <f t="shared" si="6"/>
        <v/>
      </c>
      <c r="V23" s="42" t="str">
        <f t="shared" si="6"/>
        <v/>
      </c>
      <c r="W23" s="42" t="str">
        <f t="shared" si="6"/>
        <v/>
      </c>
      <c r="X23" s="42" t="str">
        <f t="shared" si="6"/>
        <v/>
      </c>
      <c r="Y23" s="42"/>
      <c r="Z23" s="42">
        <f t="shared" si="5"/>
        <v>0</v>
      </c>
      <c r="AB23" s="44" t="str">
        <f t="shared" si="2"/>
        <v/>
      </c>
    </row>
    <row r="24" spans="2:28" x14ac:dyDescent="0.3">
      <c r="B24" s="37"/>
      <c r="C24" s="37"/>
      <c r="D24" s="38"/>
      <c r="E24" s="39">
        <v>46266</v>
      </c>
      <c r="F24" s="39">
        <v>46722</v>
      </c>
      <c r="G24" s="40">
        <v>0.03</v>
      </c>
      <c r="H24" s="41">
        <f t="shared" si="0"/>
        <v>46661</v>
      </c>
      <c r="I24" s="42" t="str">
        <f t="shared" si="6"/>
        <v/>
      </c>
      <c r="J24" s="42" t="str">
        <f t="shared" si="6"/>
        <v/>
      </c>
      <c r="K24" s="42" t="str">
        <f t="shared" si="6"/>
        <v/>
      </c>
      <c r="L24" s="42" t="str">
        <f t="shared" si="6"/>
        <v/>
      </c>
      <c r="M24" s="42" t="str">
        <f t="shared" si="6"/>
        <v/>
      </c>
      <c r="N24" s="42" t="str">
        <f t="shared" si="6"/>
        <v/>
      </c>
      <c r="O24" s="42" t="str">
        <f t="shared" si="6"/>
        <v/>
      </c>
      <c r="P24" s="42" t="str">
        <f t="shared" si="6"/>
        <v/>
      </c>
      <c r="Q24" s="42" t="str">
        <f t="shared" si="6"/>
        <v/>
      </c>
      <c r="R24" s="42" t="str">
        <f t="shared" si="6"/>
        <v/>
      </c>
      <c r="S24" s="42" t="str">
        <f t="shared" si="6"/>
        <v/>
      </c>
      <c r="T24" s="42" t="str">
        <f t="shared" si="6"/>
        <v/>
      </c>
      <c r="U24" s="42" t="str">
        <f t="shared" si="6"/>
        <v/>
      </c>
      <c r="V24" s="42" t="str">
        <f t="shared" si="6"/>
        <v/>
      </c>
      <c r="W24" s="42" t="str">
        <f t="shared" si="6"/>
        <v/>
      </c>
      <c r="X24" s="42" t="str">
        <f t="shared" si="6"/>
        <v/>
      </c>
      <c r="Y24" s="42"/>
      <c r="Z24" s="42">
        <f t="shared" si="5"/>
        <v>0</v>
      </c>
      <c r="AB24" s="44" t="str">
        <f t="shared" si="2"/>
        <v/>
      </c>
    </row>
    <row r="25" spans="2:28" x14ac:dyDescent="0.3">
      <c r="B25" s="37"/>
      <c r="C25" s="37"/>
      <c r="D25" s="38"/>
      <c r="E25" s="39">
        <v>46266</v>
      </c>
      <c r="F25" s="39">
        <v>46722</v>
      </c>
      <c r="G25" s="40">
        <v>0.03</v>
      </c>
      <c r="H25" s="41">
        <f t="shared" si="0"/>
        <v>46661</v>
      </c>
      <c r="I25" s="42" t="str">
        <f t="shared" si="6"/>
        <v/>
      </c>
      <c r="J25" s="42" t="str">
        <f t="shared" si="6"/>
        <v/>
      </c>
      <c r="K25" s="42" t="str">
        <f t="shared" si="6"/>
        <v/>
      </c>
      <c r="L25" s="42" t="str">
        <f t="shared" si="6"/>
        <v/>
      </c>
      <c r="M25" s="42" t="str">
        <f t="shared" si="6"/>
        <v/>
      </c>
      <c r="N25" s="42" t="str">
        <f t="shared" si="6"/>
        <v/>
      </c>
      <c r="O25" s="42" t="str">
        <f t="shared" si="6"/>
        <v/>
      </c>
      <c r="P25" s="42" t="str">
        <f t="shared" si="6"/>
        <v/>
      </c>
      <c r="Q25" s="42" t="str">
        <f t="shared" si="6"/>
        <v/>
      </c>
      <c r="R25" s="42" t="str">
        <f t="shared" si="6"/>
        <v/>
      </c>
      <c r="S25" s="42" t="str">
        <f t="shared" si="6"/>
        <v/>
      </c>
      <c r="T25" s="42" t="str">
        <f t="shared" si="6"/>
        <v/>
      </c>
      <c r="U25" s="42" t="str">
        <f t="shared" si="6"/>
        <v/>
      </c>
      <c r="V25" s="42" t="str">
        <f t="shared" si="6"/>
        <v/>
      </c>
      <c r="W25" s="42" t="str">
        <f t="shared" si="6"/>
        <v/>
      </c>
      <c r="X25" s="42" t="str">
        <f t="shared" si="6"/>
        <v/>
      </c>
      <c r="Y25" s="42"/>
      <c r="Z25" s="42">
        <f t="shared" si="5"/>
        <v>0</v>
      </c>
      <c r="AB25" s="44" t="str">
        <f t="shared" si="2"/>
        <v/>
      </c>
    </row>
    <row r="26" spans="2:28" x14ac:dyDescent="0.3">
      <c r="B26" s="37"/>
      <c r="C26" s="37"/>
      <c r="D26" s="38"/>
      <c r="E26" s="39">
        <v>46266</v>
      </c>
      <c r="F26" s="39">
        <v>46722</v>
      </c>
      <c r="G26" s="40">
        <v>0.03</v>
      </c>
      <c r="H26" s="41">
        <f t="shared" si="0"/>
        <v>46661</v>
      </c>
      <c r="I26" s="42" t="str">
        <f t="shared" si="6"/>
        <v/>
      </c>
      <c r="J26" s="42" t="str">
        <f t="shared" si="6"/>
        <v/>
      </c>
      <c r="K26" s="42" t="str">
        <f t="shared" si="6"/>
        <v/>
      </c>
      <c r="L26" s="42" t="str">
        <f t="shared" si="6"/>
        <v/>
      </c>
      <c r="M26" s="42" t="str">
        <f t="shared" si="6"/>
        <v/>
      </c>
      <c r="N26" s="42" t="str">
        <f t="shared" si="6"/>
        <v/>
      </c>
      <c r="O26" s="42" t="str">
        <f t="shared" si="6"/>
        <v/>
      </c>
      <c r="P26" s="42" t="str">
        <f t="shared" si="6"/>
        <v/>
      </c>
      <c r="Q26" s="42" t="str">
        <f t="shared" si="6"/>
        <v/>
      </c>
      <c r="R26" s="42" t="str">
        <f t="shared" si="6"/>
        <v/>
      </c>
      <c r="S26" s="42" t="str">
        <f t="shared" si="6"/>
        <v/>
      </c>
      <c r="T26" s="42" t="str">
        <f t="shared" si="6"/>
        <v/>
      </c>
      <c r="U26" s="42" t="str">
        <f t="shared" si="6"/>
        <v/>
      </c>
      <c r="V26" s="42" t="str">
        <f t="shared" si="6"/>
        <v/>
      </c>
      <c r="W26" s="42" t="str">
        <f t="shared" si="6"/>
        <v/>
      </c>
      <c r="X26" s="42" t="str">
        <f t="shared" si="6"/>
        <v/>
      </c>
      <c r="Y26" s="42"/>
      <c r="Z26" s="42">
        <f t="shared" si="5"/>
        <v>0</v>
      </c>
      <c r="AB26" s="44" t="str">
        <f t="shared" si="2"/>
        <v/>
      </c>
    </row>
    <row r="27" spans="2:28" x14ac:dyDescent="0.3">
      <c r="B27" s="37"/>
      <c r="C27" s="37"/>
      <c r="D27" s="38"/>
      <c r="E27" s="39">
        <v>46266</v>
      </c>
      <c r="F27" s="39">
        <v>46722</v>
      </c>
      <c r="G27" s="40">
        <v>0.03</v>
      </c>
      <c r="H27" s="41">
        <f t="shared" si="0"/>
        <v>46661</v>
      </c>
      <c r="I27" s="42" t="str">
        <f t="shared" si="6"/>
        <v/>
      </c>
      <c r="J27" s="42" t="str">
        <f t="shared" si="6"/>
        <v/>
      </c>
      <c r="K27" s="42" t="str">
        <f t="shared" si="6"/>
        <v/>
      </c>
      <c r="L27" s="42" t="str">
        <f t="shared" si="6"/>
        <v/>
      </c>
      <c r="M27" s="42" t="str">
        <f t="shared" si="6"/>
        <v/>
      </c>
      <c r="N27" s="42" t="str">
        <f t="shared" si="6"/>
        <v/>
      </c>
      <c r="O27" s="42" t="str">
        <f t="shared" si="6"/>
        <v/>
      </c>
      <c r="P27" s="42" t="str">
        <f t="shared" si="6"/>
        <v/>
      </c>
      <c r="Q27" s="42" t="str">
        <f t="shared" si="6"/>
        <v/>
      </c>
      <c r="R27" s="42" t="str">
        <f t="shared" si="6"/>
        <v/>
      </c>
      <c r="S27" s="42" t="str">
        <f t="shared" si="6"/>
        <v/>
      </c>
      <c r="T27" s="42" t="str">
        <f t="shared" si="6"/>
        <v/>
      </c>
      <c r="U27" s="42" t="str">
        <f t="shared" si="6"/>
        <v/>
      </c>
      <c r="V27" s="42" t="str">
        <f t="shared" si="6"/>
        <v/>
      </c>
      <c r="W27" s="42" t="str">
        <f t="shared" si="6"/>
        <v/>
      </c>
      <c r="X27" s="42" t="str">
        <f t="shared" si="6"/>
        <v/>
      </c>
      <c r="Y27" s="42"/>
      <c r="Z27" s="42">
        <f t="shared" si="5"/>
        <v>0</v>
      </c>
      <c r="AB27" s="44" t="str">
        <f t="shared" si="2"/>
        <v/>
      </c>
    </row>
    <row r="28" spans="2:28" x14ac:dyDescent="0.3">
      <c r="B28" s="37"/>
      <c r="C28" s="37"/>
      <c r="D28" s="38"/>
      <c r="E28" s="39">
        <v>46266</v>
      </c>
      <c r="F28" s="39">
        <v>46722</v>
      </c>
      <c r="G28" s="40">
        <v>0.03</v>
      </c>
      <c r="H28" s="41">
        <f t="shared" si="0"/>
        <v>46661</v>
      </c>
      <c r="I28" s="42" t="str">
        <f t="shared" si="1"/>
        <v/>
      </c>
      <c r="J28" s="42" t="str">
        <f t="shared" si="1"/>
        <v/>
      </c>
      <c r="K28" s="42" t="str">
        <f t="shared" si="1"/>
        <v/>
      </c>
      <c r="L28" s="42" t="str">
        <f t="shared" si="1"/>
        <v/>
      </c>
      <c r="M28" s="42" t="str">
        <f t="shared" si="1"/>
        <v/>
      </c>
      <c r="N28" s="42" t="str">
        <f t="shared" si="1"/>
        <v/>
      </c>
      <c r="O28" s="42" t="str">
        <f t="shared" si="1"/>
        <v/>
      </c>
      <c r="P28" s="42" t="str">
        <f t="shared" si="1"/>
        <v/>
      </c>
      <c r="Q28" s="42" t="str">
        <f t="shared" si="1"/>
        <v/>
      </c>
      <c r="R28" s="42" t="str">
        <f t="shared" si="1"/>
        <v/>
      </c>
      <c r="S28" s="42" t="str">
        <f t="shared" si="1"/>
        <v/>
      </c>
      <c r="T28" s="42" t="str">
        <f t="shared" si="1"/>
        <v/>
      </c>
      <c r="U28" s="42" t="str">
        <f t="shared" si="1"/>
        <v/>
      </c>
      <c r="V28" s="42" t="str">
        <f t="shared" si="1"/>
        <v/>
      </c>
      <c r="W28" s="42" t="str">
        <f t="shared" si="1"/>
        <v/>
      </c>
      <c r="X28" s="42" t="str">
        <f t="shared" si="1"/>
        <v/>
      </c>
      <c r="Y28" s="42"/>
      <c r="Z28" s="42">
        <f t="shared" si="3"/>
        <v>0</v>
      </c>
      <c r="AB28" s="44" t="str">
        <f t="shared" si="2"/>
        <v/>
      </c>
    </row>
    <row r="29" spans="2:28" x14ac:dyDescent="0.3">
      <c r="B29" s="37"/>
      <c r="C29" s="37"/>
      <c r="D29" s="38"/>
      <c r="E29" s="39">
        <v>46266</v>
      </c>
      <c r="F29" s="39">
        <v>46722</v>
      </c>
      <c r="G29" s="40">
        <v>0.03</v>
      </c>
      <c r="H29" s="41">
        <f t="shared" si="0"/>
        <v>46661</v>
      </c>
      <c r="I29" s="42" t="str">
        <f t="shared" si="1"/>
        <v/>
      </c>
      <c r="J29" s="42" t="str">
        <f t="shared" si="1"/>
        <v/>
      </c>
      <c r="K29" s="42" t="str">
        <f t="shared" si="1"/>
        <v/>
      </c>
      <c r="L29" s="42" t="str">
        <f t="shared" si="1"/>
        <v/>
      </c>
      <c r="M29" s="42" t="str">
        <f t="shared" si="1"/>
        <v/>
      </c>
      <c r="N29" s="42" t="str">
        <f t="shared" si="1"/>
        <v/>
      </c>
      <c r="O29" s="42" t="str">
        <f t="shared" si="1"/>
        <v/>
      </c>
      <c r="P29" s="42" t="str">
        <f t="shared" si="1"/>
        <v/>
      </c>
      <c r="Q29" s="42" t="str">
        <f t="shared" si="1"/>
        <v/>
      </c>
      <c r="R29" s="42" t="str">
        <f t="shared" si="1"/>
        <v/>
      </c>
      <c r="S29" s="42" t="str">
        <f t="shared" si="1"/>
        <v/>
      </c>
      <c r="T29" s="42" t="str">
        <f t="shared" si="1"/>
        <v/>
      </c>
      <c r="U29" s="42" t="str">
        <f t="shared" si="1"/>
        <v/>
      </c>
      <c r="V29" s="42" t="str">
        <f t="shared" si="1"/>
        <v/>
      </c>
      <c r="W29" s="42" t="str">
        <f t="shared" si="1"/>
        <v/>
      </c>
      <c r="X29" s="42" t="str">
        <f t="shared" si="1"/>
        <v/>
      </c>
      <c r="Y29" s="42"/>
      <c r="Z29" s="42">
        <f t="shared" si="3"/>
        <v>0</v>
      </c>
      <c r="AB29" s="44" t="str">
        <f t="shared" si="2"/>
        <v/>
      </c>
    </row>
    <row r="30" spans="2:28" x14ac:dyDescent="0.3">
      <c r="B30" s="37"/>
      <c r="C30" s="37"/>
      <c r="D30" s="38"/>
      <c r="E30" s="39">
        <v>46266</v>
      </c>
      <c r="F30" s="39">
        <v>46722</v>
      </c>
      <c r="G30" s="40">
        <v>0.03</v>
      </c>
      <c r="H30" s="41">
        <f t="shared" si="0"/>
        <v>46661</v>
      </c>
      <c r="I30" s="42" t="str">
        <f t="shared" si="1"/>
        <v/>
      </c>
      <c r="J30" s="42" t="str">
        <f t="shared" si="1"/>
        <v/>
      </c>
      <c r="K30" s="42" t="str">
        <f t="shared" si="1"/>
        <v/>
      </c>
      <c r="L30" s="42" t="str">
        <f t="shared" si="1"/>
        <v/>
      </c>
      <c r="M30" s="42" t="str">
        <f t="shared" si="1"/>
        <v/>
      </c>
      <c r="N30" s="42" t="str">
        <f t="shared" si="1"/>
        <v/>
      </c>
      <c r="O30" s="42" t="str">
        <f t="shared" si="1"/>
        <v/>
      </c>
      <c r="P30" s="42" t="str">
        <f t="shared" si="1"/>
        <v/>
      </c>
      <c r="Q30" s="42" t="str">
        <f t="shared" si="1"/>
        <v/>
      </c>
      <c r="R30" s="42" t="str">
        <f t="shared" si="1"/>
        <v/>
      </c>
      <c r="S30" s="42" t="str">
        <f t="shared" si="1"/>
        <v/>
      </c>
      <c r="T30" s="42" t="str">
        <f t="shared" si="1"/>
        <v/>
      </c>
      <c r="U30" s="42" t="str">
        <f t="shared" si="1"/>
        <v/>
      </c>
      <c r="V30" s="42" t="str">
        <f t="shared" si="1"/>
        <v/>
      </c>
      <c r="W30" s="42" t="str">
        <f t="shared" si="1"/>
        <v/>
      </c>
      <c r="X30" s="42" t="str">
        <f t="shared" si="1"/>
        <v/>
      </c>
      <c r="Y30" s="42"/>
      <c r="Z30" s="42">
        <f t="shared" si="3"/>
        <v>0</v>
      </c>
      <c r="AB30" s="44" t="str">
        <f t="shared" si="2"/>
        <v/>
      </c>
    </row>
    <row r="31" spans="2:28" x14ac:dyDescent="0.3">
      <c r="B31" s="37"/>
      <c r="C31" s="37"/>
      <c r="D31" s="38"/>
      <c r="E31" s="39">
        <v>46266</v>
      </c>
      <c r="F31" s="39">
        <v>46722</v>
      </c>
      <c r="G31" s="40">
        <v>0.03</v>
      </c>
      <c r="H31" s="41">
        <f t="shared" si="0"/>
        <v>46661</v>
      </c>
      <c r="I31" s="42" t="str">
        <f t="shared" si="1"/>
        <v/>
      </c>
      <c r="J31" s="42" t="str">
        <f t="shared" si="1"/>
        <v/>
      </c>
      <c r="K31" s="42" t="str">
        <f t="shared" si="1"/>
        <v/>
      </c>
      <c r="L31" s="42" t="str">
        <f t="shared" si="1"/>
        <v/>
      </c>
      <c r="M31" s="42" t="str">
        <f t="shared" si="1"/>
        <v/>
      </c>
      <c r="N31" s="42" t="str">
        <f t="shared" si="1"/>
        <v/>
      </c>
      <c r="O31" s="42" t="str">
        <f t="shared" si="1"/>
        <v/>
      </c>
      <c r="P31" s="42" t="str">
        <f t="shared" si="1"/>
        <v/>
      </c>
      <c r="Q31" s="42" t="str">
        <f t="shared" si="1"/>
        <v/>
      </c>
      <c r="R31" s="42" t="str">
        <f t="shared" si="1"/>
        <v/>
      </c>
      <c r="S31" s="42" t="str">
        <f t="shared" si="1"/>
        <v/>
      </c>
      <c r="T31" s="42" t="str">
        <f t="shared" si="1"/>
        <v/>
      </c>
      <c r="U31" s="42" t="str">
        <f t="shared" si="1"/>
        <v/>
      </c>
      <c r="V31" s="42" t="str">
        <f t="shared" si="1"/>
        <v/>
      </c>
      <c r="W31" s="42" t="str">
        <f t="shared" si="1"/>
        <v/>
      </c>
      <c r="X31" s="42" t="str">
        <f t="shared" si="1"/>
        <v/>
      </c>
      <c r="Y31" s="42"/>
      <c r="Z31" s="42">
        <f t="shared" si="3"/>
        <v>0</v>
      </c>
      <c r="AB31" s="44" t="str">
        <f t="shared" si="2"/>
        <v/>
      </c>
    </row>
    <row r="32" spans="2:28" x14ac:dyDescent="0.3">
      <c r="B32" s="37"/>
      <c r="C32" s="37"/>
      <c r="D32" s="38"/>
      <c r="E32" s="39">
        <v>46266</v>
      </c>
      <c r="F32" s="39">
        <v>46722</v>
      </c>
      <c r="G32" s="40">
        <v>0.03</v>
      </c>
      <c r="H32" s="41">
        <f t="shared" si="0"/>
        <v>46661</v>
      </c>
      <c r="I32" s="42" t="str">
        <f t="shared" si="1"/>
        <v/>
      </c>
      <c r="J32" s="42" t="str">
        <f t="shared" si="1"/>
        <v/>
      </c>
      <c r="K32" s="42" t="str">
        <f t="shared" si="1"/>
        <v/>
      </c>
      <c r="L32" s="42" t="str">
        <f t="shared" si="1"/>
        <v/>
      </c>
      <c r="M32" s="42" t="str">
        <f t="shared" si="1"/>
        <v/>
      </c>
      <c r="N32" s="42" t="str">
        <f t="shared" si="1"/>
        <v/>
      </c>
      <c r="O32" s="42" t="str">
        <f t="shared" si="1"/>
        <v/>
      </c>
      <c r="P32" s="42" t="str">
        <f t="shared" si="1"/>
        <v/>
      </c>
      <c r="Q32" s="42" t="str">
        <f t="shared" si="1"/>
        <v/>
      </c>
      <c r="R32" s="42" t="str">
        <f t="shared" si="1"/>
        <v/>
      </c>
      <c r="S32" s="42" t="str">
        <f t="shared" si="1"/>
        <v/>
      </c>
      <c r="T32" s="42" t="str">
        <f t="shared" si="1"/>
        <v/>
      </c>
      <c r="U32" s="42" t="str">
        <f t="shared" si="1"/>
        <v/>
      </c>
      <c r="V32" s="42" t="str">
        <f t="shared" si="1"/>
        <v/>
      </c>
      <c r="W32" s="42" t="str">
        <f t="shared" si="1"/>
        <v/>
      </c>
      <c r="X32" s="42" t="str">
        <f t="shared" si="1"/>
        <v/>
      </c>
      <c r="Y32" s="42"/>
      <c r="Z32" s="42">
        <f t="shared" si="3"/>
        <v>0</v>
      </c>
      <c r="AB32" s="44" t="str">
        <f t="shared" si="2"/>
        <v/>
      </c>
    </row>
    <row r="33" spans="2:28" x14ac:dyDescent="0.3">
      <c r="B33" s="37"/>
      <c r="C33" s="37"/>
      <c r="D33" s="38"/>
      <c r="E33" s="39">
        <v>46266</v>
      </c>
      <c r="F33" s="39">
        <v>46722</v>
      </c>
      <c r="G33" s="40">
        <v>0.03</v>
      </c>
      <c r="H33" s="41">
        <f t="shared" si="0"/>
        <v>46661</v>
      </c>
      <c r="I33" s="42" t="str">
        <f t="shared" si="1"/>
        <v/>
      </c>
      <c r="J33" s="42" t="str">
        <f t="shared" si="1"/>
        <v/>
      </c>
      <c r="K33" s="42" t="str">
        <f t="shared" si="1"/>
        <v/>
      </c>
      <c r="L33" s="42" t="str">
        <f t="shared" si="1"/>
        <v/>
      </c>
      <c r="M33" s="42" t="str">
        <f t="shared" si="1"/>
        <v/>
      </c>
      <c r="N33" s="42" t="str">
        <f t="shared" si="1"/>
        <v/>
      </c>
      <c r="O33" s="42" t="str">
        <f t="shared" si="1"/>
        <v/>
      </c>
      <c r="P33" s="42" t="str">
        <f t="shared" si="1"/>
        <v/>
      </c>
      <c r="Q33" s="42" t="str">
        <f t="shared" si="1"/>
        <v/>
      </c>
      <c r="R33" s="42" t="str">
        <f t="shared" si="1"/>
        <v/>
      </c>
      <c r="S33" s="42" t="str">
        <f t="shared" si="1"/>
        <v/>
      </c>
      <c r="T33" s="42" t="str">
        <f t="shared" si="1"/>
        <v/>
      </c>
      <c r="U33" s="42" t="str">
        <f t="shared" si="1"/>
        <v/>
      </c>
      <c r="V33" s="42" t="str">
        <f t="shared" si="1"/>
        <v/>
      </c>
      <c r="W33" s="42" t="str">
        <f t="shared" si="1"/>
        <v/>
      </c>
      <c r="X33" s="42" t="str">
        <f t="shared" si="1"/>
        <v/>
      </c>
      <c r="Y33" s="42"/>
      <c r="Z33" s="42">
        <f t="shared" si="3"/>
        <v>0</v>
      </c>
      <c r="AB33" s="44" t="str">
        <f t="shared" si="2"/>
        <v/>
      </c>
    </row>
    <row r="34" spans="2:28" x14ac:dyDescent="0.3">
      <c r="B34" s="8" t="s">
        <v>55</v>
      </c>
      <c r="D34" s="45"/>
      <c r="E34" s="46"/>
      <c r="F34" s="46"/>
      <c r="G34" s="46"/>
      <c r="H34" s="46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B34" s="44"/>
    </row>
    <row r="35" spans="2:28" x14ac:dyDescent="0.3">
      <c r="B35" s="37" t="s">
        <v>364</v>
      </c>
      <c r="C35" s="37" t="s">
        <v>363</v>
      </c>
      <c r="D35" s="38">
        <v>140000</v>
      </c>
      <c r="E35" s="39">
        <v>46357</v>
      </c>
      <c r="F35" s="39">
        <v>46722</v>
      </c>
      <c r="G35" s="40">
        <v>0.03</v>
      </c>
      <c r="H35" s="41">
        <f>$D$8</f>
        <v>46661</v>
      </c>
      <c r="I35" s="42">
        <f t="shared" ref="I35:X39" si="7">IF(OR($D35="",$E35="",NOT(ISNUMBER($D35))),"",IF(AND($E35&lt;=I$10,IF($F35="",$X$10,$F35)&gt;=I$10),$D35/12*(1+N($G35))^IF(AND(ISNUMBER($H35),I$10&gt;=$H35),1+INT(DATEDIF($H35,I$10,"m")/12),0),0))</f>
        <v>0</v>
      </c>
      <c r="J35" s="42">
        <f t="shared" si="7"/>
        <v>0</v>
      </c>
      <c r="K35" s="42">
        <f t="shared" si="7"/>
        <v>0</v>
      </c>
      <c r="L35" s="42">
        <f t="shared" si="7"/>
        <v>11666.666666666666</v>
      </c>
      <c r="M35" s="42">
        <f t="shared" si="7"/>
        <v>11666.666666666666</v>
      </c>
      <c r="N35" s="42">
        <f t="shared" si="7"/>
        <v>11666.666666666666</v>
      </c>
      <c r="O35" s="42">
        <f t="shared" si="7"/>
        <v>11666.666666666666</v>
      </c>
      <c r="P35" s="42">
        <f t="shared" si="7"/>
        <v>11666.666666666666</v>
      </c>
      <c r="Q35" s="42">
        <f t="shared" si="7"/>
        <v>11666.666666666666</v>
      </c>
      <c r="R35" s="42">
        <f t="shared" si="7"/>
        <v>11666.666666666666</v>
      </c>
      <c r="S35" s="42">
        <f t="shared" si="7"/>
        <v>11666.666666666666</v>
      </c>
      <c r="T35" s="42">
        <f t="shared" si="7"/>
        <v>11666.666666666666</v>
      </c>
      <c r="U35" s="42">
        <f t="shared" si="7"/>
        <v>11666.666666666666</v>
      </c>
      <c r="V35" s="42">
        <f t="shared" si="7"/>
        <v>12016.666666666666</v>
      </c>
      <c r="W35" s="42">
        <f t="shared" si="7"/>
        <v>12016.666666666666</v>
      </c>
      <c r="X35" s="42">
        <f t="shared" si="7"/>
        <v>12016.666666666666</v>
      </c>
      <c r="Y35" s="42"/>
      <c r="Z35" s="42">
        <f t="shared" ref="Z35:Z50" si="8">SUM(M35:X35)</f>
        <v>141050.00000000003</v>
      </c>
      <c r="AB35" s="44" t="str">
        <f>IF($D35&amp;$E35="","",IF(AND($D35&lt;&gt;"",NOT(ISNUMBER($D35))),"Salary must be a number",IF(AND($D35&lt;&gt;"",$E35=""),"Start month missing",IF(AND(ISNUMBER($E35),ISNUMBER($F35),$F35&lt;$E35),"End is before Start",IF(AND($D35&lt;&gt;"",NOT(ISNUMBER($H35))),"Increase month missing","")))))</f>
        <v/>
      </c>
    </row>
    <row r="36" spans="2:28" x14ac:dyDescent="0.3">
      <c r="B36" s="37"/>
      <c r="C36" s="37"/>
      <c r="D36" s="38"/>
      <c r="E36" s="39"/>
      <c r="F36" s="39">
        <v>46722</v>
      </c>
      <c r="G36" s="40">
        <v>0.03</v>
      </c>
      <c r="H36" s="41">
        <f>$D$8</f>
        <v>46661</v>
      </c>
      <c r="I36" s="42" t="str">
        <f t="shared" si="7"/>
        <v/>
      </c>
      <c r="J36" s="42" t="str">
        <f t="shared" si="7"/>
        <v/>
      </c>
      <c r="K36" s="42" t="str">
        <f t="shared" si="7"/>
        <v/>
      </c>
      <c r="L36" s="42" t="str">
        <f t="shared" si="7"/>
        <v/>
      </c>
      <c r="M36" s="42" t="str">
        <f t="shared" si="7"/>
        <v/>
      </c>
      <c r="N36" s="42" t="str">
        <f t="shared" si="7"/>
        <v/>
      </c>
      <c r="O36" s="42" t="str">
        <f t="shared" si="7"/>
        <v/>
      </c>
      <c r="P36" s="42" t="str">
        <f t="shared" si="7"/>
        <v/>
      </c>
      <c r="Q36" s="42" t="str">
        <f t="shared" si="7"/>
        <v/>
      </c>
      <c r="R36" s="42" t="str">
        <f t="shared" si="7"/>
        <v/>
      </c>
      <c r="S36" s="42" t="str">
        <f t="shared" si="7"/>
        <v/>
      </c>
      <c r="T36" s="42" t="str">
        <f t="shared" si="7"/>
        <v/>
      </c>
      <c r="U36" s="42" t="str">
        <f t="shared" si="7"/>
        <v/>
      </c>
      <c r="V36" s="42" t="str">
        <f t="shared" si="7"/>
        <v/>
      </c>
      <c r="W36" s="42" t="str">
        <f t="shared" si="7"/>
        <v/>
      </c>
      <c r="X36" s="42" t="str">
        <f t="shared" si="7"/>
        <v/>
      </c>
      <c r="Y36" s="42"/>
      <c r="Z36" s="42">
        <f t="shared" si="8"/>
        <v>0</v>
      </c>
      <c r="AB36" s="44" t="str">
        <f>IF($D36&amp;$E36="","",IF(AND($D36&lt;&gt;"",NOT(ISNUMBER($D36))),"Salary must be a number",IF(AND($D36&lt;&gt;"",$E36=""),"Start month missing",IF(AND(ISNUMBER($E36),ISNUMBER($F36),$F36&lt;$E36),"End is before Start",IF(AND($D36&lt;&gt;"",NOT(ISNUMBER($H36))),"Increase month missing","")))))</f>
        <v/>
      </c>
    </row>
    <row r="37" spans="2:28" x14ac:dyDescent="0.3">
      <c r="B37" s="37"/>
      <c r="C37" s="37"/>
      <c r="D37" s="38"/>
      <c r="E37" s="39"/>
      <c r="F37" s="39">
        <v>46722</v>
      </c>
      <c r="G37" s="40">
        <v>0.03</v>
      </c>
      <c r="H37" s="41">
        <f>$D$8</f>
        <v>46661</v>
      </c>
      <c r="I37" s="42" t="str">
        <f t="shared" si="7"/>
        <v/>
      </c>
      <c r="J37" s="42" t="str">
        <f t="shared" si="7"/>
        <v/>
      </c>
      <c r="K37" s="42" t="str">
        <f t="shared" si="7"/>
        <v/>
      </c>
      <c r="L37" s="42" t="str">
        <f t="shared" si="7"/>
        <v/>
      </c>
      <c r="M37" s="42" t="str">
        <f t="shared" si="7"/>
        <v/>
      </c>
      <c r="N37" s="42" t="str">
        <f t="shared" si="7"/>
        <v/>
      </c>
      <c r="O37" s="42" t="str">
        <f t="shared" si="7"/>
        <v/>
      </c>
      <c r="P37" s="42" t="str">
        <f t="shared" si="7"/>
        <v/>
      </c>
      <c r="Q37" s="42" t="str">
        <f t="shared" si="7"/>
        <v/>
      </c>
      <c r="R37" s="42" t="str">
        <f t="shared" si="7"/>
        <v/>
      </c>
      <c r="S37" s="42" t="str">
        <f t="shared" si="7"/>
        <v/>
      </c>
      <c r="T37" s="42" t="str">
        <f t="shared" si="7"/>
        <v/>
      </c>
      <c r="U37" s="42" t="str">
        <f t="shared" si="7"/>
        <v/>
      </c>
      <c r="V37" s="42" t="str">
        <f t="shared" si="7"/>
        <v/>
      </c>
      <c r="W37" s="42" t="str">
        <f t="shared" si="7"/>
        <v/>
      </c>
      <c r="X37" s="42" t="str">
        <f t="shared" si="7"/>
        <v/>
      </c>
      <c r="Y37" s="42"/>
      <c r="Z37" s="42">
        <f t="shared" si="8"/>
        <v>0</v>
      </c>
      <c r="AB37" s="44" t="str">
        <f>IF($D37&amp;$E37="","",IF(AND($D37&lt;&gt;"",NOT(ISNUMBER($D37))),"Salary must be a number",IF(AND($D37&lt;&gt;"",$E37=""),"Start month missing",IF(AND(ISNUMBER($E37),ISNUMBER($F37),$F37&lt;$E37),"End is before Start",IF(AND($D37&lt;&gt;"",NOT(ISNUMBER($H37))),"Increase month missing","")))))</f>
        <v/>
      </c>
    </row>
    <row r="38" spans="2:28" x14ac:dyDescent="0.3">
      <c r="B38" s="37"/>
      <c r="C38" s="37"/>
      <c r="D38" s="38"/>
      <c r="E38" s="39"/>
      <c r="F38" s="39">
        <v>46722</v>
      </c>
      <c r="G38" s="40">
        <v>0.03</v>
      </c>
      <c r="H38" s="41">
        <f>$D$8</f>
        <v>46661</v>
      </c>
      <c r="I38" s="42" t="str">
        <f t="shared" si="7"/>
        <v/>
      </c>
      <c r="J38" s="42" t="str">
        <f t="shared" si="7"/>
        <v/>
      </c>
      <c r="K38" s="42" t="str">
        <f t="shared" si="7"/>
        <v/>
      </c>
      <c r="L38" s="42" t="str">
        <f t="shared" si="7"/>
        <v/>
      </c>
      <c r="M38" s="42" t="str">
        <f t="shared" si="7"/>
        <v/>
      </c>
      <c r="N38" s="42" t="str">
        <f t="shared" si="7"/>
        <v/>
      </c>
      <c r="O38" s="42" t="str">
        <f t="shared" si="7"/>
        <v/>
      </c>
      <c r="P38" s="42" t="str">
        <f t="shared" si="7"/>
        <v/>
      </c>
      <c r="Q38" s="42" t="str">
        <f t="shared" si="7"/>
        <v/>
      </c>
      <c r="R38" s="42" t="str">
        <f t="shared" si="7"/>
        <v/>
      </c>
      <c r="S38" s="42" t="str">
        <f t="shared" si="7"/>
        <v/>
      </c>
      <c r="T38" s="42" t="str">
        <f t="shared" si="7"/>
        <v/>
      </c>
      <c r="U38" s="42" t="str">
        <f t="shared" si="7"/>
        <v/>
      </c>
      <c r="V38" s="42" t="str">
        <f t="shared" si="7"/>
        <v/>
      </c>
      <c r="W38" s="42" t="str">
        <f t="shared" si="7"/>
        <v/>
      </c>
      <c r="X38" s="42" t="str">
        <f t="shared" si="7"/>
        <v/>
      </c>
      <c r="Y38" s="42"/>
      <c r="Z38" s="42">
        <f t="shared" si="8"/>
        <v>0</v>
      </c>
      <c r="AB38" s="44" t="str">
        <f>IF($D38&amp;$E38="","",IF(AND($D38&lt;&gt;"",NOT(ISNUMBER($D38))),"Salary must be a number",IF(AND($D38&lt;&gt;"",$E38=""),"Start month missing",IF(AND(ISNUMBER($E38),ISNUMBER($F38),$F38&lt;$E38),"End is before Start",IF(AND($D38&lt;&gt;"",NOT(ISNUMBER($H38))),"Increase month missing","")))))</f>
        <v/>
      </c>
    </row>
    <row r="39" spans="2:28" x14ac:dyDescent="0.3">
      <c r="B39" s="37"/>
      <c r="C39" s="37"/>
      <c r="D39" s="38"/>
      <c r="E39" s="39"/>
      <c r="F39" s="39">
        <v>46722</v>
      </c>
      <c r="G39" s="40">
        <v>0.03</v>
      </c>
      <c r="H39" s="41">
        <f>$D$8</f>
        <v>46661</v>
      </c>
      <c r="I39" s="42" t="str">
        <f t="shared" si="7"/>
        <v/>
      </c>
      <c r="J39" s="42" t="str">
        <f t="shared" si="7"/>
        <v/>
      </c>
      <c r="K39" s="42" t="str">
        <f t="shared" si="7"/>
        <v/>
      </c>
      <c r="L39" s="42" t="str">
        <f t="shared" si="7"/>
        <v/>
      </c>
      <c r="M39" s="42" t="str">
        <f t="shared" si="7"/>
        <v/>
      </c>
      <c r="N39" s="42" t="str">
        <f t="shared" si="7"/>
        <v/>
      </c>
      <c r="O39" s="42" t="str">
        <f t="shared" si="7"/>
        <v/>
      </c>
      <c r="P39" s="42" t="str">
        <f t="shared" si="7"/>
        <v/>
      </c>
      <c r="Q39" s="42" t="str">
        <f t="shared" si="7"/>
        <v/>
      </c>
      <c r="R39" s="42" t="str">
        <f t="shared" si="7"/>
        <v/>
      </c>
      <c r="S39" s="42" t="str">
        <f t="shared" si="7"/>
        <v/>
      </c>
      <c r="T39" s="42" t="str">
        <f t="shared" si="7"/>
        <v/>
      </c>
      <c r="U39" s="42" t="str">
        <f t="shared" si="7"/>
        <v/>
      </c>
      <c r="V39" s="42" t="str">
        <f t="shared" si="7"/>
        <v/>
      </c>
      <c r="W39" s="42" t="str">
        <f t="shared" si="7"/>
        <v/>
      </c>
      <c r="X39" s="42" t="str">
        <f t="shared" si="7"/>
        <v/>
      </c>
      <c r="Y39" s="42"/>
      <c r="Z39" s="42">
        <f t="shared" si="8"/>
        <v>0</v>
      </c>
      <c r="AB39" s="44" t="str">
        <f>IF($D39&amp;$E39="","",IF(AND($D39&lt;&gt;"",NOT(ISNUMBER($D39))),"Salary must be a number",IF(AND($D39&lt;&gt;"",$E39=""),"Start month missing",IF(AND(ISNUMBER($E39),ISNUMBER($F39),$F39&lt;$E39),"End is before Start",IF(AND($D39&lt;&gt;"",NOT(ISNUMBER($H39))),"Increase month missing","")))))</f>
        <v/>
      </c>
    </row>
    <row r="40" spans="2:28" x14ac:dyDescent="0.3">
      <c r="B40" s="8" t="s">
        <v>56</v>
      </c>
      <c r="D40" s="45"/>
      <c r="E40" s="46"/>
      <c r="F40" s="46"/>
      <c r="G40" s="46"/>
      <c r="H40" s="46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B40" s="44"/>
    </row>
    <row r="41" spans="2:28" x14ac:dyDescent="0.3">
      <c r="B41" s="37"/>
      <c r="C41" s="37" t="s">
        <v>365</v>
      </c>
      <c r="D41" s="38"/>
      <c r="E41" s="39"/>
      <c r="F41" s="39">
        <v>46722</v>
      </c>
      <c r="G41" s="40">
        <v>0.03</v>
      </c>
      <c r="H41" s="41">
        <f t="shared" ref="H41:H50" si="9">$D$8</f>
        <v>46661</v>
      </c>
      <c r="I41" s="42" t="str">
        <f t="shared" ref="I41:X50" si="10">IF(OR($D41="",$E41="",NOT(ISNUMBER($D41))),"",IF(AND($E41&lt;=I$10,IF($F41="",$X$10,$F41)&gt;=I$10),$D41/12*(1+N($G41))^IF(AND(ISNUMBER($H41),I$10&gt;=$H41),1+INT(DATEDIF($H41,I$10,"m")/12),0),0))</f>
        <v/>
      </c>
      <c r="J41" s="42" t="str">
        <f t="shared" si="10"/>
        <v/>
      </c>
      <c r="K41" s="42" t="str">
        <f t="shared" si="10"/>
        <v/>
      </c>
      <c r="L41" s="42" t="str">
        <f t="shared" si="10"/>
        <v/>
      </c>
      <c r="M41" s="42" t="str">
        <f t="shared" si="10"/>
        <v/>
      </c>
      <c r="N41" s="42" t="str">
        <f t="shared" si="10"/>
        <v/>
      </c>
      <c r="O41" s="42" t="str">
        <f t="shared" si="10"/>
        <v/>
      </c>
      <c r="P41" s="42" t="str">
        <f t="shared" si="10"/>
        <v/>
      </c>
      <c r="Q41" s="42" t="str">
        <f t="shared" si="10"/>
        <v/>
      </c>
      <c r="R41" s="42" t="str">
        <f t="shared" si="10"/>
        <v/>
      </c>
      <c r="S41" s="42" t="str">
        <f t="shared" si="10"/>
        <v/>
      </c>
      <c r="T41" s="42" t="str">
        <f t="shared" si="10"/>
        <v/>
      </c>
      <c r="U41" s="42" t="str">
        <f t="shared" si="10"/>
        <v/>
      </c>
      <c r="V41" s="42" t="str">
        <f t="shared" si="10"/>
        <v/>
      </c>
      <c r="W41" s="42" t="str">
        <f t="shared" si="10"/>
        <v/>
      </c>
      <c r="X41" s="42" t="str">
        <f t="shared" si="10"/>
        <v/>
      </c>
      <c r="Y41" s="42"/>
      <c r="Z41" s="42">
        <f t="shared" si="8"/>
        <v>0</v>
      </c>
      <c r="AB41" s="44" t="str">
        <f t="shared" ref="AB41:AB50" si="11">IF($D41&amp;$E41="","",IF(AND($D41&lt;&gt;"",NOT(ISNUMBER($D41))),"Salary must be a number",IF(AND($D41&lt;&gt;"",$E41=""),"Start month missing",IF(AND(ISNUMBER($E41),ISNUMBER($F41),$F41&lt;$E41),"End is before Start",IF(AND($D41&lt;&gt;"",NOT(ISNUMBER($H41))),"Increase month missing","")))))</f>
        <v/>
      </c>
    </row>
    <row r="42" spans="2:28" x14ac:dyDescent="0.3">
      <c r="B42" s="37"/>
      <c r="C42" s="37"/>
      <c r="D42" s="38"/>
      <c r="E42" s="39"/>
      <c r="F42" s="39">
        <v>46722</v>
      </c>
      <c r="G42" s="40">
        <v>0.03</v>
      </c>
      <c r="H42" s="41">
        <f t="shared" si="9"/>
        <v>46661</v>
      </c>
      <c r="I42" s="42" t="str">
        <f t="shared" si="10"/>
        <v/>
      </c>
      <c r="J42" s="42" t="str">
        <f t="shared" si="10"/>
        <v/>
      </c>
      <c r="K42" s="42" t="str">
        <f t="shared" si="10"/>
        <v/>
      </c>
      <c r="L42" s="42" t="str">
        <f t="shared" si="10"/>
        <v/>
      </c>
      <c r="M42" s="42" t="str">
        <f t="shared" si="10"/>
        <v/>
      </c>
      <c r="N42" s="42" t="str">
        <f t="shared" si="10"/>
        <v/>
      </c>
      <c r="O42" s="42" t="str">
        <f t="shared" si="10"/>
        <v/>
      </c>
      <c r="P42" s="42" t="str">
        <f t="shared" si="10"/>
        <v/>
      </c>
      <c r="Q42" s="42" t="str">
        <f t="shared" si="10"/>
        <v/>
      </c>
      <c r="R42" s="42" t="str">
        <f t="shared" si="10"/>
        <v/>
      </c>
      <c r="S42" s="42" t="str">
        <f t="shared" si="10"/>
        <v/>
      </c>
      <c r="T42" s="42" t="str">
        <f t="shared" si="10"/>
        <v/>
      </c>
      <c r="U42" s="42" t="str">
        <f t="shared" si="10"/>
        <v/>
      </c>
      <c r="V42" s="42" t="str">
        <f t="shared" si="10"/>
        <v/>
      </c>
      <c r="W42" s="42" t="str">
        <f t="shared" si="10"/>
        <v/>
      </c>
      <c r="X42" s="42" t="str">
        <f t="shared" si="10"/>
        <v/>
      </c>
      <c r="Y42" s="42"/>
      <c r="Z42" s="42">
        <f t="shared" si="8"/>
        <v>0</v>
      </c>
      <c r="AB42" s="44" t="str">
        <f t="shared" si="11"/>
        <v/>
      </c>
    </row>
    <row r="43" spans="2:28" x14ac:dyDescent="0.3">
      <c r="B43" s="37"/>
      <c r="C43" s="37"/>
      <c r="D43" s="38"/>
      <c r="E43" s="39"/>
      <c r="F43" s="39">
        <v>46722</v>
      </c>
      <c r="G43" s="40">
        <v>0.03</v>
      </c>
      <c r="H43" s="41">
        <f t="shared" si="9"/>
        <v>46661</v>
      </c>
      <c r="I43" s="42" t="str">
        <f t="shared" si="10"/>
        <v/>
      </c>
      <c r="J43" s="42" t="str">
        <f t="shared" si="10"/>
        <v/>
      </c>
      <c r="K43" s="42" t="str">
        <f t="shared" si="10"/>
        <v/>
      </c>
      <c r="L43" s="42" t="str">
        <f t="shared" si="10"/>
        <v/>
      </c>
      <c r="M43" s="42" t="str">
        <f t="shared" si="10"/>
        <v/>
      </c>
      <c r="N43" s="42" t="str">
        <f t="shared" si="10"/>
        <v/>
      </c>
      <c r="O43" s="42" t="str">
        <f t="shared" si="10"/>
        <v/>
      </c>
      <c r="P43" s="42" t="str">
        <f t="shared" si="10"/>
        <v/>
      </c>
      <c r="Q43" s="42" t="str">
        <f t="shared" si="10"/>
        <v/>
      </c>
      <c r="R43" s="42" t="str">
        <f t="shared" si="10"/>
        <v/>
      </c>
      <c r="S43" s="42" t="str">
        <f t="shared" si="10"/>
        <v/>
      </c>
      <c r="T43" s="42" t="str">
        <f t="shared" si="10"/>
        <v/>
      </c>
      <c r="U43" s="42" t="str">
        <f t="shared" si="10"/>
        <v/>
      </c>
      <c r="V43" s="42" t="str">
        <f t="shared" si="10"/>
        <v/>
      </c>
      <c r="W43" s="42" t="str">
        <f t="shared" si="10"/>
        <v/>
      </c>
      <c r="X43" s="42" t="str">
        <f t="shared" si="10"/>
        <v/>
      </c>
      <c r="Y43" s="42"/>
      <c r="Z43" s="42">
        <f t="shared" si="8"/>
        <v>0</v>
      </c>
      <c r="AB43" s="44" t="str">
        <f t="shared" si="11"/>
        <v/>
      </c>
    </row>
    <row r="44" spans="2:28" x14ac:dyDescent="0.3">
      <c r="B44" s="37"/>
      <c r="C44" s="37"/>
      <c r="D44" s="38"/>
      <c r="E44" s="39"/>
      <c r="F44" s="39">
        <v>46722</v>
      </c>
      <c r="G44" s="40">
        <v>0.03</v>
      </c>
      <c r="H44" s="41">
        <f t="shared" si="9"/>
        <v>46661</v>
      </c>
      <c r="I44" s="42" t="str">
        <f t="shared" si="10"/>
        <v/>
      </c>
      <c r="J44" s="42" t="str">
        <f t="shared" si="10"/>
        <v/>
      </c>
      <c r="K44" s="42" t="str">
        <f t="shared" si="10"/>
        <v/>
      </c>
      <c r="L44" s="42" t="str">
        <f t="shared" si="10"/>
        <v/>
      </c>
      <c r="M44" s="42" t="str">
        <f t="shared" si="10"/>
        <v/>
      </c>
      <c r="N44" s="42" t="str">
        <f t="shared" si="10"/>
        <v/>
      </c>
      <c r="O44" s="42" t="str">
        <f t="shared" si="10"/>
        <v/>
      </c>
      <c r="P44" s="42" t="str">
        <f t="shared" si="10"/>
        <v/>
      </c>
      <c r="Q44" s="42" t="str">
        <f t="shared" si="10"/>
        <v/>
      </c>
      <c r="R44" s="42" t="str">
        <f t="shared" si="10"/>
        <v/>
      </c>
      <c r="S44" s="42" t="str">
        <f t="shared" si="10"/>
        <v/>
      </c>
      <c r="T44" s="42" t="str">
        <f t="shared" si="10"/>
        <v/>
      </c>
      <c r="U44" s="42" t="str">
        <f t="shared" si="10"/>
        <v/>
      </c>
      <c r="V44" s="42" t="str">
        <f t="shared" si="10"/>
        <v/>
      </c>
      <c r="W44" s="42" t="str">
        <f t="shared" si="10"/>
        <v/>
      </c>
      <c r="X44" s="42" t="str">
        <f t="shared" si="10"/>
        <v/>
      </c>
      <c r="Y44" s="42"/>
      <c r="Z44" s="42">
        <f t="shared" si="8"/>
        <v>0</v>
      </c>
      <c r="AB44" s="44" t="str">
        <f t="shared" si="11"/>
        <v/>
      </c>
    </row>
    <row r="45" spans="2:28" x14ac:dyDescent="0.3">
      <c r="B45" s="37"/>
      <c r="C45" s="37"/>
      <c r="D45" s="38"/>
      <c r="E45" s="39"/>
      <c r="F45" s="39">
        <v>46722</v>
      </c>
      <c r="G45" s="40">
        <v>0.03</v>
      </c>
      <c r="H45" s="41">
        <f t="shared" si="9"/>
        <v>46661</v>
      </c>
      <c r="I45" s="42" t="str">
        <f t="shared" si="10"/>
        <v/>
      </c>
      <c r="J45" s="42" t="str">
        <f t="shared" si="10"/>
        <v/>
      </c>
      <c r="K45" s="42" t="str">
        <f t="shared" si="10"/>
        <v/>
      </c>
      <c r="L45" s="42" t="str">
        <f t="shared" si="10"/>
        <v/>
      </c>
      <c r="M45" s="42" t="str">
        <f t="shared" si="10"/>
        <v/>
      </c>
      <c r="N45" s="42" t="str">
        <f t="shared" si="10"/>
        <v/>
      </c>
      <c r="O45" s="42" t="str">
        <f t="shared" si="10"/>
        <v/>
      </c>
      <c r="P45" s="42" t="str">
        <f t="shared" si="10"/>
        <v/>
      </c>
      <c r="Q45" s="42" t="str">
        <f t="shared" si="10"/>
        <v/>
      </c>
      <c r="R45" s="42" t="str">
        <f t="shared" si="10"/>
        <v/>
      </c>
      <c r="S45" s="42" t="str">
        <f t="shared" si="10"/>
        <v/>
      </c>
      <c r="T45" s="42" t="str">
        <f t="shared" si="10"/>
        <v/>
      </c>
      <c r="U45" s="42" t="str">
        <f t="shared" si="10"/>
        <v/>
      </c>
      <c r="V45" s="42" t="str">
        <f t="shared" si="10"/>
        <v/>
      </c>
      <c r="W45" s="42" t="str">
        <f t="shared" si="10"/>
        <v/>
      </c>
      <c r="X45" s="42" t="str">
        <f t="shared" si="10"/>
        <v/>
      </c>
      <c r="Y45" s="42"/>
      <c r="Z45" s="42">
        <f t="shared" si="8"/>
        <v>0</v>
      </c>
      <c r="AB45" s="44" t="str">
        <f t="shared" si="11"/>
        <v/>
      </c>
    </row>
    <row r="46" spans="2:28" x14ac:dyDescent="0.3">
      <c r="B46" s="37"/>
      <c r="C46" s="37"/>
      <c r="D46" s="38"/>
      <c r="E46" s="39"/>
      <c r="F46" s="39">
        <v>46722</v>
      </c>
      <c r="G46" s="40">
        <v>0.03</v>
      </c>
      <c r="H46" s="41">
        <f t="shared" si="9"/>
        <v>46661</v>
      </c>
      <c r="I46" s="42" t="str">
        <f t="shared" si="10"/>
        <v/>
      </c>
      <c r="J46" s="42" t="str">
        <f t="shared" si="10"/>
        <v/>
      </c>
      <c r="K46" s="42" t="str">
        <f t="shared" si="10"/>
        <v/>
      </c>
      <c r="L46" s="42" t="str">
        <f t="shared" si="10"/>
        <v/>
      </c>
      <c r="M46" s="42" t="str">
        <f t="shared" si="10"/>
        <v/>
      </c>
      <c r="N46" s="42" t="str">
        <f t="shared" si="10"/>
        <v/>
      </c>
      <c r="O46" s="42" t="str">
        <f t="shared" si="10"/>
        <v/>
      </c>
      <c r="P46" s="42" t="str">
        <f t="shared" si="10"/>
        <v/>
      </c>
      <c r="Q46" s="42" t="str">
        <f t="shared" si="10"/>
        <v/>
      </c>
      <c r="R46" s="42" t="str">
        <f t="shared" si="10"/>
        <v/>
      </c>
      <c r="S46" s="42" t="str">
        <f t="shared" si="10"/>
        <v/>
      </c>
      <c r="T46" s="42" t="str">
        <f t="shared" si="10"/>
        <v/>
      </c>
      <c r="U46" s="42" t="str">
        <f t="shared" si="10"/>
        <v/>
      </c>
      <c r="V46" s="42" t="str">
        <f t="shared" si="10"/>
        <v/>
      </c>
      <c r="W46" s="42" t="str">
        <f t="shared" si="10"/>
        <v/>
      </c>
      <c r="X46" s="42" t="str">
        <f t="shared" si="10"/>
        <v/>
      </c>
      <c r="Y46" s="42"/>
      <c r="Z46" s="42">
        <f t="shared" si="8"/>
        <v>0</v>
      </c>
      <c r="AB46" s="44" t="str">
        <f t="shared" si="11"/>
        <v/>
      </c>
    </row>
    <row r="47" spans="2:28" x14ac:dyDescent="0.3">
      <c r="B47" s="37"/>
      <c r="C47" s="37"/>
      <c r="D47" s="38"/>
      <c r="E47" s="39"/>
      <c r="F47" s="39">
        <v>46722</v>
      </c>
      <c r="G47" s="40">
        <v>0.03</v>
      </c>
      <c r="H47" s="41">
        <f t="shared" si="9"/>
        <v>46661</v>
      </c>
      <c r="I47" s="42" t="str">
        <f t="shared" si="10"/>
        <v/>
      </c>
      <c r="J47" s="42" t="str">
        <f t="shared" si="10"/>
        <v/>
      </c>
      <c r="K47" s="42" t="str">
        <f t="shared" si="10"/>
        <v/>
      </c>
      <c r="L47" s="42" t="str">
        <f t="shared" si="10"/>
        <v/>
      </c>
      <c r="M47" s="42" t="str">
        <f t="shared" si="10"/>
        <v/>
      </c>
      <c r="N47" s="42" t="str">
        <f t="shared" si="10"/>
        <v/>
      </c>
      <c r="O47" s="42" t="str">
        <f t="shared" si="10"/>
        <v/>
      </c>
      <c r="P47" s="42" t="str">
        <f t="shared" si="10"/>
        <v/>
      </c>
      <c r="Q47" s="42" t="str">
        <f t="shared" si="10"/>
        <v/>
      </c>
      <c r="R47" s="42" t="str">
        <f t="shared" si="10"/>
        <v/>
      </c>
      <c r="S47" s="42" t="str">
        <f t="shared" si="10"/>
        <v/>
      </c>
      <c r="T47" s="42" t="str">
        <f t="shared" si="10"/>
        <v/>
      </c>
      <c r="U47" s="42" t="str">
        <f t="shared" si="10"/>
        <v/>
      </c>
      <c r="V47" s="42" t="str">
        <f t="shared" si="10"/>
        <v/>
      </c>
      <c r="W47" s="42" t="str">
        <f t="shared" si="10"/>
        <v/>
      </c>
      <c r="X47" s="42" t="str">
        <f t="shared" si="10"/>
        <v/>
      </c>
      <c r="Y47" s="42"/>
      <c r="Z47" s="42">
        <f t="shared" si="8"/>
        <v>0</v>
      </c>
      <c r="AB47" s="44" t="str">
        <f t="shared" si="11"/>
        <v/>
      </c>
    </row>
    <row r="48" spans="2:28" x14ac:dyDescent="0.3">
      <c r="B48" s="37"/>
      <c r="C48" s="37"/>
      <c r="D48" s="38"/>
      <c r="E48" s="39"/>
      <c r="F48" s="39">
        <v>46722</v>
      </c>
      <c r="G48" s="40">
        <v>0.03</v>
      </c>
      <c r="H48" s="41">
        <f t="shared" si="9"/>
        <v>46661</v>
      </c>
      <c r="I48" s="42" t="str">
        <f t="shared" si="10"/>
        <v/>
      </c>
      <c r="J48" s="42" t="str">
        <f t="shared" si="10"/>
        <v/>
      </c>
      <c r="K48" s="42" t="str">
        <f t="shared" si="10"/>
        <v/>
      </c>
      <c r="L48" s="42" t="str">
        <f t="shared" si="10"/>
        <v/>
      </c>
      <c r="M48" s="42" t="str">
        <f t="shared" si="10"/>
        <v/>
      </c>
      <c r="N48" s="42" t="str">
        <f t="shared" si="10"/>
        <v/>
      </c>
      <c r="O48" s="42" t="str">
        <f t="shared" si="10"/>
        <v/>
      </c>
      <c r="P48" s="42" t="str">
        <f t="shared" si="10"/>
        <v/>
      </c>
      <c r="Q48" s="42" t="str">
        <f t="shared" si="10"/>
        <v/>
      </c>
      <c r="R48" s="42" t="str">
        <f t="shared" si="10"/>
        <v/>
      </c>
      <c r="S48" s="42" t="str">
        <f t="shared" si="10"/>
        <v/>
      </c>
      <c r="T48" s="42" t="str">
        <f t="shared" si="10"/>
        <v/>
      </c>
      <c r="U48" s="42" t="str">
        <f t="shared" si="10"/>
        <v/>
      </c>
      <c r="V48" s="42" t="str">
        <f t="shared" si="10"/>
        <v/>
      </c>
      <c r="W48" s="42" t="str">
        <f t="shared" si="10"/>
        <v/>
      </c>
      <c r="X48" s="42" t="str">
        <f t="shared" si="10"/>
        <v/>
      </c>
      <c r="Y48" s="42"/>
      <c r="Z48" s="42">
        <f t="shared" si="8"/>
        <v>0</v>
      </c>
      <c r="AB48" s="44" t="str">
        <f t="shared" si="11"/>
        <v/>
      </c>
    </row>
    <row r="49" spans="1:28" x14ac:dyDescent="0.3">
      <c r="B49" s="37"/>
      <c r="C49" s="37"/>
      <c r="D49" s="38"/>
      <c r="E49" s="39"/>
      <c r="F49" s="39">
        <v>46722</v>
      </c>
      <c r="G49" s="40">
        <v>0.03</v>
      </c>
      <c r="H49" s="41">
        <f t="shared" si="9"/>
        <v>46661</v>
      </c>
      <c r="I49" s="42" t="str">
        <f t="shared" si="10"/>
        <v/>
      </c>
      <c r="J49" s="42" t="str">
        <f t="shared" si="10"/>
        <v/>
      </c>
      <c r="K49" s="42" t="str">
        <f t="shared" si="10"/>
        <v/>
      </c>
      <c r="L49" s="42" t="str">
        <f t="shared" si="10"/>
        <v/>
      </c>
      <c r="M49" s="42" t="str">
        <f t="shared" si="10"/>
        <v/>
      </c>
      <c r="N49" s="42" t="str">
        <f t="shared" si="10"/>
        <v/>
      </c>
      <c r="O49" s="42" t="str">
        <f t="shared" si="10"/>
        <v/>
      </c>
      <c r="P49" s="42" t="str">
        <f t="shared" si="10"/>
        <v/>
      </c>
      <c r="Q49" s="42" t="str">
        <f t="shared" si="10"/>
        <v/>
      </c>
      <c r="R49" s="42" t="str">
        <f t="shared" si="10"/>
        <v/>
      </c>
      <c r="S49" s="42" t="str">
        <f t="shared" si="10"/>
        <v/>
      </c>
      <c r="T49" s="42" t="str">
        <f t="shared" si="10"/>
        <v/>
      </c>
      <c r="U49" s="42" t="str">
        <f t="shared" si="10"/>
        <v/>
      </c>
      <c r="V49" s="42" t="str">
        <f t="shared" si="10"/>
        <v/>
      </c>
      <c r="W49" s="42" t="str">
        <f t="shared" si="10"/>
        <v/>
      </c>
      <c r="X49" s="42" t="str">
        <f t="shared" si="10"/>
        <v/>
      </c>
      <c r="Y49" s="42"/>
      <c r="Z49" s="42">
        <f t="shared" si="8"/>
        <v>0</v>
      </c>
      <c r="AB49" s="44" t="str">
        <f t="shared" si="11"/>
        <v/>
      </c>
    </row>
    <row r="50" spans="1:28" x14ac:dyDescent="0.3">
      <c r="B50" s="37"/>
      <c r="C50" s="37"/>
      <c r="D50" s="38"/>
      <c r="E50" s="39"/>
      <c r="F50" s="39">
        <v>46722</v>
      </c>
      <c r="G50" s="40">
        <v>0.03</v>
      </c>
      <c r="H50" s="41">
        <f t="shared" si="9"/>
        <v>46661</v>
      </c>
      <c r="I50" s="42" t="str">
        <f t="shared" si="10"/>
        <v/>
      </c>
      <c r="J50" s="42" t="str">
        <f t="shared" si="10"/>
        <v/>
      </c>
      <c r="K50" s="42" t="str">
        <f t="shared" si="10"/>
        <v/>
      </c>
      <c r="L50" s="42" t="str">
        <f t="shared" si="10"/>
        <v/>
      </c>
      <c r="M50" s="42" t="str">
        <f t="shared" si="10"/>
        <v/>
      </c>
      <c r="N50" s="42" t="str">
        <f t="shared" si="10"/>
        <v/>
      </c>
      <c r="O50" s="42" t="str">
        <f t="shared" si="10"/>
        <v/>
      </c>
      <c r="P50" s="42" t="str">
        <f t="shared" si="10"/>
        <v/>
      </c>
      <c r="Q50" s="42" t="str">
        <f t="shared" si="10"/>
        <v/>
      </c>
      <c r="R50" s="42" t="str">
        <f t="shared" si="10"/>
        <v/>
      </c>
      <c r="S50" s="42" t="str">
        <f t="shared" si="10"/>
        <v/>
      </c>
      <c r="T50" s="42" t="str">
        <f t="shared" si="10"/>
        <v/>
      </c>
      <c r="U50" s="42" t="str">
        <f t="shared" si="10"/>
        <v/>
      </c>
      <c r="V50" s="42" t="str">
        <f t="shared" si="10"/>
        <v/>
      </c>
      <c r="W50" s="42" t="str">
        <f t="shared" si="10"/>
        <v/>
      </c>
      <c r="X50" s="42" t="str">
        <f t="shared" si="10"/>
        <v/>
      </c>
      <c r="Y50" s="42"/>
      <c r="Z50" s="42">
        <f t="shared" si="8"/>
        <v>0</v>
      </c>
      <c r="AB50" s="44" t="str">
        <f t="shared" si="11"/>
        <v/>
      </c>
    </row>
    <row r="51" spans="1:28" x14ac:dyDescent="0.3">
      <c r="A51" s="78" t="s">
        <v>57</v>
      </c>
      <c r="B51" s="8" t="s">
        <v>58</v>
      </c>
      <c r="C51" s="8"/>
      <c r="D51" s="47"/>
      <c r="E51" s="48"/>
      <c r="F51" s="48"/>
      <c r="G51" s="49"/>
      <c r="H51" s="48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B51" s="44"/>
    </row>
    <row r="52" spans="1:28" x14ac:dyDescent="0.3">
      <c r="A52" s="79"/>
      <c r="B52" s="37"/>
      <c r="C52" s="37"/>
      <c r="D52" s="38"/>
      <c r="E52" s="39"/>
      <c r="F52" s="39">
        <v>46722</v>
      </c>
      <c r="G52" s="40">
        <v>0.03</v>
      </c>
      <c r="H52" s="41">
        <f t="shared" ref="H52:H57" si="12">$D$8</f>
        <v>46661</v>
      </c>
      <c r="I52" s="42" t="str">
        <f t="shared" ref="I52:X57" si="13">IF(OR($D52="",$E52="",NOT(ISNUMBER($D52))),"",IF(AND($E52&lt;=I$10,IF($F52="",$X$10,$F52)&gt;=I$10),$D52/12*(1+N($G52))^IF(AND(ISNUMBER($H52),I$10&gt;=$H52),1+INT(DATEDIF($H52,I$10,"m")/12),0),0))</f>
        <v/>
      </c>
      <c r="J52" s="42" t="str">
        <f t="shared" si="13"/>
        <v/>
      </c>
      <c r="K52" s="42" t="str">
        <f t="shared" si="13"/>
        <v/>
      </c>
      <c r="L52" s="42" t="str">
        <f t="shared" si="13"/>
        <v/>
      </c>
      <c r="M52" s="42" t="str">
        <f t="shared" si="13"/>
        <v/>
      </c>
      <c r="N52" s="42" t="str">
        <f t="shared" si="13"/>
        <v/>
      </c>
      <c r="O52" s="42" t="str">
        <f t="shared" si="13"/>
        <v/>
      </c>
      <c r="P52" s="42" t="str">
        <f t="shared" si="13"/>
        <v/>
      </c>
      <c r="Q52" s="42" t="str">
        <f t="shared" si="13"/>
        <v/>
      </c>
      <c r="R52" s="42" t="str">
        <f t="shared" si="13"/>
        <v/>
      </c>
      <c r="S52" s="42" t="str">
        <f t="shared" si="13"/>
        <v/>
      </c>
      <c r="T52" s="42" t="str">
        <f t="shared" si="13"/>
        <v/>
      </c>
      <c r="U52" s="42" t="str">
        <f t="shared" si="13"/>
        <v/>
      </c>
      <c r="V52" s="42" t="str">
        <f t="shared" si="13"/>
        <v/>
      </c>
      <c r="W52" s="42" t="str">
        <f t="shared" si="13"/>
        <v/>
      </c>
      <c r="X52" s="42" t="str">
        <f t="shared" si="13"/>
        <v/>
      </c>
      <c r="Y52" s="42"/>
      <c r="Z52" s="42">
        <f t="shared" ref="Z52:Z57" si="14">SUM(M52:X52)</f>
        <v>0</v>
      </c>
      <c r="AB52" s="44" t="str">
        <f t="shared" ref="AB52:AB57" si="15">IF($D52&amp;$E52="","",IF(AND($D52&lt;&gt;"",NOT(ISNUMBER($D52))),"Salary must be a number",IF(AND($D52&lt;&gt;"",$E52=""),"Start month missing",IF(AND(ISNUMBER($E52),ISNUMBER($F52),$F52&lt;$E52),"End is before Start",IF(AND($D52&lt;&gt;"",NOT(ISNUMBER($H52))),"Increase month missing","")))))</f>
        <v/>
      </c>
    </row>
    <row r="53" spans="1:28" x14ac:dyDescent="0.3">
      <c r="A53" s="79"/>
      <c r="B53" s="37"/>
      <c r="C53" s="37"/>
      <c r="D53" s="38"/>
      <c r="E53" s="39"/>
      <c r="F53" s="39">
        <v>46722</v>
      </c>
      <c r="G53" s="40">
        <v>0.03</v>
      </c>
      <c r="H53" s="41">
        <f t="shared" si="12"/>
        <v>46661</v>
      </c>
      <c r="I53" s="42" t="str">
        <f t="shared" si="13"/>
        <v/>
      </c>
      <c r="J53" s="42" t="str">
        <f t="shared" si="13"/>
        <v/>
      </c>
      <c r="K53" s="42" t="str">
        <f t="shared" si="13"/>
        <v/>
      </c>
      <c r="L53" s="42" t="str">
        <f t="shared" si="13"/>
        <v/>
      </c>
      <c r="M53" s="42" t="str">
        <f t="shared" si="13"/>
        <v/>
      </c>
      <c r="N53" s="42" t="str">
        <f t="shared" si="13"/>
        <v/>
      </c>
      <c r="O53" s="42" t="str">
        <f t="shared" si="13"/>
        <v/>
      </c>
      <c r="P53" s="42" t="str">
        <f t="shared" si="13"/>
        <v/>
      </c>
      <c r="Q53" s="42" t="str">
        <f t="shared" si="13"/>
        <v/>
      </c>
      <c r="R53" s="42" t="str">
        <f t="shared" si="13"/>
        <v/>
      </c>
      <c r="S53" s="42" t="str">
        <f t="shared" si="13"/>
        <v/>
      </c>
      <c r="T53" s="42" t="str">
        <f t="shared" si="13"/>
        <v/>
      </c>
      <c r="U53" s="42" t="str">
        <f t="shared" si="13"/>
        <v/>
      </c>
      <c r="V53" s="42" t="str">
        <f t="shared" si="13"/>
        <v/>
      </c>
      <c r="W53" s="42" t="str">
        <f t="shared" si="13"/>
        <v/>
      </c>
      <c r="X53" s="42" t="str">
        <f t="shared" si="13"/>
        <v/>
      </c>
      <c r="Y53" s="42"/>
      <c r="Z53" s="42">
        <f t="shared" si="14"/>
        <v>0</v>
      </c>
      <c r="AB53" s="44" t="str">
        <f t="shared" si="15"/>
        <v/>
      </c>
    </row>
    <row r="54" spans="1:28" x14ac:dyDescent="0.3">
      <c r="A54" s="79"/>
      <c r="B54" s="37"/>
      <c r="C54" s="37"/>
      <c r="D54" s="38"/>
      <c r="E54" s="39"/>
      <c r="F54" s="39">
        <v>46722</v>
      </c>
      <c r="G54" s="40">
        <v>0.03</v>
      </c>
      <c r="H54" s="41">
        <f t="shared" si="12"/>
        <v>46661</v>
      </c>
      <c r="I54" s="42" t="str">
        <f t="shared" si="13"/>
        <v/>
      </c>
      <c r="J54" s="42" t="str">
        <f t="shared" si="13"/>
        <v/>
      </c>
      <c r="K54" s="42" t="str">
        <f t="shared" si="13"/>
        <v/>
      </c>
      <c r="L54" s="42" t="str">
        <f t="shared" si="13"/>
        <v/>
      </c>
      <c r="M54" s="42" t="str">
        <f t="shared" si="13"/>
        <v/>
      </c>
      <c r="N54" s="42" t="str">
        <f t="shared" si="13"/>
        <v/>
      </c>
      <c r="O54" s="42" t="str">
        <f t="shared" si="13"/>
        <v/>
      </c>
      <c r="P54" s="42" t="str">
        <f t="shared" si="13"/>
        <v/>
      </c>
      <c r="Q54" s="42" t="str">
        <f t="shared" si="13"/>
        <v/>
      </c>
      <c r="R54" s="42" t="str">
        <f t="shared" si="13"/>
        <v/>
      </c>
      <c r="S54" s="42" t="str">
        <f t="shared" si="13"/>
        <v/>
      </c>
      <c r="T54" s="42" t="str">
        <f t="shared" si="13"/>
        <v/>
      </c>
      <c r="U54" s="42" t="str">
        <f t="shared" si="13"/>
        <v/>
      </c>
      <c r="V54" s="42" t="str">
        <f t="shared" si="13"/>
        <v/>
      </c>
      <c r="W54" s="42" t="str">
        <f t="shared" si="13"/>
        <v/>
      </c>
      <c r="X54" s="42" t="str">
        <f t="shared" si="13"/>
        <v/>
      </c>
      <c r="Y54" s="42"/>
      <c r="Z54" s="42">
        <f t="shared" si="14"/>
        <v>0</v>
      </c>
      <c r="AB54" s="44" t="str">
        <f t="shared" si="15"/>
        <v/>
      </c>
    </row>
    <row r="55" spans="1:28" x14ac:dyDescent="0.3">
      <c r="A55" s="79"/>
      <c r="B55" s="37"/>
      <c r="C55" s="37"/>
      <c r="D55" s="38"/>
      <c r="E55" s="39"/>
      <c r="F55" s="39">
        <v>46722</v>
      </c>
      <c r="G55" s="40">
        <v>0.03</v>
      </c>
      <c r="H55" s="41">
        <f t="shared" si="12"/>
        <v>46661</v>
      </c>
      <c r="I55" s="42" t="str">
        <f t="shared" si="13"/>
        <v/>
      </c>
      <c r="J55" s="42" t="str">
        <f t="shared" si="13"/>
        <v/>
      </c>
      <c r="K55" s="42" t="str">
        <f t="shared" si="13"/>
        <v/>
      </c>
      <c r="L55" s="42" t="str">
        <f t="shared" si="13"/>
        <v/>
      </c>
      <c r="M55" s="42" t="str">
        <f t="shared" si="13"/>
        <v/>
      </c>
      <c r="N55" s="42" t="str">
        <f t="shared" si="13"/>
        <v/>
      </c>
      <c r="O55" s="42" t="str">
        <f t="shared" si="13"/>
        <v/>
      </c>
      <c r="P55" s="42" t="str">
        <f t="shared" si="13"/>
        <v/>
      </c>
      <c r="Q55" s="42" t="str">
        <f t="shared" si="13"/>
        <v/>
      </c>
      <c r="R55" s="42" t="str">
        <f t="shared" si="13"/>
        <v/>
      </c>
      <c r="S55" s="42" t="str">
        <f t="shared" si="13"/>
        <v/>
      </c>
      <c r="T55" s="42" t="str">
        <f t="shared" si="13"/>
        <v/>
      </c>
      <c r="U55" s="42" t="str">
        <f t="shared" si="13"/>
        <v/>
      </c>
      <c r="V55" s="42" t="str">
        <f t="shared" si="13"/>
        <v/>
      </c>
      <c r="W55" s="42" t="str">
        <f t="shared" si="13"/>
        <v/>
      </c>
      <c r="X55" s="42" t="str">
        <f t="shared" si="13"/>
        <v/>
      </c>
      <c r="Y55" s="42"/>
      <c r="Z55" s="42">
        <f t="shared" si="14"/>
        <v>0</v>
      </c>
      <c r="AB55" s="44" t="str">
        <f t="shared" si="15"/>
        <v/>
      </c>
    </row>
    <row r="56" spans="1:28" x14ac:dyDescent="0.3">
      <c r="A56" s="79"/>
      <c r="B56" s="37"/>
      <c r="C56" s="37"/>
      <c r="D56" s="38"/>
      <c r="E56" s="39"/>
      <c r="F56" s="39">
        <v>46722</v>
      </c>
      <c r="G56" s="40">
        <v>0.03</v>
      </c>
      <c r="H56" s="41">
        <f t="shared" si="12"/>
        <v>46661</v>
      </c>
      <c r="I56" s="42" t="str">
        <f t="shared" si="13"/>
        <v/>
      </c>
      <c r="J56" s="42" t="str">
        <f t="shared" si="13"/>
        <v/>
      </c>
      <c r="K56" s="42" t="str">
        <f t="shared" si="13"/>
        <v/>
      </c>
      <c r="L56" s="42" t="str">
        <f t="shared" si="13"/>
        <v/>
      </c>
      <c r="M56" s="42" t="str">
        <f t="shared" si="13"/>
        <v/>
      </c>
      <c r="N56" s="42" t="str">
        <f t="shared" si="13"/>
        <v/>
      </c>
      <c r="O56" s="42" t="str">
        <f t="shared" si="13"/>
        <v/>
      </c>
      <c r="P56" s="42" t="str">
        <f t="shared" si="13"/>
        <v/>
      </c>
      <c r="Q56" s="42" t="str">
        <f t="shared" si="13"/>
        <v/>
      </c>
      <c r="R56" s="42" t="str">
        <f t="shared" si="13"/>
        <v/>
      </c>
      <c r="S56" s="42" t="str">
        <f t="shared" si="13"/>
        <v/>
      </c>
      <c r="T56" s="42" t="str">
        <f t="shared" si="13"/>
        <v/>
      </c>
      <c r="U56" s="42" t="str">
        <f t="shared" si="13"/>
        <v/>
      </c>
      <c r="V56" s="42" t="str">
        <f t="shared" si="13"/>
        <v/>
      </c>
      <c r="W56" s="42" t="str">
        <f t="shared" si="13"/>
        <v/>
      </c>
      <c r="X56" s="42" t="str">
        <f t="shared" si="13"/>
        <v/>
      </c>
      <c r="Y56" s="42"/>
      <c r="Z56" s="42">
        <f t="shared" si="14"/>
        <v>0</v>
      </c>
      <c r="AB56" s="44" t="str">
        <f t="shared" si="15"/>
        <v/>
      </c>
    </row>
    <row r="57" spans="1:28" x14ac:dyDescent="0.3">
      <c r="A57" s="79"/>
      <c r="B57" s="37"/>
      <c r="C57" s="37"/>
      <c r="D57" s="38"/>
      <c r="E57" s="39"/>
      <c r="F57" s="39">
        <v>46722</v>
      </c>
      <c r="G57" s="40">
        <v>0.03</v>
      </c>
      <c r="H57" s="41">
        <f t="shared" si="12"/>
        <v>46661</v>
      </c>
      <c r="I57" s="42" t="str">
        <f t="shared" si="13"/>
        <v/>
      </c>
      <c r="J57" s="42" t="str">
        <f t="shared" si="13"/>
        <v/>
      </c>
      <c r="K57" s="42" t="str">
        <f t="shared" si="13"/>
        <v/>
      </c>
      <c r="L57" s="42" t="str">
        <f t="shared" si="13"/>
        <v/>
      </c>
      <c r="M57" s="42" t="str">
        <f t="shared" si="13"/>
        <v/>
      </c>
      <c r="N57" s="42" t="str">
        <f t="shared" si="13"/>
        <v/>
      </c>
      <c r="O57" s="42" t="str">
        <f t="shared" si="13"/>
        <v/>
      </c>
      <c r="P57" s="42" t="str">
        <f t="shared" si="13"/>
        <v/>
      </c>
      <c r="Q57" s="42" t="str">
        <f t="shared" si="13"/>
        <v/>
      </c>
      <c r="R57" s="42" t="str">
        <f t="shared" si="13"/>
        <v/>
      </c>
      <c r="S57" s="42" t="str">
        <f t="shared" si="13"/>
        <v/>
      </c>
      <c r="T57" s="42" t="str">
        <f t="shared" si="13"/>
        <v/>
      </c>
      <c r="U57" s="42" t="str">
        <f t="shared" si="13"/>
        <v/>
      </c>
      <c r="V57" s="42" t="str">
        <f t="shared" si="13"/>
        <v/>
      </c>
      <c r="W57" s="42" t="str">
        <f t="shared" si="13"/>
        <v/>
      </c>
      <c r="X57" s="42" t="str">
        <f t="shared" si="13"/>
        <v/>
      </c>
      <c r="Y57" s="42"/>
      <c r="Z57" s="42">
        <f t="shared" si="14"/>
        <v>0</v>
      </c>
      <c r="AB57" s="44" t="str">
        <f t="shared" si="15"/>
        <v/>
      </c>
    </row>
    <row r="58" spans="1:28" x14ac:dyDescent="0.3">
      <c r="A58" s="78" t="s">
        <v>59</v>
      </c>
      <c r="B58" s="8" t="s">
        <v>60</v>
      </c>
      <c r="C58" s="8"/>
      <c r="D58" s="47"/>
      <c r="E58" s="48"/>
      <c r="F58" s="48"/>
      <c r="G58" s="49"/>
      <c r="H58" s="48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B58" s="44"/>
    </row>
    <row r="59" spans="1:28" x14ac:dyDescent="0.3">
      <c r="A59" s="80"/>
      <c r="B59" s="51"/>
      <c r="C59" s="51"/>
      <c r="D59" s="52"/>
      <c r="E59" s="53"/>
      <c r="F59" s="54"/>
      <c r="G59" s="55"/>
      <c r="H59" s="54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B59" s="44" t="str">
        <f t="shared" ref="AB59:AB64" si="16">IF($B59&amp;$E59="","",IF($A59="","Receiving dept missing",IF(NOT(ISNUMBER($E59)),"Effective month missing","")))</f>
        <v/>
      </c>
    </row>
    <row r="60" spans="1:28" x14ac:dyDescent="0.3">
      <c r="A60" s="80"/>
      <c r="B60" s="51"/>
      <c r="C60" s="51"/>
      <c r="D60" s="52"/>
      <c r="E60" s="53"/>
      <c r="F60" s="54"/>
      <c r="G60" s="55"/>
      <c r="H60" s="54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B60" s="44" t="str">
        <f t="shared" si="16"/>
        <v/>
      </c>
    </row>
    <row r="61" spans="1:28" x14ac:dyDescent="0.3">
      <c r="A61" s="80"/>
      <c r="B61" s="51"/>
      <c r="C61" s="51"/>
      <c r="D61" s="52"/>
      <c r="E61" s="53"/>
      <c r="F61" s="54"/>
      <c r="G61" s="55"/>
      <c r="H61" s="54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B61" s="44" t="str">
        <f t="shared" si="16"/>
        <v/>
      </c>
    </row>
    <row r="62" spans="1:28" x14ac:dyDescent="0.3">
      <c r="A62" s="80"/>
      <c r="B62" s="51"/>
      <c r="C62" s="51"/>
      <c r="D62" s="52"/>
      <c r="E62" s="53"/>
      <c r="F62" s="54"/>
      <c r="G62" s="55"/>
      <c r="H62" s="54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B62" s="44" t="str">
        <f t="shared" si="16"/>
        <v/>
      </c>
    </row>
    <row r="63" spans="1:28" x14ac:dyDescent="0.3">
      <c r="A63" s="80"/>
      <c r="B63" s="51"/>
      <c r="C63" s="51"/>
      <c r="D63" s="52"/>
      <c r="E63" s="53"/>
      <c r="F63" s="54"/>
      <c r="G63" s="55"/>
      <c r="H63" s="54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B63" s="44" t="str">
        <f t="shared" si="16"/>
        <v/>
      </c>
    </row>
    <row r="64" spans="1:28" x14ac:dyDescent="0.3">
      <c r="A64" s="80"/>
      <c r="B64" s="51"/>
      <c r="C64" s="51"/>
      <c r="D64" s="52"/>
      <c r="E64" s="53"/>
      <c r="F64" s="54"/>
      <c r="G64" s="55"/>
      <c r="H64" s="54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B64" s="44" t="str">
        <f t="shared" si="16"/>
        <v/>
      </c>
    </row>
    <row r="65" spans="1:26" x14ac:dyDescent="0.3">
      <c r="A65" s="81"/>
      <c r="B65" s="56"/>
      <c r="C65" s="56"/>
      <c r="D65" s="57"/>
      <c r="E65" s="58"/>
      <c r="F65" s="58"/>
      <c r="G65" s="59"/>
      <c r="H65" s="58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x14ac:dyDescent="0.3">
      <c r="A66" s="81"/>
      <c r="B66" s="56"/>
      <c r="C66" s="56"/>
      <c r="D66" s="57"/>
      <c r="E66" s="58"/>
      <c r="F66" s="58"/>
      <c r="G66" s="59"/>
      <c r="H66" s="58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x14ac:dyDescent="0.3">
      <c r="B67" s="10" t="s">
        <v>7</v>
      </c>
      <c r="C67" s="10"/>
      <c r="D67" s="61"/>
      <c r="E67" s="62"/>
      <c r="F67" s="62"/>
      <c r="G67" s="62"/>
      <c r="H67" s="62"/>
      <c r="I67" s="63">
        <f t="shared" ref="I67:X67" si="17">SUM(I14:I57)</f>
        <v>55889.25</v>
      </c>
      <c r="J67" s="63">
        <f t="shared" si="17"/>
        <v>55889.25</v>
      </c>
      <c r="K67" s="63">
        <f t="shared" si="17"/>
        <v>55889.25</v>
      </c>
      <c r="L67" s="63">
        <f t="shared" si="17"/>
        <v>67555.916666666672</v>
      </c>
      <c r="M67" s="63">
        <f t="shared" si="17"/>
        <v>67555.916666666672</v>
      </c>
      <c r="N67" s="63">
        <f t="shared" si="17"/>
        <v>67555.916666666672</v>
      </c>
      <c r="O67" s="63">
        <f t="shared" si="17"/>
        <v>67555.916666666672</v>
      </c>
      <c r="P67" s="63">
        <f t="shared" si="17"/>
        <v>67555.916666666672</v>
      </c>
      <c r="Q67" s="63">
        <f t="shared" si="17"/>
        <v>67555.916666666672</v>
      </c>
      <c r="R67" s="63">
        <f t="shared" si="17"/>
        <v>67555.916666666672</v>
      </c>
      <c r="S67" s="63">
        <f t="shared" si="17"/>
        <v>67555.916666666672</v>
      </c>
      <c r="T67" s="63">
        <f t="shared" si="17"/>
        <v>67555.916666666672</v>
      </c>
      <c r="U67" s="63">
        <f t="shared" si="17"/>
        <v>67555.916666666672</v>
      </c>
      <c r="V67" s="63">
        <f t="shared" si="17"/>
        <v>69582.594166666662</v>
      </c>
      <c r="W67" s="63">
        <f t="shared" si="17"/>
        <v>69582.594166666662</v>
      </c>
      <c r="X67" s="63">
        <f t="shared" si="17"/>
        <v>69582.594166666662</v>
      </c>
      <c r="Y67" s="64"/>
      <c r="Z67" s="63">
        <f>SUM(M67:X67)</f>
        <v>816751.03249999986</v>
      </c>
    </row>
    <row r="68" spans="1:26" x14ac:dyDescent="0.3">
      <c r="B68" s="10" t="s">
        <v>21</v>
      </c>
      <c r="C68" s="10"/>
      <c r="D68" s="61"/>
      <c r="E68" s="62"/>
      <c r="F68" s="62"/>
      <c r="G68" s="62"/>
      <c r="H68" s="62"/>
      <c r="I68" s="63">
        <f t="shared" ref="I68:X68" si="18">I67*$D$6</f>
        <v>2274.249226378256</v>
      </c>
      <c r="J68" s="63">
        <f t="shared" si="18"/>
        <v>2274.249226378256</v>
      </c>
      <c r="K68" s="63">
        <f t="shared" si="18"/>
        <v>2274.249226378256</v>
      </c>
      <c r="L68" s="63">
        <f t="shared" si="18"/>
        <v>2748.9900332611483</v>
      </c>
      <c r="M68" s="63">
        <f t="shared" si="18"/>
        <v>2748.9900332611483</v>
      </c>
      <c r="N68" s="63">
        <f t="shared" si="18"/>
        <v>2748.9900332611483</v>
      </c>
      <c r="O68" s="63">
        <f t="shared" si="18"/>
        <v>2748.9900332611483</v>
      </c>
      <c r="P68" s="63">
        <f t="shared" si="18"/>
        <v>2748.9900332611483</v>
      </c>
      <c r="Q68" s="63">
        <f t="shared" si="18"/>
        <v>2748.9900332611483</v>
      </c>
      <c r="R68" s="63">
        <f t="shared" si="18"/>
        <v>2748.9900332611483</v>
      </c>
      <c r="S68" s="63">
        <f t="shared" si="18"/>
        <v>2748.9900332611483</v>
      </c>
      <c r="T68" s="63">
        <f t="shared" si="18"/>
        <v>2748.9900332611483</v>
      </c>
      <c r="U68" s="63">
        <f t="shared" si="18"/>
        <v>2748.9900332611483</v>
      </c>
      <c r="V68" s="63">
        <f t="shared" si="18"/>
        <v>2831.4597342589823</v>
      </c>
      <c r="W68" s="63">
        <f t="shared" si="18"/>
        <v>2831.4597342589823</v>
      </c>
      <c r="X68" s="63">
        <f t="shared" si="18"/>
        <v>2831.4597342589823</v>
      </c>
      <c r="Y68" s="64"/>
      <c r="Z68" s="63">
        <f>SUM(M68:X68)</f>
        <v>33235.289502127278</v>
      </c>
    </row>
    <row r="69" spans="1:26" x14ac:dyDescent="0.3">
      <c r="B69" s="10" t="s">
        <v>23</v>
      </c>
      <c r="C69" s="10"/>
      <c r="D69" s="61"/>
      <c r="E69" s="62"/>
      <c r="F69" s="62"/>
      <c r="G69" s="62"/>
      <c r="H69" s="62"/>
      <c r="I69" s="63">
        <f t="shared" ref="I69:X69" si="19">I67*$D$7</f>
        <v>4036.8294100173885</v>
      </c>
      <c r="J69" s="63">
        <f t="shared" si="19"/>
        <v>4036.8294100173885</v>
      </c>
      <c r="K69" s="63">
        <f t="shared" si="19"/>
        <v>4036.8294100173885</v>
      </c>
      <c r="L69" s="63">
        <f t="shared" si="19"/>
        <v>4879.5020727722031</v>
      </c>
      <c r="M69" s="63">
        <f t="shared" si="19"/>
        <v>4879.5020727722031</v>
      </c>
      <c r="N69" s="63">
        <f t="shared" si="19"/>
        <v>4879.5020727722031</v>
      </c>
      <c r="O69" s="63">
        <f t="shared" si="19"/>
        <v>4879.5020727722031</v>
      </c>
      <c r="P69" s="63">
        <f t="shared" si="19"/>
        <v>4879.5020727722031</v>
      </c>
      <c r="Q69" s="63">
        <f t="shared" si="19"/>
        <v>4879.5020727722031</v>
      </c>
      <c r="R69" s="63">
        <f t="shared" si="19"/>
        <v>4879.5020727722031</v>
      </c>
      <c r="S69" s="63">
        <f t="shared" si="19"/>
        <v>4879.5020727722031</v>
      </c>
      <c r="T69" s="63">
        <f t="shared" si="19"/>
        <v>4879.5020727722031</v>
      </c>
      <c r="U69" s="63">
        <f t="shared" si="19"/>
        <v>4879.5020727722031</v>
      </c>
      <c r="V69" s="63">
        <f t="shared" si="19"/>
        <v>5025.8871349553683</v>
      </c>
      <c r="W69" s="63">
        <f t="shared" si="19"/>
        <v>5025.8871349553683</v>
      </c>
      <c r="X69" s="63">
        <f t="shared" si="19"/>
        <v>5025.8871349553683</v>
      </c>
      <c r="Y69" s="64"/>
      <c r="Z69" s="63">
        <f>SUM(M69:X69)</f>
        <v>58993.180059815924</v>
      </c>
    </row>
    <row r="70" spans="1:26" x14ac:dyDescent="0.3">
      <c r="B70" s="65" t="s">
        <v>25</v>
      </c>
      <c r="C70" s="65"/>
      <c r="D70" s="66"/>
      <c r="E70" s="67"/>
      <c r="F70" s="67"/>
      <c r="G70" s="67"/>
      <c r="H70" s="67"/>
      <c r="I70" s="68">
        <f t="shared" ref="I70:X70" si="20">SUM(I67:I69)</f>
        <v>62200.328636395643</v>
      </c>
      <c r="J70" s="68">
        <f t="shared" si="20"/>
        <v>62200.328636395643</v>
      </c>
      <c r="K70" s="68">
        <f t="shared" si="20"/>
        <v>62200.328636395643</v>
      </c>
      <c r="L70" s="68">
        <f t="shared" si="20"/>
        <v>75184.408772700015</v>
      </c>
      <c r="M70" s="68">
        <f t="shared" si="20"/>
        <v>75184.408772700015</v>
      </c>
      <c r="N70" s="68">
        <f t="shared" si="20"/>
        <v>75184.408772700015</v>
      </c>
      <c r="O70" s="68">
        <f t="shared" si="20"/>
        <v>75184.408772700015</v>
      </c>
      <c r="P70" s="68">
        <f t="shared" si="20"/>
        <v>75184.408772700015</v>
      </c>
      <c r="Q70" s="68">
        <f t="shared" si="20"/>
        <v>75184.408772700015</v>
      </c>
      <c r="R70" s="68">
        <f t="shared" si="20"/>
        <v>75184.408772700015</v>
      </c>
      <c r="S70" s="68">
        <f t="shared" si="20"/>
        <v>75184.408772700015</v>
      </c>
      <c r="T70" s="68">
        <f t="shared" si="20"/>
        <v>75184.408772700015</v>
      </c>
      <c r="U70" s="68">
        <f t="shared" si="20"/>
        <v>75184.408772700015</v>
      </c>
      <c r="V70" s="68">
        <f t="shared" si="20"/>
        <v>77439.941035881013</v>
      </c>
      <c r="W70" s="68">
        <f t="shared" si="20"/>
        <v>77439.941035881013</v>
      </c>
      <c r="X70" s="68">
        <f t="shared" si="20"/>
        <v>77439.941035881013</v>
      </c>
      <c r="Y70" s="64"/>
      <c r="Z70" s="68">
        <f>SUM(M70:X70)</f>
        <v>908979.50206194329</v>
      </c>
    </row>
    <row r="71" spans="1:26" x14ac:dyDescent="0.3">
      <c r="B71" s="16"/>
      <c r="C71" s="16"/>
      <c r="D71" s="69"/>
      <c r="E71" s="70"/>
      <c r="F71" s="70"/>
      <c r="G71" s="70"/>
      <c r="H71" s="70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</sheetData>
  <dataValidations count="3">
    <dataValidation type="list" allowBlank="1" showInputMessage="1" showErrorMessage="1" promptTitle="Effective month" prompt="Pick the month the employee leaves this department." sqref="E59:E64" xr:uid="{F29C3EED-BF89-45D0-933E-29D3401BDCDC}">
      <formula1>$I$10:$X$10</formula1>
    </dataValidation>
    <dataValidation type="list" allowBlank="1" showInputMessage="1" showErrorMessage="1" errorTitle="Outside the planning window" error="Choose a month between Sep-26 and Dec-27 from the dropdown." promptTitle="Month" prompt="Pick the month from the list (Sep-26 through Dec-27)." sqref="E52:F57 E41:F50 E35:F39 E14:F33" xr:uid="{491124BA-C8B0-4524-B56E-20C8FD579DFE}">
      <formula1>$I$10:$X$10</formula1>
    </dataValidation>
    <dataValidation type="whole" allowBlank="1" showInputMessage="1" showErrorMessage="1" sqref="E51:F51 E65:E66 G41:H66 G35:H39 F58:F66 E58 G14:H33" xr:uid="{51D2D1A4-A965-4B9F-9D02-08F9B92E4906}">
      <formula1>1</formula1>
      <formula2>24</formula2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5FF4B-AD8E-4065-9787-21277B29E300}">
  <sheetPr>
    <tabColor theme="5" tint="0.59999389629810485"/>
  </sheetPr>
  <dimension ref="A1:AB71"/>
  <sheetViews>
    <sheetView zoomScale="80" zoomScaleNormal="80" workbookViewId="0">
      <pane xSplit="8" ySplit="11" topLeftCell="I12" activePane="bottomRight" state="frozen"/>
      <selection activeCell="C20" sqref="C20"/>
      <selection pane="topRight" activeCell="C20" sqref="C20"/>
      <selection pane="bottomLeft" activeCell="C20" sqref="C20"/>
      <selection pane="bottomRight" activeCell="A23" sqref="A23"/>
    </sheetView>
  </sheetViews>
  <sheetFormatPr defaultRowHeight="14.4" x14ac:dyDescent="0.3"/>
  <cols>
    <col min="1" max="1" width="18.109375" style="76" customWidth="1"/>
    <col min="2" max="2" width="25.33203125" customWidth="1"/>
    <col min="3" max="3" width="32.77734375" customWidth="1"/>
    <col min="4" max="4" width="11.21875" customWidth="1"/>
    <col min="5" max="6" width="13.5546875" style="18" bestFit="1" customWidth="1"/>
    <col min="7" max="7" width="11.77734375" style="18" customWidth="1"/>
    <col min="8" max="8" width="14.44140625" style="18" bestFit="1" customWidth="1"/>
    <col min="9" max="24" width="9.21875" customWidth="1"/>
    <col min="25" max="25" width="2.44140625" customWidth="1"/>
    <col min="26" max="26" width="11.77734375" customWidth="1"/>
    <col min="28" max="28" width="27.21875" customWidth="1"/>
  </cols>
  <sheetData>
    <row r="1" spans="1:28" ht="18" x14ac:dyDescent="0.35">
      <c r="A1" s="73" t="s">
        <v>0</v>
      </c>
    </row>
    <row r="2" spans="1:28" ht="15.6" x14ac:dyDescent="0.3">
      <c r="A2" s="169" t="s">
        <v>65</v>
      </c>
    </row>
    <row r="3" spans="1:28" x14ac:dyDescent="0.3">
      <c r="A3" s="74" t="s">
        <v>37</v>
      </c>
    </row>
    <row r="4" spans="1:28" x14ac:dyDescent="0.3">
      <c r="A4" s="75" t="s">
        <v>66</v>
      </c>
    </row>
    <row r="5" spans="1:28" x14ac:dyDescent="0.3">
      <c r="B5" s="19" t="s">
        <v>39</v>
      </c>
    </row>
    <row r="6" spans="1:28" x14ac:dyDescent="0.3">
      <c r="B6" s="16" t="s">
        <v>40</v>
      </c>
      <c r="D6" s="178">
        <f>INDEX('[1]T&amp;B'!$S$13:$S$122,MATCH("PE",'[1]T&amp;B'!$R$13:$R$122,0))</f>
        <v>3.5714662078943617E-2</v>
      </c>
      <c r="E6" s="20"/>
    </row>
    <row r="7" spans="1:28" x14ac:dyDescent="0.3">
      <c r="B7" s="16" t="s">
        <v>41</v>
      </c>
      <c r="D7" s="179">
        <f>INDEX('[1]T&amp;B'!$T$13:$T$122,MATCH("PE",'[1]T&amp;B'!$R$13:$R$122,0))</f>
        <v>8.8232326796867933E-2</v>
      </c>
      <c r="E7" s="20"/>
    </row>
    <row r="8" spans="1:28" x14ac:dyDescent="0.3">
      <c r="B8" s="16" t="s">
        <v>234</v>
      </c>
      <c r="D8" s="21">
        <v>46661</v>
      </c>
      <c r="V8" s="22" t="s">
        <v>42</v>
      </c>
    </row>
    <row r="9" spans="1:28" x14ac:dyDescent="0.3">
      <c r="V9" s="22" t="s">
        <v>43</v>
      </c>
    </row>
    <row r="10" spans="1:28" s="23" customFormat="1" ht="29.55" customHeight="1" x14ac:dyDescent="0.3">
      <c r="A10" s="77"/>
      <c r="B10" s="24" t="s">
        <v>44</v>
      </c>
      <c r="C10" s="24" t="s">
        <v>45</v>
      </c>
      <c r="D10" s="25" t="s">
        <v>46</v>
      </c>
      <c r="E10" s="25" t="s">
        <v>47</v>
      </c>
      <c r="F10" s="25" t="s">
        <v>48</v>
      </c>
      <c r="G10" s="26" t="s">
        <v>49</v>
      </c>
      <c r="H10" s="26" t="s">
        <v>50</v>
      </c>
      <c r="I10" s="27">
        <f>DATE(2026,9,1)</f>
        <v>46266</v>
      </c>
      <c r="J10" s="27">
        <f>DATE(2026,10,1)</f>
        <v>46296</v>
      </c>
      <c r="K10" s="27">
        <f>DATE(2026,11,1)</f>
        <v>46327</v>
      </c>
      <c r="L10" s="27">
        <f>DATE(2026,12,1)</f>
        <v>46357</v>
      </c>
      <c r="M10" s="28">
        <f>DATE(2027,1,1)</f>
        <v>46388</v>
      </c>
      <c r="N10" s="28">
        <f>DATE(2027,2,1)</f>
        <v>46419</v>
      </c>
      <c r="O10" s="28">
        <f>DATE(2027,3,1)</f>
        <v>46447</v>
      </c>
      <c r="P10" s="28">
        <f>DATE(2027,4,1)</f>
        <v>46478</v>
      </c>
      <c r="Q10" s="28">
        <f>DATE(2027,5,1)</f>
        <v>46508</v>
      </c>
      <c r="R10" s="28">
        <f>DATE(2027,6,1)</f>
        <v>46539</v>
      </c>
      <c r="S10" s="28">
        <f>DATE(2027,7,1)</f>
        <v>46569</v>
      </c>
      <c r="T10" s="28">
        <f>DATE(2027,8,1)</f>
        <v>46600</v>
      </c>
      <c r="U10" s="28">
        <f>DATE(2027,9,1)</f>
        <v>46631</v>
      </c>
      <c r="V10" s="28">
        <f>DATE(2027,10,1)</f>
        <v>46661</v>
      </c>
      <c r="W10" s="28">
        <f>DATE(2027,11,1)</f>
        <v>46692</v>
      </c>
      <c r="X10" s="28">
        <f>DATE(2027,12,1)</f>
        <v>46722</v>
      </c>
      <c r="Y10" s="29"/>
      <c r="Z10" s="30" t="s">
        <v>6</v>
      </c>
      <c r="AB10" s="31" t="s">
        <v>51</v>
      </c>
    </row>
    <row r="11" spans="1:28" x14ac:dyDescent="0.3">
      <c r="E11" s="7" t="s">
        <v>52</v>
      </c>
      <c r="F11" s="7" t="s">
        <v>52</v>
      </c>
      <c r="G11" s="32"/>
      <c r="H11" s="72" t="s">
        <v>53</v>
      </c>
      <c r="I11" s="7">
        <v>1</v>
      </c>
      <c r="J11" s="7">
        <v>2</v>
      </c>
      <c r="K11" s="7">
        <v>3</v>
      </c>
      <c r="L11" s="7">
        <v>4</v>
      </c>
      <c r="M11" s="7">
        <v>5</v>
      </c>
      <c r="N11" s="7">
        <v>6</v>
      </c>
      <c r="O11" s="7">
        <v>7</v>
      </c>
      <c r="P11" s="7">
        <v>8</v>
      </c>
      <c r="Q11" s="7">
        <v>9</v>
      </c>
      <c r="R11" s="7">
        <v>10</v>
      </c>
      <c r="S11" s="7">
        <v>11</v>
      </c>
      <c r="T11" s="7">
        <v>12</v>
      </c>
      <c r="U11" s="7">
        <v>13</v>
      </c>
      <c r="V11" s="7">
        <v>14</v>
      </c>
      <c r="W11" s="7">
        <v>15</v>
      </c>
      <c r="X11" s="7">
        <v>16</v>
      </c>
      <c r="Y11" s="7"/>
    </row>
    <row r="12" spans="1:28" x14ac:dyDescent="0.3">
      <c r="B12" s="34"/>
      <c r="C12" s="34"/>
      <c r="D12" s="34"/>
      <c r="E12" s="35"/>
      <c r="F12" s="35"/>
      <c r="G12" s="35"/>
      <c r="H12" s="35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6"/>
      <c r="Z12" s="34"/>
    </row>
    <row r="13" spans="1:28" x14ac:dyDescent="0.3">
      <c r="B13" s="8" t="s">
        <v>54</v>
      </c>
    </row>
    <row r="14" spans="1:28" x14ac:dyDescent="0.3">
      <c r="B14" s="37" t="s">
        <v>300</v>
      </c>
      <c r="C14" s="37" t="s">
        <v>309</v>
      </c>
      <c r="D14" s="38">
        <v>148834</v>
      </c>
      <c r="E14" s="39">
        <v>46266</v>
      </c>
      <c r="F14" s="39">
        <v>46722</v>
      </c>
      <c r="G14" s="40">
        <v>0.03</v>
      </c>
      <c r="H14" s="41">
        <f t="shared" ref="H14:H33" si="0">$D$8</f>
        <v>46661</v>
      </c>
      <c r="I14" s="42">
        <f t="shared" ref="I14:X33" si="1">IF(OR($D14="",$E14="",NOT(ISNUMBER($D14))),"",IF(AND($E14&lt;=I$10,IF($F14="",$X$10,$F14)&gt;=I$10),$D14/12*(1+N($G14))^IF(AND(ISNUMBER($H14),I$10&gt;=$H14),1+INT(DATEDIF($H14,I$10,"m")/12),0),0))</f>
        <v>12402.833333333334</v>
      </c>
      <c r="J14" s="42">
        <f t="shared" si="1"/>
        <v>12402.833333333334</v>
      </c>
      <c r="K14" s="42">
        <f t="shared" si="1"/>
        <v>12402.833333333334</v>
      </c>
      <c r="L14" s="42">
        <f t="shared" si="1"/>
        <v>12402.833333333334</v>
      </c>
      <c r="M14" s="43">
        <f t="shared" si="1"/>
        <v>12402.833333333334</v>
      </c>
      <c r="N14" s="42">
        <f t="shared" si="1"/>
        <v>12402.833333333334</v>
      </c>
      <c r="O14" s="42">
        <f t="shared" si="1"/>
        <v>12402.833333333334</v>
      </c>
      <c r="P14" s="42">
        <f t="shared" si="1"/>
        <v>12402.833333333334</v>
      </c>
      <c r="Q14" s="42">
        <f t="shared" si="1"/>
        <v>12402.833333333334</v>
      </c>
      <c r="R14" s="42">
        <f t="shared" si="1"/>
        <v>12402.833333333334</v>
      </c>
      <c r="S14" s="42">
        <f t="shared" si="1"/>
        <v>12402.833333333334</v>
      </c>
      <c r="T14" s="42">
        <f t="shared" si="1"/>
        <v>12402.833333333334</v>
      </c>
      <c r="U14" s="42">
        <f t="shared" si="1"/>
        <v>12402.833333333334</v>
      </c>
      <c r="V14" s="42">
        <f t="shared" si="1"/>
        <v>12774.918333333335</v>
      </c>
      <c r="W14" s="42">
        <f t="shared" si="1"/>
        <v>12774.918333333335</v>
      </c>
      <c r="X14" s="42">
        <f t="shared" si="1"/>
        <v>12774.918333333335</v>
      </c>
      <c r="Y14" s="42"/>
      <c r="Z14" s="42">
        <f>SUM(M14:X14)</f>
        <v>149950.255</v>
      </c>
      <c r="AB14" s="44" t="str">
        <f t="shared" ref="AB14:AB33" si="2">IF($D14&amp;$E14="","",IF(AND($D14&lt;&gt;"",NOT(ISNUMBER($D14))),"Salary must be a number",IF(AND($D14&lt;&gt;"",$E14=""),"Start month missing",IF(AND(ISNUMBER($E14),ISNUMBER($F14),$F14&lt;$E14),"End is before Start",IF(AND($D14&lt;&gt;"",NOT(ISNUMBER($H14))),"Increase month missing","")))))</f>
        <v/>
      </c>
    </row>
    <row r="15" spans="1:28" x14ac:dyDescent="0.3">
      <c r="B15" s="37" t="s">
        <v>301</v>
      </c>
      <c r="C15" s="37" t="s">
        <v>310</v>
      </c>
      <c r="D15" s="38">
        <v>92000</v>
      </c>
      <c r="E15" s="39">
        <v>46266</v>
      </c>
      <c r="F15" s="39">
        <v>46722</v>
      </c>
      <c r="G15" s="40">
        <v>0.03</v>
      </c>
      <c r="H15" s="41">
        <f t="shared" si="0"/>
        <v>46661</v>
      </c>
      <c r="I15" s="42">
        <f t="shared" si="1"/>
        <v>7666.666666666667</v>
      </c>
      <c r="J15" s="42">
        <f t="shared" si="1"/>
        <v>7666.666666666667</v>
      </c>
      <c r="K15" s="42">
        <f t="shared" si="1"/>
        <v>7666.666666666667</v>
      </c>
      <c r="L15" s="42">
        <f t="shared" si="1"/>
        <v>7666.666666666667</v>
      </c>
      <c r="M15" s="42">
        <f t="shared" si="1"/>
        <v>7666.666666666667</v>
      </c>
      <c r="N15" s="42">
        <f t="shared" si="1"/>
        <v>7666.666666666667</v>
      </c>
      <c r="O15" s="42">
        <f t="shared" si="1"/>
        <v>7666.666666666667</v>
      </c>
      <c r="P15" s="42">
        <f t="shared" si="1"/>
        <v>7666.666666666667</v>
      </c>
      <c r="Q15" s="42">
        <f t="shared" si="1"/>
        <v>7666.666666666667</v>
      </c>
      <c r="R15" s="42">
        <f t="shared" si="1"/>
        <v>7666.666666666667</v>
      </c>
      <c r="S15" s="42">
        <f t="shared" si="1"/>
        <v>7666.666666666667</v>
      </c>
      <c r="T15" s="42">
        <f t="shared" si="1"/>
        <v>7666.666666666667</v>
      </c>
      <c r="U15" s="42">
        <f t="shared" si="1"/>
        <v>7666.666666666667</v>
      </c>
      <c r="V15" s="42">
        <f t="shared" si="1"/>
        <v>7896.666666666667</v>
      </c>
      <c r="W15" s="42">
        <f t="shared" si="1"/>
        <v>7896.666666666667</v>
      </c>
      <c r="X15" s="42">
        <f t="shared" si="1"/>
        <v>7896.666666666667</v>
      </c>
      <c r="Y15" s="42"/>
      <c r="Z15" s="42">
        <f t="shared" ref="Z15:Z33" si="3">SUM(M15:X15)</f>
        <v>92690.000000000015</v>
      </c>
      <c r="AB15" s="44" t="str">
        <f t="shared" si="2"/>
        <v/>
      </c>
    </row>
    <row r="16" spans="1:28" x14ac:dyDescent="0.3">
      <c r="B16" s="37" t="s">
        <v>302</v>
      </c>
      <c r="C16" s="37" t="s">
        <v>311</v>
      </c>
      <c r="D16" s="38">
        <v>118125</v>
      </c>
      <c r="E16" s="39">
        <v>46266</v>
      </c>
      <c r="F16" s="39">
        <v>46722</v>
      </c>
      <c r="G16" s="40">
        <v>0.03</v>
      </c>
      <c r="H16" s="41">
        <f t="shared" si="0"/>
        <v>46661</v>
      </c>
      <c r="I16" s="42">
        <f t="shared" si="1"/>
        <v>9843.75</v>
      </c>
      <c r="J16" s="42">
        <f t="shared" si="1"/>
        <v>9843.75</v>
      </c>
      <c r="K16" s="42">
        <f t="shared" si="1"/>
        <v>9843.75</v>
      </c>
      <c r="L16" s="42">
        <f t="shared" si="1"/>
        <v>9843.75</v>
      </c>
      <c r="M16" s="42">
        <f t="shared" si="1"/>
        <v>9843.75</v>
      </c>
      <c r="N16" s="42">
        <f t="shared" si="1"/>
        <v>9843.75</v>
      </c>
      <c r="O16" s="42">
        <f t="shared" si="1"/>
        <v>9843.75</v>
      </c>
      <c r="P16" s="42">
        <f t="shared" si="1"/>
        <v>9843.75</v>
      </c>
      <c r="Q16" s="42">
        <f t="shared" si="1"/>
        <v>9843.75</v>
      </c>
      <c r="R16" s="42">
        <f t="shared" si="1"/>
        <v>9843.75</v>
      </c>
      <c r="S16" s="42">
        <f t="shared" si="1"/>
        <v>9843.75</v>
      </c>
      <c r="T16" s="42">
        <f t="shared" si="1"/>
        <v>9843.75</v>
      </c>
      <c r="U16" s="42">
        <f t="shared" si="1"/>
        <v>9843.75</v>
      </c>
      <c r="V16" s="42">
        <f t="shared" si="1"/>
        <v>10139.0625</v>
      </c>
      <c r="W16" s="42">
        <f t="shared" si="1"/>
        <v>10139.0625</v>
      </c>
      <c r="X16" s="42">
        <f t="shared" si="1"/>
        <v>10139.0625</v>
      </c>
      <c r="Y16" s="42"/>
      <c r="Z16" s="42">
        <f t="shared" si="3"/>
        <v>119010.9375</v>
      </c>
      <c r="AB16" s="44" t="str">
        <f t="shared" si="2"/>
        <v/>
      </c>
    </row>
    <row r="17" spans="1:28" x14ac:dyDescent="0.3">
      <c r="B17" s="37" t="s">
        <v>303</v>
      </c>
      <c r="C17" s="37" t="s">
        <v>312</v>
      </c>
      <c r="D17" s="38">
        <v>171039</v>
      </c>
      <c r="E17" s="39">
        <v>46266</v>
      </c>
      <c r="F17" s="39">
        <v>46722</v>
      </c>
      <c r="G17" s="40">
        <v>0.03</v>
      </c>
      <c r="H17" s="41">
        <f t="shared" si="0"/>
        <v>46661</v>
      </c>
      <c r="I17" s="42">
        <f t="shared" si="1"/>
        <v>14253.25</v>
      </c>
      <c r="J17" s="42">
        <f t="shared" si="1"/>
        <v>14253.25</v>
      </c>
      <c r="K17" s="42">
        <f t="shared" si="1"/>
        <v>14253.25</v>
      </c>
      <c r="L17" s="42">
        <f t="shared" si="1"/>
        <v>14253.25</v>
      </c>
      <c r="M17" s="42">
        <f t="shared" si="1"/>
        <v>14253.25</v>
      </c>
      <c r="N17" s="42">
        <f t="shared" si="1"/>
        <v>14253.25</v>
      </c>
      <c r="O17" s="42">
        <f t="shared" si="1"/>
        <v>14253.25</v>
      </c>
      <c r="P17" s="42">
        <f t="shared" si="1"/>
        <v>14253.25</v>
      </c>
      <c r="Q17" s="42">
        <f t="shared" si="1"/>
        <v>14253.25</v>
      </c>
      <c r="R17" s="42">
        <f t="shared" si="1"/>
        <v>14253.25</v>
      </c>
      <c r="S17" s="42">
        <f t="shared" si="1"/>
        <v>14253.25</v>
      </c>
      <c r="T17" s="42">
        <f t="shared" si="1"/>
        <v>14253.25</v>
      </c>
      <c r="U17" s="42">
        <f t="shared" si="1"/>
        <v>14253.25</v>
      </c>
      <c r="V17" s="42">
        <f t="shared" si="1"/>
        <v>14680.8475</v>
      </c>
      <c r="W17" s="42">
        <f t="shared" si="1"/>
        <v>14680.8475</v>
      </c>
      <c r="X17" s="42">
        <f t="shared" si="1"/>
        <v>14680.8475</v>
      </c>
      <c r="Y17" s="42"/>
      <c r="Z17" s="42">
        <f t="shared" si="3"/>
        <v>172321.79250000001</v>
      </c>
      <c r="AB17" s="44" t="str">
        <f t="shared" si="2"/>
        <v/>
      </c>
    </row>
    <row r="18" spans="1:28" x14ac:dyDescent="0.3">
      <c r="B18" s="37" t="s">
        <v>304</v>
      </c>
      <c r="C18" s="37" t="s">
        <v>313</v>
      </c>
      <c r="D18" s="38">
        <v>67317</v>
      </c>
      <c r="E18" s="39">
        <v>46266</v>
      </c>
      <c r="F18" s="39">
        <v>46722</v>
      </c>
      <c r="G18" s="40">
        <v>0.03</v>
      </c>
      <c r="H18" s="41">
        <f t="shared" si="0"/>
        <v>46661</v>
      </c>
      <c r="I18" s="42">
        <f t="shared" si="1"/>
        <v>5609.75</v>
      </c>
      <c r="J18" s="42">
        <f t="shared" si="1"/>
        <v>5609.75</v>
      </c>
      <c r="K18" s="42">
        <f t="shared" si="1"/>
        <v>5609.75</v>
      </c>
      <c r="L18" s="42">
        <f t="shared" si="1"/>
        <v>5609.75</v>
      </c>
      <c r="M18" s="42">
        <f t="shared" si="1"/>
        <v>5609.75</v>
      </c>
      <c r="N18" s="42">
        <f t="shared" si="1"/>
        <v>5609.75</v>
      </c>
      <c r="O18" s="42">
        <f t="shared" si="1"/>
        <v>5609.75</v>
      </c>
      <c r="P18" s="42">
        <f t="shared" si="1"/>
        <v>5609.75</v>
      </c>
      <c r="Q18" s="42">
        <f t="shared" si="1"/>
        <v>5609.75</v>
      </c>
      <c r="R18" s="42">
        <f t="shared" si="1"/>
        <v>5609.75</v>
      </c>
      <c r="S18" s="42">
        <f t="shared" si="1"/>
        <v>5609.75</v>
      </c>
      <c r="T18" s="42">
        <f t="shared" si="1"/>
        <v>5609.75</v>
      </c>
      <c r="U18" s="42">
        <f t="shared" si="1"/>
        <v>5609.75</v>
      </c>
      <c r="V18" s="42">
        <f t="shared" si="1"/>
        <v>5778.0425000000005</v>
      </c>
      <c r="W18" s="42">
        <f t="shared" si="1"/>
        <v>5778.0425000000005</v>
      </c>
      <c r="X18" s="42">
        <f t="shared" si="1"/>
        <v>5778.0425000000005</v>
      </c>
      <c r="Y18" s="42"/>
      <c r="Z18" s="42">
        <f t="shared" si="3"/>
        <v>67821.877500000002</v>
      </c>
      <c r="AB18" s="44" t="str">
        <f t="shared" si="2"/>
        <v/>
      </c>
    </row>
    <row r="19" spans="1:28" x14ac:dyDescent="0.3">
      <c r="B19" s="37" t="s">
        <v>305</v>
      </c>
      <c r="C19" s="37" t="s">
        <v>314</v>
      </c>
      <c r="D19" s="38">
        <v>62400</v>
      </c>
      <c r="E19" s="39">
        <v>46266</v>
      </c>
      <c r="F19" s="39">
        <v>46722</v>
      </c>
      <c r="G19" s="40">
        <v>0.03</v>
      </c>
      <c r="H19" s="41">
        <f t="shared" si="0"/>
        <v>46661</v>
      </c>
      <c r="I19" s="42">
        <f t="shared" si="1"/>
        <v>5200</v>
      </c>
      <c r="J19" s="42">
        <f t="shared" si="1"/>
        <v>5200</v>
      </c>
      <c r="K19" s="42">
        <f t="shared" si="1"/>
        <v>5200</v>
      </c>
      <c r="L19" s="42">
        <f t="shared" si="1"/>
        <v>5200</v>
      </c>
      <c r="M19" s="42">
        <f t="shared" si="1"/>
        <v>5200</v>
      </c>
      <c r="N19" s="42">
        <f t="shared" si="1"/>
        <v>5200</v>
      </c>
      <c r="O19" s="42">
        <f t="shared" si="1"/>
        <v>5200</v>
      </c>
      <c r="P19" s="42">
        <f t="shared" si="1"/>
        <v>5200</v>
      </c>
      <c r="Q19" s="42">
        <f t="shared" si="1"/>
        <v>5200</v>
      </c>
      <c r="R19" s="42">
        <f t="shared" si="1"/>
        <v>5200</v>
      </c>
      <c r="S19" s="42">
        <f t="shared" si="1"/>
        <v>5200</v>
      </c>
      <c r="T19" s="42">
        <f t="shared" si="1"/>
        <v>5200</v>
      </c>
      <c r="U19" s="42">
        <f t="shared" si="1"/>
        <v>5200</v>
      </c>
      <c r="V19" s="42">
        <f t="shared" si="1"/>
        <v>5356</v>
      </c>
      <c r="W19" s="42">
        <f t="shared" si="1"/>
        <v>5356</v>
      </c>
      <c r="X19" s="42">
        <f t="shared" si="1"/>
        <v>5356</v>
      </c>
      <c r="Y19" s="42"/>
      <c r="Z19" s="42">
        <f t="shared" si="3"/>
        <v>62868</v>
      </c>
      <c r="AB19" s="44" t="str">
        <f t="shared" si="2"/>
        <v/>
      </c>
    </row>
    <row r="20" spans="1:28" x14ac:dyDescent="0.3">
      <c r="B20" s="37" t="s">
        <v>306</v>
      </c>
      <c r="C20" s="37" t="s">
        <v>315</v>
      </c>
      <c r="D20" s="38">
        <v>85280</v>
      </c>
      <c r="E20" s="39">
        <v>46266</v>
      </c>
      <c r="F20" s="39">
        <v>46722</v>
      </c>
      <c r="G20" s="40">
        <v>0.03</v>
      </c>
      <c r="H20" s="41">
        <f t="shared" si="0"/>
        <v>46661</v>
      </c>
      <c r="I20" s="42">
        <f t="shared" si="1"/>
        <v>7106.666666666667</v>
      </c>
      <c r="J20" s="42">
        <f t="shared" si="1"/>
        <v>7106.666666666667</v>
      </c>
      <c r="K20" s="42">
        <f t="shared" si="1"/>
        <v>7106.666666666667</v>
      </c>
      <c r="L20" s="42">
        <f t="shared" si="1"/>
        <v>7106.666666666667</v>
      </c>
      <c r="M20" s="42">
        <f t="shared" si="1"/>
        <v>7106.666666666667</v>
      </c>
      <c r="N20" s="42">
        <f t="shared" si="1"/>
        <v>7106.666666666667</v>
      </c>
      <c r="O20" s="42">
        <f t="shared" si="1"/>
        <v>7106.666666666667</v>
      </c>
      <c r="P20" s="42">
        <f t="shared" si="1"/>
        <v>7106.666666666667</v>
      </c>
      <c r="Q20" s="42">
        <f t="shared" si="1"/>
        <v>7106.666666666667</v>
      </c>
      <c r="R20" s="42">
        <f t="shared" si="1"/>
        <v>7106.666666666667</v>
      </c>
      <c r="S20" s="42">
        <f t="shared" si="1"/>
        <v>7106.666666666667</v>
      </c>
      <c r="T20" s="42">
        <f t="shared" si="1"/>
        <v>7106.666666666667</v>
      </c>
      <c r="U20" s="42">
        <f t="shared" si="1"/>
        <v>7106.666666666667</v>
      </c>
      <c r="V20" s="42">
        <f t="shared" si="1"/>
        <v>7319.8666666666668</v>
      </c>
      <c r="W20" s="42">
        <f t="shared" si="1"/>
        <v>7319.8666666666668</v>
      </c>
      <c r="X20" s="42">
        <f t="shared" ref="X20" si="4">IF(OR($D20="",$E20="",NOT(ISNUMBER($D20))),"",IF(AND($E20&lt;=X$10,IF($F20="",$X$10,$F20)&gt;=X$10),$D20/12*(1+N($G20))^IF(AND(ISNUMBER($H20),X$10&gt;=$H20),1+INT(DATEDIF($H20,X$10,"m")/12),0),0))</f>
        <v>7319.8666666666668</v>
      </c>
      <c r="Y20" s="42"/>
      <c r="Z20" s="42">
        <f t="shared" ref="Z20:Z24" si="5">SUM(M20:X20)</f>
        <v>85919.599999999991</v>
      </c>
      <c r="AB20" s="44" t="str">
        <f t="shared" si="2"/>
        <v/>
      </c>
    </row>
    <row r="21" spans="1:28" x14ac:dyDescent="0.3">
      <c r="B21" s="37" t="s">
        <v>307</v>
      </c>
      <c r="C21" s="37" t="s">
        <v>316</v>
      </c>
      <c r="D21" s="38">
        <v>100000</v>
      </c>
      <c r="E21" s="39">
        <v>46266</v>
      </c>
      <c r="F21" s="39">
        <v>46722</v>
      </c>
      <c r="G21" s="40">
        <v>0.03</v>
      </c>
      <c r="H21" s="41">
        <f t="shared" si="0"/>
        <v>46661</v>
      </c>
      <c r="I21" s="42">
        <f t="shared" ref="I21:X24" si="6">IF(OR($D21="",$E21="",NOT(ISNUMBER($D21))),"",IF(AND($E21&lt;=I$10,IF($F21="",$X$10,$F21)&gt;=I$10),$D21/12*(1+N($G21))^IF(AND(ISNUMBER($H21),I$10&gt;=$H21),1+INT(DATEDIF($H21,I$10,"m")/12),0),0))</f>
        <v>8333.3333333333339</v>
      </c>
      <c r="J21" s="42">
        <f t="shared" si="6"/>
        <v>8333.3333333333339</v>
      </c>
      <c r="K21" s="42">
        <f t="shared" si="6"/>
        <v>8333.3333333333339</v>
      </c>
      <c r="L21" s="42">
        <f t="shared" si="6"/>
        <v>8333.3333333333339</v>
      </c>
      <c r="M21" s="42">
        <f t="shared" si="6"/>
        <v>8333.3333333333339</v>
      </c>
      <c r="N21" s="42">
        <f t="shared" si="6"/>
        <v>8333.3333333333339</v>
      </c>
      <c r="O21" s="42">
        <f t="shared" si="6"/>
        <v>8333.3333333333339</v>
      </c>
      <c r="P21" s="42">
        <f t="shared" si="6"/>
        <v>8333.3333333333339</v>
      </c>
      <c r="Q21" s="42">
        <f t="shared" si="6"/>
        <v>8333.3333333333339</v>
      </c>
      <c r="R21" s="42">
        <f t="shared" si="6"/>
        <v>8333.3333333333339</v>
      </c>
      <c r="S21" s="42">
        <f t="shared" si="6"/>
        <v>8333.3333333333339</v>
      </c>
      <c r="T21" s="42">
        <f t="shared" si="6"/>
        <v>8333.3333333333339</v>
      </c>
      <c r="U21" s="42">
        <f t="shared" si="6"/>
        <v>8333.3333333333339</v>
      </c>
      <c r="V21" s="42">
        <f t="shared" si="6"/>
        <v>8583.3333333333339</v>
      </c>
      <c r="W21" s="42">
        <f t="shared" si="6"/>
        <v>8583.3333333333339</v>
      </c>
      <c r="X21" s="42">
        <f t="shared" si="6"/>
        <v>8583.3333333333339</v>
      </c>
      <c r="Y21" s="42"/>
      <c r="Z21" s="42">
        <f t="shared" si="5"/>
        <v>100749.99999999999</v>
      </c>
      <c r="AB21" s="44" t="str">
        <f t="shared" si="2"/>
        <v/>
      </c>
    </row>
    <row r="22" spans="1:28" x14ac:dyDescent="0.3">
      <c r="A22" s="76" t="s">
        <v>366</v>
      </c>
      <c r="B22" s="37" t="s">
        <v>308</v>
      </c>
      <c r="C22" s="37" t="s">
        <v>317</v>
      </c>
      <c r="D22" s="38">
        <v>225000</v>
      </c>
      <c r="E22" s="39">
        <v>46266</v>
      </c>
      <c r="F22" s="39">
        <v>46722</v>
      </c>
      <c r="G22" s="40">
        <v>0.03</v>
      </c>
      <c r="H22" s="41">
        <f t="shared" si="0"/>
        <v>46661</v>
      </c>
      <c r="I22" s="42">
        <f t="shared" si="6"/>
        <v>18750</v>
      </c>
      <c r="J22" s="42">
        <f t="shared" si="6"/>
        <v>18750</v>
      </c>
      <c r="K22" s="42">
        <f t="shared" si="6"/>
        <v>18750</v>
      </c>
      <c r="L22" s="42">
        <f t="shared" si="6"/>
        <v>18750</v>
      </c>
      <c r="M22" s="42">
        <f t="shared" si="6"/>
        <v>18750</v>
      </c>
      <c r="N22" s="42">
        <f t="shared" si="6"/>
        <v>18750</v>
      </c>
      <c r="O22" s="42">
        <f t="shared" si="6"/>
        <v>18750</v>
      </c>
      <c r="P22" s="42">
        <f t="shared" si="6"/>
        <v>18750</v>
      </c>
      <c r="Q22" s="42">
        <f t="shared" si="6"/>
        <v>18750</v>
      </c>
      <c r="R22" s="42">
        <f t="shared" si="6"/>
        <v>18750</v>
      </c>
      <c r="S22" s="42">
        <f t="shared" si="6"/>
        <v>18750</v>
      </c>
      <c r="T22" s="42">
        <f t="shared" si="6"/>
        <v>18750</v>
      </c>
      <c r="U22" s="42">
        <f t="shared" si="6"/>
        <v>18750</v>
      </c>
      <c r="V22" s="42">
        <f t="shared" si="6"/>
        <v>19312.5</v>
      </c>
      <c r="W22" s="42">
        <f t="shared" si="6"/>
        <v>19312.5</v>
      </c>
      <c r="X22" s="42">
        <f t="shared" si="6"/>
        <v>19312.5</v>
      </c>
      <c r="Y22" s="42"/>
      <c r="Z22" s="42">
        <f t="shared" si="5"/>
        <v>226687.5</v>
      </c>
      <c r="AB22" s="44" t="str">
        <f t="shared" si="2"/>
        <v/>
      </c>
    </row>
    <row r="23" spans="1:28" x14ac:dyDescent="0.3">
      <c r="B23" s="37"/>
      <c r="C23" s="37"/>
      <c r="D23" s="38"/>
      <c r="E23" s="39">
        <v>46266</v>
      </c>
      <c r="F23" s="39">
        <v>46722</v>
      </c>
      <c r="G23" s="40">
        <v>0.03</v>
      </c>
      <c r="H23" s="41">
        <f t="shared" si="0"/>
        <v>46661</v>
      </c>
      <c r="I23" s="42" t="str">
        <f t="shared" si="6"/>
        <v/>
      </c>
      <c r="J23" s="42" t="str">
        <f t="shared" si="6"/>
        <v/>
      </c>
      <c r="K23" s="42" t="str">
        <f t="shared" si="6"/>
        <v/>
      </c>
      <c r="L23" s="42" t="str">
        <f t="shared" si="6"/>
        <v/>
      </c>
      <c r="M23" s="42" t="str">
        <f t="shared" si="6"/>
        <v/>
      </c>
      <c r="N23" s="42" t="str">
        <f t="shared" si="6"/>
        <v/>
      </c>
      <c r="O23" s="42" t="str">
        <f t="shared" si="6"/>
        <v/>
      </c>
      <c r="P23" s="42" t="str">
        <f t="shared" si="6"/>
        <v/>
      </c>
      <c r="Q23" s="42" t="str">
        <f t="shared" si="6"/>
        <v/>
      </c>
      <c r="R23" s="42" t="str">
        <f t="shared" si="6"/>
        <v/>
      </c>
      <c r="S23" s="42" t="str">
        <f t="shared" si="6"/>
        <v/>
      </c>
      <c r="T23" s="42" t="str">
        <f t="shared" si="6"/>
        <v/>
      </c>
      <c r="U23" s="42" t="str">
        <f t="shared" si="6"/>
        <v/>
      </c>
      <c r="V23" s="42" t="str">
        <f t="shared" si="6"/>
        <v/>
      </c>
      <c r="W23" s="42" t="str">
        <f t="shared" si="6"/>
        <v/>
      </c>
      <c r="X23" s="42" t="str">
        <f t="shared" si="6"/>
        <v/>
      </c>
      <c r="Y23" s="42"/>
      <c r="Z23" s="42">
        <f t="shared" si="5"/>
        <v>0</v>
      </c>
      <c r="AB23" s="44" t="str">
        <f t="shared" si="2"/>
        <v/>
      </c>
    </row>
    <row r="24" spans="1:28" x14ac:dyDescent="0.3">
      <c r="B24" s="37"/>
      <c r="C24" s="37"/>
      <c r="D24" s="38"/>
      <c r="E24" s="39">
        <v>46266</v>
      </c>
      <c r="F24" s="39">
        <v>46722</v>
      </c>
      <c r="G24" s="40">
        <v>0.03</v>
      </c>
      <c r="H24" s="41">
        <f t="shared" si="0"/>
        <v>46661</v>
      </c>
      <c r="I24" s="42" t="str">
        <f t="shared" si="6"/>
        <v/>
      </c>
      <c r="J24" s="42" t="str">
        <f t="shared" si="6"/>
        <v/>
      </c>
      <c r="K24" s="42" t="str">
        <f t="shared" si="6"/>
        <v/>
      </c>
      <c r="L24" s="42" t="str">
        <f t="shared" si="6"/>
        <v/>
      </c>
      <c r="M24" s="42" t="str">
        <f t="shared" si="6"/>
        <v/>
      </c>
      <c r="N24" s="42" t="str">
        <f t="shared" si="6"/>
        <v/>
      </c>
      <c r="O24" s="42" t="str">
        <f t="shared" si="6"/>
        <v/>
      </c>
      <c r="P24" s="42" t="str">
        <f t="shared" si="6"/>
        <v/>
      </c>
      <c r="Q24" s="42" t="str">
        <f t="shared" si="6"/>
        <v/>
      </c>
      <c r="R24" s="42" t="str">
        <f t="shared" si="6"/>
        <v/>
      </c>
      <c r="S24" s="42" t="str">
        <f t="shared" si="6"/>
        <v/>
      </c>
      <c r="T24" s="42" t="str">
        <f t="shared" si="6"/>
        <v/>
      </c>
      <c r="U24" s="42" t="str">
        <f t="shared" si="6"/>
        <v/>
      </c>
      <c r="V24" s="42" t="str">
        <f t="shared" si="6"/>
        <v/>
      </c>
      <c r="W24" s="42" t="str">
        <f t="shared" si="6"/>
        <v/>
      </c>
      <c r="X24" s="42" t="str">
        <f t="shared" si="6"/>
        <v/>
      </c>
      <c r="Y24" s="42"/>
      <c r="Z24" s="42">
        <f t="shared" si="5"/>
        <v>0</v>
      </c>
      <c r="AB24" s="44" t="str">
        <f t="shared" si="2"/>
        <v/>
      </c>
    </row>
    <row r="25" spans="1:28" x14ac:dyDescent="0.3">
      <c r="B25" s="37"/>
      <c r="C25" s="37"/>
      <c r="D25" s="38"/>
      <c r="E25" s="39">
        <v>46266</v>
      </c>
      <c r="F25" s="39">
        <v>46722</v>
      </c>
      <c r="G25" s="40">
        <v>0.03</v>
      </c>
      <c r="H25" s="41">
        <f t="shared" si="0"/>
        <v>46661</v>
      </c>
      <c r="I25" s="42" t="str">
        <f t="shared" si="1"/>
        <v/>
      </c>
      <c r="J25" s="42" t="str">
        <f t="shared" si="1"/>
        <v/>
      </c>
      <c r="K25" s="42" t="str">
        <f t="shared" si="1"/>
        <v/>
      </c>
      <c r="L25" s="42" t="str">
        <f t="shared" si="1"/>
        <v/>
      </c>
      <c r="M25" s="42" t="str">
        <f t="shared" si="1"/>
        <v/>
      </c>
      <c r="N25" s="42" t="str">
        <f t="shared" si="1"/>
        <v/>
      </c>
      <c r="O25" s="42" t="str">
        <f t="shared" si="1"/>
        <v/>
      </c>
      <c r="P25" s="42" t="str">
        <f t="shared" si="1"/>
        <v/>
      </c>
      <c r="Q25" s="42" t="str">
        <f t="shared" si="1"/>
        <v/>
      </c>
      <c r="R25" s="42" t="str">
        <f t="shared" si="1"/>
        <v/>
      </c>
      <c r="S25" s="42" t="str">
        <f t="shared" si="1"/>
        <v/>
      </c>
      <c r="T25" s="42" t="str">
        <f t="shared" si="1"/>
        <v/>
      </c>
      <c r="U25" s="42" t="str">
        <f t="shared" si="1"/>
        <v/>
      </c>
      <c r="V25" s="42" t="str">
        <f t="shared" si="1"/>
        <v/>
      </c>
      <c r="W25" s="42" t="str">
        <f t="shared" si="1"/>
        <v/>
      </c>
      <c r="X25" s="42" t="str">
        <f t="shared" si="1"/>
        <v/>
      </c>
      <c r="Y25" s="42"/>
      <c r="Z25" s="42">
        <f t="shared" si="3"/>
        <v>0</v>
      </c>
      <c r="AB25" s="44" t="str">
        <f t="shared" si="2"/>
        <v/>
      </c>
    </row>
    <row r="26" spans="1:28" x14ac:dyDescent="0.3">
      <c r="B26" s="37"/>
      <c r="C26" s="37"/>
      <c r="D26" s="38"/>
      <c r="E26" s="39">
        <v>46266</v>
      </c>
      <c r="F26" s="39">
        <v>46722</v>
      </c>
      <c r="G26" s="40">
        <v>0.03</v>
      </c>
      <c r="H26" s="41">
        <f t="shared" si="0"/>
        <v>46661</v>
      </c>
      <c r="I26" s="42" t="str">
        <f t="shared" si="1"/>
        <v/>
      </c>
      <c r="J26" s="42" t="str">
        <f t="shared" si="1"/>
        <v/>
      </c>
      <c r="K26" s="42" t="str">
        <f t="shared" si="1"/>
        <v/>
      </c>
      <c r="L26" s="42" t="str">
        <f t="shared" si="1"/>
        <v/>
      </c>
      <c r="M26" s="42" t="str">
        <f t="shared" si="1"/>
        <v/>
      </c>
      <c r="N26" s="42" t="str">
        <f t="shared" si="1"/>
        <v/>
      </c>
      <c r="O26" s="42" t="str">
        <f t="shared" si="1"/>
        <v/>
      </c>
      <c r="P26" s="42" t="str">
        <f t="shared" si="1"/>
        <v/>
      </c>
      <c r="Q26" s="42" t="str">
        <f t="shared" si="1"/>
        <v/>
      </c>
      <c r="R26" s="42" t="str">
        <f t="shared" si="1"/>
        <v/>
      </c>
      <c r="S26" s="42" t="str">
        <f t="shared" si="1"/>
        <v/>
      </c>
      <c r="T26" s="42" t="str">
        <f t="shared" si="1"/>
        <v/>
      </c>
      <c r="U26" s="42" t="str">
        <f t="shared" si="1"/>
        <v/>
      </c>
      <c r="V26" s="42" t="str">
        <f t="shared" si="1"/>
        <v/>
      </c>
      <c r="W26" s="42" t="str">
        <f t="shared" si="1"/>
        <v/>
      </c>
      <c r="X26" s="42" t="str">
        <f t="shared" si="1"/>
        <v/>
      </c>
      <c r="Y26" s="42"/>
      <c r="Z26" s="42">
        <f t="shared" si="3"/>
        <v>0</v>
      </c>
      <c r="AB26" s="44" t="str">
        <f t="shared" si="2"/>
        <v/>
      </c>
    </row>
    <row r="27" spans="1:28" x14ac:dyDescent="0.3">
      <c r="B27" s="37"/>
      <c r="C27" s="37"/>
      <c r="D27" s="38"/>
      <c r="E27" s="39">
        <v>46266</v>
      </c>
      <c r="F27" s="39">
        <v>46722</v>
      </c>
      <c r="G27" s="40">
        <v>0.03</v>
      </c>
      <c r="H27" s="41">
        <f t="shared" si="0"/>
        <v>46661</v>
      </c>
      <c r="I27" s="42" t="str">
        <f t="shared" si="1"/>
        <v/>
      </c>
      <c r="J27" s="42" t="str">
        <f t="shared" si="1"/>
        <v/>
      </c>
      <c r="K27" s="42" t="str">
        <f t="shared" si="1"/>
        <v/>
      </c>
      <c r="L27" s="42" t="str">
        <f t="shared" si="1"/>
        <v/>
      </c>
      <c r="M27" s="42" t="str">
        <f t="shared" si="1"/>
        <v/>
      </c>
      <c r="N27" s="42" t="str">
        <f t="shared" si="1"/>
        <v/>
      </c>
      <c r="O27" s="42" t="str">
        <f t="shared" si="1"/>
        <v/>
      </c>
      <c r="P27" s="42" t="str">
        <f t="shared" si="1"/>
        <v/>
      </c>
      <c r="Q27" s="42" t="str">
        <f t="shared" si="1"/>
        <v/>
      </c>
      <c r="R27" s="42" t="str">
        <f t="shared" si="1"/>
        <v/>
      </c>
      <c r="S27" s="42" t="str">
        <f t="shared" si="1"/>
        <v/>
      </c>
      <c r="T27" s="42" t="str">
        <f t="shared" si="1"/>
        <v/>
      </c>
      <c r="U27" s="42" t="str">
        <f t="shared" si="1"/>
        <v/>
      </c>
      <c r="V27" s="42" t="str">
        <f t="shared" si="1"/>
        <v/>
      </c>
      <c r="W27" s="42" t="str">
        <f t="shared" si="1"/>
        <v/>
      </c>
      <c r="X27" s="42" t="str">
        <f t="shared" si="1"/>
        <v/>
      </c>
      <c r="Y27" s="42"/>
      <c r="Z27" s="42">
        <f t="shared" si="3"/>
        <v>0</v>
      </c>
      <c r="AB27" s="44" t="str">
        <f t="shared" si="2"/>
        <v/>
      </c>
    </row>
    <row r="28" spans="1:28" x14ac:dyDescent="0.3">
      <c r="B28" s="37"/>
      <c r="C28" s="37"/>
      <c r="D28" s="38"/>
      <c r="E28" s="39">
        <v>46266</v>
      </c>
      <c r="F28" s="39">
        <v>46722</v>
      </c>
      <c r="G28" s="40">
        <v>0.03</v>
      </c>
      <c r="H28" s="41">
        <f t="shared" si="0"/>
        <v>46661</v>
      </c>
      <c r="I28" s="42" t="str">
        <f t="shared" si="1"/>
        <v/>
      </c>
      <c r="J28" s="42" t="str">
        <f t="shared" si="1"/>
        <v/>
      </c>
      <c r="K28" s="42" t="str">
        <f t="shared" si="1"/>
        <v/>
      </c>
      <c r="L28" s="42" t="str">
        <f t="shared" si="1"/>
        <v/>
      </c>
      <c r="M28" s="42" t="str">
        <f t="shared" si="1"/>
        <v/>
      </c>
      <c r="N28" s="42" t="str">
        <f t="shared" si="1"/>
        <v/>
      </c>
      <c r="O28" s="42" t="str">
        <f t="shared" si="1"/>
        <v/>
      </c>
      <c r="P28" s="42" t="str">
        <f t="shared" si="1"/>
        <v/>
      </c>
      <c r="Q28" s="42" t="str">
        <f t="shared" si="1"/>
        <v/>
      </c>
      <c r="R28" s="42" t="str">
        <f t="shared" si="1"/>
        <v/>
      </c>
      <c r="S28" s="42" t="str">
        <f t="shared" si="1"/>
        <v/>
      </c>
      <c r="T28" s="42" t="str">
        <f t="shared" si="1"/>
        <v/>
      </c>
      <c r="U28" s="42" t="str">
        <f t="shared" si="1"/>
        <v/>
      </c>
      <c r="V28" s="42" t="str">
        <f t="shared" si="1"/>
        <v/>
      </c>
      <c r="W28" s="42" t="str">
        <f t="shared" si="1"/>
        <v/>
      </c>
      <c r="X28" s="42" t="str">
        <f t="shared" si="1"/>
        <v/>
      </c>
      <c r="Y28" s="42"/>
      <c r="Z28" s="42">
        <f t="shared" si="3"/>
        <v>0</v>
      </c>
      <c r="AB28" s="44" t="str">
        <f t="shared" si="2"/>
        <v/>
      </c>
    </row>
    <row r="29" spans="1:28" x14ac:dyDescent="0.3">
      <c r="B29" s="37"/>
      <c r="C29" s="37"/>
      <c r="D29" s="38"/>
      <c r="E29" s="39">
        <v>46266</v>
      </c>
      <c r="F29" s="39">
        <v>46722</v>
      </c>
      <c r="G29" s="40">
        <v>0.03</v>
      </c>
      <c r="H29" s="41">
        <f t="shared" si="0"/>
        <v>46661</v>
      </c>
      <c r="I29" s="42" t="str">
        <f t="shared" si="1"/>
        <v/>
      </c>
      <c r="J29" s="42" t="str">
        <f t="shared" si="1"/>
        <v/>
      </c>
      <c r="K29" s="42" t="str">
        <f t="shared" si="1"/>
        <v/>
      </c>
      <c r="L29" s="42" t="str">
        <f t="shared" si="1"/>
        <v/>
      </c>
      <c r="M29" s="42" t="str">
        <f t="shared" si="1"/>
        <v/>
      </c>
      <c r="N29" s="42" t="str">
        <f t="shared" si="1"/>
        <v/>
      </c>
      <c r="O29" s="42" t="str">
        <f t="shared" si="1"/>
        <v/>
      </c>
      <c r="P29" s="42" t="str">
        <f t="shared" si="1"/>
        <v/>
      </c>
      <c r="Q29" s="42" t="str">
        <f t="shared" si="1"/>
        <v/>
      </c>
      <c r="R29" s="42" t="str">
        <f t="shared" si="1"/>
        <v/>
      </c>
      <c r="S29" s="42" t="str">
        <f t="shared" si="1"/>
        <v/>
      </c>
      <c r="T29" s="42" t="str">
        <f t="shared" si="1"/>
        <v/>
      </c>
      <c r="U29" s="42" t="str">
        <f t="shared" si="1"/>
        <v/>
      </c>
      <c r="V29" s="42" t="str">
        <f t="shared" si="1"/>
        <v/>
      </c>
      <c r="W29" s="42" t="str">
        <f t="shared" si="1"/>
        <v/>
      </c>
      <c r="X29" s="42" t="str">
        <f t="shared" si="1"/>
        <v/>
      </c>
      <c r="Y29" s="42"/>
      <c r="Z29" s="42">
        <f t="shared" si="3"/>
        <v>0</v>
      </c>
      <c r="AB29" s="44" t="str">
        <f t="shared" si="2"/>
        <v/>
      </c>
    </row>
    <row r="30" spans="1:28" x14ac:dyDescent="0.3">
      <c r="B30" s="37"/>
      <c r="C30" s="37"/>
      <c r="D30" s="38"/>
      <c r="E30" s="39">
        <v>46266</v>
      </c>
      <c r="F30" s="39">
        <v>46722</v>
      </c>
      <c r="G30" s="40">
        <v>0.03</v>
      </c>
      <c r="H30" s="41">
        <f t="shared" si="0"/>
        <v>46661</v>
      </c>
      <c r="I30" s="42" t="str">
        <f t="shared" si="1"/>
        <v/>
      </c>
      <c r="J30" s="42" t="str">
        <f t="shared" si="1"/>
        <v/>
      </c>
      <c r="K30" s="42" t="str">
        <f t="shared" si="1"/>
        <v/>
      </c>
      <c r="L30" s="42" t="str">
        <f t="shared" si="1"/>
        <v/>
      </c>
      <c r="M30" s="42" t="str">
        <f t="shared" si="1"/>
        <v/>
      </c>
      <c r="N30" s="42" t="str">
        <f t="shared" si="1"/>
        <v/>
      </c>
      <c r="O30" s="42" t="str">
        <f t="shared" si="1"/>
        <v/>
      </c>
      <c r="P30" s="42" t="str">
        <f t="shared" si="1"/>
        <v/>
      </c>
      <c r="Q30" s="42" t="str">
        <f t="shared" si="1"/>
        <v/>
      </c>
      <c r="R30" s="42" t="str">
        <f t="shared" si="1"/>
        <v/>
      </c>
      <c r="S30" s="42" t="str">
        <f t="shared" si="1"/>
        <v/>
      </c>
      <c r="T30" s="42" t="str">
        <f t="shared" si="1"/>
        <v/>
      </c>
      <c r="U30" s="42" t="str">
        <f t="shared" si="1"/>
        <v/>
      </c>
      <c r="V30" s="42" t="str">
        <f t="shared" si="1"/>
        <v/>
      </c>
      <c r="W30" s="42" t="str">
        <f t="shared" si="1"/>
        <v/>
      </c>
      <c r="X30" s="42" t="str">
        <f t="shared" si="1"/>
        <v/>
      </c>
      <c r="Y30" s="42"/>
      <c r="Z30" s="42">
        <f t="shared" si="3"/>
        <v>0</v>
      </c>
      <c r="AB30" s="44" t="str">
        <f t="shared" si="2"/>
        <v/>
      </c>
    </row>
    <row r="31" spans="1:28" x14ac:dyDescent="0.3">
      <c r="B31" s="37"/>
      <c r="C31" s="37"/>
      <c r="D31" s="38"/>
      <c r="E31" s="39">
        <v>46266</v>
      </c>
      <c r="F31" s="39">
        <v>46722</v>
      </c>
      <c r="G31" s="40">
        <v>0.03</v>
      </c>
      <c r="H31" s="41">
        <f t="shared" si="0"/>
        <v>46661</v>
      </c>
      <c r="I31" s="42" t="str">
        <f t="shared" si="1"/>
        <v/>
      </c>
      <c r="J31" s="42" t="str">
        <f t="shared" si="1"/>
        <v/>
      </c>
      <c r="K31" s="42" t="str">
        <f t="shared" si="1"/>
        <v/>
      </c>
      <c r="L31" s="42" t="str">
        <f t="shared" si="1"/>
        <v/>
      </c>
      <c r="M31" s="42" t="str">
        <f t="shared" si="1"/>
        <v/>
      </c>
      <c r="N31" s="42" t="str">
        <f t="shared" si="1"/>
        <v/>
      </c>
      <c r="O31" s="42" t="str">
        <f t="shared" si="1"/>
        <v/>
      </c>
      <c r="P31" s="42" t="str">
        <f t="shared" si="1"/>
        <v/>
      </c>
      <c r="Q31" s="42" t="str">
        <f t="shared" si="1"/>
        <v/>
      </c>
      <c r="R31" s="42" t="str">
        <f t="shared" si="1"/>
        <v/>
      </c>
      <c r="S31" s="42" t="str">
        <f t="shared" si="1"/>
        <v/>
      </c>
      <c r="T31" s="42" t="str">
        <f t="shared" si="1"/>
        <v/>
      </c>
      <c r="U31" s="42" t="str">
        <f t="shared" si="1"/>
        <v/>
      </c>
      <c r="V31" s="42" t="str">
        <f t="shared" si="1"/>
        <v/>
      </c>
      <c r="W31" s="42" t="str">
        <f t="shared" si="1"/>
        <v/>
      </c>
      <c r="X31" s="42" t="str">
        <f t="shared" si="1"/>
        <v/>
      </c>
      <c r="Y31" s="42"/>
      <c r="Z31" s="42">
        <f t="shared" si="3"/>
        <v>0</v>
      </c>
      <c r="AB31" s="44" t="str">
        <f t="shared" si="2"/>
        <v/>
      </c>
    </row>
    <row r="32" spans="1:28" x14ac:dyDescent="0.3">
      <c r="B32" s="37"/>
      <c r="C32" s="37"/>
      <c r="D32" s="38"/>
      <c r="E32" s="39">
        <v>46266</v>
      </c>
      <c r="F32" s="39">
        <v>46722</v>
      </c>
      <c r="G32" s="40">
        <v>0.03</v>
      </c>
      <c r="H32" s="41">
        <f t="shared" si="0"/>
        <v>46661</v>
      </c>
      <c r="I32" s="42" t="str">
        <f t="shared" si="1"/>
        <v/>
      </c>
      <c r="J32" s="42" t="str">
        <f t="shared" si="1"/>
        <v/>
      </c>
      <c r="K32" s="42" t="str">
        <f t="shared" si="1"/>
        <v/>
      </c>
      <c r="L32" s="42" t="str">
        <f t="shared" si="1"/>
        <v/>
      </c>
      <c r="M32" s="42" t="str">
        <f t="shared" si="1"/>
        <v/>
      </c>
      <c r="N32" s="42" t="str">
        <f t="shared" si="1"/>
        <v/>
      </c>
      <c r="O32" s="42" t="str">
        <f t="shared" si="1"/>
        <v/>
      </c>
      <c r="P32" s="42" t="str">
        <f t="shared" si="1"/>
        <v/>
      </c>
      <c r="Q32" s="42" t="str">
        <f t="shared" si="1"/>
        <v/>
      </c>
      <c r="R32" s="42" t="str">
        <f t="shared" si="1"/>
        <v/>
      </c>
      <c r="S32" s="42" t="str">
        <f t="shared" si="1"/>
        <v/>
      </c>
      <c r="T32" s="42" t="str">
        <f t="shared" si="1"/>
        <v/>
      </c>
      <c r="U32" s="42" t="str">
        <f t="shared" si="1"/>
        <v/>
      </c>
      <c r="V32" s="42" t="str">
        <f t="shared" si="1"/>
        <v/>
      </c>
      <c r="W32" s="42" t="str">
        <f t="shared" si="1"/>
        <v/>
      </c>
      <c r="X32" s="42" t="str">
        <f t="shared" si="1"/>
        <v/>
      </c>
      <c r="Y32" s="42"/>
      <c r="Z32" s="42">
        <f t="shared" si="3"/>
        <v>0</v>
      </c>
      <c r="AB32" s="44" t="str">
        <f t="shared" si="2"/>
        <v/>
      </c>
    </row>
    <row r="33" spans="2:28" x14ac:dyDescent="0.3">
      <c r="B33" s="37"/>
      <c r="C33" s="37"/>
      <c r="D33" s="38"/>
      <c r="E33" s="39">
        <v>46266</v>
      </c>
      <c r="F33" s="39">
        <v>46722</v>
      </c>
      <c r="G33" s="40">
        <v>0.03</v>
      </c>
      <c r="H33" s="41">
        <f t="shared" si="0"/>
        <v>46661</v>
      </c>
      <c r="I33" s="42" t="str">
        <f t="shared" si="1"/>
        <v/>
      </c>
      <c r="J33" s="42" t="str">
        <f t="shared" si="1"/>
        <v/>
      </c>
      <c r="K33" s="42" t="str">
        <f t="shared" si="1"/>
        <v/>
      </c>
      <c r="L33" s="42" t="str">
        <f t="shared" si="1"/>
        <v/>
      </c>
      <c r="M33" s="42" t="str">
        <f t="shared" si="1"/>
        <v/>
      </c>
      <c r="N33" s="42" t="str">
        <f t="shared" si="1"/>
        <v/>
      </c>
      <c r="O33" s="42" t="str">
        <f t="shared" si="1"/>
        <v/>
      </c>
      <c r="P33" s="42" t="str">
        <f t="shared" si="1"/>
        <v/>
      </c>
      <c r="Q33" s="42" t="str">
        <f t="shared" si="1"/>
        <v/>
      </c>
      <c r="R33" s="42" t="str">
        <f t="shared" si="1"/>
        <v/>
      </c>
      <c r="S33" s="42" t="str">
        <f t="shared" si="1"/>
        <v/>
      </c>
      <c r="T33" s="42" t="str">
        <f t="shared" si="1"/>
        <v/>
      </c>
      <c r="U33" s="42" t="str">
        <f t="shared" si="1"/>
        <v/>
      </c>
      <c r="V33" s="42" t="str">
        <f t="shared" si="1"/>
        <v/>
      </c>
      <c r="W33" s="42" t="str">
        <f t="shared" si="1"/>
        <v/>
      </c>
      <c r="X33" s="42" t="str">
        <f t="shared" si="1"/>
        <v/>
      </c>
      <c r="Y33" s="42"/>
      <c r="Z33" s="42">
        <f t="shared" si="3"/>
        <v>0</v>
      </c>
      <c r="AB33" s="44" t="str">
        <f t="shared" si="2"/>
        <v/>
      </c>
    </row>
    <row r="34" spans="2:28" x14ac:dyDescent="0.3">
      <c r="B34" s="8" t="s">
        <v>55</v>
      </c>
      <c r="D34" s="45"/>
      <c r="E34" s="46"/>
      <c r="F34" s="46"/>
      <c r="G34" s="46"/>
      <c r="H34" s="46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B34" s="44"/>
    </row>
    <row r="35" spans="2:28" x14ac:dyDescent="0.3">
      <c r="B35" s="37"/>
      <c r="C35" s="37"/>
      <c r="D35" s="38"/>
      <c r="E35" s="39"/>
      <c r="F35" s="39">
        <v>46722</v>
      </c>
      <c r="G35" s="40">
        <v>0.03</v>
      </c>
      <c r="H35" s="41">
        <f>$D$8</f>
        <v>46661</v>
      </c>
      <c r="I35" s="42" t="str">
        <f t="shared" ref="I35:X39" si="7">IF(OR($D35="",$E35="",NOT(ISNUMBER($D35))),"",IF(AND($E35&lt;=I$10,IF($F35="",$X$10,$F35)&gt;=I$10),$D35/12*(1+N($G35))^IF(AND(ISNUMBER($H35),I$10&gt;=$H35),1+INT(DATEDIF($H35,I$10,"m")/12),0),0))</f>
        <v/>
      </c>
      <c r="J35" s="42" t="str">
        <f t="shared" si="7"/>
        <v/>
      </c>
      <c r="K35" s="42" t="str">
        <f t="shared" si="7"/>
        <v/>
      </c>
      <c r="L35" s="42" t="str">
        <f t="shared" si="7"/>
        <v/>
      </c>
      <c r="M35" s="42" t="str">
        <f t="shared" si="7"/>
        <v/>
      </c>
      <c r="N35" s="42" t="str">
        <f t="shared" si="7"/>
        <v/>
      </c>
      <c r="O35" s="42" t="str">
        <f t="shared" si="7"/>
        <v/>
      </c>
      <c r="P35" s="42" t="str">
        <f t="shared" si="7"/>
        <v/>
      </c>
      <c r="Q35" s="42" t="str">
        <f t="shared" si="7"/>
        <v/>
      </c>
      <c r="R35" s="42" t="str">
        <f t="shared" si="7"/>
        <v/>
      </c>
      <c r="S35" s="42" t="str">
        <f t="shared" si="7"/>
        <v/>
      </c>
      <c r="T35" s="42" t="str">
        <f t="shared" si="7"/>
        <v/>
      </c>
      <c r="U35" s="42" t="str">
        <f t="shared" si="7"/>
        <v/>
      </c>
      <c r="V35" s="42" t="str">
        <f t="shared" si="7"/>
        <v/>
      </c>
      <c r="W35" s="42" t="str">
        <f t="shared" si="7"/>
        <v/>
      </c>
      <c r="X35" s="42" t="str">
        <f t="shared" si="7"/>
        <v/>
      </c>
      <c r="Y35" s="42"/>
      <c r="Z35" s="42">
        <f t="shared" ref="Z35:Z50" si="8">SUM(M35:X35)</f>
        <v>0</v>
      </c>
      <c r="AB35" s="44" t="str">
        <f>IF($D35&amp;$E35="","",IF(AND($D35&lt;&gt;"",NOT(ISNUMBER($D35))),"Salary must be a number",IF(AND($D35&lt;&gt;"",$E35=""),"Start month missing",IF(AND(ISNUMBER($E35),ISNUMBER($F35),$F35&lt;$E35),"End is before Start",IF(AND($D35&lt;&gt;"",NOT(ISNUMBER($H35))),"Increase month missing","")))))</f>
        <v/>
      </c>
    </row>
    <row r="36" spans="2:28" x14ac:dyDescent="0.3">
      <c r="B36" s="37"/>
      <c r="C36" s="37"/>
      <c r="D36" s="38"/>
      <c r="E36" s="39"/>
      <c r="F36" s="39">
        <v>46722</v>
      </c>
      <c r="G36" s="40">
        <v>0.03</v>
      </c>
      <c r="H36" s="41">
        <f>$D$8</f>
        <v>46661</v>
      </c>
      <c r="I36" s="42" t="str">
        <f t="shared" si="7"/>
        <v/>
      </c>
      <c r="J36" s="42" t="str">
        <f t="shared" si="7"/>
        <v/>
      </c>
      <c r="K36" s="42" t="str">
        <f t="shared" si="7"/>
        <v/>
      </c>
      <c r="L36" s="42" t="str">
        <f t="shared" si="7"/>
        <v/>
      </c>
      <c r="M36" s="42" t="str">
        <f t="shared" si="7"/>
        <v/>
      </c>
      <c r="N36" s="42" t="str">
        <f t="shared" si="7"/>
        <v/>
      </c>
      <c r="O36" s="42" t="str">
        <f t="shared" si="7"/>
        <v/>
      </c>
      <c r="P36" s="42" t="str">
        <f t="shared" si="7"/>
        <v/>
      </c>
      <c r="Q36" s="42" t="str">
        <f t="shared" si="7"/>
        <v/>
      </c>
      <c r="R36" s="42" t="str">
        <f t="shared" si="7"/>
        <v/>
      </c>
      <c r="S36" s="42" t="str">
        <f t="shared" si="7"/>
        <v/>
      </c>
      <c r="T36" s="42" t="str">
        <f t="shared" si="7"/>
        <v/>
      </c>
      <c r="U36" s="42" t="str">
        <f t="shared" si="7"/>
        <v/>
      </c>
      <c r="V36" s="42" t="str">
        <f t="shared" si="7"/>
        <v/>
      </c>
      <c r="W36" s="42" t="str">
        <f t="shared" si="7"/>
        <v/>
      </c>
      <c r="X36" s="42" t="str">
        <f t="shared" si="7"/>
        <v/>
      </c>
      <c r="Y36" s="42"/>
      <c r="Z36" s="42">
        <f t="shared" si="8"/>
        <v>0</v>
      </c>
      <c r="AB36" s="44" t="str">
        <f>IF($D36&amp;$E36="","",IF(AND($D36&lt;&gt;"",NOT(ISNUMBER($D36))),"Salary must be a number",IF(AND($D36&lt;&gt;"",$E36=""),"Start month missing",IF(AND(ISNUMBER($E36),ISNUMBER($F36),$F36&lt;$E36),"End is before Start",IF(AND($D36&lt;&gt;"",NOT(ISNUMBER($H36))),"Increase month missing","")))))</f>
        <v/>
      </c>
    </row>
    <row r="37" spans="2:28" x14ac:dyDescent="0.3">
      <c r="B37" s="37"/>
      <c r="C37" s="37"/>
      <c r="D37" s="38"/>
      <c r="E37" s="39"/>
      <c r="F37" s="39">
        <v>46722</v>
      </c>
      <c r="G37" s="40">
        <v>0.03</v>
      </c>
      <c r="H37" s="41">
        <f>$D$8</f>
        <v>46661</v>
      </c>
      <c r="I37" s="42" t="str">
        <f t="shared" si="7"/>
        <v/>
      </c>
      <c r="J37" s="42" t="str">
        <f t="shared" si="7"/>
        <v/>
      </c>
      <c r="K37" s="42" t="str">
        <f t="shared" si="7"/>
        <v/>
      </c>
      <c r="L37" s="42" t="str">
        <f t="shared" si="7"/>
        <v/>
      </c>
      <c r="M37" s="42" t="str">
        <f t="shared" si="7"/>
        <v/>
      </c>
      <c r="N37" s="42" t="str">
        <f t="shared" si="7"/>
        <v/>
      </c>
      <c r="O37" s="42" t="str">
        <f t="shared" si="7"/>
        <v/>
      </c>
      <c r="P37" s="42" t="str">
        <f t="shared" si="7"/>
        <v/>
      </c>
      <c r="Q37" s="42" t="str">
        <f t="shared" si="7"/>
        <v/>
      </c>
      <c r="R37" s="42" t="str">
        <f t="shared" si="7"/>
        <v/>
      </c>
      <c r="S37" s="42" t="str">
        <f t="shared" si="7"/>
        <v/>
      </c>
      <c r="T37" s="42" t="str">
        <f t="shared" si="7"/>
        <v/>
      </c>
      <c r="U37" s="42" t="str">
        <f t="shared" si="7"/>
        <v/>
      </c>
      <c r="V37" s="42" t="str">
        <f t="shared" si="7"/>
        <v/>
      </c>
      <c r="W37" s="42" t="str">
        <f t="shared" si="7"/>
        <v/>
      </c>
      <c r="X37" s="42" t="str">
        <f t="shared" si="7"/>
        <v/>
      </c>
      <c r="Y37" s="42"/>
      <c r="Z37" s="42">
        <f t="shared" si="8"/>
        <v>0</v>
      </c>
      <c r="AB37" s="44" t="str">
        <f>IF($D37&amp;$E37="","",IF(AND($D37&lt;&gt;"",NOT(ISNUMBER($D37))),"Salary must be a number",IF(AND($D37&lt;&gt;"",$E37=""),"Start month missing",IF(AND(ISNUMBER($E37),ISNUMBER($F37),$F37&lt;$E37),"End is before Start",IF(AND($D37&lt;&gt;"",NOT(ISNUMBER($H37))),"Increase month missing","")))))</f>
        <v/>
      </c>
    </row>
    <row r="38" spans="2:28" x14ac:dyDescent="0.3">
      <c r="B38" s="37"/>
      <c r="C38" s="37"/>
      <c r="D38" s="38"/>
      <c r="E38" s="39"/>
      <c r="F38" s="39">
        <v>46722</v>
      </c>
      <c r="G38" s="40">
        <v>0.03</v>
      </c>
      <c r="H38" s="41">
        <f>$D$8</f>
        <v>46661</v>
      </c>
      <c r="I38" s="42" t="str">
        <f t="shared" si="7"/>
        <v/>
      </c>
      <c r="J38" s="42" t="str">
        <f t="shared" si="7"/>
        <v/>
      </c>
      <c r="K38" s="42" t="str">
        <f t="shared" si="7"/>
        <v/>
      </c>
      <c r="L38" s="42" t="str">
        <f t="shared" si="7"/>
        <v/>
      </c>
      <c r="M38" s="42" t="str">
        <f t="shared" si="7"/>
        <v/>
      </c>
      <c r="N38" s="42" t="str">
        <f t="shared" si="7"/>
        <v/>
      </c>
      <c r="O38" s="42" t="str">
        <f t="shared" si="7"/>
        <v/>
      </c>
      <c r="P38" s="42" t="str">
        <f t="shared" si="7"/>
        <v/>
      </c>
      <c r="Q38" s="42" t="str">
        <f t="shared" si="7"/>
        <v/>
      </c>
      <c r="R38" s="42" t="str">
        <f t="shared" si="7"/>
        <v/>
      </c>
      <c r="S38" s="42" t="str">
        <f t="shared" si="7"/>
        <v/>
      </c>
      <c r="T38" s="42" t="str">
        <f t="shared" si="7"/>
        <v/>
      </c>
      <c r="U38" s="42" t="str">
        <f t="shared" si="7"/>
        <v/>
      </c>
      <c r="V38" s="42" t="str">
        <f t="shared" si="7"/>
        <v/>
      </c>
      <c r="W38" s="42" t="str">
        <f t="shared" si="7"/>
        <v/>
      </c>
      <c r="X38" s="42" t="str">
        <f t="shared" si="7"/>
        <v/>
      </c>
      <c r="Y38" s="42"/>
      <c r="Z38" s="42">
        <f t="shared" si="8"/>
        <v>0</v>
      </c>
      <c r="AB38" s="44" t="str">
        <f>IF($D38&amp;$E38="","",IF(AND($D38&lt;&gt;"",NOT(ISNUMBER($D38))),"Salary must be a number",IF(AND($D38&lt;&gt;"",$E38=""),"Start month missing",IF(AND(ISNUMBER($E38),ISNUMBER($F38),$F38&lt;$E38),"End is before Start",IF(AND($D38&lt;&gt;"",NOT(ISNUMBER($H38))),"Increase month missing","")))))</f>
        <v/>
      </c>
    </row>
    <row r="39" spans="2:28" x14ac:dyDescent="0.3">
      <c r="B39" s="37"/>
      <c r="C39" s="37"/>
      <c r="D39" s="38"/>
      <c r="E39" s="39"/>
      <c r="F39" s="39">
        <v>46722</v>
      </c>
      <c r="G39" s="40">
        <v>0.03</v>
      </c>
      <c r="H39" s="41">
        <f>$D$8</f>
        <v>46661</v>
      </c>
      <c r="I39" s="42" t="str">
        <f t="shared" si="7"/>
        <v/>
      </c>
      <c r="J39" s="42" t="str">
        <f t="shared" si="7"/>
        <v/>
      </c>
      <c r="K39" s="42" t="str">
        <f t="shared" si="7"/>
        <v/>
      </c>
      <c r="L39" s="42" t="str">
        <f t="shared" si="7"/>
        <v/>
      </c>
      <c r="M39" s="42" t="str">
        <f t="shared" si="7"/>
        <v/>
      </c>
      <c r="N39" s="42" t="str">
        <f t="shared" si="7"/>
        <v/>
      </c>
      <c r="O39" s="42" t="str">
        <f t="shared" si="7"/>
        <v/>
      </c>
      <c r="P39" s="42" t="str">
        <f t="shared" si="7"/>
        <v/>
      </c>
      <c r="Q39" s="42" t="str">
        <f t="shared" si="7"/>
        <v/>
      </c>
      <c r="R39" s="42" t="str">
        <f t="shared" si="7"/>
        <v/>
      </c>
      <c r="S39" s="42" t="str">
        <f t="shared" si="7"/>
        <v/>
      </c>
      <c r="T39" s="42" t="str">
        <f t="shared" si="7"/>
        <v/>
      </c>
      <c r="U39" s="42" t="str">
        <f t="shared" si="7"/>
        <v/>
      </c>
      <c r="V39" s="42" t="str">
        <f t="shared" si="7"/>
        <v/>
      </c>
      <c r="W39" s="42" t="str">
        <f t="shared" si="7"/>
        <v/>
      </c>
      <c r="X39" s="42" t="str">
        <f t="shared" si="7"/>
        <v/>
      </c>
      <c r="Y39" s="42"/>
      <c r="Z39" s="42">
        <f t="shared" si="8"/>
        <v>0</v>
      </c>
      <c r="AB39" s="44" t="str">
        <f>IF($D39&amp;$E39="","",IF(AND($D39&lt;&gt;"",NOT(ISNUMBER($D39))),"Salary must be a number",IF(AND($D39&lt;&gt;"",$E39=""),"Start month missing",IF(AND(ISNUMBER($E39),ISNUMBER($F39),$F39&lt;$E39),"End is before Start",IF(AND($D39&lt;&gt;"",NOT(ISNUMBER($H39))),"Increase month missing","")))))</f>
        <v/>
      </c>
    </row>
    <row r="40" spans="2:28" x14ac:dyDescent="0.3">
      <c r="B40" s="8" t="s">
        <v>56</v>
      </c>
      <c r="D40" s="45"/>
      <c r="E40" s="46"/>
      <c r="F40" s="46"/>
      <c r="G40" s="46"/>
      <c r="H40" s="46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B40" s="44"/>
    </row>
    <row r="41" spans="2:28" x14ac:dyDescent="0.3">
      <c r="B41" s="37"/>
      <c r="C41" s="37"/>
      <c r="D41" s="38"/>
      <c r="E41" s="39"/>
      <c r="F41" s="39">
        <v>46722</v>
      </c>
      <c r="G41" s="40">
        <v>0.03</v>
      </c>
      <c r="H41" s="41">
        <f t="shared" ref="H41:H50" si="9">$D$8</f>
        <v>46661</v>
      </c>
      <c r="I41" s="42" t="str">
        <f t="shared" ref="I41:X50" si="10">IF(OR($D41="",$E41="",NOT(ISNUMBER($D41))),"",IF(AND($E41&lt;=I$10,IF($F41="",$X$10,$F41)&gt;=I$10),$D41/12*(1+N($G41))^IF(AND(ISNUMBER($H41),I$10&gt;=$H41),1+INT(DATEDIF($H41,I$10,"m")/12),0),0))</f>
        <v/>
      </c>
      <c r="J41" s="42" t="str">
        <f t="shared" si="10"/>
        <v/>
      </c>
      <c r="K41" s="42" t="str">
        <f t="shared" si="10"/>
        <v/>
      </c>
      <c r="L41" s="42" t="str">
        <f t="shared" si="10"/>
        <v/>
      </c>
      <c r="M41" s="42" t="str">
        <f t="shared" si="10"/>
        <v/>
      </c>
      <c r="N41" s="42" t="str">
        <f t="shared" si="10"/>
        <v/>
      </c>
      <c r="O41" s="42" t="str">
        <f t="shared" si="10"/>
        <v/>
      </c>
      <c r="P41" s="42" t="str">
        <f t="shared" si="10"/>
        <v/>
      </c>
      <c r="Q41" s="42" t="str">
        <f t="shared" si="10"/>
        <v/>
      </c>
      <c r="R41" s="42" t="str">
        <f t="shared" si="10"/>
        <v/>
      </c>
      <c r="S41" s="42" t="str">
        <f t="shared" si="10"/>
        <v/>
      </c>
      <c r="T41" s="42" t="str">
        <f t="shared" si="10"/>
        <v/>
      </c>
      <c r="U41" s="42" t="str">
        <f t="shared" si="10"/>
        <v/>
      </c>
      <c r="V41" s="42" t="str">
        <f t="shared" si="10"/>
        <v/>
      </c>
      <c r="W41" s="42" t="str">
        <f t="shared" si="10"/>
        <v/>
      </c>
      <c r="X41" s="42" t="str">
        <f t="shared" si="10"/>
        <v/>
      </c>
      <c r="Y41" s="42"/>
      <c r="Z41" s="42">
        <f t="shared" si="8"/>
        <v>0</v>
      </c>
      <c r="AB41" s="44" t="str">
        <f t="shared" ref="AB41:AB50" si="11">IF($D41&amp;$E41="","",IF(AND($D41&lt;&gt;"",NOT(ISNUMBER($D41))),"Salary must be a number",IF(AND($D41&lt;&gt;"",$E41=""),"Start month missing",IF(AND(ISNUMBER($E41),ISNUMBER($F41),$F41&lt;$E41),"End is before Start",IF(AND($D41&lt;&gt;"",NOT(ISNUMBER($H41))),"Increase month missing","")))))</f>
        <v/>
      </c>
    </row>
    <row r="42" spans="2:28" x14ac:dyDescent="0.3">
      <c r="B42" s="37"/>
      <c r="C42" s="37"/>
      <c r="D42" s="38"/>
      <c r="E42" s="39"/>
      <c r="F42" s="39">
        <v>46722</v>
      </c>
      <c r="G42" s="40">
        <v>0.03</v>
      </c>
      <c r="H42" s="41">
        <f t="shared" si="9"/>
        <v>46661</v>
      </c>
      <c r="I42" s="42" t="str">
        <f t="shared" si="10"/>
        <v/>
      </c>
      <c r="J42" s="42" t="str">
        <f t="shared" si="10"/>
        <v/>
      </c>
      <c r="K42" s="42" t="str">
        <f t="shared" si="10"/>
        <v/>
      </c>
      <c r="L42" s="42" t="str">
        <f t="shared" si="10"/>
        <v/>
      </c>
      <c r="M42" s="42" t="str">
        <f t="shared" si="10"/>
        <v/>
      </c>
      <c r="N42" s="42" t="str">
        <f t="shared" si="10"/>
        <v/>
      </c>
      <c r="O42" s="42" t="str">
        <f t="shared" si="10"/>
        <v/>
      </c>
      <c r="P42" s="42" t="str">
        <f t="shared" si="10"/>
        <v/>
      </c>
      <c r="Q42" s="42" t="str">
        <f t="shared" si="10"/>
        <v/>
      </c>
      <c r="R42" s="42" t="str">
        <f t="shared" si="10"/>
        <v/>
      </c>
      <c r="S42" s="42" t="str">
        <f t="shared" si="10"/>
        <v/>
      </c>
      <c r="T42" s="42" t="str">
        <f t="shared" si="10"/>
        <v/>
      </c>
      <c r="U42" s="42" t="str">
        <f t="shared" si="10"/>
        <v/>
      </c>
      <c r="V42" s="42" t="str">
        <f t="shared" si="10"/>
        <v/>
      </c>
      <c r="W42" s="42" t="str">
        <f t="shared" si="10"/>
        <v/>
      </c>
      <c r="X42" s="42" t="str">
        <f t="shared" si="10"/>
        <v/>
      </c>
      <c r="Y42" s="42"/>
      <c r="Z42" s="42">
        <f t="shared" si="8"/>
        <v>0</v>
      </c>
      <c r="AB42" s="44" t="str">
        <f t="shared" si="11"/>
        <v/>
      </c>
    </row>
    <row r="43" spans="2:28" x14ac:dyDescent="0.3">
      <c r="B43" s="37"/>
      <c r="C43" s="37"/>
      <c r="D43" s="38"/>
      <c r="E43" s="39"/>
      <c r="F43" s="39">
        <v>46722</v>
      </c>
      <c r="G43" s="40">
        <v>0.03</v>
      </c>
      <c r="H43" s="41">
        <f t="shared" si="9"/>
        <v>46661</v>
      </c>
      <c r="I43" s="42" t="str">
        <f t="shared" si="10"/>
        <v/>
      </c>
      <c r="J43" s="42" t="str">
        <f t="shared" si="10"/>
        <v/>
      </c>
      <c r="K43" s="42" t="str">
        <f t="shared" si="10"/>
        <v/>
      </c>
      <c r="L43" s="42" t="str">
        <f t="shared" si="10"/>
        <v/>
      </c>
      <c r="M43" s="42" t="str">
        <f t="shared" si="10"/>
        <v/>
      </c>
      <c r="N43" s="42" t="str">
        <f t="shared" si="10"/>
        <v/>
      </c>
      <c r="O43" s="42" t="str">
        <f t="shared" si="10"/>
        <v/>
      </c>
      <c r="P43" s="42" t="str">
        <f t="shared" si="10"/>
        <v/>
      </c>
      <c r="Q43" s="42" t="str">
        <f t="shared" si="10"/>
        <v/>
      </c>
      <c r="R43" s="42" t="str">
        <f t="shared" si="10"/>
        <v/>
      </c>
      <c r="S43" s="42" t="str">
        <f t="shared" si="10"/>
        <v/>
      </c>
      <c r="T43" s="42" t="str">
        <f t="shared" si="10"/>
        <v/>
      </c>
      <c r="U43" s="42" t="str">
        <f t="shared" si="10"/>
        <v/>
      </c>
      <c r="V43" s="42" t="str">
        <f t="shared" si="10"/>
        <v/>
      </c>
      <c r="W43" s="42" t="str">
        <f t="shared" si="10"/>
        <v/>
      </c>
      <c r="X43" s="42" t="str">
        <f t="shared" si="10"/>
        <v/>
      </c>
      <c r="Y43" s="42"/>
      <c r="Z43" s="42">
        <f t="shared" si="8"/>
        <v>0</v>
      </c>
      <c r="AB43" s="44" t="str">
        <f t="shared" si="11"/>
        <v/>
      </c>
    </row>
    <row r="44" spans="2:28" x14ac:dyDescent="0.3">
      <c r="B44" s="37"/>
      <c r="C44" s="37"/>
      <c r="D44" s="38"/>
      <c r="E44" s="39"/>
      <c r="F44" s="39">
        <v>46722</v>
      </c>
      <c r="G44" s="40">
        <v>0.03</v>
      </c>
      <c r="H44" s="41">
        <f t="shared" si="9"/>
        <v>46661</v>
      </c>
      <c r="I44" s="42" t="str">
        <f t="shared" si="10"/>
        <v/>
      </c>
      <c r="J44" s="42" t="str">
        <f t="shared" si="10"/>
        <v/>
      </c>
      <c r="K44" s="42" t="str">
        <f t="shared" si="10"/>
        <v/>
      </c>
      <c r="L44" s="42" t="str">
        <f t="shared" si="10"/>
        <v/>
      </c>
      <c r="M44" s="42" t="str">
        <f t="shared" si="10"/>
        <v/>
      </c>
      <c r="N44" s="42" t="str">
        <f t="shared" si="10"/>
        <v/>
      </c>
      <c r="O44" s="42" t="str">
        <f t="shared" si="10"/>
        <v/>
      </c>
      <c r="P44" s="42" t="str">
        <f t="shared" si="10"/>
        <v/>
      </c>
      <c r="Q44" s="42" t="str">
        <f t="shared" si="10"/>
        <v/>
      </c>
      <c r="R44" s="42" t="str">
        <f t="shared" si="10"/>
        <v/>
      </c>
      <c r="S44" s="42" t="str">
        <f t="shared" si="10"/>
        <v/>
      </c>
      <c r="T44" s="42" t="str">
        <f t="shared" si="10"/>
        <v/>
      </c>
      <c r="U44" s="42" t="str">
        <f t="shared" si="10"/>
        <v/>
      </c>
      <c r="V44" s="42" t="str">
        <f t="shared" si="10"/>
        <v/>
      </c>
      <c r="W44" s="42" t="str">
        <f t="shared" si="10"/>
        <v/>
      </c>
      <c r="X44" s="42" t="str">
        <f t="shared" si="10"/>
        <v/>
      </c>
      <c r="Y44" s="42"/>
      <c r="Z44" s="42">
        <f t="shared" si="8"/>
        <v>0</v>
      </c>
      <c r="AB44" s="44" t="str">
        <f t="shared" si="11"/>
        <v/>
      </c>
    </row>
    <row r="45" spans="2:28" x14ac:dyDescent="0.3">
      <c r="B45" s="37"/>
      <c r="C45" s="37"/>
      <c r="D45" s="38"/>
      <c r="E45" s="39"/>
      <c r="F45" s="39">
        <v>46722</v>
      </c>
      <c r="G45" s="40">
        <v>0.03</v>
      </c>
      <c r="H45" s="41">
        <f t="shared" si="9"/>
        <v>46661</v>
      </c>
      <c r="I45" s="42" t="str">
        <f t="shared" si="10"/>
        <v/>
      </c>
      <c r="J45" s="42" t="str">
        <f t="shared" si="10"/>
        <v/>
      </c>
      <c r="K45" s="42" t="str">
        <f t="shared" si="10"/>
        <v/>
      </c>
      <c r="L45" s="42" t="str">
        <f t="shared" si="10"/>
        <v/>
      </c>
      <c r="M45" s="42" t="str">
        <f t="shared" si="10"/>
        <v/>
      </c>
      <c r="N45" s="42" t="str">
        <f t="shared" si="10"/>
        <v/>
      </c>
      <c r="O45" s="42" t="str">
        <f t="shared" si="10"/>
        <v/>
      </c>
      <c r="P45" s="42" t="str">
        <f t="shared" si="10"/>
        <v/>
      </c>
      <c r="Q45" s="42" t="str">
        <f t="shared" si="10"/>
        <v/>
      </c>
      <c r="R45" s="42" t="str">
        <f t="shared" si="10"/>
        <v/>
      </c>
      <c r="S45" s="42" t="str">
        <f t="shared" si="10"/>
        <v/>
      </c>
      <c r="T45" s="42" t="str">
        <f t="shared" si="10"/>
        <v/>
      </c>
      <c r="U45" s="42" t="str">
        <f t="shared" si="10"/>
        <v/>
      </c>
      <c r="V45" s="42" t="str">
        <f t="shared" si="10"/>
        <v/>
      </c>
      <c r="W45" s="42" t="str">
        <f t="shared" si="10"/>
        <v/>
      </c>
      <c r="X45" s="42" t="str">
        <f t="shared" si="10"/>
        <v/>
      </c>
      <c r="Y45" s="42"/>
      <c r="Z45" s="42">
        <f t="shared" si="8"/>
        <v>0</v>
      </c>
      <c r="AB45" s="44" t="str">
        <f t="shared" si="11"/>
        <v/>
      </c>
    </row>
    <row r="46" spans="2:28" x14ac:dyDescent="0.3">
      <c r="B46" s="37"/>
      <c r="C46" s="37"/>
      <c r="D46" s="38"/>
      <c r="E46" s="39"/>
      <c r="F46" s="39">
        <v>46722</v>
      </c>
      <c r="G46" s="40">
        <v>0.03</v>
      </c>
      <c r="H46" s="41">
        <f t="shared" si="9"/>
        <v>46661</v>
      </c>
      <c r="I46" s="42" t="str">
        <f t="shared" si="10"/>
        <v/>
      </c>
      <c r="J46" s="42" t="str">
        <f t="shared" si="10"/>
        <v/>
      </c>
      <c r="K46" s="42" t="str">
        <f t="shared" si="10"/>
        <v/>
      </c>
      <c r="L46" s="42" t="str">
        <f t="shared" si="10"/>
        <v/>
      </c>
      <c r="M46" s="42" t="str">
        <f t="shared" si="10"/>
        <v/>
      </c>
      <c r="N46" s="42" t="str">
        <f t="shared" si="10"/>
        <v/>
      </c>
      <c r="O46" s="42" t="str">
        <f t="shared" si="10"/>
        <v/>
      </c>
      <c r="P46" s="42" t="str">
        <f t="shared" si="10"/>
        <v/>
      </c>
      <c r="Q46" s="42" t="str">
        <f t="shared" si="10"/>
        <v/>
      </c>
      <c r="R46" s="42" t="str">
        <f t="shared" si="10"/>
        <v/>
      </c>
      <c r="S46" s="42" t="str">
        <f t="shared" si="10"/>
        <v/>
      </c>
      <c r="T46" s="42" t="str">
        <f t="shared" si="10"/>
        <v/>
      </c>
      <c r="U46" s="42" t="str">
        <f t="shared" si="10"/>
        <v/>
      </c>
      <c r="V46" s="42" t="str">
        <f t="shared" si="10"/>
        <v/>
      </c>
      <c r="W46" s="42" t="str">
        <f t="shared" si="10"/>
        <v/>
      </c>
      <c r="X46" s="42" t="str">
        <f t="shared" si="10"/>
        <v/>
      </c>
      <c r="Y46" s="42"/>
      <c r="Z46" s="42">
        <f t="shared" si="8"/>
        <v>0</v>
      </c>
      <c r="AB46" s="44" t="str">
        <f t="shared" si="11"/>
        <v/>
      </c>
    </row>
    <row r="47" spans="2:28" x14ac:dyDescent="0.3">
      <c r="B47" s="37"/>
      <c r="C47" s="37"/>
      <c r="D47" s="38"/>
      <c r="E47" s="39"/>
      <c r="F47" s="39">
        <v>46722</v>
      </c>
      <c r="G47" s="40">
        <v>0.03</v>
      </c>
      <c r="H47" s="41">
        <f t="shared" si="9"/>
        <v>46661</v>
      </c>
      <c r="I47" s="42" t="str">
        <f t="shared" si="10"/>
        <v/>
      </c>
      <c r="J47" s="42" t="str">
        <f t="shared" si="10"/>
        <v/>
      </c>
      <c r="K47" s="42" t="str">
        <f t="shared" si="10"/>
        <v/>
      </c>
      <c r="L47" s="42" t="str">
        <f t="shared" si="10"/>
        <v/>
      </c>
      <c r="M47" s="42" t="str">
        <f t="shared" si="10"/>
        <v/>
      </c>
      <c r="N47" s="42" t="str">
        <f t="shared" si="10"/>
        <v/>
      </c>
      <c r="O47" s="42" t="str">
        <f t="shared" si="10"/>
        <v/>
      </c>
      <c r="P47" s="42" t="str">
        <f t="shared" si="10"/>
        <v/>
      </c>
      <c r="Q47" s="42" t="str">
        <f t="shared" si="10"/>
        <v/>
      </c>
      <c r="R47" s="42" t="str">
        <f t="shared" si="10"/>
        <v/>
      </c>
      <c r="S47" s="42" t="str">
        <f t="shared" si="10"/>
        <v/>
      </c>
      <c r="T47" s="42" t="str">
        <f t="shared" si="10"/>
        <v/>
      </c>
      <c r="U47" s="42" t="str">
        <f t="shared" si="10"/>
        <v/>
      </c>
      <c r="V47" s="42" t="str">
        <f t="shared" si="10"/>
        <v/>
      </c>
      <c r="W47" s="42" t="str">
        <f t="shared" si="10"/>
        <v/>
      </c>
      <c r="X47" s="42" t="str">
        <f t="shared" si="10"/>
        <v/>
      </c>
      <c r="Y47" s="42"/>
      <c r="Z47" s="42">
        <f t="shared" si="8"/>
        <v>0</v>
      </c>
      <c r="AB47" s="44" t="str">
        <f t="shared" si="11"/>
        <v/>
      </c>
    </row>
    <row r="48" spans="2:28" x14ac:dyDescent="0.3">
      <c r="B48" s="37"/>
      <c r="C48" s="37"/>
      <c r="D48" s="38"/>
      <c r="E48" s="39"/>
      <c r="F48" s="39">
        <v>46722</v>
      </c>
      <c r="G48" s="40">
        <v>0.03</v>
      </c>
      <c r="H48" s="41">
        <f t="shared" si="9"/>
        <v>46661</v>
      </c>
      <c r="I48" s="42" t="str">
        <f t="shared" si="10"/>
        <v/>
      </c>
      <c r="J48" s="42" t="str">
        <f t="shared" si="10"/>
        <v/>
      </c>
      <c r="K48" s="42" t="str">
        <f t="shared" si="10"/>
        <v/>
      </c>
      <c r="L48" s="42" t="str">
        <f t="shared" si="10"/>
        <v/>
      </c>
      <c r="M48" s="42" t="str">
        <f t="shared" si="10"/>
        <v/>
      </c>
      <c r="N48" s="42" t="str">
        <f t="shared" si="10"/>
        <v/>
      </c>
      <c r="O48" s="42" t="str">
        <f t="shared" si="10"/>
        <v/>
      </c>
      <c r="P48" s="42" t="str">
        <f t="shared" si="10"/>
        <v/>
      </c>
      <c r="Q48" s="42" t="str">
        <f t="shared" si="10"/>
        <v/>
      </c>
      <c r="R48" s="42" t="str">
        <f t="shared" si="10"/>
        <v/>
      </c>
      <c r="S48" s="42" t="str">
        <f t="shared" si="10"/>
        <v/>
      </c>
      <c r="T48" s="42" t="str">
        <f t="shared" si="10"/>
        <v/>
      </c>
      <c r="U48" s="42" t="str">
        <f t="shared" si="10"/>
        <v/>
      </c>
      <c r="V48" s="42" t="str">
        <f t="shared" si="10"/>
        <v/>
      </c>
      <c r="W48" s="42" t="str">
        <f t="shared" si="10"/>
        <v/>
      </c>
      <c r="X48" s="42" t="str">
        <f t="shared" si="10"/>
        <v/>
      </c>
      <c r="Y48" s="42"/>
      <c r="Z48" s="42">
        <f t="shared" si="8"/>
        <v>0</v>
      </c>
      <c r="AB48" s="44" t="str">
        <f t="shared" si="11"/>
        <v/>
      </c>
    </row>
    <row r="49" spans="1:28" x14ac:dyDescent="0.3">
      <c r="B49" s="37"/>
      <c r="C49" s="37"/>
      <c r="D49" s="38"/>
      <c r="E49" s="39"/>
      <c r="F49" s="39">
        <v>46722</v>
      </c>
      <c r="G49" s="40">
        <v>0.03</v>
      </c>
      <c r="H49" s="41">
        <f t="shared" si="9"/>
        <v>46661</v>
      </c>
      <c r="I49" s="42" t="str">
        <f t="shared" si="10"/>
        <v/>
      </c>
      <c r="J49" s="42" t="str">
        <f t="shared" si="10"/>
        <v/>
      </c>
      <c r="K49" s="42" t="str">
        <f t="shared" si="10"/>
        <v/>
      </c>
      <c r="L49" s="42" t="str">
        <f t="shared" si="10"/>
        <v/>
      </c>
      <c r="M49" s="42" t="str">
        <f t="shared" si="10"/>
        <v/>
      </c>
      <c r="N49" s="42" t="str">
        <f t="shared" si="10"/>
        <v/>
      </c>
      <c r="O49" s="42" t="str">
        <f t="shared" si="10"/>
        <v/>
      </c>
      <c r="P49" s="42" t="str">
        <f t="shared" si="10"/>
        <v/>
      </c>
      <c r="Q49" s="42" t="str">
        <f t="shared" si="10"/>
        <v/>
      </c>
      <c r="R49" s="42" t="str">
        <f t="shared" si="10"/>
        <v/>
      </c>
      <c r="S49" s="42" t="str">
        <f t="shared" si="10"/>
        <v/>
      </c>
      <c r="T49" s="42" t="str">
        <f t="shared" si="10"/>
        <v/>
      </c>
      <c r="U49" s="42" t="str">
        <f t="shared" si="10"/>
        <v/>
      </c>
      <c r="V49" s="42" t="str">
        <f t="shared" si="10"/>
        <v/>
      </c>
      <c r="W49" s="42" t="str">
        <f t="shared" si="10"/>
        <v/>
      </c>
      <c r="X49" s="42" t="str">
        <f t="shared" si="10"/>
        <v/>
      </c>
      <c r="Y49" s="42"/>
      <c r="Z49" s="42">
        <f t="shared" si="8"/>
        <v>0</v>
      </c>
      <c r="AB49" s="44" t="str">
        <f t="shared" si="11"/>
        <v/>
      </c>
    </row>
    <row r="50" spans="1:28" x14ac:dyDescent="0.3">
      <c r="B50" s="37"/>
      <c r="C50" s="37"/>
      <c r="D50" s="38"/>
      <c r="E50" s="39"/>
      <c r="F50" s="39">
        <v>46722</v>
      </c>
      <c r="G50" s="40">
        <v>0.03</v>
      </c>
      <c r="H50" s="41">
        <f t="shared" si="9"/>
        <v>46661</v>
      </c>
      <c r="I50" s="42" t="str">
        <f t="shared" si="10"/>
        <v/>
      </c>
      <c r="J50" s="42" t="str">
        <f t="shared" si="10"/>
        <v/>
      </c>
      <c r="K50" s="42" t="str">
        <f t="shared" si="10"/>
        <v/>
      </c>
      <c r="L50" s="42" t="str">
        <f t="shared" si="10"/>
        <v/>
      </c>
      <c r="M50" s="42" t="str">
        <f t="shared" si="10"/>
        <v/>
      </c>
      <c r="N50" s="42" t="str">
        <f t="shared" si="10"/>
        <v/>
      </c>
      <c r="O50" s="42" t="str">
        <f t="shared" si="10"/>
        <v/>
      </c>
      <c r="P50" s="42" t="str">
        <f t="shared" si="10"/>
        <v/>
      </c>
      <c r="Q50" s="42" t="str">
        <f t="shared" si="10"/>
        <v/>
      </c>
      <c r="R50" s="42" t="str">
        <f t="shared" si="10"/>
        <v/>
      </c>
      <c r="S50" s="42" t="str">
        <f t="shared" si="10"/>
        <v/>
      </c>
      <c r="T50" s="42" t="str">
        <f t="shared" si="10"/>
        <v/>
      </c>
      <c r="U50" s="42" t="str">
        <f t="shared" si="10"/>
        <v/>
      </c>
      <c r="V50" s="42" t="str">
        <f t="shared" si="10"/>
        <v/>
      </c>
      <c r="W50" s="42" t="str">
        <f t="shared" si="10"/>
        <v/>
      </c>
      <c r="X50" s="42" t="str">
        <f t="shared" si="10"/>
        <v/>
      </c>
      <c r="Y50" s="42"/>
      <c r="Z50" s="42">
        <f t="shared" si="8"/>
        <v>0</v>
      </c>
      <c r="AB50" s="44" t="str">
        <f t="shared" si="11"/>
        <v/>
      </c>
    </row>
    <row r="51" spans="1:28" x14ac:dyDescent="0.3">
      <c r="A51" s="78" t="s">
        <v>57</v>
      </c>
      <c r="B51" s="8" t="s">
        <v>58</v>
      </c>
      <c r="C51" s="8"/>
      <c r="D51" s="47"/>
      <c r="E51" s="48"/>
      <c r="F51" s="48"/>
      <c r="G51" s="49"/>
      <c r="H51" s="48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B51" s="44"/>
    </row>
    <row r="52" spans="1:28" x14ac:dyDescent="0.3">
      <c r="A52" s="79"/>
      <c r="B52" s="37"/>
      <c r="C52" s="37"/>
      <c r="D52" s="38"/>
      <c r="E52" s="39"/>
      <c r="F52" s="39">
        <v>46722</v>
      </c>
      <c r="G52" s="40">
        <v>0.03</v>
      </c>
      <c r="H52" s="41">
        <f t="shared" ref="H52:H57" si="12">$D$8</f>
        <v>46661</v>
      </c>
      <c r="I52" s="42" t="str">
        <f t="shared" ref="I52:X57" si="13">IF(OR($D52="",$E52="",NOT(ISNUMBER($D52))),"",IF(AND($E52&lt;=I$10,IF($F52="",$X$10,$F52)&gt;=I$10),$D52/12*(1+N($G52))^IF(AND(ISNUMBER($H52),I$10&gt;=$H52),1+INT(DATEDIF($H52,I$10,"m")/12),0),0))</f>
        <v/>
      </c>
      <c r="J52" s="42" t="str">
        <f t="shared" si="13"/>
        <v/>
      </c>
      <c r="K52" s="42" t="str">
        <f t="shared" si="13"/>
        <v/>
      </c>
      <c r="L52" s="42" t="str">
        <f t="shared" si="13"/>
        <v/>
      </c>
      <c r="M52" s="42" t="str">
        <f t="shared" si="13"/>
        <v/>
      </c>
      <c r="N52" s="42" t="str">
        <f t="shared" si="13"/>
        <v/>
      </c>
      <c r="O52" s="42" t="str">
        <f t="shared" si="13"/>
        <v/>
      </c>
      <c r="P52" s="42" t="str">
        <f t="shared" si="13"/>
        <v/>
      </c>
      <c r="Q52" s="42" t="str">
        <f t="shared" si="13"/>
        <v/>
      </c>
      <c r="R52" s="42" t="str">
        <f t="shared" si="13"/>
        <v/>
      </c>
      <c r="S52" s="42" t="str">
        <f t="shared" si="13"/>
        <v/>
      </c>
      <c r="T52" s="42" t="str">
        <f t="shared" si="13"/>
        <v/>
      </c>
      <c r="U52" s="42" t="str">
        <f t="shared" si="13"/>
        <v/>
      </c>
      <c r="V52" s="42" t="str">
        <f t="shared" si="13"/>
        <v/>
      </c>
      <c r="W52" s="42" t="str">
        <f t="shared" si="13"/>
        <v/>
      </c>
      <c r="X52" s="42" t="str">
        <f t="shared" si="13"/>
        <v/>
      </c>
      <c r="Y52" s="42"/>
      <c r="Z52" s="42">
        <f t="shared" ref="Z52:Z57" si="14">SUM(M52:X52)</f>
        <v>0</v>
      </c>
      <c r="AB52" s="44" t="str">
        <f t="shared" ref="AB52:AB57" si="15">IF($D52&amp;$E52="","",IF(AND($D52&lt;&gt;"",NOT(ISNUMBER($D52))),"Salary must be a number",IF(AND($D52&lt;&gt;"",$E52=""),"Start month missing",IF(AND(ISNUMBER($E52),ISNUMBER($F52),$F52&lt;$E52),"End is before Start",IF(AND($D52&lt;&gt;"",NOT(ISNUMBER($H52))),"Increase month missing","")))))</f>
        <v/>
      </c>
    </row>
    <row r="53" spans="1:28" x14ac:dyDescent="0.3">
      <c r="A53" s="79"/>
      <c r="B53" s="37"/>
      <c r="C53" s="37"/>
      <c r="D53" s="38"/>
      <c r="E53" s="39"/>
      <c r="F53" s="39">
        <v>46722</v>
      </c>
      <c r="G53" s="40">
        <v>0.03</v>
      </c>
      <c r="H53" s="41">
        <f t="shared" si="12"/>
        <v>46661</v>
      </c>
      <c r="I53" s="42" t="str">
        <f t="shared" si="13"/>
        <v/>
      </c>
      <c r="J53" s="42" t="str">
        <f t="shared" si="13"/>
        <v/>
      </c>
      <c r="K53" s="42" t="str">
        <f t="shared" si="13"/>
        <v/>
      </c>
      <c r="L53" s="42" t="str">
        <f t="shared" si="13"/>
        <v/>
      </c>
      <c r="M53" s="42" t="str">
        <f t="shared" si="13"/>
        <v/>
      </c>
      <c r="N53" s="42" t="str">
        <f t="shared" si="13"/>
        <v/>
      </c>
      <c r="O53" s="42" t="str">
        <f t="shared" si="13"/>
        <v/>
      </c>
      <c r="P53" s="42" t="str">
        <f t="shared" si="13"/>
        <v/>
      </c>
      <c r="Q53" s="42" t="str">
        <f t="shared" si="13"/>
        <v/>
      </c>
      <c r="R53" s="42" t="str">
        <f t="shared" si="13"/>
        <v/>
      </c>
      <c r="S53" s="42" t="str">
        <f t="shared" si="13"/>
        <v/>
      </c>
      <c r="T53" s="42" t="str">
        <f t="shared" si="13"/>
        <v/>
      </c>
      <c r="U53" s="42" t="str">
        <f t="shared" si="13"/>
        <v/>
      </c>
      <c r="V53" s="42" t="str">
        <f t="shared" si="13"/>
        <v/>
      </c>
      <c r="W53" s="42" t="str">
        <f t="shared" si="13"/>
        <v/>
      </c>
      <c r="X53" s="42" t="str">
        <f t="shared" si="13"/>
        <v/>
      </c>
      <c r="Y53" s="42"/>
      <c r="Z53" s="42">
        <f t="shared" si="14"/>
        <v>0</v>
      </c>
      <c r="AB53" s="44" t="str">
        <f t="shared" si="15"/>
        <v/>
      </c>
    </row>
    <row r="54" spans="1:28" x14ac:dyDescent="0.3">
      <c r="A54" s="79"/>
      <c r="B54" s="37"/>
      <c r="C54" s="37"/>
      <c r="D54" s="38"/>
      <c r="E54" s="39"/>
      <c r="F54" s="39">
        <v>46722</v>
      </c>
      <c r="G54" s="40">
        <v>0.03</v>
      </c>
      <c r="H54" s="41">
        <f t="shared" si="12"/>
        <v>46661</v>
      </c>
      <c r="I54" s="42" t="str">
        <f t="shared" si="13"/>
        <v/>
      </c>
      <c r="J54" s="42" t="str">
        <f t="shared" si="13"/>
        <v/>
      </c>
      <c r="K54" s="42" t="str">
        <f t="shared" si="13"/>
        <v/>
      </c>
      <c r="L54" s="42" t="str">
        <f t="shared" si="13"/>
        <v/>
      </c>
      <c r="M54" s="42" t="str">
        <f t="shared" si="13"/>
        <v/>
      </c>
      <c r="N54" s="42" t="str">
        <f t="shared" si="13"/>
        <v/>
      </c>
      <c r="O54" s="42" t="str">
        <f t="shared" si="13"/>
        <v/>
      </c>
      <c r="P54" s="42" t="str">
        <f t="shared" si="13"/>
        <v/>
      </c>
      <c r="Q54" s="42" t="str">
        <f t="shared" si="13"/>
        <v/>
      </c>
      <c r="R54" s="42" t="str">
        <f t="shared" si="13"/>
        <v/>
      </c>
      <c r="S54" s="42" t="str">
        <f t="shared" si="13"/>
        <v/>
      </c>
      <c r="T54" s="42" t="str">
        <f t="shared" si="13"/>
        <v/>
      </c>
      <c r="U54" s="42" t="str">
        <f t="shared" si="13"/>
        <v/>
      </c>
      <c r="V54" s="42" t="str">
        <f t="shared" si="13"/>
        <v/>
      </c>
      <c r="W54" s="42" t="str">
        <f t="shared" si="13"/>
        <v/>
      </c>
      <c r="X54" s="42" t="str">
        <f t="shared" si="13"/>
        <v/>
      </c>
      <c r="Y54" s="42"/>
      <c r="Z54" s="42">
        <f t="shared" si="14"/>
        <v>0</v>
      </c>
      <c r="AB54" s="44" t="str">
        <f t="shared" si="15"/>
        <v/>
      </c>
    </row>
    <row r="55" spans="1:28" x14ac:dyDescent="0.3">
      <c r="A55" s="79"/>
      <c r="B55" s="37"/>
      <c r="C55" s="37"/>
      <c r="D55" s="38"/>
      <c r="E55" s="39"/>
      <c r="F55" s="39">
        <v>46722</v>
      </c>
      <c r="G55" s="40">
        <v>0.03</v>
      </c>
      <c r="H55" s="41">
        <f t="shared" si="12"/>
        <v>46661</v>
      </c>
      <c r="I55" s="42" t="str">
        <f t="shared" si="13"/>
        <v/>
      </c>
      <c r="J55" s="42" t="str">
        <f t="shared" si="13"/>
        <v/>
      </c>
      <c r="K55" s="42" t="str">
        <f t="shared" si="13"/>
        <v/>
      </c>
      <c r="L55" s="42" t="str">
        <f t="shared" si="13"/>
        <v/>
      </c>
      <c r="M55" s="42" t="str">
        <f t="shared" si="13"/>
        <v/>
      </c>
      <c r="N55" s="42" t="str">
        <f t="shared" si="13"/>
        <v/>
      </c>
      <c r="O55" s="42" t="str">
        <f t="shared" si="13"/>
        <v/>
      </c>
      <c r="P55" s="42" t="str">
        <f t="shared" si="13"/>
        <v/>
      </c>
      <c r="Q55" s="42" t="str">
        <f t="shared" si="13"/>
        <v/>
      </c>
      <c r="R55" s="42" t="str">
        <f t="shared" si="13"/>
        <v/>
      </c>
      <c r="S55" s="42" t="str">
        <f t="shared" si="13"/>
        <v/>
      </c>
      <c r="T55" s="42" t="str">
        <f t="shared" si="13"/>
        <v/>
      </c>
      <c r="U55" s="42" t="str">
        <f t="shared" si="13"/>
        <v/>
      </c>
      <c r="V55" s="42" t="str">
        <f t="shared" si="13"/>
        <v/>
      </c>
      <c r="W55" s="42" t="str">
        <f t="shared" si="13"/>
        <v/>
      </c>
      <c r="X55" s="42" t="str">
        <f t="shared" si="13"/>
        <v/>
      </c>
      <c r="Y55" s="42"/>
      <c r="Z55" s="42">
        <f t="shared" si="14"/>
        <v>0</v>
      </c>
      <c r="AB55" s="44" t="str">
        <f t="shared" si="15"/>
        <v/>
      </c>
    </row>
    <row r="56" spans="1:28" x14ac:dyDescent="0.3">
      <c r="A56" s="79"/>
      <c r="B56" s="37"/>
      <c r="C56" s="37"/>
      <c r="D56" s="38"/>
      <c r="E56" s="39"/>
      <c r="F56" s="39">
        <v>46722</v>
      </c>
      <c r="G56" s="40">
        <v>0.03</v>
      </c>
      <c r="H56" s="41">
        <f t="shared" si="12"/>
        <v>46661</v>
      </c>
      <c r="I56" s="42" t="str">
        <f t="shared" si="13"/>
        <v/>
      </c>
      <c r="J56" s="42" t="str">
        <f t="shared" si="13"/>
        <v/>
      </c>
      <c r="K56" s="42" t="str">
        <f t="shared" si="13"/>
        <v/>
      </c>
      <c r="L56" s="42" t="str">
        <f t="shared" si="13"/>
        <v/>
      </c>
      <c r="M56" s="42" t="str">
        <f t="shared" si="13"/>
        <v/>
      </c>
      <c r="N56" s="42" t="str">
        <f t="shared" si="13"/>
        <v/>
      </c>
      <c r="O56" s="42" t="str">
        <f t="shared" si="13"/>
        <v/>
      </c>
      <c r="P56" s="42" t="str">
        <f t="shared" si="13"/>
        <v/>
      </c>
      <c r="Q56" s="42" t="str">
        <f t="shared" si="13"/>
        <v/>
      </c>
      <c r="R56" s="42" t="str">
        <f t="shared" si="13"/>
        <v/>
      </c>
      <c r="S56" s="42" t="str">
        <f t="shared" si="13"/>
        <v/>
      </c>
      <c r="T56" s="42" t="str">
        <f t="shared" si="13"/>
        <v/>
      </c>
      <c r="U56" s="42" t="str">
        <f t="shared" si="13"/>
        <v/>
      </c>
      <c r="V56" s="42" t="str">
        <f t="shared" si="13"/>
        <v/>
      </c>
      <c r="W56" s="42" t="str">
        <f t="shared" si="13"/>
        <v/>
      </c>
      <c r="X56" s="42" t="str">
        <f t="shared" si="13"/>
        <v/>
      </c>
      <c r="Y56" s="42"/>
      <c r="Z56" s="42">
        <f t="shared" si="14"/>
        <v>0</v>
      </c>
      <c r="AB56" s="44" t="str">
        <f t="shared" si="15"/>
        <v/>
      </c>
    </row>
    <row r="57" spans="1:28" x14ac:dyDescent="0.3">
      <c r="A57" s="79"/>
      <c r="B57" s="37"/>
      <c r="C57" s="37"/>
      <c r="D57" s="38"/>
      <c r="E57" s="39"/>
      <c r="F57" s="39">
        <v>46722</v>
      </c>
      <c r="G57" s="40">
        <v>0.03</v>
      </c>
      <c r="H57" s="41">
        <f t="shared" si="12"/>
        <v>46661</v>
      </c>
      <c r="I57" s="42" t="str">
        <f t="shared" si="13"/>
        <v/>
      </c>
      <c r="J57" s="42" t="str">
        <f t="shared" si="13"/>
        <v/>
      </c>
      <c r="K57" s="42" t="str">
        <f t="shared" si="13"/>
        <v/>
      </c>
      <c r="L57" s="42" t="str">
        <f t="shared" si="13"/>
        <v/>
      </c>
      <c r="M57" s="42" t="str">
        <f t="shared" si="13"/>
        <v/>
      </c>
      <c r="N57" s="42" t="str">
        <f t="shared" si="13"/>
        <v/>
      </c>
      <c r="O57" s="42" t="str">
        <f t="shared" si="13"/>
        <v/>
      </c>
      <c r="P57" s="42" t="str">
        <f t="shared" si="13"/>
        <v/>
      </c>
      <c r="Q57" s="42" t="str">
        <f t="shared" si="13"/>
        <v/>
      </c>
      <c r="R57" s="42" t="str">
        <f t="shared" si="13"/>
        <v/>
      </c>
      <c r="S57" s="42" t="str">
        <f t="shared" si="13"/>
        <v/>
      </c>
      <c r="T57" s="42" t="str">
        <f t="shared" si="13"/>
        <v/>
      </c>
      <c r="U57" s="42" t="str">
        <f t="shared" si="13"/>
        <v/>
      </c>
      <c r="V57" s="42" t="str">
        <f t="shared" si="13"/>
        <v/>
      </c>
      <c r="W57" s="42" t="str">
        <f t="shared" si="13"/>
        <v/>
      </c>
      <c r="X57" s="42" t="str">
        <f t="shared" si="13"/>
        <v/>
      </c>
      <c r="Y57" s="42"/>
      <c r="Z57" s="42">
        <f t="shared" si="14"/>
        <v>0</v>
      </c>
      <c r="AB57" s="44" t="str">
        <f t="shared" si="15"/>
        <v/>
      </c>
    </row>
    <row r="58" spans="1:28" x14ac:dyDescent="0.3">
      <c r="A58" s="78" t="s">
        <v>59</v>
      </c>
      <c r="B58" s="8" t="s">
        <v>60</v>
      </c>
      <c r="C58" s="8"/>
      <c r="D58" s="47"/>
      <c r="E58" s="48"/>
      <c r="F58" s="48"/>
      <c r="G58" s="49"/>
      <c r="H58" s="48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B58" s="44"/>
    </row>
    <row r="59" spans="1:28" x14ac:dyDescent="0.3">
      <c r="A59" s="80"/>
      <c r="B59" s="51"/>
      <c r="C59" s="51"/>
      <c r="D59" s="52"/>
      <c r="E59" s="53"/>
      <c r="F59" s="54"/>
      <c r="G59" s="55"/>
      <c r="H59" s="54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B59" s="44" t="str">
        <f t="shared" ref="AB59:AB64" si="16">IF($B59&amp;$E59="","",IF($A59="","Receiving dept missing",IF(NOT(ISNUMBER($E59)),"Effective month missing","")))</f>
        <v/>
      </c>
    </row>
    <row r="60" spans="1:28" x14ac:dyDescent="0.3">
      <c r="A60" s="80"/>
      <c r="B60" s="51"/>
      <c r="C60" s="51"/>
      <c r="D60" s="52"/>
      <c r="E60" s="53"/>
      <c r="F60" s="54"/>
      <c r="G60" s="55"/>
      <c r="H60" s="54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B60" s="44" t="str">
        <f t="shared" si="16"/>
        <v/>
      </c>
    </row>
    <row r="61" spans="1:28" x14ac:dyDescent="0.3">
      <c r="A61" s="80"/>
      <c r="B61" s="51"/>
      <c r="C61" s="51"/>
      <c r="D61" s="52"/>
      <c r="E61" s="53"/>
      <c r="F61" s="54"/>
      <c r="G61" s="55"/>
      <c r="H61" s="54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B61" s="44" t="str">
        <f t="shared" si="16"/>
        <v/>
      </c>
    </row>
    <row r="62" spans="1:28" x14ac:dyDescent="0.3">
      <c r="A62" s="80"/>
      <c r="B62" s="51"/>
      <c r="C62" s="51"/>
      <c r="D62" s="52"/>
      <c r="E62" s="53"/>
      <c r="F62" s="54"/>
      <c r="G62" s="55"/>
      <c r="H62" s="54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B62" s="44" t="str">
        <f t="shared" si="16"/>
        <v/>
      </c>
    </row>
    <row r="63" spans="1:28" x14ac:dyDescent="0.3">
      <c r="A63" s="80"/>
      <c r="B63" s="51"/>
      <c r="C63" s="51"/>
      <c r="D63" s="52"/>
      <c r="E63" s="53"/>
      <c r="F63" s="54"/>
      <c r="G63" s="55"/>
      <c r="H63" s="54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B63" s="44" t="str">
        <f t="shared" si="16"/>
        <v/>
      </c>
    </row>
    <row r="64" spans="1:28" x14ac:dyDescent="0.3">
      <c r="A64" s="80"/>
      <c r="B64" s="51"/>
      <c r="C64" s="51"/>
      <c r="D64" s="52"/>
      <c r="E64" s="53"/>
      <c r="F64" s="54"/>
      <c r="G64" s="55"/>
      <c r="H64" s="54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B64" s="44" t="str">
        <f t="shared" si="16"/>
        <v/>
      </c>
    </row>
    <row r="65" spans="1:26" x14ac:dyDescent="0.3">
      <c r="A65" s="81"/>
      <c r="B65" s="56"/>
      <c r="C65" s="56"/>
      <c r="D65" s="57"/>
      <c r="E65" s="58"/>
      <c r="F65" s="58"/>
      <c r="G65" s="59"/>
      <c r="H65" s="58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x14ac:dyDescent="0.3">
      <c r="A66" s="81"/>
      <c r="B66" s="56"/>
      <c r="C66" s="56"/>
      <c r="D66" s="57"/>
      <c r="E66" s="58"/>
      <c r="F66" s="58"/>
      <c r="G66" s="59"/>
      <c r="H66" s="58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x14ac:dyDescent="0.3">
      <c r="B67" s="10" t="s">
        <v>7</v>
      </c>
      <c r="C67" s="10"/>
      <c r="D67" s="61"/>
      <c r="E67" s="62"/>
      <c r="F67" s="62"/>
      <c r="G67" s="62"/>
      <c r="H67" s="62"/>
      <c r="I67" s="63">
        <f t="shared" ref="I67:X67" si="17">SUM(I14:I57)</f>
        <v>89166.25</v>
      </c>
      <c r="J67" s="63">
        <f t="shared" si="17"/>
        <v>89166.25</v>
      </c>
      <c r="K67" s="63">
        <f t="shared" si="17"/>
        <v>89166.25</v>
      </c>
      <c r="L67" s="63">
        <f t="shared" si="17"/>
        <v>89166.25</v>
      </c>
      <c r="M67" s="63">
        <f t="shared" si="17"/>
        <v>89166.25</v>
      </c>
      <c r="N67" s="63">
        <f t="shared" si="17"/>
        <v>89166.25</v>
      </c>
      <c r="O67" s="63">
        <f t="shared" si="17"/>
        <v>89166.25</v>
      </c>
      <c r="P67" s="63">
        <f t="shared" si="17"/>
        <v>89166.25</v>
      </c>
      <c r="Q67" s="63">
        <f t="shared" si="17"/>
        <v>89166.25</v>
      </c>
      <c r="R67" s="63">
        <f t="shared" si="17"/>
        <v>89166.25</v>
      </c>
      <c r="S67" s="63">
        <f t="shared" si="17"/>
        <v>89166.25</v>
      </c>
      <c r="T67" s="63">
        <f t="shared" si="17"/>
        <v>89166.25</v>
      </c>
      <c r="U67" s="63">
        <f t="shared" si="17"/>
        <v>89166.25</v>
      </c>
      <c r="V67" s="63">
        <f t="shared" si="17"/>
        <v>91841.237500000003</v>
      </c>
      <c r="W67" s="63">
        <f t="shared" si="17"/>
        <v>91841.237500000003</v>
      </c>
      <c r="X67" s="63">
        <f t="shared" si="17"/>
        <v>91841.237500000003</v>
      </c>
      <c r="Y67" s="64"/>
      <c r="Z67" s="63">
        <f>SUM(M67:X67)</f>
        <v>1078019.9625000001</v>
      </c>
    </row>
    <row r="68" spans="1:26" x14ac:dyDescent="0.3">
      <c r="B68" s="10" t="s">
        <v>21</v>
      </c>
      <c r="C68" s="10"/>
      <c r="D68" s="61"/>
      <c r="E68" s="62"/>
      <c r="F68" s="62"/>
      <c r="G68" s="62"/>
      <c r="H68" s="62"/>
      <c r="I68" s="63">
        <f t="shared" ref="I68:X68" si="18">I67*$D$6</f>
        <v>3184.5424875966064</v>
      </c>
      <c r="J68" s="63">
        <f t="shared" si="18"/>
        <v>3184.5424875966064</v>
      </c>
      <c r="K68" s="63">
        <f t="shared" si="18"/>
        <v>3184.5424875966064</v>
      </c>
      <c r="L68" s="63">
        <f t="shared" si="18"/>
        <v>3184.5424875966064</v>
      </c>
      <c r="M68" s="63">
        <f t="shared" si="18"/>
        <v>3184.5424875966064</v>
      </c>
      <c r="N68" s="63">
        <f t="shared" si="18"/>
        <v>3184.5424875966064</v>
      </c>
      <c r="O68" s="63">
        <f t="shared" si="18"/>
        <v>3184.5424875966064</v>
      </c>
      <c r="P68" s="63">
        <f t="shared" si="18"/>
        <v>3184.5424875966064</v>
      </c>
      <c r="Q68" s="63">
        <f t="shared" si="18"/>
        <v>3184.5424875966064</v>
      </c>
      <c r="R68" s="63">
        <f t="shared" si="18"/>
        <v>3184.5424875966064</v>
      </c>
      <c r="S68" s="63">
        <f t="shared" si="18"/>
        <v>3184.5424875966064</v>
      </c>
      <c r="T68" s="63">
        <f t="shared" si="18"/>
        <v>3184.5424875966064</v>
      </c>
      <c r="U68" s="63">
        <f t="shared" si="18"/>
        <v>3184.5424875966064</v>
      </c>
      <c r="V68" s="63">
        <f t="shared" si="18"/>
        <v>3280.0787622245048</v>
      </c>
      <c r="W68" s="63">
        <f t="shared" si="18"/>
        <v>3280.0787622245048</v>
      </c>
      <c r="X68" s="63">
        <f t="shared" si="18"/>
        <v>3280.0787622245048</v>
      </c>
      <c r="Y68" s="64"/>
      <c r="Z68" s="63">
        <f>SUM(M68:X68)</f>
        <v>38501.11867504297</v>
      </c>
    </row>
    <row r="69" spans="1:26" x14ac:dyDescent="0.3">
      <c r="B69" s="10" t="s">
        <v>23</v>
      </c>
      <c r="C69" s="10"/>
      <c r="D69" s="61"/>
      <c r="E69" s="62"/>
      <c r="F69" s="62"/>
      <c r="G69" s="62"/>
      <c r="H69" s="62"/>
      <c r="I69" s="63">
        <f t="shared" ref="I69:X69" si="19">I67*$D$7</f>
        <v>7867.3457092512253</v>
      </c>
      <c r="J69" s="63">
        <f t="shared" si="19"/>
        <v>7867.3457092512253</v>
      </c>
      <c r="K69" s="63">
        <f t="shared" si="19"/>
        <v>7867.3457092512253</v>
      </c>
      <c r="L69" s="63">
        <f t="shared" si="19"/>
        <v>7867.3457092512253</v>
      </c>
      <c r="M69" s="63">
        <f t="shared" si="19"/>
        <v>7867.3457092512253</v>
      </c>
      <c r="N69" s="63">
        <f t="shared" si="19"/>
        <v>7867.3457092512253</v>
      </c>
      <c r="O69" s="63">
        <f t="shared" si="19"/>
        <v>7867.3457092512253</v>
      </c>
      <c r="P69" s="63">
        <f t="shared" si="19"/>
        <v>7867.3457092512253</v>
      </c>
      <c r="Q69" s="63">
        <f t="shared" si="19"/>
        <v>7867.3457092512253</v>
      </c>
      <c r="R69" s="63">
        <f t="shared" si="19"/>
        <v>7867.3457092512253</v>
      </c>
      <c r="S69" s="63">
        <f t="shared" si="19"/>
        <v>7867.3457092512253</v>
      </c>
      <c r="T69" s="63">
        <f t="shared" si="19"/>
        <v>7867.3457092512253</v>
      </c>
      <c r="U69" s="63">
        <f t="shared" si="19"/>
        <v>7867.3457092512253</v>
      </c>
      <c r="V69" s="63">
        <f t="shared" si="19"/>
        <v>8103.3660805287627</v>
      </c>
      <c r="W69" s="63">
        <f t="shared" si="19"/>
        <v>8103.3660805287627</v>
      </c>
      <c r="X69" s="63">
        <f t="shared" si="19"/>
        <v>8103.3660805287627</v>
      </c>
      <c r="Y69" s="64"/>
      <c r="Z69" s="63">
        <f>SUM(M69:X69)</f>
        <v>95116.209624847324</v>
      </c>
    </row>
    <row r="70" spans="1:26" x14ac:dyDescent="0.3">
      <c r="B70" s="65" t="s">
        <v>25</v>
      </c>
      <c r="C70" s="65"/>
      <c r="D70" s="66"/>
      <c r="E70" s="67"/>
      <c r="F70" s="67"/>
      <c r="G70" s="67"/>
      <c r="H70" s="67"/>
      <c r="I70" s="68">
        <f t="shared" ref="I70:X70" si="20">SUM(I67:I69)</f>
        <v>100218.13819684784</v>
      </c>
      <c r="J70" s="68">
        <f t="shared" si="20"/>
        <v>100218.13819684784</v>
      </c>
      <c r="K70" s="68">
        <f t="shared" si="20"/>
        <v>100218.13819684784</v>
      </c>
      <c r="L70" s="68">
        <f t="shared" si="20"/>
        <v>100218.13819684784</v>
      </c>
      <c r="M70" s="68">
        <f t="shared" si="20"/>
        <v>100218.13819684784</v>
      </c>
      <c r="N70" s="68">
        <f t="shared" si="20"/>
        <v>100218.13819684784</v>
      </c>
      <c r="O70" s="68">
        <f t="shared" si="20"/>
        <v>100218.13819684784</v>
      </c>
      <c r="P70" s="68">
        <f t="shared" si="20"/>
        <v>100218.13819684784</v>
      </c>
      <c r="Q70" s="68">
        <f t="shared" si="20"/>
        <v>100218.13819684784</v>
      </c>
      <c r="R70" s="68">
        <f t="shared" si="20"/>
        <v>100218.13819684784</v>
      </c>
      <c r="S70" s="68">
        <f t="shared" si="20"/>
        <v>100218.13819684784</v>
      </c>
      <c r="T70" s="68">
        <f t="shared" si="20"/>
        <v>100218.13819684784</v>
      </c>
      <c r="U70" s="68">
        <f t="shared" si="20"/>
        <v>100218.13819684784</v>
      </c>
      <c r="V70" s="68">
        <f t="shared" si="20"/>
        <v>103224.68234275328</v>
      </c>
      <c r="W70" s="68">
        <f t="shared" si="20"/>
        <v>103224.68234275328</v>
      </c>
      <c r="X70" s="68">
        <f t="shared" si="20"/>
        <v>103224.68234275328</v>
      </c>
      <c r="Y70" s="64"/>
      <c r="Z70" s="68">
        <f>SUM(M70:X70)</f>
        <v>1211637.2907998906</v>
      </c>
    </row>
    <row r="71" spans="1:26" x14ac:dyDescent="0.3">
      <c r="B71" s="16"/>
      <c r="C71" s="16"/>
      <c r="D71" s="69"/>
      <c r="E71" s="70"/>
      <c r="F71" s="70"/>
      <c r="G71" s="70"/>
      <c r="H71" s="70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</sheetData>
  <dataValidations count="3">
    <dataValidation type="list" allowBlank="1" showInputMessage="1" showErrorMessage="1" promptTitle="Effective month" prompt="Pick the month the employee leaves this department." sqref="E59:E64" xr:uid="{3FF910A4-B5F4-400B-AD52-7B6E16D66F9C}">
      <formula1>$I$10:$X$10</formula1>
    </dataValidation>
    <dataValidation type="list" allowBlank="1" showInputMessage="1" showErrorMessage="1" errorTitle="Outside the planning window" error="Choose a month between Sep-26 and Dec-27 from the dropdown." promptTitle="Month" prompt="Pick the month from the list (Sep-26 through Dec-27)." sqref="E52:F57 E41:F50 E35:F39 E14:F33" xr:uid="{E41972D3-B485-42D6-B8EB-EC1233C06F60}">
      <formula1>$I$10:$X$10</formula1>
    </dataValidation>
    <dataValidation type="whole" allowBlank="1" showInputMessage="1" showErrorMessage="1" sqref="E51:F51 E65:E66 G41:H66 G35:H39 F58:F66 E58 G14:H33" xr:uid="{1EC4C3CD-5508-40DC-80D4-C52744DD6BA6}">
      <formula1>1</formula1>
      <formula2>24</formula2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DD153-CE9D-4B2A-A9AB-101A025F6D90}">
  <sheetPr>
    <tabColor rgb="FF00206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2340-8B15-4D1D-ADE7-5C0D3B37FD70}">
  <sheetPr>
    <tabColor theme="9" tint="-0.499984740745262"/>
  </sheetPr>
  <dimension ref="A1:AK217"/>
  <sheetViews>
    <sheetView zoomScale="90" zoomScaleNormal="90" workbookViewId="0">
      <pane xSplit="1" ySplit="8" topLeftCell="B9" activePane="bottomRight" state="frozen"/>
      <selection activeCell="B9" sqref="B9"/>
      <selection pane="topRight" activeCell="B9" sqref="B9"/>
      <selection pane="bottomLeft" activeCell="B9" sqref="B9"/>
      <selection pane="bottomRight" activeCell="B9" sqref="B9"/>
    </sheetView>
  </sheetViews>
  <sheetFormatPr defaultColWidth="7.44140625" defaultRowHeight="13.8" outlineLevelCol="1" x14ac:dyDescent="0.3"/>
  <cols>
    <col min="1" max="1" width="54.77734375" style="83" customWidth="1"/>
    <col min="2" max="13" width="11.33203125" style="83" customWidth="1" outlineLevel="1"/>
    <col min="14" max="14" width="14.21875" style="83" customWidth="1"/>
    <col min="15" max="15" width="12.77734375" style="83" customWidth="1"/>
    <col min="16" max="20" width="3.44140625" style="83" customWidth="1"/>
    <col min="21" max="32" width="11.33203125" style="83" customWidth="1" outlineLevel="1"/>
    <col min="33" max="33" width="14.21875" style="83" customWidth="1"/>
    <col min="34" max="34" width="12.77734375" style="83" customWidth="1"/>
    <col min="35" max="35" width="7.44140625" style="83"/>
    <col min="36" max="36" width="13.109375" style="83" customWidth="1"/>
    <col min="37" max="37" width="1.6640625" style="83" customWidth="1"/>
    <col min="38" max="16384" width="7.44140625" style="83"/>
  </cols>
  <sheetData>
    <row r="1" spans="1:37" ht="21" x14ac:dyDescent="0.4">
      <c r="A1" s="127" t="s">
        <v>222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</row>
    <row r="2" spans="1:37" ht="15.6" x14ac:dyDescent="0.3">
      <c r="A2" s="86" t="s">
        <v>69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</row>
    <row r="4" spans="1:37" x14ac:dyDescent="0.3">
      <c r="B4" s="84"/>
    </row>
    <row r="7" spans="1:37" x14ac:dyDescent="0.3">
      <c r="A7" s="89"/>
      <c r="B7" s="90" t="s">
        <v>71</v>
      </c>
      <c r="C7" s="90" t="s">
        <v>71</v>
      </c>
      <c r="D7" s="90" t="s">
        <v>71</v>
      </c>
      <c r="E7" s="90" t="s">
        <v>71</v>
      </c>
      <c r="F7" s="90" t="s">
        <v>71</v>
      </c>
      <c r="G7" s="90" t="s">
        <v>71</v>
      </c>
      <c r="H7" s="90" t="s">
        <v>71</v>
      </c>
      <c r="I7" s="90" t="s">
        <v>71</v>
      </c>
      <c r="J7" s="91" t="s">
        <v>72</v>
      </c>
      <c r="K7" s="91" t="s">
        <v>72</v>
      </c>
      <c r="L7" s="91" t="s">
        <v>72</v>
      </c>
      <c r="M7" s="91" t="s">
        <v>72</v>
      </c>
      <c r="N7" s="91" t="s">
        <v>72</v>
      </c>
      <c r="O7" s="91" t="s">
        <v>72</v>
      </c>
      <c r="U7" s="94" t="s">
        <v>75</v>
      </c>
      <c r="V7" s="94" t="s">
        <v>75</v>
      </c>
      <c r="W7" s="94" t="s">
        <v>75</v>
      </c>
      <c r="X7" s="94" t="s">
        <v>75</v>
      </c>
      <c r="Y7" s="94" t="s">
        <v>75</v>
      </c>
      <c r="Z7" s="94" t="s">
        <v>75</v>
      </c>
      <c r="AA7" s="94" t="s">
        <v>75</v>
      </c>
      <c r="AB7" s="94" t="s">
        <v>75</v>
      </c>
      <c r="AC7" s="94" t="s">
        <v>75</v>
      </c>
      <c r="AD7" s="94" t="s">
        <v>75</v>
      </c>
      <c r="AE7" s="94" t="s">
        <v>75</v>
      </c>
      <c r="AF7" s="94" t="s">
        <v>75</v>
      </c>
      <c r="AG7" s="94" t="s">
        <v>75</v>
      </c>
      <c r="AH7" s="94" t="s">
        <v>75</v>
      </c>
      <c r="AJ7" s="95" t="s">
        <v>74</v>
      </c>
    </row>
    <row r="8" spans="1:37" x14ac:dyDescent="0.3">
      <c r="A8" s="89" t="s">
        <v>76</v>
      </c>
      <c r="B8" s="96" t="s">
        <v>77</v>
      </c>
      <c r="C8" s="96" t="s">
        <v>78</v>
      </c>
      <c r="D8" s="96" t="s">
        <v>79</v>
      </c>
      <c r="E8" s="96" t="s">
        <v>80</v>
      </c>
      <c r="F8" s="96" t="s">
        <v>81</v>
      </c>
      <c r="G8" s="96" t="s">
        <v>82</v>
      </c>
      <c r="H8" s="96" t="s">
        <v>83</v>
      </c>
      <c r="I8" s="96" t="s">
        <v>84</v>
      </c>
      <c r="J8" s="96" t="s">
        <v>85</v>
      </c>
      <c r="K8" s="96" t="s">
        <v>86</v>
      </c>
      <c r="L8" s="96" t="s">
        <v>87</v>
      </c>
      <c r="M8" s="96" t="s">
        <v>88</v>
      </c>
      <c r="N8" s="90">
        <v>2026</v>
      </c>
      <c r="O8" s="90" t="s">
        <v>89</v>
      </c>
      <c r="U8" s="97" t="s">
        <v>77</v>
      </c>
      <c r="V8" s="97" t="s">
        <v>78</v>
      </c>
      <c r="W8" s="97" t="s">
        <v>79</v>
      </c>
      <c r="X8" s="97" t="s">
        <v>80</v>
      </c>
      <c r="Y8" s="97" t="s">
        <v>81</v>
      </c>
      <c r="Z8" s="97" t="s">
        <v>82</v>
      </c>
      <c r="AA8" s="97" t="s">
        <v>83</v>
      </c>
      <c r="AB8" s="97" t="s">
        <v>84</v>
      </c>
      <c r="AC8" s="97" t="s">
        <v>85</v>
      </c>
      <c r="AD8" s="97" t="s">
        <v>86</v>
      </c>
      <c r="AE8" s="97" t="s">
        <v>87</v>
      </c>
      <c r="AF8" s="97" t="s">
        <v>88</v>
      </c>
      <c r="AG8" s="98" t="s">
        <v>93</v>
      </c>
      <c r="AH8" s="94" t="s">
        <v>89</v>
      </c>
      <c r="AJ8" s="99" t="s">
        <v>94</v>
      </c>
    </row>
    <row r="9" spans="1:37" x14ac:dyDescent="0.3">
      <c r="A9" s="100" t="s">
        <v>95</v>
      </c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7" x14ac:dyDescent="0.3">
      <c r="A10" s="101" t="s">
        <v>96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</row>
    <row r="11" spans="1:37" x14ac:dyDescent="0.3">
      <c r="A11" s="102" t="s">
        <v>97</v>
      </c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</row>
    <row r="12" spans="1:37" x14ac:dyDescent="0.3">
      <c r="A12" s="103" t="s">
        <v>98</v>
      </c>
      <c r="B12" s="84">
        <f>SUM(FO!B12,PO!B12,CO!B12,FE!B12,PE!B12)</f>
        <v>534716.78</v>
      </c>
      <c r="C12" s="84">
        <f>SUM(FO!C12,PO!C12,CO!C12,FE!C12,PE!C12)</f>
        <v>494949.28</v>
      </c>
      <c r="D12" s="84">
        <f>SUM(FO!D12,PO!D12,CO!D12,FE!D12,PE!D12)</f>
        <v>468603.55</v>
      </c>
      <c r="E12" s="84">
        <f>SUM(FO!E12,PO!E12,CO!E12,FE!E12,PE!E12)</f>
        <v>481426.2</v>
      </c>
      <c r="F12" s="84">
        <f>SUM(FO!F12,PO!F12,CO!F12,FE!F12,PE!F12)</f>
        <v>501668.11</v>
      </c>
      <c r="G12" s="84">
        <f>SUM(FO!G12,PO!G12,CO!G12,FE!G12,PE!G12)</f>
        <v>473687.43</v>
      </c>
      <c r="H12" s="84">
        <f>SUM(FO!H12,PO!H12,CO!H12,FE!H12,PE!H12)</f>
        <v>454042.16</v>
      </c>
      <c r="I12" s="84">
        <f>SUM(FO!I12,PO!I12,CO!I12,FE!I12,PE!I12)</f>
        <v>467055.56</v>
      </c>
      <c r="J12" s="84">
        <f>SUM(FO!J12,PO!J12,CO!J12,FE!J12,PE!J12)</f>
        <v>531107.33333333326</v>
      </c>
      <c r="K12" s="84">
        <f>SUM(FO!K12,PO!K12,CO!K12,FE!K12,PE!K12)</f>
        <v>626940.66666666663</v>
      </c>
      <c r="L12" s="84">
        <f>SUM(FO!L12,PO!L12,CO!L12,FE!L12,PE!L12)</f>
        <v>651940.66666666663</v>
      </c>
      <c r="M12" s="84">
        <f>SUM(FO!M12,PO!M12,CO!M12,FE!M12,PE!M12)</f>
        <v>676940.66666666663</v>
      </c>
      <c r="N12" s="84">
        <f>SUM(B12:M12)</f>
        <v>6363078.4033333343</v>
      </c>
      <c r="O12" s="105">
        <f>IFERROR(N12/N$16,"")</f>
        <v>0.85710266984156025</v>
      </c>
      <c r="P12" s="84"/>
      <c r="Q12" s="84"/>
      <c r="R12" s="84"/>
      <c r="S12" s="160"/>
      <c r="T12" s="84"/>
      <c r="U12" s="84">
        <f>SUM(FO!U12,PO!U12,CO!U12,FE!U12,PE!U12)</f>
        <v>0</v>
      </c>
      <c r="V12" s="84">
        <f>SUM(FO!V12,PO!V12,CO!V12,FE!V12,PE!V12)</f>
        <v>0</v>
      </c>
      <c r="W12" s="84">
        <f>SUM(FO!W12,PO!W12,CO!W12,FE!W12,PE!W12)</f>
        <v>0</v>
      </c>
      <c r="X12" s="84">
        <f>SUM(FO!X12,PO!X12,CO!X12,FE!X12,PE!X12)</f>
        <v>0</v>
      </c>
      <c r="Y12" s="84">
        <f>SUM(FO!Y12,PO!Y12,CO!Y12,FE!Y12,PE!Y12)</f>
        <v>0</v>
      </c>
      <c r="Z12" s="84">
        <f>SUM(FO!Z12,PO!Z12,CO!Z12,FE!Z12,PE!Z12)</f>
        <v>0</v>
      </c>
      <c r="AA12" s="84">
        <f>SUM(FO!AA12,PO!AA12,CO!AA12,FE!AA12,PE!AA12)</f>
        <v>0</v>
      </c>
      <c r="AB12" s="84">
        <f>SUM(FO!AB12,PO!AB12,CO!AB12,FE!AB12,PE!AB12)</f>
        <v>0</v>
      </c>
      <c r="AC12" s="84">
        <f>SUM(FO!AC12,PO!AC12,CO!AC12,FE!AC12,PE!AC12)</f>
        <v>0</v>
      </c>
      <c r="AD12" s="84">
        <f>SUM(FO!AD12,PO!AD12,CO!AD12,FE!AD12,PE!AD12)</f>
        <v>0</v>
      </c>
      <c r="AE12" s="84">
        <f>SUM(FO!AE12,PO!AE12,CO!AE12,FE!AE12,PE!AE12)</f>
        <v>0</v>
      </c>
      <c r="AF12" s="84">
        <f>SUM(FO!AF12,PO!AF12,CO!AF12,FE!AF12,PE!AF12)</f>
        <v>0</v>
      </c>
      <c r="AG12" s="84">
        <f>SUM(U12:AF12)</f>
        <v>0</v>
      </c>
      <c r="AH12" s="105" t="str">
        <f>IFERROR(AG12/AG$16,"")</f>
        <v/>
      </c>
      <c r="AJ12" s="84">
        <f>AG12-N12</f>
        <v>-6363078.4033333343</v>
      </c>
    </row>
    <row r="13" spans="1:37" x14ac:dyDescent="0.3">
      <c r="A13" s="103" t="s">
        <v>100</v>
      </c>
      <c r="B13" s="84">
        <f>SUM(FO!B13,PO!B13,CO!B13,FE!B13,PE!B13)</f>
        <v>8277.7800000000007</v>
      </c>
      <c r="C13" s="84">
        <f>SUM(FO!C13,PO!C13,CO!C13,FE!C13,PE!C13)</f>
        <v>8277.7800000000007</v>
      </c>
      <c r="D13" s="84">
        <f>SUM(FO!D13,PO!D13,CO!D13,FE!D13,PE!D13)</f>
        <v>18277.78</v>
      </c>
      <c r="E13" s="84">
        <f>SUM(FO!E13,PO!E13,CO!E13,FE!E13,PE!E13)</f>
        <v>18277.78</v>
      </c>
      <c r="F13" s="84">
        <f>SUM(FO!F13,PO!F13,CO!F13,FE!F13,PE!F13)</f>
        <v>18277.78</v>
      </c>
      <c r="G13" s="84">
        <f>SUM(FO!G13,PO!G13,CO!G13,FE!G13,PE!G13)</f>
        <v>6055.57</v>
      </c>
      <c r="H13" s="84">
        <f>SUM(FO!H13,PO!H13,CO!H13,FE!H13,PE!H13)</f>
        <v>2166.67</v>
      </c>
      <c r="I13" s="84">
        <f>SUM(FO!I13,PO!I13,CO!I13,FE!I13,PE!I13)</f>
        <v>4250</v>
      </c>
      <c r="J13" s="84">
        <f>SUM(FO!J13,PO!J13,CO!J13,FE!J13,PE!J13)</f>
        <v>500</v>
      </c>
      <c r="K13" s="84">
        <f>SUM(FO!K13,PO!K13,CO!K13,FE!K13,PE!K13)</f>
        <v>500</v>
      </c>
      <c r="L13" s="84">
        <f>SUM(FO!L13,PO!L13,CO!L13,FE!L13,PE!L13)</f>
        <v>500</v>
      </c>
      <c r="M13" s="84">
        <f>SUM(FO!M13,PO!M13,CO!M13,FE!M13,PE!M13)</f>
        <v>500</v>
      </c>
      <c r="N13" s="84">
        <f>SUM(B13:M13)</f>
        <v>85861.14</v>
      </c>
      <c r="O13" s="105">
        <f>IFERROR(N13/N$16,"")</f>
        <v>1.1565441703671056E-2</v>
      </c>
      <c r="P13" s="84"/>
      <c r="Q13" s="84"/>
      <c r="R13" s="84"/>
      <c r="S13" s="84"/>
      <c r="T13" s="84"/>
      <c r="U13" s="84">
        <f>SUM(FO!U13,PO!U13,CO!U13,FE!U13,PE!U13)</f>
        <v>0</v>
      </c>
      <c r="V13" s="84">
        <f>SUM(FO!V13,PO!V13,CO!V13,FE!V13,PE!V13)</f>
        <v>0</v>
      </c>
      <c r="W13" s="84">
        <f>SUM(FO!W13,PO!W13,CO!W13,FE!W13,PE!W13)</f>
        <v>0</v>
      </c>
      <c r="X13" s="84">
        <f>SUM(FO!X13,PO!X13,CO!X13,FE!X13,PE!X13)</f>
        <v>0</v>
      </c>
      <c r="Y13" s="84">
        <f>SUM(FO!Y13,PO!Y13,CO!Y13,FE!Y13,PE!Y13)</f>
        <v>0</v>
      </c>
      <c r="Z13" s="84">
        <f>SUM(FO!Z13,PO!Z13,CO!Z13,FE!Z13,PE!Z13)</f>
        <v>0</v>
      </c>
      <c r="AA13" s="84">
        <f>SUM(FO!AA13,PO!AA13,CO!AA13,FE!AA13,PE!AA13)</f>
        <v>0</v>
      </c>
      <c r="AB13" s="84">
        <f>SUM(FO!AB13,PO!AB13,CO!AB13,FE!AB13,PE!AB13)</f>
        <v>0</v>
      </c>
      <c r="AC13" s="84">
        <f>SUM(FO!AC13,PO!AC13,CO!AC13,FE!AC13,PE!AC13)</f>
        <v>0</v>
      </c>
      <c r="AD13" s="84">
        <f>SUM(FO!AD13,PO!AD13,CO!AD13,FE!AD13,PE!AD13)</f>
        <v>0</v>
      </c>
      <c r="AE13" s="84">
        <f>SUM(FO!AE13,PO!AE13,CO!AE13,FE!AE13,PE!AE13)</f>
        <v>0</v>
      </c>
      <c r="AF13" s="84">
        <f>SUM(FO!AF13,PO!AF13,CO!AF13,FE!AF13,PE!AF13)</f>
        <v>0</v>
      </c>
      <c r="AG13" s="84">
        <f>SUM(U13:AF13)</f>
        <v>0</v>
      </c>
      <c r="AH13" s="105" t="str">
        <f>IFERROR(AG13/AG$16,"")</f>
        <v/>
      </c>
      <c r="AJ13" s="84">
        <f>AG13-N13</f>
        <v>-85861.14</v>
      </c>
      <c r="AK13" s="84"/>
    </row>
    <row r="14" spans="1:37" x14ac:dyDescent="0.3">
      <c r="A14" s="109" t="s">
        <v>101</v>
      </c>
      <c r="B14" s="110">
        <f t="shared" ref="B14:M14" si="0">SUM(B12:B13)</f>
        <v>542994.56000000006</v>
      </c>
      <c r="C14" s="110">
        <f t="shared" si="0"/>
        <v>503227.06000000006</v>
      </c>
      <c r="D14" s="110">
        <f t="shared" si="0"/>
        <v>486881.32999999996</v>
      </c>
      <c r="E14" s="110">
        <f t="shared" si="0"/>
        <v>499703.98</v>
      </c>
      <c r="F14" s="110">
        <f t="shared" si="0"/>
        <v>519945.89</v>
      </c>
      <c r="G14" s="110">
        <f t="shared" si="0"/>
        <v>479743</v>
      </c>
      <c r="H14" s="110">
        <f t="shared" si="0"/>
        <v>456208.82999999996</v>
      </c>
      <c r="I14" s="110">
        <f t="shared" si="0"/>
        <v>471305.56</v>
      </c>
      <c r="J14" s="110">
        <f t="shared" si="0"/>
        <v>531607.33333333326</v>
      </c>
      <c r="K14" s="110">
        <f t="shared" si="0"/>
        <v>627440.66666666663</v>
      </c>
      <c r="L14" s="110">
        <f t="shared" si="0"/>
        <v>652440.66666666663</v>
      </c>
      <c r="M14" s="110">
        <f t="shared" si="0"/>
        <v>677440.66666666663</v>
      </c>
      <c r="N14" s="110">
        <f>SUM(B14:M14)</f>
        <v>6448939.5433333348</v>
      </c>
      <c r="O14" s="111">
        <f>SUM(O12:O13)</f>
        <v>0.86866811154523127</v>
      </c>
      <c r="P14" s="84"/>
      <c r="Q14" s="84"/>
      <c r="R14" s="84"/>
      <c r="S14" s="84"/>
      <c r="T14" s="84"/>
      <c r="U14" s="110">
        <f t="shared" ref="U14:AF14" si="1">SUM(U12:U13)</f>
        <v>0</v>
      </c>
      <c r="V14" s="110">
        <f t="shared" si="1"/>
        <v>0</v>
      </c>
      <c r="W14" s="110">
        <f t="shared" si="1"/>
        <v>0</v>
      </c>
      <c r="X14" s="110">
        <f t="shared" si="1"/>
        <v>0</v>
      </c>
      <c r="Y14" s="110">
        <f t="shared" si="1"/>
        <v>0</v>
      </c>
      <c r="Z14" s="110">
        <f t="shared" si="1"/>
        <v>0</v>
      </c>
      <c r="AA14" s="110">
        <f t="shared" si="1"/>
        <v>0</v>
      </c>
      <c r="AB14" s="110">
        <f t="shared" si="1"/>
        <v>0</v>
      </c>
      <c r="AC14" s="110">
        <f t="shared" si="1"/>
        <v>0</v>
      </c>
      <c r="AD14" s="110">
        <f t="shared" si="1"/>
        <v>0</v>
      </c>
      <c r="AE14" s="110">
        <f t="shared" si="1"/>
        <v>0</v>
      </c>
      <c r="AF14" s="110">
        <f t="shared" si="1"/>
        <v>0</v>
      </c>
      <c r="AG14" s="110">
        <f>SUM(U14:AF14)</f>
        <v>0</v>
      </c>
      <c r="AH14" s="111">
        <f>SUM(AH12:AH13)</f>
        <v>0</v>
      </c>
      <c r="AJ14" s="110">
        <f>AG14-N14</f>
        <v>-6448939.5433333348</v>
      </c>
    </row>
    <row r="15" spans="1:37" x14ac:dyDescent="0.3">
      <c r="A15" s="113" t="s">
        <v>102</v>
      </c>
      <c r="B15" s="84">
        <f>SUM(FO!B15,PO!B15,CO!B15,FE!B15,PE!B15)</f>
        <v>0</v>
      </c>
      <c r="C15" s="84">
        <f>SUM(FO!C15,PO!C15,CO!C15,FE!C15,PE!C15)</f>
        <v>0</v>
      </c>
      <c r="D15" s="84">
        <f>SUM(FO!D15,PO!D15,CO!D15,FE!D15,PE!D15)</f>
        <v>60000</v>
      </c>
      <c r="E15" s="84">
        <f>SUM(FO!E15,PO!E15,CO!E15,FE!E15,PE!E15)</f>
        <v>250000</v>
      </c>
      <c r="F15" s="84">
        <f>SUM(FO!F15,PO!F15,CO!F15,FE!F15,PE!F15)</f>
        <v>0</v>
      </c>
      <c r="G15" s="84">
        <f>SUM(FO!G15,PO!G15,CO!G15,FE!G15,PE!G15)</f>
        <v>0</v>
      </c>
      <c r="H15" s="84">
        <f>SUM(FO!H15,PO!H15,CO!H15,FE!H15,PE!H15)</f>
        <v>185000</v>
      </c>
      <c r="I15" s="84">
        <f>SUM(FO!I15,PO!I15,CO!I15,FE!I15,PE!I15)</f>
        <v>0</v>
      </c>
      <c r="J15" s="84">
        <f>SUM(FO!J15,PO!J15,CO!J15,FE!J15,PE!J15)</f>
        <v>120000</v>
      </c>
      <c r="K15" s="84">
        <f>SUM(FO!K15,PO!K15,CO!K15,FE!K15,PE!K15)</f>
        <v>120000</v>
      </c>
      <c r="L15" s="84">
        <f>SUM(FO!L15,PO!L15,CO!L15,FE!L15,PE!L15)</f>
        <v>120000</v>
      </c>
      <c r="M15" s="84">
        <f>SUM(FO!M15,PO!M15,CO!M15,FE!M15,PE!M15)</f>
        <v>120000</v>
      </c>
      <c r="N15" s="84">
        <f>SUM(B15:M15)</f>
        <v>975000</v>
      </c>
      <c r="O15" s="105">
        <f>IFERROR(N15/N$16,"")</f>
        <v>0.1313318884547687</v>
      </c>
      <c r="P15" s="84"/>
      <c r="Q15" s="84"/>
      <c r="R15" s="84"/>
      <c r="S15" s="84"/>
      <c r="T15" s="84"/>
      <c r="U15" s="84">
        <f>SUM(FO!U15,PO!U15,CO!U15,FE!U15,PE!U15)</f>
        <v>0</v>
      </c>
      <c r="V15" s="84">
        <f>SUM(FO!V15,PO!V15,CO!V15,FE!V15,PE!V15)</f>
        <v>0</v>
      </c>
      <c r="W15" s="84">
        <f>SUM(FO!W15,PO!W15,CO!W15,FE!W15,PE!W15)</f>
        <v>0</v>
      </c>
      <c r="X15" s="84">
        <f>SUM(FO!X15,PO!X15,CO!X15,FE!X15,PE!X15)</f>
        <v>0</v>
      </c>
      <c r="Y15" s="84">
        <f>SUM(FO!Y15,PO!Y15,CO!Y15,FE!Y15,PE!Y15)</f>
        <v>0</v>
      </c>
      <c r="Z15" s="84">
        <f>SUM(FO!Z15,PO!Z15,CO!Z15,FE!Z15,PE!Z15)</f>
        <v>0</v>
      </c>
      <c r="AA15" s="84">
        <f>SUM(FO!AA15,PO!AA15,CO!AA15,FE!AA15,PE!AA15)</f>
        <v>0</v>
      </c>
      <c r="AB15" s="84">
        <f>SUM(FO!AB15,PO!AB15,CO!AB15,FE!AB15,PE!AB15)</f>
        <v>0</v>
      </c>
      <c r="AC15" s="84">
        <f>SUM(FO!AC15,PO!AC15,CO!AC15,FE!AC15,PE!AC15)</f>
        <v>0</v>
      </c>
      <c r="AD15" s="84">
        <f>SUM(FO!AD15,PO!AD15,CO!AD15,FE!AD15,PE!AD15)</f>
        <v>0</v>
      </c>
      <c r="AE15" s="84">
        <f>SUM(FO!AE15,PO!AE15,CO!AE15,FE!AE15,PE!AE15)</f>
        <v>0</v>
      </c>
      <c r="AF15" s="84">
        <f>SUM(FO!AF15,PO!AF15,CO!AF15,FE!AF15,PE!AF15)</f>
        <v>0</v>
      </c>
      <c r="AG15" s="84">
        <f>SUM(U15:AF15)</f>
        <v>0</v>
      </c>
      <c r="AH15" s="105" t="str">
        <f>IFERROR(AG15/AG$16,"")</f>
        <v/>
      </c>
      <c r="AJ15" s="84">
        <f>AG15-N15</f>
        <v>-975000</v>
      </c>
    </row>
    <row r="16" spans="1:37" x14ac:dyDescent="0.3">
      <c r="A16" s="130" t="s">
        <v>103</v>
      </c>
      <c r="B16" s="131">
        <f t="shared" ref="B16:M16" si="2">B14+B15</f>
        <v>542994.56000000006</v>
      </c>
      <c r="C16" s="131">
        <f t="shared" si="2"/>
        <v>503227.06000000006</v>
      </c>
      <c r="D16" s="131">
        <f t="shared" si="2"/>
        <v>546881.32999999996</v>
      </c>
      <c r="E16" s="131">
        <f t="shared" si="2"/>
        <v>749703.98</v>
      </c>
      <c r="F16" s="131">
        <f t="shared" si="2"/>
        <v>519945.89</v>
      </c>
      <c r="G16" s="131">
        <f t="shared" si="2"/>
        <v>479743</v>
      </c>
      <c r="H16" s="131">
        <f t="shared" si="2"/>
        <v>641208.82999999996</v>
      </c>
      <c r="I16" s="131">
        <f t="shared" si="2"/>
        <v>471305.56</v>
      </c>
      <c r="J16" s="131">
        <f t="shared" si="2"/>
        <v>651607.33333333326</v>
      </c>
      <c r="K16" s="131">
        <f t="shared" si="2"/>
        <v>747440.66666666663</v>
      </c>
      <c r="L16" s="131">
        <f t="shared" si="2"/>
        <v>772440.66666666663</v>
      </c>
      <c r="M16" s="131">
        <f t="shared" si="2"/>
        <v>797440.66666666663</v>
      </c>
      <c r="N16" s="131">
        <f>SUM(B16:M16)</f>
        <v>7423939.5433333339</v>
      </c>
      <c r="O16" s="132">
        <f>SUM(O14:O15)</f>
        <v>1</v>
      </c>
      <c r="P16" s="84"/>
      <c r="Q16" s="84"/>
      <c r="R16" s="84"/>
      <c r="S16" s="84"/>
      <c r="T16" s="84"/>
      <c r="U16" s="131">
        <f t="shared" ref="U16:AF16" si="3">U14+U15</f>
        <v>0</v>
      </c>
      <c r="V16" s="131">
        <f t="shared" si="3"/>
        <v>0</v>
      </c>
      <c r="W16" s="131">
        <f t="shared" si="3"/>
        <v>0</v>
      </c>
      <c r="X16" s="131">
        <f t="shared" si="3"/>
        <v>0</v>
      </c>
      <c r="Y16" s="131">
        <f t="shared" si="3"/>
        <v>0</v>
      </c>
      <c r="Z16" s="131">
        <f t="shared" si="3"/>
        <v>0</v>
      </c>
      <c r="AA16" s="131">
        <f t="shared" si="3"/>
        <v>0</v>
      </c>
      <c r="AB16" s="131">
        <f t="shared" si="3"/>
        <v>0</v>
      </c>
      <c r="AC16" s="131">
        <f t="shared" si="3"/>
        <v>0</v>
      </c>
      <c r="AD16" s="131">
        <f t="shared" si="3"/>
        <v>0</v>
      </c>
      <c r="AE16" s="131">
        <f t="shared" si="3"/>
        <v>0</v>
      </c>
      <c r="AF16" s="131">
        <f t="shared" si="3"/>
        <v>0</v>
      </c>
      <c r="AG16" s="131">
        <f>SUM(U16:AF16)</f>
        <v>0</v>
      </c>
      <c r="AH16" s="132">
        <f>SUM(AH14:AH15)</f>
        <v>0</v>
      </c>
      <c r="AJ16" s="131">
        <f>AG16-N16</f>
        <v>-7423939.5433333339</v>
      </c>
    </row>
    <row r="17" spans="1:36" x14ac:dyDescent="0.3">
      <c r="A17" s="101" t="s">
        <v>104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105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105"/>
      <c r="AJ17" s="84"/>
    </row>
    <row r="18" spans="1:36" x14ac:dyDescent="0.3">
      <c r="A18" s="102" t="s">
        <v>105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105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105"/>
      <c r="AJ18" s="84"/>
    </row>
    <row r="19" spans="1:36" x14ac:dyDescent="0.3">
      <c r="A19" s="103" t="s">
        <v>106</v>
      </c>
      <c r="B19" s="84">
        <f>SUM(FO!B19,PO!B19,CO!B19,FE!B19,PE!B19)</f>
        <v>141122.35</v>
      </c>
      <c r="C19" s="84">
        <f>SUM(FO!C19,PO!C19,CO!C19,FE!C19,PE!C19)</f>
        <v>122211.90000000001</v>
      </c>
      <c r="D19" s="84">
        <f>SUM(FO!D19,PO!D19,CO!D19,FE!D19,PE!D19)</f>
        <v>126630.20000000001</v>
      </c>
      <c r="E19" s="84">
        <f>SUM(FO!E19,PO!E19,CO!E19,FE!E19,PE!E19)</f>
        <v>128215.48000000001</v>
      </c>
      <c r="F19" s="84">
        <f>SUM(FO!F19,PO!F19,CO!F19,FE!F19,PE!F19)</f>
        <v>133968.64000000001</v>
      </c>
      <c r="G19" s="84">
        <f>SUM(FO!G19,PO!G19,CO!G19,FE!G19,PE!G19)</f>
        <v>133968.64000000001</v>
      </c>
      <c r="H19" s="84">
        <f>SUM(FO!H19,PO!H19,CO!H19,FE!H19,PE!H19)</f>
        <v>127510</v>
      </c>
      <c r="I19" s="84">
        <f>SUM(FO!I19,PO!I19,CO!I19,FE!I19,PE!I19)</f>
        <v>127510</v>
      </c>
      <c r="J19" s="84">
        <f>SUM(FO!J19,PO!J19,CO!J19,FE!J19,PE!J19)</f>
        <v>112797.85</v>
      </c>
      <c r="K19" s="84">
        <f>SUM(FO!K19,PO!K19,CO!K19,FE!K19,PE!K19)</f>
        <v>112797.85</v>
      </c>
      <c r="L19" s="84">
        <f>SUM(FO!L19,PO!L19,CO!L19,FE!L19,PE!L19)</f>
        <v>112797.85</v>
      </c>
      <c r="M19" s="84">
        <f>SUM(FO!M19,PO!M19,CO!M19,FE!M19,PE!M19)</f>
        <v>112797.85</v>
      </c>
      <c r="N19" s="84">
        <f>SUM(B19:M19)</f>
        <v>1492328.6100000003</v>
      </c>
      <c r="O19" s="105">
        <f>IFERROR(N19/N$16,"")</f>
        <v>0.20101572773987703</v>
      </c>
      <c r="P19" s="84"/>
      <c r="Q19" s="84"/>
      <c r="R19" s="84"/>
      <c r="S19" s="84"/>
      <c r="T19" s="84"/>
      <c r="U19" s="84">
        <f>SUM(FO!U19,PO!U19,CO!U19,FE!U19,PE!U19)</f>
        <v>0</v>
      </c>
      <c r="V19" s="84">
        <f>SUM(FO!V19,PO!V19,CO!V19,FE!V19,PE!V19)</f>
        <v>0</v>
      </c>
      <c r="W19" s="84">
        <f>SUM(FO!W19,PO!W19,CO!W19,FE!W19,PE!W19)</f>
        <v>0</v>
      </c>
      <c r="X19" s="84">
        <f>SUM(FO!X19,PO!X19,CO!X19,FE!X19,PE!X19)</f>
        <v>0</v>
      </c>
      <c r="Y19" s="84">
        <f>SUM(FO!Y19,PO!Y19,CO!Y19,FE!Y19,PE!Y19)</f>
        <v>0</v>
      </c>
      <c r="Z19" s="84">
        <f>SUM(FO!Z19,PO!Z19,CO!Z19,FE!Z19,PE!Z19)</f>
        <v>0</v>
      </c>
      <c r="AA19" s="84">
        <f>SUM(FO!AA19,PO!AA19,CO!AA19,FE!AA19,PE!AA19)</f>
        <v>0</v>
      </c>
      <c r="AB19" s="84">
        <f>SUM(FO!AB19,PO!AB19,CO!AB19,FE!AB19,PE!AB19)</f>
        <v>0</v>
      </c>
      <c r="AC19" s="84">
        <f>SUM(FO!AC19,PO!AC19,CO!AC19,FE!AC19,PE!AC19)</f>
        <v>0</v>
      </c>
      <c r="AD19" s="84">
        <f>SUM(FO!AD19,PO!AD19,CO!AD19,FE!AD19,PE!AD19)</f>
        <v>0</v>
      </c>
      <c r="AE19" s="84">
        <f>SUM(FO!AE19,PO!AE19,CO!AE19,FE!AE19,PE!AE19)</f>
        <v>0</v>
      </c>
      <c r="AF19" s="84">
        <f>SUM(FO!AF19,PO!AF19,CO!AF19,FE!AF19,PE!AF19)</f>
        <v>0</v>
      </c>
      <c r="AG19" s="84">
        <f>SUM(U19:AF19)</f>
        <v>0</v>
      </c>
      <c r="AH19" s="105" t="str">
        <f>IFERROR(AG19/AG$16,"")</f>
        <v/>
      </c>
      <c r="AJ19" s="84">
        <f>N19-AG19</f>
        <v>1492328.6100000003</v>
      </c>
    </row>
    <row r="20" spans="1:36" x14ac:dyDescent="0.3">
      <c r="A20" s="103" t="s">
        <v>107</v>
      </c>
      <c r="B20" s="84">
        <f>SUM(FO!B20,PO!B20,CO!B20,FE!B20,PE!B20)</f>
        <v>0</v>
      </c>
      <c r="C20" s="84">
        <f>SUM(FO!C20,PO!C20,CO!C20,FE!C20,PE!C20)</f>
        <v>0</v>
      </c>
      <c r="D20" s="84">
        <f>SUM(FO!D20,PO!D20,CO!D20,FE!D20,PE!D20)</f>
        <v>1677.96</v>
      </c>
      <c r="E20" s="84">
        <f>SUM(FO!E20,PO!E20,CO!E20,FE!E20,PE!E20)</f>
        <v>3263.24</v>
      </c>
      <c r="F20" s="84">
        <f>SUM(FO!F20,PO!F20,CO!F20,FE!F20,PE!F20)</f>
        <v>3263.24</v>
      </c>
      <c r="G20" s="84">
        <f>SUM(FO!G20,PO!G20,CO!G20,FE!G20,PE!G20)</f>
        <v>11653.04</v>
      </c>
      <c r="H20" s="84">
        <f>SUM(FO!H20,PO!H20,CO!H20,FE!H20,PE!H20)</f>
        <v>7458.1399999999994</v>
      </c>
      <c r="I20" s="84">
        <f>SUM(FO!I20,PO!I20,CO!I20,FE!I20,PE!I20)</f>
        <v>9836.06</v>
      </c>
      <c r="J20" s="84">
        <f>SUM(FO!J20,PO!J20,CO!J20,FE!J20,PE!J20)</f>
        <v>8837.7571428571428</v>
      </c>
      <c r="K20" s="84">
        <f>SUM(FO!K20,PO!K20,CO!K20,FE!K20,PE!K20)</f>
        <v>15802.042857142858</v>
      </c>
      <c r="L20" s="84">
        <f>SUM(FO!L20,PO!L20,CO!L20,FE!L20,PE!L20)</f>
        <v>18123.471428571429</v>
      </c>
      <c r="M20" s="84">
        <f>SUM(FO!M20,PO!M20,CO!M20,FE!M20,PE!M20)</f>
        <v>20444.900000000001</v>
      </c>
      <c r="N20" s="84">
        <f>SUM(B20:M20)</f>
        <v>100359.85142857142</v>
      </c>
      <c r="O20" s="105">
        <f>IFERROR(N20/N$16,"")</f>
        <v>1.3518409039132618E-2</v>
      </c>
      <c r="P20" s="84"/>
      <c r="Q20" s="84"/>
      <c r="R20" s="84"/>
      <c r="S20" s="84"/>
      <c r="T20" s="84"/>
      <c r="U20" s="84">
        <f>SUM(FO!U20,PO!U20,CO!U20,FE!U20,PE!U20)</f>
        <v>0</v>
      </c>
      <c r="V20" s="84">
        <f>SUM(FO!V20,PO!V20,CO!V20,FE!V20,PE!V20)</f>
        <v>0</v>
      </c>
      <c r="W20" s="84">
        <f>SUM(FO!W20,PO!W20,CO!W20,FE!W20,PE!W20)</f>
        <v>0</v>
      </c>
      <c r="X20" s="84">
        <f>SUM(FO!X20,PO!X20,CO!X20,FE!X20,PE!X20)</f>
        <v>0</v>
      </c>
      <c r="Y20" s="84">
        <f>SUM(FO!Y20,PO!Y20,CO!Y20,FE!Y20,PE!Y20)</f>
        <v>0</v>
      </c>
      <c r="Z20" s="84">
        <f>SUM(FO!Z20,PO!Z20,CO!Z20,FE!Z20,PE!Z20)</f>
        <v>0</v>
      </c>
      <c r="AA20" s="84">
        <f>SUM(FO!AA20,PO!AA20,CO!AA20,FE!AA20,PE!AA20)</f>
        <v>0</v>
      </c>
      <c r="AB20" s="84">
        <f>SUM(FO!AB20,PO!AB20,CO!AB20,FE!AB20,PE!AB20)</f>
        <v>0</v>
      </c>
      <c r="AC20" s="84">
        <f>SUM(FO!AC20,PO!AC20,CO!AC20,FE!AC20,PE!AC20)</f>
        <v>0</v>
      </c>
      <c r="AD20" s="84">
        <f>SUM(FO!AD20,PO!AD20,CO!AD20,FE!AD20,PE!AD20)</f>
        <v>0</v>
      </c>
      <c r="AE20" s="84">
        <f>SUM(FO!AE20,PO!AE20,CO!AE20,FE!AE20,PE!AE20)</f>
        <v>0</v>
      </c>
      <c r="AF20" s="84">
        <f>SUM(FO!AF20,PO!AF20,CO!AF20,FE!AF20,PE!AF20)</f>
        <v>0</v>
      </c>
      <c r="AG20" s="84">
        <f>SUM(U20:AF20)</f>
        <v>0</v>
      </c>
      <c r="AH20" s="105" t="str">
        <f>IFERROR(AG20/AG$16,"")</f>
        <v/>
      </c>
      <c r="AJ20" s="84">
        <f>N20-AG20</f>
        <v>100359.85142857142</v>
      </c>
    </row>
    <row r="21" spans="1:36" x14ac:dyDescent="0.3">
      <c r="A21" s="103" t="s">
        <v>108</v>
      </c>
      <c r="B21" s="84">
        <f>SUM(FO!B21,PO!B21,CO!B21,FE!B21,PE!B21)</f>
        <v>0</v>
      </c>
      <c r="C21" s="84">
        <f>SUM(FO!C21,PO!C21,CO!C21,FE!C21,PE!C21)</f>
        <v>0</v>
      </c>
      <c r="D21" s="84">
        <f>SUM(FO!D21,PO!D21,CO!D21,FE!D21,PE!D21)</f>
        <v>0</v>
      </c>
      <c r="E21" s="84">
        <f>SUM(FO!E21,PO!E21,CO!E21,FE!E21,PE!E21)</f>
        <v>1791.23</v>
      </c>
      <c r="F21" s="84">
        <f>SUM(FO!F21,PO!F21,CO!F21,FE!F21,PE!F21)</f>
        <v>3124.54</v>
      </c>
      <c r="G21" s="84">
        <f>SUM(FO!G21,PO!G21,CO!G21,FE!G21,PE!G21)</f>
        <v>4796.43</v>
      </c>
      <c r="H21" s="84">
        <f>SUM(FO!H21,PO!H21,CO!H21,FE!H21,PE!H21)</f>
        <v>3293.79</v>
      </c>
      <c r="I21" s="84">
        <f>SUM(FO!I21,PO!I21,CO!I21,FE!I21,PE!I21)</f>
        <v>3909.48</v>
      </c>
      <c r="J21" s="84">
        <f>SUM(FO!J21,PO!J21,CO!J21,FE!J21,PE!J21)</f>
        <v>2969.3066666666664</v>
      </c>
      <c r="K21" s="84">
        <f>SUM(FO!K21,PO!K21,CO!K21,FE!K21,PE!K21)</f>
        <v>4902.6400000000003</v>
      </c>
      <c r="L21" s="84">
        <f>SUM(FO!L21,PO!L21,CO!L21,FE!L21,PE!L21)</f>
        <v>5702.64</v>
      </c>
      <c r="M21" s="84">
        <f>SUM(FO!M21,PO!M21,CO!M21,FE!M21,PE!M21)</f>
        <v>6502.64</v>
      </c>
      <c r="N21" s="84">
        <f>SUM(B21:M21)</f>
        <v>36992.69666666667</v>
      </c>
      <c r="O21" s="105">
        <f>IFERROR(N21/N$16,"")</f>
        <v>4.982893038223345E-3</v>
      </c>
      <c r="P21" s="84"/>
      <c r="Q21" s="84"/>
      <c r="R21" s="84"/>
      <c r="S21" s="84"/>
      <c r="T21" s="84"/>
      <c r="U21" s="84">
        <f>SUM(FO!U21,PO!U21,CO!U21,FE!U21,PE!U21)</f>
        <v>0</v>
      </c>
      <c r="V21" s="84">
        <f>SUM(FO!V21,PO!V21,CO!V21,FE!V21,PE!V21)</f>
        <v>0</v>
      </c>
      <c r="W21" s="84">
        <f>SUM(FO!W21,PO!W21,CO!W21,FE!W21,PE!W21)</f>
        <v>0</v>
      </c>
      <c r="X21" s="84">
        <f>SUM(FO!X21,PO!X21,CO!X21,FE!X21,PE!X21)</f>
        <v>0</v>
      </c>
      <c r="Y21" s="84">
        <f>SUM(FO!Y21,PO!Y21,CO!Y21,FE!Y21,PE!Y21)</f>
        <v>0</v>
      </c>
      <c r="Z21" s="84">
        <f>SUM(FO!Z21,PO!Z21,CO!Z21,FE!Z21,PE!Z21)</f>
        <v>0</v>
      </c>
      <c r="AA21" s="84">
        <f>SUM(FO!AA21,PO!AA21,CO!AA21,FE!AA21,PE!AA21)</f>
        <v>0</v>
      </c>
      <c r="AB21" s="84">
        <f>SUM(FO!AB21,PO!AB21,CO!AB21,FE!AB21,PE!AB21)</f>
        <v>0</v>
      </c>
      <c r="AC21" s="84">
        <f>SUM(FO!AC21,PO!AC21,CO!AC21,FE!AC21,PE!AC21)</f>
        <v>0</v>
      </c>
      <c r="AD21" s="84">
        <f>SUM(FO!AD21,PO!AD21,CO!AD21,FE!AD21,PE!AD21)</f>
        <v>0</v>
      </c>
      <c r="AE21" s="84">
        <f>SUM(FO!AE21,PO!AE21,CO!AE21,FE!AE21,PE!AE21)</f>
        <v>0</v>
      </c>
      <c r="AF21" s="84">
        <f>SUM(FO!AF21,PO!AF21,CO!AF21,FE!AF21,PE!AF21)</f>
        <v>0</v>
      </c>
      <c r="AG21" s="84">
        <f>SUM(U21:AF21)</f>
        <v>0</v>
      </c>
      <c r="AH21" s="105" t="str">
        <f>IFERROR(AG21/AG$16,"")</f>
        <v/>
      </c>
      <c r="AJ21" s="84">
        <f>N21-AG21</f>
        <v>36992.69666666667</v>
      </c>
    </row>
    <row r="22" spans="1:36" x14ac:dyDescent="0.3">
      <c r="A22" s="103" t="s">
        <v>109</v>
      </c>
      <c r="B22" s="84">
        <f>SUM(FO!B22,PO!B22,CO!B22,FE!B22,PE!B22)</f>
        <v>8211.9</v>
      </c>
      <c r="C22" s="84">
        <f>SUM(FO!C22,PO!C22,CO!C22,FE!C22,PE!C22)</f>
        <v>10913.63</v>
      </c>
      <c r="D22" s="84">
        <f>SUM(FO!D22,PO!D22,CO!D22,FE!D22,PE!D22)</f>
        <v>10939.43</v>
      </c>
      <c r="E22" s="84">
        <f>SUM(FO!E22,PO!E22,CO!E22,FE!E22,PE!E22)</f>
        <v>13555.74</v>
      </c>
      <c r="F22" s="84">
        <f>SUM(FO!F22,PO!F22,CO!F22,FE!F22,PE!F22)</f>
        <v>13555.75</v>
      </c>
      <c r="G22" s="84">
        <f>SUM(FO!G22,PO!G22,CO!G22,FE!G22,PE!G22)</f>
        <v>13770.42</v>
      </c>
      <c r="H22" s="84">
        <f>SUM(FO!H22,PO!H22,CO!H22,FE!H22,PE!H22)</f>
        <v>8508.9500000000007</v>
      </c>
      <c r="I22" s="84">
        <f>SUM(FO!I22,PO!I22,CO!I22,FE!I22,PE!I22)</f>
        <v>8591.56</v>
      </c>
      <c r="J22" s="84">
        <f>SUM(FO!J22,PO!J22,CO!J22,FE!J22,PE!J22)</f>
        <v>14866.996666666666</v>
      </c>
      <c r="K22" s="84">
        <f>SUM(FO!K22,PO!K22,CO!K22,FE!K22,PE!K22)</f>
        <v>17475.330000000002</v>
      </c>
      <c r="L22" s="84">
        <f>SUM(FO!L22,PO!L22,CO!L22,FE!L22,PE!L22)</f>
        <v>18500.330000000002</v>
      </c>
      <c r="M22" s="84">
        <f>SUM(FO!M22,PO!M22,CO!M22,FE!M22,PE!M22)</f>
        <v>19525.330000000002</v>
      </c>
      <c r="N22" s="84">
        <f>SUM(B22:M22)</f>
        <v>158415.36666666664</v>
      </c>
      <c r="O22" s="105">
        <f>IFERROR(N22/N$16,"")</f>
        <v>2.1338450527782511E-2</v>
      </c>
      <c r="P22" s="84"/>
      <c r="Q22" s="84"/>
      <c r="R22" s="84"/>
      <c r="S22" s="84"/>
      <c r="T22" s="84"/>
      <c r="U22" s="84">
        <f>SUM(FO!U22,PO!U22,CO!U22,FE!U22,PE!U22)</f>
        <v>0</v>
      </c>
      <c r="V22" s="84">
        <f>SUM(FO!V22,PO!V22,CO!V22,FE!V22,PE!V22)</f>
        <v>0</v>
      </c>
      <c r="W22" s="84">
        <f>SUM(FO!W22,PO!W22,CO!W22,FE!W22,PE!W22)</f>
        <v>0</v>
      </c>
      <c r="X22" s="84">
        <f>SUM(FO!X22,PO!X22,CO!X22,FE!X22,PE!X22)</f>
        <v>0</v>
      </c>
      <c r="Y22" s="84">
        <f>SUM(FO!Y22,PO!Y22,CO!Y22,FE!Y22,PE!Y22)</f>
        <v>0</v>
      </c>
      <c r="Z22" s="84">
        <f>SUM(FO!Z22,PO!Z22,CO!Z22,FE!Z22,PE!Z22)</f>
        <v>0</v>
      </c>
      <c r="AA22" s="84">
        <f>SUM(FO!AA22,PO!AA22,CO!AA22,FE!AA22,PE!AA22)</f>
        <v>0</v>
      </c>
      <c r="AB22" s="84">
        <f>SUM(FO!AB22,PO!AB22,CO!AB22,FE!AB22,PE!AB22)</f>
        <v>0</v>
      </c>
      <c r="AC22" s="84">
        <f>SUM(FO!AC22,PO!AC22,CO!AC22,FE!AC22,PE!AC22)</f>
        <v>0</v>
      </c>
      <c r="AD22" s="84">
        <f>SUM(FO!AD22,PO!AD22,CO!AD22,FE!AD22,PE!AD22)</f>
        <v>0</v>
      </c>
      <c r="AE22" s="84">
        <f>SUM(FO!AE22,PO!AE22,CO!AE22,FE!AE22,PE!AE22)</f>
        <v>0</v>
      </c>
      <c r="AF22" s="84">
        <f>SUM(FO!AF22,PO!AF22,CO!AF22,FE!AF22,PE!AF22)</f>
        <v>0</v>
      </c>
      <c r="AG22" s="84">
        <f>SUM(U22:AF22)</f>
        <v>0</v>
      </c>
      <c r="AH22" s="105" t="str">
        <f>IFERROR(AG22/AG$16,"")</f>
        <v/>
      </c>
      <c r="AJ22" s="84">
        <f>N22-AG22</f>
        <v>158415.36666666664</v>
      </c>
    </row>
    <row r="23" spans="1:36" x14ac:dyDescent="0.3">
      <c r="A23" s="115" t="s">
        <v>110</v>
      </c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105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105"/>
      <c r="AJ23" s="84"/>
    </row>
    <row r="24" spans="1:36" x14ac:dyDescent="0.3">
      <c r="A24" s="116" t="s">
        <v>110</v>
      </c>
      <c r="B24" s="84">
        <f>SUM(FO!B24,PO!B24,CO!B24,FE!B24,PE!B24)</f>
        <v>2370.3000000000002</v>
      </c>
      <c r="C24" s="84">
        <f>SUM(FO!C24,PO!C24,CO!C24,FE!C24,PE!C24)</f>
        <v>3835.05</v>
      </c>
      <c r="D24" s="84">
        <f>SUM(FO!D24,PO!D24,CO!D24,FE!D24,PE!D24)</f>
        <v>11053.810000000001</v>
      </c>
      <c r="E24" s="84">
        <f>SUM(FO!E24,PO!E24,CO!E24,FE!E24,PE!E24)</f>
        <v>8300.09</v>
      </c>
      <c r="F24" s="84">
        <f>SUM(FO!F24,PO!F24,CO!F24,FE!F24,PE!F24)</f>
        <v>0</v>
      </c>
      <c r="G24" s="84">
        <f>SUM(FO!G24,PO!G24,CO!G24,FE!G24,PE!G24)</f>
        <v>-544.45000000000005</v>
      </c>
      <c r="H24" s="84">
        <f>SUM(FO!H24,PO!H24,CO!H24,FE!H24,PE!H24)</f>
        <v>0</v>
      </c>
      <c r="I24" s="84">
        <f>SUM(FO!I24,PO!I24,CO!I24,FE!I24,PE!I24)</f>
        <v>93.45</v>
      </c>
      <c r="J24" s="84">
        <f>SUM(FO!J24,PO!J24,CO!J24,FE!J24,PE!J24)</f>
        <v>8800</v>
      </c>
      <c r="K24" s="84">
        <f>SUM(FO!K24,PO!K24,CO!K24,FE!K24,PE!K24)</f>
        <v>5400</v>
      </c>
      <c r="L24" s="84">
        <f>SUM(FO!L24,PO!L24,CO!L24,FE!L24,PE!L24)</f>
        <v>5400</v>
      </c>
      <c r="M24" s="84">
        <f>SUM(FO!M24,PO!M24,CO!M24,FE!M24,PE!M24)</f>
        <v>5400</v>
      </c>
      <c r="N24" s="84">
        <f t="shared" ref="N24:N31" si="4">SUM(B24:M24)</f>
        <v>50108.25</v>
      </c>
      <c r="O24" s="105">
        <f t="shared" ref="O24:O31" si="5">IFERROR(N24/N$16,"")</f>
        <v>6.749549845808887E-3</v>
      </c>
      <c r="P24" s="84"/>
      <c r="Q24" s="84"/>
      <c r="R24" s="84"/>
      <c r="S24" s="84"/>
      <c r="T24" s="84"/>
      <c r="U24" s="84">
        <f>SUM(FO!U24,PO!U24,CO!U24,FE!U24,PE!U24)</f>
        <v>0</v>
      </c>
      <c r="V24" s="84">
        <f>SUM(FO!V24,PO!V24,CO!V24,FE!V24,PE!V24)</f>
        <v>0</v>
      </c>
      <c r="W24" s="84">
        <f>SUM(FO!W24,PO!W24,CO!W24,FE!W24,PE!W24)</f>
        <v>0</v>
      </c>
      <c r="X24" s="84">
        <f>SUM(FO!X24,PO!X24,CO!X24,FE!X24,PE!X24)</f>
        <v>0</v>
      </c>
      <c r="Y24" s="84">
        <f>SUM(FO!Y24,PO!Y24,CO!Y24,FE!Y24,PE!Y24)</f>
        <v>0</v>
      </c>
      <c r="Z24" s="84">
        <f>SUM(FO!Z24,PO!Z24,CO!Z24,FE!Z24,PE!Z24)</f>
        <v>0</v>
      </c>
      <c r="AA24" s="84">
        <f>SUM(FO!AA24,PO!AA24,CO!AA24,FE!AA24,PE!AA24)</f>
        <v>0</v>
      </c>
      <c r="AB24" s="84">
        <f>SUM(FO!AB24,PO!AB24,CO!AB24,FE!AB24,PE!AB24)</f>
        <v>0</v>
      </c>
      <c r="AC24" s="84">
        <f>SUM(FO!AC24,PO!AC24,CO!AC24,FE!AC24,PE!AC24)</f>
        <v>0</v>
      </c>
      <c r="AD24" s="84">
        <f>SUM(FO!AD24,PO!AD24,CO!AD24,FE!AD24,PE!AD24)</f>
        <v>0</v>
      </c>
      <c r="AE24" s="84">
        <f>SUM(FO!AE24,PO!AE24,CO!AE24,FE!AE24,PE!AE24)</f>
        <v>0</v>
      </c>
      <c r="AF24" s="84">
        <f>SUM(FO!AF24,PO!AF24,CO!AF24,FE!AF24,PE!AF24)</f>
        <v>0</v>
      </c>
      <c r="AG24" s="84">
        <f t="shared" ref="AG24:AG31" si="6">SUM(U24:AF24)</f>
        <v>0</v>
      </c>
      <c r="AH24" s="105" t="str">
        <f t="shared" ref="AH24:AH31" si="7">IFERROR(AG24/AG$16,"")</f>
        <v/>
      </c>
      <c r="AJ24" s="84">
        <f t="shared" ref="AJ24:AJ31" si="8">N24-AG24</f>
        <v>50108.25</v>
      </c>
    </row>
    <row r="25" spans="1:36" x14ac:dyDescent="0.3">
      <c r="A25" s="116" t="s">
        <v>111</v>
      </c>
      <c r="B25" s="84">
        <f>SUM(FO!B25,PO!B25,CO!B25,FE!B25,PE!B25)</f>
        <v>0</v>
      </c>
      <c r="C25" s="84">
        <f>SUM(FO!C25,PO!C25,CO!C25,FE!C25,PE!C25)</f>
        <v>250</v>
      </c>
      <c r="D25" s="84">
        <f>SUM(FO!D25,PO!D25,CO!D25,FE!D25,PE!D25)</f>
        <v>2122.44</v>
      </c>
      <c r="E25" s="84">
        <f>SUM(FO!E25,PO!E25,CO!E25,FE!E25,PE!E25)</f>
        <v>261.8</v>
      </c>
      <c r="F25" s="84">
        <f>SUM(FO!F25,PO!F25,CO!F25,FE!F25,PE!F25)</f>
        <v>0</v>
      </c>
      <c r="G25" s="84">
        <f>SUM(FO!G25,PO!G25,CO!G25,FE!G25,PE!G25)</f>
        <v>-86.24</v>
      </c>
      <c r="H25" s="84">
        <f>SUM(FO!H25,PO!H25,CO!H25,FE!H25,PE!H25)</f>
        <v>0</v>
      </c>
      <c r="I25" s="84">
        <f>SUM(FO!I25,PO!I25,CO!I25,FE!I25,PE!I25)</f>
        <v>1638.89</v>
      </c>
      <c r="J25" s="84">
        <f>SUM(FO!J25,PO!J25,CO!J25,FE!J25,PE!J25)</f>
        <v>0</v>
      </c>
      <c r="K25" s="84">
        <f>SUM(FO!K25,PO!K25,CO!K25,FE!K25,PE!K25)</f>
        <v>0</v>
      </c>
      <c r="L25" s="84">
        <f>SUM(FO!L25,PO!L25,CO!L25,FE!L25,PE!L25)</f>
        <v>0</v>
      </c>
      <c r="M25" s="84">
        <f>SUM(FO!M25,PO!M25,CO!M25,FE!M25,PE!M25)</f>
        <v>0</v>
      </c>
      <c r="N25" s="84">
        <f t="shared" si="4"/>
        <v>4186.8900000000003</v>
      </c>
      <c r="O25" s="105">
        <f t="shared" si="5"/>
        <v>5.6397145687424267E-4</v>
      </c>
      <c r="P25" s="84"/>
      <c r="Q25" s="84"/>
      <c r="R25" s="84"/>
      <c r="S25" s="84"/>
      <c r="T25" s="84"/>
      <c r="U25" s="84">
        <f>SUM(FO!U25,PO!U25,CO!U25,FE!U25,PE!U25)</f>
        <v>0</v>
      </c>
      <c r="V25" s="84">
        <f>SUM(FO!V25,PO!V25,CO!V25,FE!V25,PE!V25)</f>
        <v>0</v>
      </c>
      <c r="W25" s="84">
        <f>SUM(FO!W25,PO!W25,CO!W25,FE!W25,PE!W25)</f>
        <v>0</v>
      </c>
      <c r="X25" s="84">
        <f>SUM(FO!X25,PO!X25,CO!X25,FE!X25,PE!X25)</f>
        <v>0</v>
      </c>
      <c r="Y25" s="84">
        <f>SUM(FO!Y25,PO!Y25,CO!Y25,FE!Y25,PE!Y25)</f>
        <v>0</v>
      </c>
      <c r="Z25" s="84">
        <f>SUM(FO!Z25,PO!Z25,CO!Z25,FE!Z25,PE!Z25)</f>
        <v>0</v>
      </c>
      <c r="AA25" s="84">
        <f>SUM(FO!AA25,PO!AA25,CO!AA25,FE!AA25,PE!AA25)</f>
        <v>0</v>
      </c>
      <c r="AB25" s="84">
        <f>SUM(FO!AB25,PO!AB25,CO!AB25,FE!AB25,PE!AB25)</f>
        <v>0</v>
      </c>
      <c r="AC25" s="84">
        <f>SUM(FO!AC25,PO!AC25,CO!AC25,FE!AC25,PE!AC25)</f>
        <v>0</v>
      </c>
      <c r="AD25" s="84">
        <f>SUM(FO!AD25,PO!AD25,CO!AD25,FE!AD25,PE!AD25)</f>
        <v>0</v>
      </c>
      <c r="AE25" s="84">
        <f>SUM(FO!AE25,PO!AE25,CO!AE25,FE!AE25,PE!AE25)</f>
        <v>0</v>
      </c>
      <c r="AF25" s="84">
        <f>SUM(FO!AF25,PO!AF25,CO!AF25,FE!AF25,PE!AF25)</f>
        <v>0</v>
      </c>
      <c r="AG25" s="84">
        <f t="shared" si="6"/>
        <v>0</v>
      </c>
      <c r="AH25" s="105" t="str">
        <f t="shared" si="7"/>
        <v/>
      </c>
      <c r="AJ25" s="84">
        <f t="shared" si="8"/>
        <v>4186.8900000000003</v>
      </c>
    </row>
    <row r="26" spans="1:36" x14ac:dyDescent="0.3">
      <c r="A26" s="116" t="s">
        <v>112</v>
      </c>
      <c r="B26" s="84">
        <f>SUM(FO!B26,PO!B26,CO!B26,FE!B26,PE!B26)</f>
        <v>0</v>
      </c>
      <c r="C26" s="84">
        <f>SUM(FO!C26,PO!C26,CO!C26,FE!C26,PE!C26)</f>
        <v>85</v>
      </c>
      <c r="D26" s="84">
        <f>SUM(FO!D26,PO!D26,CO!D26,FE!D26,PE!D26)</f>
        <v>149.33000000000001</v>
      </c>
      <c r="E26" s="84">
        <f>SUM(FO!E26,PO!E26,CO!E26,FE!E26,PE!E26)</f>
        <v>2494.2600000000002</v>
      </c>
      <c r="F26" s="84">
        <f>SUM(FO!F26,PO!F26,CO!F26,FE!F26,PE!F26)</f>
        <v>177.67000000000002</v>
      </c>
      <c r="G26" s="84">
        <f>SUM(FO!G26,PO!G26,CO!G26,FE!G26,PE!G26)</f>
        <v>-32.020000000000003</v>
      </c>
      <c r="H26" s="84">
        <f>SUM(FO!H26,PO!H26,CO!H26,FE!H26,PE!H26)</f>
        <v>852.51</v>
      </c>
      <c r="I26" s="84">
        <f>SUM(FO!I26,PO!I26,CO!I26,FE!I26,PE!I26)</f>
        <v>3185.91</v>
      </c>
      <c r="J26" s="84">
        <f>SUM(FO!J26,PO!J26,CO!J26,FE!J26,PE!J26)</f>
        <v>200</v>
      </c>
      <c r="K26" s="84">
        <f>SUM(FO!K26,PO!K26,CO!K26,FE!K26,PE!K26)</f>
        <v>200</v>
      </c>
      <c r="L26" s="84">
        <f>SUM(FO!L26,PO!L26,CO!L26,FE!L26,PE!L26)</f>
        <v>200</v>
      </c>
      <c r="M26" s="84">
        <f>SUM(FO!M26,PO!M26,CO!M26,FE!M26,PE!M26)</f>
        <v>200</v>
      </c>
      <c r="N26" s="84">
        <f t="shared" si="4"/>
        <v>7712.66</v>
      </c>
      <c r="O26" s="105">
        <f t="shared" si="5"/>
        <v>1.038890464420058E-3</v>
      </c>
      <c r="P26" s="84"/>
      <c r="Q26" s="84"/>
      <c r="R26" s="84"/>
      <c r="S26" s="84"/>
      <c r="T26" s="84"/>
      <c r="U26" s="84">
        <f>SUM(FO!U26,PO!U26,CO!U26,FE!U26,PE!U26)</f>
        <v>0</v>
      </c>
      <c r="V26" s="84">
        <f>SUM(FO!V26,PO!V26,CO!V26,FE!V26,PE!V26)</f>
        <v>0</v>
      </c>
      <c r="W26" s="84">
        <f>SUM(FO!W26,PO!W26,CO!W26,FE!W26,PE!W26)</f>
        <v>0</v>
      </c>
      <c r="X26" s="84">
        <f>SUM(FO!X26,PO!X26,CO!X26,FE!X26,PE!X26)</f>
        <v>0</v>
      </c>
      <c r="Y26" s="84">
        <f>SUM(FO!Y26,PO!Y26,CO!Y26,FE!Y26,PE!Y26)</f>
        <v>0</v>
      </c>
      <c r="Z26" s="84">
        <f>SUM(FO!Z26,PO!Z26,CO!Z26,FE!Z26,PE!Z26)</f>
        <v>0</v>
      </c>
      <c r="AA26" s="84">
        <f>SUM(FO!AA26,PO!AA26,CO!AA26,FE!AA26,PE!AA26)</f>
        <v>0</v>
      </c>
      <c r="AB26" s="84">
        <f>SUM(FO!AB26,PO!AB26,CO!AB26,FE!AB26,PE!AB26)</f>
        <v>0</v>
      </c>
      <c r="AC26" s="84">
        <f>SUM(FO!AC26,PO!AC26,CO!AC26,FE!AC26,PE!AC26)</f>
        <v>0</v>
      </c>
      <c r="AD26" s="84">
        <f>SUM(FO!AD26,PO!AD26,CO!AD26,FE!AD26,PE!AD26)</f>
        <v>0</v>
      </c>
      <c r="AE26" s="84">
        <f>SUM(FO!AE26,PO!AE26,CO!AE26,FE!AE26,PE!AE26)</f>
        <v>0</v>
      </c>
      <c r="AF26" s="84">
        <f>SUM(FO!AF26,PO!AF26,CO!AF26,FE!AF26,PE!AF26)</f>
        <v>0</v>
      </c>
      <c r="AG26" s="84">
        <f t="shared" si="6"/>
        <v>0</v>
      </c>
      <c r="AH26" s="105" t="str">
        <f t="shared" si="7"/>
        <v/>
      </c>
      <c r="AJ26" s="84">
        <f t="shared" si="8"/>
        <v>7712.66</v>
      </c>
    </row>
    <row r="27" spans="1:36" x14ac:dyDescent="0.3">
      <c r="A27" s="118" t="s">
        <v>113</v>
      </c>
      <c r="B27" s="110">
        <f t="shared" ref="B27:M27" si="9">SUM(B24:B26)</f>
        <v>2370.3000000000002</v>
      </c>
      <c r="C27" s="110">
        <f t="shared" si="9"/>
        <v>4170.05</v>
      </c>
      <c r="D27" s="110">
        <f t="shared" si="9"/>
        <v>13325.580000000002</v>
      </c>
      <c r="E27" s="110">
        <f t="shared" si="9"/>
        <v>11056.15</v>
      </c>
      <c r="F27" s="110">
        <f t="shared" si="9"/>
        <v>177.67000000000002</v>
      </c>
      <c r="G27" s="110">
        <f t="shared" si="9"/>
        <v>-662.71</v>
      </c>
      <c r="H27" s="110">
        <f t="shared" si="9"/>
        <v>852.51</v>
      </c>
      <c r="I27" s="110">
        <f t="shared" si="9"/>
        <v>4918.25</v>
      </c>
      <c r="J27" s="110">
        <f t="shared" si="9"/>
        <v>9000</v>
      </c>
      <c r="K27" s="110">
        <f t="shared" si="9"/>
        <v>5600</v>
      </c>
      <c r="L27" s="110">
        <f t="shared" si="9"/>
        <v>5600</v>
      </c>
      <c r="M27" s="110">
        <f t="shared" si="9"/>
        <v>5600</v>
      </c>
      <c r="N27" s="110">
        <f t="shared" si="4"/>
        <v>62007.8</v>
      </c>
      <c r="O27" s="111">
        <f t="shared" si="5"/>
        <v>8.3524117671031871E-3</v>
      </c>
      <c r="P27" s="84"/>
      <c r="Q27" s="84"/>
      <c r="R27" s="84"/>
      <c r="S27" s="84"/>
      <c r="T27" s="84"/>
      <c r="U27" s="110">
        <f t="shared" ref="U27:AF27" si="10">SUM(U24:U26)</f>
        <v>0</v>
      </c>
      <c r="V27" s="110">
        <f t="shared" si="10"/>
        <v>0</v>
      </c>
      <c r="W27" s="110">
        <f t="shared" si="10"/>
        <v>0</v>
      </c>
      <c r="X27" s="110">
        <f t="shared" si="10"/>
        <v>0</v>
      </c>
      <c r="Y27" s="110">
        <f t="shared" si="10"/>
        <v>0</v>
      </c>
      <c r="Z27" s="110">
        <f t="shared" si="10"/>
        <v>0</v>
      </c>
      <c r="AA27" s="110">
        <f t="shared" si="10"/>
        <v>0</v>
      </c>
      <c r="AB27" s="110">
        <f t="shared" si="10"/>
        <v>0</v>
      </c>
      <c r="AC27" s="110">
        <f t="shared" si="10"/>
        <v>0</v>
      </c>
      <c r="AD27" s="110">
        <f t="shared" si="10"/>
        <v>0</v>
      </c>
      <c r="AE27" s="110">
        <f t="shared" si="10"/>
        <v>0</v>
      </c>
      <c r="AF27" s="110">
        <f t="shared" si="10"/>
        <v>0</v>
      </c>
      <c r="AG27" s="110">
        <f t="shared" si="6"/>
        <v>0</v>
      </c>
      <c r="AH27" s="111" t="str">
        <f t="shared" si="7"/>
        <v/>
      </c>
      <c r="AJ27" s="110">
        <f t="shared" si="8"/>
        <v>62007.8</v>
      </c>
    </row>
    <row r="28" spans="1:36" x14ac:dyDescent="0.3">
      <c r="A28" s="103" t="s">
        <v>114</v>
      </c>
      <c r="B28" s="84">
        <f>SUM(FO!B28,PO!B28,CO!B28,FE!B28,PE!B28)</f>
        <v>3122.9</v>
      </c>
      <c r="C28" s="84">
        <f>SUM(FO!C28,PO!C28,CO!C28,FE!C28,PE!C28)</f>
        <v>4790.6499999999996</v>
      </c>
      <c r="D28" s="84">
        <f>SUM(FO!D28,PO!D28,CO!D28,FE!D28,PE!D28)</f>
        <v>8308.32</v>
      </c>
      <c r="E28" s="84">
        <f>SUM(FO!E28,PO!E28,CO!E28,FE!E28,PE!E28)</f>
        <v>7596.05</v>
      </c>
      <c r="F28" s="84">
        <f>SUM(FO!F28,PO!F28,CO!F28,FE!F28,PE!F28)</f>
        <v>983.17</v>
      </c>
      <c r="G28" s="84">
        <f>SUM(FO!G28,PO!G28,CO!G28,FE!G28,PE!G28)</f>
        <v>1367.92</v>
      </c>
      <c r="H28" s="84">
        <f>SUM(FO!H28,PO!H28,CO!H28,FE!H28,PE!H28)</f>
        <v>3130.51</v>
      </c>
      <c r="I28" s="84">
        <f>SUM(FO!I28,PO!I28,CO!I28,FE!I28,PE!I28)</f>
        <v>5242.04</v>
      </c>
      <c r="J28" s="84">
        <f>SUM(FO!J28,PO!J28,CO!J28,FE!J28,PE!J28)</f>
        <v>6200</v>
      </c>
      <c r="K28" s="84">
        <f>SUM(FO!K28,PO!K28,CO!K28,FE!K28,PE!K28)</f>
        <v>4700</v>
      </c>
      <c r="L28" s="84">
        <f>SUM(FO!L28,PO!L28,CO!L28,FE!L28,PE!L28)</f>
        <v>4700</v>
      </c>
      <c r="M28" s="84">
        <f>SUM(FO!M28,PO!M28,CO!M28,FE!M28,PE!M28)</f>
        <v>4700</v>
      </c>
      <c r="N28" s="84">
        <f t="shared" si="4"/>
        <v>54841.56</v>
      </c>
      <c r="O28" s="105">
        <f t="shared" si="5"/>
        <v>7.3871237339543649E-3</v>
      </c>
      <c r="P28" s="84"/>
      <c r="Q28" s="84"/>
      <c r="R28" s="84"/>
      <c r="S28" s="84"/>
      <c r="T28" s="84"/>
      <c r="U28" s="84">
        <f>SUM(FO!U28,PO!U28,CO!U28,FE!U28,PE!U28)</f>
        <v>0</v>
      </c>
      <c r="V28" s="84">
        <f>SUM(FO!V28,PO!V28,CO!V28,FE!V28,PE!V28)</f>
        <v>0</v>
      </c>
      <c r="W28" s="84">
        <f>SUM(FO!W28,PO!W28,CO!W28,FE!W28,PE!W28)</f>
        <v>0</v>
      </c>
      <c r="X28" s="84">
        <f>SUM(FO!X28,PO!X28,CO!X28,FE!X28,PE!X28)</f>
        <v>0</v>
      </c>
      <c r="Y28" s="84">
        <f>SUM(FO!Y28,PO!Y28,CO!Y28,FE!Y28,PE!Y28)</f>
        <v>0</v>
      </c>
      <c r="Z28" s="84">
        <f>SUM(FO!Z28,PO!Z28,CO!Z28,FE!Z28,PE!Z28)</f>
        <v>0</v>
      </c>
      <c r="AA28" s="84">
        <f>SUM(FO!AA28,PO!AA28,CO!AA28,FE!AA28,PE!AA28)</f>
        <v>0</v>
      </c>
      <c r="AB28" s="84">
        <f>SUM(FO!AB28,PO!AB28,CO!AB28,FE!AB28,PE!AB28)</f>
        <v>0</v>
      </c>
      <c r="AC28" s="84">
        <f>SUM(FO!AC28,PO!AC28,CO!AC28,FE!AC28,PE!AC28)</f>
        <v>0</v>
      </c>
      <c r="AD28" s="84">
        <f>SUM(FO!AD28,PO!AD28,CO!AD28,FE!AD28,PE!AD28)</f>
        <v>0</v>
      </c>
      <c r="AE28" s="84">
        <f>SUM(FO!AE28,PO!AE28,CO!AE28,FE!AE28,PE!AE28)</f>
        <v>0</v>
      </c>
      <c r="AF28" s="84">
        <f>SUM(FO!AF28,PO!AF28,CO!AF28,FE!AF28,PE!AF28)</f>
        <v>0</v>
      </c>
      <c r="AG28" s="84">
        <f t="shared" si="6"/>
        <v>0</v>
      </c>
      <c r="AH28" s="105" t="str">
        <f t="shared" si="7"/>
        <v/>
      </c>
      <c r="AJ28" s="84">
        <f t="shared" si="8"/>
        <v>54841.56</v>
      </c>
    </row>
    <row r="29" spans="1:36" x14ac:dyDescent="0.3">
      <c r="A29" s="103" t="s">
        <v>115</v>
      </c>
      <c r="B29" s="84">
        <f>SUM(FO!B29,PO!B29,CO!B29,FE!B29,PE!B29)</f>
        <v>7118.63</v>
      </c>
      <c r="C29" s="84">
        <f>SUM(FO!C29,PO!C29,CO!C29,FE!C29,PE!C29)</f>
        <v>7543.76</v>
      </c>
      <c r="D29" s="84">
        <f>SUM(FO!D29,PO!D29,CO!D29,FE!D29,PE!D29)</f>
        <v>4922.7</v>
      </c>
      <c r="E29" s="84">
        <f>SUM(FO!E29,PO!E29,CO!E29,FE!E29,PE!E29)</f>
        <v>23173.850000000002</v>
      </c>
      <c r="F29" s="84">
        <f>SUM(FO!F29,PO!F29,CO!F29,FE!F29,PE!F29)</f>
        <v>98.92</v>
      </c>
      <c r="G29" s="84">
        <f>SUM(FO!G29,PO!G29,CO!G29,FE!G29,PE!G29)</f>
        <v>114.77000000000001</v>
      </c>
      <c r="H29" s="84">
        <f>SUM(FO!H29,PO!H29,CO!H29,FE!H29,PE!H29)</f>
        <v>0</v>
      </c>
      <c r="I29" s="84">
        <f>SUM(FO!I29,PO!I29,CO!I29,FE!I29,PE!I29)</f>
        <v>3240.99</v>
      </c>
      <c r="J29" s="84">
        <f>SUM(FO!J29,PO!J29,CO!J29,FE!J29,PE!J29)</f>
        <v>17000</v>
      </c>
      <c r="K29" s="84">
        <f>SUM(FO!K29,PO!K29,CO!K29,FE!K29,PE!K29)</f>
        <v>12000</v>
      </c>
      <c r="L29" s="84">
        <f>SUM(FO!L29,PO!L29,CO!L29,FE!L29,PE!L29)</f>
        <v>5000</v>
      </c>
      <c r="M29" s="84">
        <f>SUM(FO!M29,PO!M29,CO!M29,FE!M29,PE!M29)</f>
        <v>5000</v>
      </c>
      <c r="N29" s="84">
        <f t="shared" si="4"/>
        <v>85213.62</v>
      </c>
      <c r="O29" s="105">
        <f t="shared" si="5"/>
        <v>1.1478221165812357E-2</v>
      </c>
      <c r="P29" s="84"/>
      <c r="Q29" s="84"/>
      <c r="R29" s="84"/>
      <c r="S29" s="84"/>
      <c r="T29" s="84"/>
      <c r="U29" s="84">
        <f>SUM(FO!U29,PO!U29,CO!U29,FE!U29,PE!U29)</f>
        <v>0</v>
      </c>
      <c r="V29" s="84">
        <f>SUM(FO!V29,PO!V29,CO!V29,FE!V29,PE!V29)</f>
        <v>0</v>
      </c>
      <c r="W29" s="84">
        <f>SUM(FO!W29,PO!W29,CO!W29,FE!W29,PE!W29)</f>
        <v>0</v>
      </c>
      <c r="X29" s="84">
        <f>SUM(FO!X29,PO!X29,CO!X29,FE!X29,PE!X29)</f>
        <v>0</v>
      </c>
      <c r="Y29" s="84">
        <f>SUM(FO!Y29,PO!Y29,CO!Y29,FE!Y29,PE!Y29)</f>
        <v>0</v>
      </c>
      <c r="Z29" s="84">
        <f>SUM(FO!Z29,PO!Z29,CO!Z29,FE!Z29,PE!Z29)</f>
        <v>0</v>
      </c>
      <c r="AA29" s="84">
        <f>SUM(FO!AA29,PO!AA29,CO!AA29,FE!AA29,PE!AA29)</f>
        <v>0</v>
      </c>
      <c r="AB29" s="84">
        <f>SUM(FO!AB29,PO!AB29,CO!AB29,FE!AB29,PE!AB29)</f>
        <v>0</v>
      </c>
      <c r="AC29" s="84">
        <f>SUM(FO!AC29,PO!AC29,CO!AC29,FE!AC29,PE!AC29)</f>
        <v>0</v>
      </c>
      <c r="AD29" s="84">
        <f>SUM(FO!AD29,PO!AD29,CO!AD29,FE!AD29,PE!AD29)</f>
        <v>0</v>
      </c>
      <c r="AE29" s="84">
        <f>SUM(FO!AE29,PO!AE29,CO!AE29,FE!AE29,PE!AE29)</f>
        <v>0</v>
      </c>
      <c r="AF29" s="84">
        <f>SUM(FO!AF29,PO!AF29,CO!AF29,FE!AF29,PE!AF29)</f>
        <v>0</v>
      </c>
      <c r="AG29" s="84">
        <f t="shared" si="6"/>
        <v>0</v>
      </c>
      <c r="AH29" s="105" t="str">
        <f t="shared" si="7"/>
        <v/>
      </c>
      <c r="AJ29" s="84">
        <f t="shared" si="8"/>
        <v>85213.62</v>
      </c>
    </row>
    <row r="30" spans="1:36" x14ac:dyDescent="0.3">
      <c r="A30" s="103" t="s">
        <v>116</v>
      </c>
      <c r="B30" s="84">
        <f>SUM(FO!B30,PO!B30,CO!B30,FE!B30,PE!B30)</f>
        <v>6383.6900000000005</v>
      </c>
      <c r="C30" s="84">
        <f>SUM(FO!C30,PO!C30,CO!C30,FE!C30,PE!C30)</f>
        <v>4522.1100000000006</v>
      </c>
      <c r="D30" s="84">
        <f>SUM(FO!D30,PO!D30,CO!D30,FE!D30,PE!D30)</f>
        <v>6516.64</v>
      </c>
      <c r="E30" s="84">
        <f>SUM(FO!E30,PO!E30,CO!E30,FE!E30,PE!E30)</f>
        <v>4232.2299999999996</v>
      </c>
      <c r="F30" s="84">
        <f>SUM(FO!F30,PO!F30,CO!F30,FE!F30,PE!F30)</f>
        <v>13531.9</v>
      </c>
      <c r="G30" s="84">
        <f>SUM(FO!G30,PO!G30,CO!G30,FE!G30,PE!G30)</f>
        <v>4225.43</v>
      </c>
      <c r="H30" s="84">
        <f>SUM(FO!H30,PO!H30,CO!H30,FE!H30,PE!H30)</f>
        <v>5242.75</v>
      </c>
      <c r="I30" s="84">
        <f>SUM(FO!I30,PO!I30,CO!I30,FE!I30,PE!I30)</f>
        <v>8155.6100000000006</v>
      </c>
      <c r="J30" s="84">
        <f>SUM(FO!J30,PO!J30,CO!J30,FE!J30,PE!J30)</f>
        <v>13000</v>
      </c>
      <c r="K30" s="84">
        <f>SUM(FO!K30,PO!K30,CO!K30,FE!K30,PE!K30)</f>
        <v>13000</v>
      </c>
      <c r="L30" s="84">
        <f>SUM(FO!L30,PO!L30,CO!L30,FE!L30,PE!L30)</f>
        <v>9000</v>
      </c>
      <c r="M30" s="84">
        <f>SUM(FO!M30,PO!M30,CO!M30,FE!M30,PE!M30)</f>
        <v>7000</v>
      </c>
      <c r="N30" s="84">
        <f t="shared" si="4"/>
        <v>94810.36</v>
      </c>
      <c r="O30" s="105">
        <f t="shared" si="5"/>
        <v>1.2770896024488682E-2</v>
      </c>
      <c r="P30" s="84"/>
      <c r="Q30" s="84"/>
      <c r="R30" s="84"/>
      <c r="S30" s="84"/>
      <c r="T30" s="84"/>
      <c r="U30" s="84">
        <f>SUM(FO!U30,PO!U30,CO!U30,FE!U30,PE!U30)</f>
        <v>0</v>
      </c>
      <c r="V30" s="84">
        <f>SUM(FO!V30,PO!V30,CO!V30,FE!V30,PE!V30)</f>
        <v>0</v>
      </c>
      <c r="W30" s="84">
        <f>SUM(FO!W30,PO!W30,CO!W30,FE!W30,PE!W30)</f>
        <v>0</v>
      </c>
      <c r="X30" s="84">
        <f>SUM(FO!X30,PO!X30,CO!X30,FE!X30,PE!X30)</f>
        <v>0</v>
      </c>
      <c r="Y30" s="84">
        <f>SUM(FO!Y30,PO!Y30,CO!Y30,FE!Y30,PE!Y30)</f>
        <v>0</v>
      </c>
      <c r="Z30" s="84">
        <f>SUM(FO!Z30,PO!Z30,CO!Z30,FE!Z30,PE!Z30)</f>
        <v>0</v>
      </c>
      <c r="AA30" s="84">
        <f>SUM(FO!AA30,PO!AA30,CO!AA30,FE!AA30,PE!AA30)</f>
        <v>0</v>
      </c>
      <c r="AB30" s="84">
        <f>SUM(FO!AB30,PO!AB30,CO!AB30,FE!AB30,PE!AB30)</f>
        <v>0</v>
      </c>
      <c r="AC30" s="84">
        <f>SUM(FO!AC30,PO!AC30,CO!AC30,FE!AC30,PE!AC30)</f>
        <v>0</v>
      </c>
      <c r="AD30" s="84">
        <f>SUM(FO!AD30,PO!AD30,CO!AD30,FE!AD30,PE!AD30)</f>
        <v>0</v>
      </c>
      <c r="AE30" s="84">
        <f>SUM(FO!AE30,PO!AE30,CO!AE30,FE!AE30,PE!AE30)</f>
        <v>0</v>
      </c>
      <c r="AF30" s="84">
        <f>SUM(FO!AF30,PO!AF30,CO!AF30,FE!AF30,PE!AF30)</f>
        <v>0</v>
      </c>
      <c r="AG30" s="84">
        <f t="shared" si="6"/>
        <v>0</v>
      </c>
      <c r="AH30" s="105" t="str">
        <f t="shared" si="7"/>
        <v/>
      </c>
      <c r="AJ30" s="84">
        <f t="shared" si="8"/>
        <v>94810.36</v>
      </c>
    </row>
    <row r="31" spans="1:36" x14ac:dyDescent="0.3">
      <c r="A31" s="103" t="s">
        <v>117</v>
      </c>
      <c r="B31" s="84">
        <f>SUM(FO!B31,PO!B31,CO!B31,FE!B31,PE!B31)</f>
        <v>635.5</v>
      </c>
      <c r="C31" s="84">
        <f>SUM(FO!C31,PO!C31,CO!C31,FE!C31,PE!C31)</f>
        <v>723.15</v>
      </c>
      <c r="D31" s="84">
        <f>SUM(FO!D31,PO!D31,CO!D31,FE!D31,PE!D31)</f>
        <v>1053.77</v>
      </c>
      <c r="E31" s="84">
        <f>SUM(FO!E31,PO!E31,CO!E31,FE!E31,PE!E31)</f>
        <v>890.31000000000006</v>
      </c>
      <c r="F31" s="84">
        <f>SUM(FO!F31,PO!F31,CO!F31,FE!F31,PE!F31)</f>
        <v>1479.8</v>
      </c>
      <c r="G31" s="84">
        <f>SUM(FO!G31,PO!G31,CO!G31,FE!G31,PE!G31)</f>
        <v>248.89000000000001</v>
      </c>
      <c r="H31" s="84">
        <f>SUM(FO!H31,PO!H31,CO!H31,FE!H31,PE!H31)</f>
        <v>602.41</v>
      </c>
      <c r="I31" s="84">
        <f>SUM(FO!I31,PO!I31,CO!I31,FE!I31,PE!I31)</f>
        <v>1368.8600000000001</v>
      </c>
      <c r="J31" s="84">
        <f>SUM(FO!J31,PO!J31,CO!J31,FE!J31,PE!J31)</f>
        <v>1400</v>
      </c>
      <c r="K31" s="84">
        <f>SUM(FO!K31,PO!K31,CO!K31,FE!K31,PE!K31)</f>
        <v>1400</v>
      </c>
      <c r="L31" s="84">
        <f>SUM(FO!L31,PO!L31,CO!L31,FE!L31,PE!L31)</f>
        <v>1000</v>
      </c>
      <c r="M31" s="84">
        <f>SUM(FO!M31,PO!M31,CO!M31,FE!M31,PE!M31)</f>
        <v>800</v>
      </c>
      <c r="N31" s="84">
        <f t="shared" si="4"/>
        <v>11602.69</v>
      </c>
      <c r="O31" s="105">
        <f t="shared" si="5"/>
        <v>1.5628750654925749E-3</v>
      </c>
      <c r="P31" s="84"/>
      <c r="Q31" s="84"/>
      <c r="R31" s="84"/>
      <c r="S31" s="84"/>
      <c r="T31" s="84"/>
      <c r="U31" s="84">
        <f>SUM(FO!U31,PO!U31,CO!U31,FE!U31,PE!U31)</f>
        <v>0</v>
      </c>
      <c r="V31" s="84">
        <f>SUM(FO!V31,PO!V31,CO!V31,FE!V31,PE!V31)</f>
        <v>0</v>
      </c>
      <c r="W31" s="84">
        <f>SUM(FO!W31,PO!W31,CO!W31,FE!W31,PE!W31)</f>
        <v>0</v>
      </c>
      <c r="X31" s="84">
        <f>SUM(FO!X31,PO!X31,CO!X31,FE!X31,PE!X31)</f>
        <v>0</v>
      </c>
      <c r="Y31" s="84">
        <f>SUM(FO!Y31,PO!Y31,CO!Y31,FE!Y31,PE!Y31)</f>
        <v>0</v>
      </c>
      <c r="Z31" s="84">
        <f>SUM(FO!Z31,PO!Z31,CO!Z31,FE!Z31,PE!Z31)</f>
        <v>0</v>
      </c>
      <c r="AA31" s="84">
        <f>SUM(FO!AA31,PO!AA31,CO!AA31,FE!AA31,PE!AA31)</f>
        <v>0</v>
      </c>
      <c r="AB31" s="84">
        <f>SUM(FO!AB31,PO!AB31,CO!AB31,FE!AB31,PE!AB31)</f>
        <v>0</v>
      </c>
      <c r="AC31" s="84">
        <f>SUM(FO!AC31,PO!AC31,CO!AC31,FE!AC31,PE!AC31)</f>
        <v>0</v>
      </c>
      <c r="AD31" s="84">
        <f>SUM(FO!AD31,PO!AD31,CO!AD31,FE!AD31,PE!AD31)</f>
        <v>0</v>
      </c>
      <c r="AE31" s="84">
        <f>SUM(FO!AE31,PO!AE31,CO!AE31,FE!AE31,PE!AE31)</f>
        <v>0</v>
      </c>
      <c r="AF31" s="84">
        <f>SUM(FO!AF31,PO!AF31,CO!AF31,FE!AF31,PE!AF31)</f>
        <v>0</v>
      </c>
      <c r="AG31" s="84">
        <f t="shared" si="6"/>
        <v>0</v>
      </c>
      <c r="AH31" s="105" t="str">
        <f t="shared" si="7"/>
        <v/>
      </c>
      <c r="AJ31" s="84">
        <f t="shared" si="8"/>
        <v>11602.69</v>
      </c>
    </row>
    <row r="32" spans="1:36" x14ac:dyDescent="0.3">
      <c r="A32" s="115" t="s">
        <v>118</v>
      </c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105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105"/>
      <c r="AJ32" s="84"/>
    </row>
    <row r="33" spans="1:36" x14ac:dyDescent="0.3">
      <c r="A33" s="116" t="s">
        <v>119</v>
      </c>
      <c r="B33" s="84">
        <f>SUM(FO!B33,PO!B33,CO!B33,FE!B33,PE!B33)</f>
        <v>0</v>
      </c>
      <c r="C33" s="84">
        <f>SUM(FO!C33,PO!C33,CO!C33,FE!C33,PE!C33)</f>
        <v>29333.47</v>
      </c>
      <c r="D33" s="84">
        <f>SUM(FO!D33,PO!D33,CO!D33,FE!D33,PE!D33)</f>
        <v>11889.739999999998</v>
      </c>
      <c r="E33" s="84">
        <f>SUM(FO!E33,PO!E33,CO!E33,FE!E33,PE!E33)</f>
        <v>21646.720000000001</v>
      </c>
      <c r="F33" s="84">
        <f>SUM(FO!F33,PO!F33,CO!F33,FE!F33,PE!F33)</f>
        <v>17259.93</v>
      </c>
      <c r="G33" s="84">
        <f>SUM(FO!G33,PO!G33,CO!G33,FE!G33,PE!G33)</f>
        <v>17454.2</v>
      </c>
      <c r="H33" s="84">
        <f>SUM(FO!H33,PO!H33,CO!H33,FE!H33,PE!H33)</f>
        <v>20023.740000000002</v>
      </c>
      <c r="I33" s="84">
        <f>SUM(FO!I33,PO!I33,CO!I33,FE!I33,PE!I33)</f>
        <v>14849.42</v>
      </c>
      <c r="J33" s="84">
        <f>SUM(FO!J33,PO!J33,CO!J33,FE!J33,PE!J33)</f>
        <v>17500</v>
      </c>
      <c r="K33" s="84">
        <f>SUM(FO!K33,PO!K33,CO!K33,FE!K33,PE!K33)</f>
        <v>17500</v>
      </c>
      <c r="L33" s="84">
        <f>SUM(FO!L33,PO!L33,CO!L33,FE!L33,PE!L33)</f>
        <v>17500</v>
      </c>
      <c r="M33" s="84">
        <f>SUM(FO!M33,PO!M33,CO!M33,FE!M33,PE!M33)</f>
        <v>17500</v>
      </c>
      <c r="N33" s="84">
        <f t="shared" ref="N33:N42" si="11">SUM(B33:M33)</f>
        <v>202457.22</v>
      </c>
      <c r="O33" s="105">
        <f t="shared" ref="O33:O42" si="12">IFERROR(N33/N$16,"")</f>
        <v>2.7270860547592379E-2</v>
      </c>
      <c r="P33" s="84"/>
      <c r="Q33" s="84"/>
      <c r="R33" s="84"/>
      <c r="S33" s="84"/>
      <c r="T33" s="84"/>
      <c r="U33" s="84">
        <f>SUM(FO!U33,PO!U33,CO!U33,FE!U33,PE!U33)</f>
        <v>43450</v>
      </c>
      <c r="V33" s="84">
        <f>SUM(FO!V33,PO!V33,CO!V33,FE!V33,PE!V33)</f>
        <v>43450</v>
      </c>
      <c r="W33" s="84">
        <f>SUM(FO!W33,PO!W33,CO!W33,FE!W33,PE!W33)</f>
        <v>43450</v>
      </c>
      <c r="X33" s="84">
        <f>SUM(FO!X33,PO!X33,CO!X33,FE!X33,PE!X33)</f>
        <v>43450</v>
      </c>
      <c r="Y33" s="84">
        <f>SUM(FO!Y33,PO!Y33,CO!Y33,FE!Y33,PE!Y33)</f>
        <v>43450</v>
      </c>
      <c r="Z33" s="84">
        <f>SUM(FO!Z33,PO!Z33,CO!Z33,FE!Z33,PE!Z33)</f>
        <v>43450</v>
      </c>
      <c r="AA33" s="84">
        <f>SUM(FO!AA33,PO!AA33,CO!AA33,FE!AA33,PE!AA33)</f>
        <v>43450</v>
      </c>
      <c r="AB33" s="84">
        <f>SUM(FO!AB33,PO!AB33,CO!AB33,FE!AB33,PE!AB33)</f>
        <v>43450</v>
      </c>
      <c r="AC33" s="84">
        <f>SUM(FO!AC33,PO!AC33,CO!AC33,FE!AC33,PE!AC33)</f>
        <v>43450</v>
      </c>
      <c r="AD33" s="84">
        <f>SUM(FO!AD33,PO!AD33,CO!AD33,FE!AD33,PE!AD33)</f>
        <v>44753.500000000007</v>
      </c>
      <c r="AE33" s="84">
        <f>SUM(FO!AE33,PO!AE33,CO!AE33,FE!AE33,PE!AE33)</f>
        <v>44753.500000000007</v>
      </c>
      <c r="AF33" s="84">
        <f>SUM(FO!AF33,PO!AF33,CO!AF33,FE!AF33,PE!AF33)</f>
        <v>44753.500000000007</v>
      </c>
      <c r="AG33" s="84">
        <f t="shared" ref="AG33:AG42" si="13">SUM(U33:AF33)</f>
        <v>525310.5</v>
      </c>
      <c r="AH33" s="105" t="str">
        <f t="shared" ref="AH33:AH42" si="14">IFERROR(AG33/AG$16,"")</f>
        <v/>
      </c>
      <c r="AJ33" s="84">
        <f t="shared" ref="AJ33:AJ42" si="15">N33-AG33</f>
        <v>-322853.28000000003</v>
      </c>
    </row>
    <row r="34" spans="1:36" x14ac:dyDescent="0.3">
      <c r="A34" s="116" t="s">
        <v>120</v>
      </c>
      <c r="B34" s="84">
        <f>SUM(FO!B34,PO!B34,CO!B34,FE!B34,PE!B34)</f>
        <v>0</v>
      </c>
      <c r="C34" s="84">
        <f>SUM(FO!C34,PO!C34,CO!C34,FE!C34,PE!C34)</f>
        <v>842.83999999999992</v>
      </c>
      <c r="D34" s="84">
        <f>SUM(FO!D34,PO!D34,CO!D34,FE!D34,PE!D34)</f>
        <v>1357.58</v>
      </c>
      <c r="E34" s="84">
        <f>SUM(FO!E34,PO!E34,CO!E34,FE!E34,PE!E34)</f>
        <v>703.54</v>
      </c>
      <c r="F34" s="84">
        <f>SUM(FO!F34,PO!F34,CO!F34,FE!F34,PE!F34)</f>
        <v>618.04</v>
      </c>
      <c r="G34" s="84">
        <f>SUM(FO!G34,PO!G34,CO!G34,FE!G34,PE!G34)</f>
        <v>634.79</v>
      </c>
      <c r="H34" s="84">
        <f>SUM(FO!H34,PO!H34,CO!H34,FE!H34,PE!H34)</f>
        <v>768.4</v>
      </c>
      <c r="I34" s="84">
        <f>SUM(FO!I34,PO!I34,CO!I34,FE!I34,PE!I34)</f>
        <v>592.79</v>
      </c>
      <c r="J34" s="84">
        <f>SUM(FO!J34,PO!J34,CO!J34,FE!J34,PE!J34)</f>
        <v>648</v>
      </c>
      <c r="K34" s="84">
        <f>SUM(FO!K34,PO!K34,CO!K34,FE!K34,PE!K34)</f>
        <v>648</v>
      </c>
      <c r="L34" s="84">
        <f>SUM(FO!L34,PO!L34,CO!L34,FE!L34,PE!L34)</f>
        <v>648</v>
      </c>
      <c r="M34" s="84">
        <f>SUM(FO!M34,PO!M34,CO!M34,FE!M34,PE!M34)</f>
        <v>648</v>
      </c>
      <c r="N34" s="84">
        <f t="shared" si="11"/>
        <v>8109.98</v>
      </c>
      <c r="O34" s="105">
        <f t="shared" si="12"/>
        <v>1.0924092192106719E-3</v>
      </c>
      <c r="P34" s="84"/>
      <c r="Q34" s="84"/>
      <c r="R34" s="84"/>
      <c r="S34" s="84"/>
      <c r="T34" s="84"/>
      <c r="U34" s="84">
        <f>SUM(FO!U34,PO!U34,CO!U34,FE!U34,PE!U34)</f>
        <v>1580.2285696279405</v>
      </c>
      <c r="V34" s="84">
        <f>SUM(FO!V34,PO!V34,CO!V34,FE!V34,PE!V34)</f>
        <v>1580.2285696279405</v>
      </c>
      <c r="W34" s="84">
        <f>SUM(FO!W34,PO!W34,CO!W34,FE!W34,PE!W34)</f>
        <v>1580.2285696279405</v>
      </c>
      <c r="X34" s="84">
        <f>SUM(FO!X34,PO!X34,CO!X34,FE!X34,PE!X34)</f>
        <v>1580.2285696279405</v>
      </c>
      <c r="Y34" s="84">
        <f>SUM(FO!Y34,PO!Y34,CO!Y34,FE!Y34,PE!Y34)</f>
        <v>1580.2285696279405</v>
      </c>
      <c r="Z34" s="84">
        <f>SUM(FO!Z34,PO!Z34,CO!Z34,FE!Z34,PE!Z34)</f>
        <v>1580.2285696279405</v>
      </c>
      <c r="AA34" s="84">
        <f>SUM(FO!AA34,PO!AA34,CO!AA34,FE!AA34,PE!AA34)</f>
        <v>1580.2285696279405</v>
      </c>
      <c r="AB34" s="84">
        <f>SUM(FO!AB34,PO!AB34,CO!AB34,FE!AB34,PE!AB34)</f>
        <v>1580.2285696279405</v>
      </c>
      <c r="AC34" s="84">
        <f>SUM(FO!AC34,PO!AC34,CO!AC34,FE!AC34,PE!AC34)</f>
        <v>1580.2285696279405</v>
      </c>
      <c r="AD34" s="84">
        <f>SUM(FO!AD34,PO!AD34,CO!AD34,FE!AD34,PE!AD34)</f>
        <v>1627.635426716779</v>
      </c>
      <c r="AE34" s="84">
        <f>SUM(FO!AE34,PO!AE34,CO!AE34,FE!AE34,PE!AE34)</f>
        <v>1627.635426716779</v>
      </c>
      <c r="AF34" s="84">
        <f>SUM(FO!AF34,PO!AF34,CO!AF34,FE!AF34,PE!AF34)</f>
        <v>1627.635426716779</v>
      </c>
      <c r="AG34" s="84">
        <f t="shared" si="13"/>
        <v>19104.963406801799</v>
      </c>
      <c r="AH34" s="105" t="str">
        <f t="shared" si="14"/>
        <v/>
      </c>
      <c r="AJ34" s="84">
        <f t="shared" si="15"/>
        <v>-10994.983406801799</v>
      </c>
    </row>
    <row r="35" spans="1:36" x14ac:dyDescent="0.3">
      <c r="A35" s="116" t="s">
        <v>121</v>
      </c>
      <c r="B35" s="84">
        <f>SUM(FO!B35,PO!B35,CO!B35,FE!B35,PE!B35)</f>
        <v>-18903.269999999997</v>
      </c>
      <c r="C35" s="84">
        <f>SUM(FO!C35,PO!C35,CO!C35,FE!C35,PE!C35)</f>
        <v>-7499.98</v>
      </c>
      <c r="D35" s="84">
        <f>SUM(FO!D35,PO!D35,CO!D35,FE!D35,PE!D35)</f>
        <v>1464.77</v>
      </c>
      <c r="E35" s="84">
        <f>SUM(FO!E35,PO!E35,CO!E35,FE!E35,PE!E35)</f>
        <v>2876.74</v>
      </c>
      <c r="F35" s="84">
        <f>SUM(FO!F35,PO!F35,CO!F35,FE!F35,PE!F35)</f>
        <v>4138.12</v>
      </c>
      <c r="G35" s="84">
        <f>SUM(FO!G35,PO!G35,CO!G35,FE!G35,PE!G35)</f>
        <v>3992.14</v>
      </c>
      <c r="H35" s="84">
        <f>SUM(FO!H35,PO!H35,CO!H35,FE!H35,PE!H35)</f>
        <v>-6793.75</v>
      </c>
      <c r="I35" s="84">
        <f>SUM(FO!I35,PO!I35,CO!I35,FE!I35,PE!I35)</f>
        <v>2732.36</v>
      </c>
      <c r="J35" s="84">
        <f>SUM(FO!J35,PO!J35,CO!J35,FE!J35,PE!J35)</f>
        <v>4000</v>
      </c>
      <c r="K35" s="84">
        <f>SUM(FO!K35,PO!K35,CO!K35,FE!K35,PE!K35)</f>
        <v>4000</v>
      </c>
      <c r="L35" s="84">
        <f>SUM(FO!L35,PO!L35,CO!L35,FE!L35,PE!L35)</f>
        <v>4000</v>
      </c>
      <c r="M35" s="84">
        <f>SUM(FO!M35,PO!M35,CO!M35,FE!M35,PE!M35)</f>
        <v>4000</v>
      </c>
      <c r="N35" s="84">
        <f t="shared" si="11"/>
        <v>-1992.869999999999</v>
      </c>
      <c r="O35" s="105">
        <f t="shared" si="12"/>
        <v>-2.6843833902036389E-4</v>
      </c>
      <c r="P35" s="84"/>
      <c r="Q35" s="84"/>
      <c r="R35" s="84"/>
      <c r="S35" s="84"/>
      <c r="T35" s="84"/>
      <c r="U35" s="84">
        <f>SUM(FO!U35,PO!U35,CO!U35,FE!U35,PE!U35)</f>
        <v>8966.4587509947323</v>
      </c>
      <c r="V35" s="84">
        <f>SUM(FO!V35,PO!V35,CO!V35,FE!V35,PE!V35)</f>
        <v>8966.4587509947323</v>
      </c>
      <c r="W35" s="84">
        <f>SUM(FO!W35,PO!W35,CO!W35,FE!W35,PE!W35)</f>
        <v>8966.4587509947323</v>
      </c>
      <c r="X35" s="84">
        <f>SUM(FO!X35,PO!X35,CO!X35,FE!X35,PE!X35)</f>
        <v>8966.4587509947323</v>
      </c>
      <c r="Y35" s="84">
        <f>SUM(FO!Y35,PO!Y35,CO!Y35,FE!Y35,PE!Y35)</f>
        <v>8966.4587509947323</v>
      </c>
      <c r="Z35" s="84">
        <f>SUM(FO!Z35,PO!Z35,CO!Z35,FE!Z35,PE!Z35)</f>
        <v>8966.4587509947323</v>
      </c>
      <c r="AA35" s="84">
        <f>SUM(FO!AA35,PO!AA35,CO!AA35,FE!AA35,PE!AA35)</f>
        <v>8966.4587509947323</v>
      </c>
      <c r="AB35" s="84">
        <f>SUM(FO!AB35,PO!AB35,CO!AB35,FE!AB35,PE!AB35)</f>
        <v>8966.4587509947323</v>
      </c>
      <c r="AC35" s="84">
        <f>SUM(FO!AC35,PO!AC35,CO!AC35,FE!AC35,PE!AC35)</f>
        <v>8966.4587509947323</v>
      </c>
      <c r="AD35" s="84">
        <f>SUM(FO!AD35,PO!AD35,CO!AD35,FE!AD35,PE!AD35)</f>
        <v>9235.4525135245767</v>
      </c>
      <c r="AE35" s="84">
        <f>SUM(FO!AE35,PO!AE35,CO!AE35,FE!AE35,PE!AE35)</f>
        <v>9235.4525135245767</v>
      </c>
      <c r="AF35" s="84">
        <f>SUM(FO!AF35,PO!AF35,CO!AF35,FE!AF35,PE!AF35)</f>
        <v>9235.4525135245767</v>
      </c>
      <c r="AG35" s="84">
        <f t="shared" si="13"/>
        <v>108404.48629952632</v>
      </c>
      <c r="AH35" s="105" t="str">
        <f t="shared" si="14"/>
        <v/>
      </c>
      <c r="AJ35" s="84">
        <f t="shared" si="15"/>
        <v>-110397.35629952632</v>
      </c>
    </row>
    <row r="36" spans="1:36" x14ac:dyDescent="0.3">
      <c r="A36" s="118" t="s">
        <v>122</v>
      </c>
      <c r="B36" s="110">
        <f t="shared" ref="B36:M36" si="16">SUM(B33:B35)</f>
        <v>-18903.269999999997</v>
      </c>
      <c r="C36" s="110">
        <f t="shared" si="16"/>
        <v>22676.33</v>
      </c>
      <c r="D36" s="110">
        <f t="shared" si="16"/>
        <v>14712.089999999998</v>
      </c>
      <c r="E36" s="110">
        <f t="shared" si="16"/>
        <v>25227</v>
      </c>
      <c r="F36" s="110">
        <f t="shared" si="16"/>
        <v>22016.09</v>
      </c>
      <c r="G36" s="110">
        <f t="shared" si="16"/>
        <v>22081.13</v>
      </c>
      <c r="H36" s="110">
        <f t="shared" si="16"/>
        <v>13998.390000000003</v>
      </c>
      <c r="I36" s="110">
        <f t="shared" si="16"/>
        <v>18174.57</v>
      </c>
      <c r="J36" s="110">
        <f t="shared" si="16"/>
        <v>22148</v>
      </c>
      <c r="K36" s="110">
        <f t="shared" si="16"/>
        <v>22148</v>
      </c>
      <c r="L36" s="110">
        <f t="shared" si="16"/>
        <v>22148</v>
      </c>
      <c r="M36" s="110">
        <f t="shared" si="16"/>
        <v>22148</v>
      </c>
      <c r="N36" s="110">
        <f t="shared" si="11"/>
        <v>208574.33000000002</v>
      </c>
      <c r="O36" s="111">
        <f t="shared" si="12"/>
        <v>2.8094831427782688E-2</v>
      </c>
      <c r="P36" s="84"/>
      <c r="Q36" s="84"/>
      <c r="R36" s="84"/>
      <c r="S36" s="84"/>
      <c r="T36" s="84"/>
      <c r="U36" s="110">
        <f t="shared" ref="U36:AF36" si="17">SUM(U33:U35)</f>
        <v>53996.687320622674</v>
      </c>
      <c r="V36" s="110">
        <f t="shared" si="17"/>
        <v>53996.687320622674</v>
      </c>
      <c r="W36" s="110">
        <f t="shared" si="17"/>
        <v>53996.687320622674</v>
      </c>
      <c r="X36" s="110">
        <f t="shared" si="17"/>
        <v>53996.687320622674</v>
      </c>
      <c r="Y36" s="110">
        <f t="shared" si="17"/>
        <v>53996.687320622674</v>
      </c>
      <c r="Z36" s="110">
        <f t="shared" si="17"/>
        <v>53996.687320622674</v>
      </c>
      <c r="AA36" s="110">
        <f t="shared" si="17"/>
        <v>53996.687320622674</v>
      </c>
      <c r="AB36" s="110">
        <f t="shared" si="17"/>
        <v>53996.687320622674</v>
      </c>
      <c r="AC36" s="110">
        <f t="shared" si="17"/>
        <v>53996.687320622674</v>
      </c>
      <c r="AD36" s="110">
        <f t="shared" si="17"/>
        <v>55616.587940241363</v>
      </c>
      <c r="AE36" s="110">
        <f t="shared" si="17"/>
        <v>55616.587940241363</v>
      </c>
      <c r="AF36" s="110">
        <f t="shared" si="17"/>
        <v>55616.587940241363</v>
      </c>
      <c r="AG36" s="110">
        <f t="shared" si="13"/>
        <v>652819.9497063281</v>
      </c>
      <c r="AH36" s="111" t="str">
        <f t="shared" si="14"/>
        <v/>
      </c>
      <c r="AJ36" s="110">
        <f t="shared" si="15"/>
        <v>-444245.61970632809</v>
      </c>
    </row>
    <row r="37" spans="1:36" x14ac:dyDescent="0.3">
      <c r="A37" s="109" t="s">
        <v>123</v>
      </c>
      <c r="B37" s="110">
        <f t="shared" ref="B37:M37" si="18">B19+B22+B27+B28+B29+B30+B31+B36+B20+B21</f>
        <v>150062</v>
      </c>
      <c r="C37" s="110">
        <f t="shared" si="18"/>
        <v>177551.57999999996</v>
      </c>
      <c r="D37" s="110">
        <f t="shared" si="18"/>
        <v>188086.69000000003</v>
      </c>
      <c r="E37" s="110">
        <f t="shared" si="18"/>
        <v>219001.28</v>
      </c>
      <c r="F37" s="110">
        <f t="shared" si="18"/>
        <v>192199.72000000003</v>
      </c>
      <c r="G37" s="110">
        <f t="shared" si="18"/>
        <v>191563.96000000005</v>
      </c>
      <c r="H37" s="110">
        <f t="shared" si="18"/>
        <v>170597.45000000004</v>
      </c>
      <c r="I37" s="110">
        <f t="shared" si="18"/>
        <v>190947.42</v>
      </c>
      <c r="J37" s="110">
        <f t="shared" si="18"/>
        <v>208219.9104761905</v>
      </c>
      <c r="K37" s="110">
        <f t="shared" si="18"/>
        <v>209825.86285714287</v>
      </c>
      <c r="L37" s="110">
        <f t="shared" si="18"/>
        <v>202572.29142857145</v>
      </c>
      <c r="M37" s="110">
        <f t="shared" si="18"/>
        <v>204518.72</v>
      </c>
      <c r="N37" s="110">
        <f t="shared" si="11"/>
        <v>2305146.8847619048</v>
      </c>
      <c r="O37" s="111">
        <f t="shared" si="12"/>
        <v>0.31050183952964933</v>
      </c>
      <c r="P37" s="84"/>
      <c r="Q37" s="84"/>
      <c r="R37" s="84"/>
      <c r="S37" s="84"/>
      <c r="T37" s="84"/>
      <c r="U37" s="110">
        <f t="shared" ref="U37:AF37" si="19">U19+U22+U27+U28+U29+U30+U31+U36+U20+U21</f>
        <v>53996.687320622674</v>
      </c>
      <c r="V37" s="110">
        <f t="shared" si="19"/>
        <v>53996.687320622674</v>
      </c>
      <c r="W37" s="110">
        <f t="shared" si="19"/>
        <v>53996.687320622674</v>
      </c>
      <c r="X37" s="110">
        <f t="shared" si="19"/>
        <v>53996.687320622674</v>
      </c>
      <c r="Y37" s="110">
        <f t="shared" si="19"/>
        <v>53996.687320622674</v>
      </c>
      <c r="Z37" s="110">
        <f t="shared" si="19"/>
        <v>53996.687320622674</v>
      </c>
      <c r="AA37" s="110">
        <f t="shared" si="19"/>
        <v>53996.687320622674</v>
      </c>
      <c r="AB37" s="110">
        <f t="shared" si="19"/>
        <v>53996.687320622674</v>
      </c>
      <c r="AC37" s="110">
        <f t="shared" si="19"/>
        <v>53996.687320622674</v>
      </c>
      <c r="AD37" s="110">
        <f t="shared" si="19"/>
        <v>55616.587940241363</v>
      </c>
      <c r="AE37" s="110">
        <f t="shared" si="19"/>
        <v>55616.587940241363</v>
      </c>
      <c r="AF37" s="110">
        <f t="shared" si="19"/>
        <v>55616.587940241363</v>
      </c>
      <c r="AG37" s="110">
        <f t="shared" si="13"/>
        <v>652819.9497063281</v>
      </c>
      <c r="AH37" s="111" t="str">
        <f t="shared" si="14"/>
        <v/>
      </c>
      <c r="AJ37" s="110">
        <f t="shared" si="15"/>
        <v>1652326.9350555767</v>
      </c>
    </row>
    <row r="38" spans="1:36" x14ac:dyDescent="0.3">
      <c r="A38" s="113" t="s">
        <v>124</v>
      </c>
      <c r="B38" s="84">
        <f>SUM(FO!B38,PO!B38,CO!B38,FE!B38,PE!B38)</f>
        <v>0</v>
      </c>
      <c r="C38" s="84">
        <f>SUM(FO!C38,PO!C38,CO!C38,FE!C38,PE!C38)</f>
        <v>0</v>
      </c>
      <c r="D38" s="84">
        <f>SUM(FO!D38,PO!D38,CO!D38,FE!D38,PE!D38)</f>
        <v>2782.65</v>
      </c>
      <c r="E38" s="84">
        <f>SUM(FO!E38,PO!E38,CO!E38,FE!E38,PE!E38)</f>
        <v>56.1</v>
      </c>
      <c r="F38" s="84">
        <f>SUM(FO!F38,PO!F38,CO!F38,FE!F38,PE!F38)</f>
        <v>0</v>
      </c>
      <c r="G38" s="84">
        <f>SUM(FO!G38,PO!G38,CO!G38,FE!G38,PE!G38)</f>
        <v>-352.47</v>
      </c>
      <c r="H38" s="84">
        <f>SUM(FO!H38,PO!H38,CO!H38,FE!H38,PE!H38)</f>
        <v>0</v>
      </c>
      <c r="I38" s="84">
        <f>SUM(FO!I38,PO!I38,CO!I38,FE!I38,PE!I38)</f>
        <v>0</v>
      </c>
      <c r="J38" s="84">
        <f>SUM(FO!J38,PO!J38,CO!J38,FE!J38,PE!J38)</f>
        <v>0</v>
      </c>
      <c r="K38" s="84">
        <f>SUM(FO!K38,PO!K38,CO!K38,FE!K38,PE!K38)</f>
        <v>0</v>
      </c>
      <c r="L38" s="84">
        <f>SUM(FO!L38,PO!L38,CO!L38,FE!L38,PE!L38)</f>
        <v>0</v>
      </c>
      <c r="M38" s="84">
        <f>SUM(FO!M38,PO!M38,CO!M38,FE!M38,PE!M38)</f>
        <v>0</v>
      </c>
      <c r="N38" s="84">
        <f t="shared" si="11"/>
        <v>2486.2799999999997</v>
      </c>
      <c r="O38" s="105">
        <f t="shared" si="12"/>
        <v>3.3490035654084341E-4</v>
      </c>
      <c r="P38" s="84"/>
      <c r="Q38" s="84"/>
      <c r="R38" s="84"/>
      <c r="S38" s="84"/>
      <c r="T38" s="84"/>
      <c r="U38" s="84">
        <f>SUM(FO!U38,PO!U38,CO!U38,FE!U38,PE!U38)</f>
        <v>0</v>
      </c>
      <c r="V38" s="84">
        <f>SUM(FO!V38,PO!V38,CO!V38,FE!V38,PE!V38)</f>
        <v>0</v>
      </c>
      <c r="W38" s="84">
        <f>SUM(FO!W38,PO!W38,CO!W38,FE!W38,PE!W38)</f>
        <v>0</v>
      </c>
      <c r="X38" s="84">
        <f>SUM(FO!X38,PO!X38,CO!X38,FE!X38,PE!X38)</f>
        <v>0</v>
      </c>
      <c r="Y38" s="84">
        <f>SUM(FO!Y38,PO!Y38,CO!Y38,FE!Y38,PE!Y38)</f>
        <v>0</v>
      </c>
      <c r="Z38" s="84">
        <f>SUM(FO!Z38,PO!Z38,CO!Z38,FE!Z38,PE!Z38)</f>
        <v>0</v>
      </c>
      <c r="AA38" s="84">
        <f>SUM(FO!AA38,PO!AA38,CO!AA38,FE!AA38,PE!AA38)</f>
        <v>0</v>
      </c>
      <c r="AB38" s="84">
        <f>SUM(FO!AB38,PO!AB38,CO!AB38,FE!AB38,PE!AB38)</f>
        <v>0</v>
      </c>
      <c r="AC38" s="84">
        <f>SUM(FO!AC38,PO!AC38,CO!AC38,FE!AC38,PE!AC38)</f>
        <v>0</v>
      </c>
      <c r="AD38" s="84">
        <f>SUM(FO!AD38,PO!AD38,CO!AD38,FE!AD38,PE!AD38)</f>
        <v>0</v>
      </c>
      <c r="AE38" s="84">
        <f>SUM(FO!AE38,PO!AE38,CO!AE38,FE!AE38,PE!AE38)</f>
        <v>0</v>
      </c>
      <c r="AF38" s="84">
        <f>SUM(FO!AF38,PO!AF38,CO!AF38,FE!AF38,PE!AF38)</f>
        <v>0</v>
      </c>
      <c r="AG38" s="84">
        <f t="shared" si="13"/>
        <v>0</v>
      </c>
      <c r="AH38" s="105" t="str">
        <f t="shared" si="14"/>
        <v/>
      </c>
      <c r="AJ38" s="84">
        <f t="shared" si="15"/>
        <v>2486.2799999999997</v>
      </c>
    </row>
    <row r="39" spans="1:36" x14ac:dyDescent="0.3">
      <c r="A39" s="113" t="s">
        <v>125</v>
      </c>
      <c r="B39" s="84">
        <f>SUM(FO!B39,PO!B39,CO!B39,FE!B39,PE!B39)</f>
        <v>0</v>
      </c>
      <c r="C39" s="84">
        <f>SUM(FO!C39,PO!C39,CO!C39,FE!C39,PE!C39)</f>
        <v>0</v>
      </c>
      <c r="D39" s="84">
        <f>SUM(FO!D39,PO!D39,CO!D39,FE!D39,PE!D39)</f>
        <v>0</v>
      </c>
      <c r="E39" s="84">
        <f>SUM(FO!E39,PO!E39,CO!E39,FE!E39,PE!E39)</f>
        <v>0</v>
      </c>
      <c r="F39" s="84">
        <f>SUM(FO!F39,PO!F39,CO!F39,FE!F39,PE!F39)</f>
        <v>6857.32</v>
      </c>
      <c r="G39" s="84">
        <f>SUM(FO!G39,PO!G39,CO!G39,FE!G39,PE!G39)</f>
        <v>0</v>
      </c>
      <c r="H39" s="84">
        <f>SUM(FO!H39,PO!H39,CO!H39,FE!H39,PE!H39)</f>
        <v>10645.5</v>
      </c>
      <c r="I39" s="84">
        <f>SUM(FO!I39,PO!I39,CO!I39,FE!I39,PE!I39)</f>
        <v>6414.69</v>
      </c>
      <c r="J39" s="84">
        <f>SUM(FO!J39,PO!J39,CO!J39,FE!J39,PE!J39)</f>
        <v>3000</v>
      </c>
      <c r="K39" s="84">
        <f>SUM(FO!K39,PO!K39,CO!K39,FE!K39,PE!K39)</f>
        <v>1000</v>
      </c>
      <c r="L39" s="84">
        <f>SUM(FO!L39,PO!L39,CO!L39,FE!L39,PE!L39)</f>
        <v>1000</v>
      </c>
      <c r="M39" s="84">
        <f>SUM(FO!M39,PO!M39,CO!M39,FE!M39,PE!M39)</f>
        <v>1000</v>
      </c>
      <c r="N39" s="84">
        <f t="shared" si="11"/>
        <v>29917.51</v>
      </c>
      <c r="O39" s="105">
        <f t="shared" si="12"/>
        <v>4.0298698319635156E-3</v>
      </c>
      <c r="P39" s="84"/>
      <c r="Q39" s="84"/>
      <c r="R39" s="84"/>
      <c r="S39" s="84"/>
      <c r="T39" s="84"/>
      <c r="U39" s="84">
        <f>SUM(FO!U39,PO!U39,CO!U39,FE!U39,PE!U39)</f>
        <v>0</v>
      </c>
      <c r="V39" s="84">
        <f>SUM(FO!V39,PO!V39,CO!V39,FE!V39,PE!V39)</f>
        <v>0</v>
      </c>
      <c r="W39" s="84">
        <f>SUM(FO!W39,PO!W39,CO!W39,FE!W39,PE!W39)</f>
        <v>0</v>
      </c>
      <c r="X39" s="84">
        <f>SUM(FO!X39,PO!X39,CO!X39,FE!X39,PE!X39)</f>
        <v>0</v>
      </c>
      <c r="Y39" s="84">
        <f>SUM(FO!Y39,PO!Y39,CO!Y39,FE!Y39,PE!Y39)</f>
        <v>0</v>
      </c>
      <c r="Z39" s="84">
        <f>SUM(FO!Z39,PO!Z39,CO!Z39,FE!Z39,PE!Z39)</f>
        <v>0</v>
      </c>
      <c r="AA39" s="84">
        <f>SUM(FO!AA39,PO!AA39,CO!AA39,FE!AA39,PE!AA39)</f>
        <v>0</v>
      </c>
      <c r="AB39" s="84">
        <f>SUM(FO!AB39,PO!AB39,CO!AB39,FE!AB39,PE!AB39)</f>
        <v>0</v>
      </c>
      <c r="AC39" s="84">
        <f>SUM(FO!AC39,PO!AC39,CO!AC39,FE!AC39,PE!AC39)</f>
        <v>0</v>
      </c>
      <c r="AD39" s="84">
        <f>SUM(FO!AD39,PO!AD39,CO!AD39,FE!AD39,PE!AD39)</f>
        <v>0</v>
      </c>
      <c r="AE39" s="84">
        <f>SUM(FO!AE39,PO!AE39,CO!AE39,FE!AE39,PE!AE39)</f>
        <v>0</v>
      </c>
      <c r="AF39" s="84">
        <f>SUM(FO!AF39,PO!AF39,CO!AF39,FE!AF39,PE!AF39)</f>
        <v>0</v>
      </c>
      <c r="AG39" s="84">
        <f t="shared" si="13"/>
        <v>0</v>
      </c>
      <c r="AH39" s="105" t="str">
        <f t="shared" si="14"/>
        <v/>
      </c>
      <c r="AJ39" s="84">
        <f t="shared" si="15"/>
        <v>29917.51</v>
      </c>
    </row>
    <row r="40" spans="1:36" x14ac:dyDescent="0.3">
      <c r="A40" s="113" t="s">
        <v>126</v>
      </c>
      <c r="B40" s="84">
        <f>SUM(FO!B40,PO!B40,CO!B40,FE!B40,PE!B40)</f>
        <v>0</v>
      </c>
      <c r="C40" s="84">
        <f>SUM(FO!C40,PO!C40,CO!C40,FE!C40,PE!C40)</f>
        <v>0</v>
      </c>
      <c r="D40" s="84">
        <f>SUM(FO!D40,PO!D40,CO!D40,FE!D40,PE!D40)</f>
        <v>0</v>
      </c>
      <c r="E40" s="84">
        <f>SUM(FO!E40,PO!E40,CO!E40,FE!E40,PE!E40)</f>
        <v>0</v>
      </c>
      <c r="F40" s="84">
        <f>SUM(FO!F40,PO!F40,CO!F40,FE!F40,PE!F40)</f>
        <v>125</v>
      </c>
      <c r="G40" s="84">
        <f>SUM(FO!G40,PO!G40,CO!G40,FE!G40,PE!G40)</f>
        <v>-362.34</v>
      </c>
      <c r="H40" s="84">
        <f>SUM(FO!H40,PO!H40,CO!H40,FE!H40,PE!H40)</f>
        <v>0</v>
      </c>
      <c r="I40" s="84">
        <f>SUM(FO!I40,PO!I40,CO!I40,FE!I40,PE!I40)</f>
        <v>4095.3</v>
      </c>
      <c r="J40" s="84">
        <f>SUM(FO!J40,PO!J40,CO!J40,FE!J40,PE!J40)</f>
        <v>125</v>
      </c>
      <c r="K40" s="84">
        <f>SUM(FO!K40,PO!K40,CO!K40,FE!K40,PE!K40)</f>
        <v>125</v>
      </c>
      <c r="L40" s="84">
        <f>SUM(FO!L40,PO!L40,CO!L40,FE!L40,PE!L40)</f>
        <v>125</v>
      </c>
      <c r="M40" s="84">
        <f>SUM(FO!M40,PO!M40,CO!M40,FE!M40,PE!M40)</f>
        <v>125</v>
      </c>
      <c r="N40" s="84">
        <f t="shared" si="11"/>
        <v>4357.96</v>
      </c>
      <c r="O40" s="105">
        <f t="shared" si="12"/>
        <v>5.8701447857471161E-4</v>
      </c>
      <c r="P40" s="84"/>
      <c r="Q40" s="84"/>
      <c r="R40" s="84"/>
      <c r="S40" s="84"/>
      <c r="T40" s="84"/>
      <c r="U40" s="84">
        <f>SUM(FO!U40,PO!U40,CO!U40,FE!U40,PE!U40)</f>
        <v>0</v>
      </c>
      <c r="V40" s="84">
        <f>SUM(FO!V40,PO!V40,CO!V40,FE!V40,PE!V40)</f>
        <v>0</v>
      </c>
      <c r="W40" s="84">
        <f>SUM(FO!W40,PO!W40,CO!W40,FE!W40,PE!W40)</f>
        <v>0</v>
      </c>
      <c r="X40" s="84">
        <f>SUM(FO!X40,PO!X40,CO!X40,FE!X40,PE!X40)</f>
        <v>0</v>
      </c>
      <c r="Y40" s="84">
        <f>SUM(FO!Y40,PO!Y40,CO!Y40,FE!Y40,PE!Y40)</f>
        <v>0</v>
      </c>
      <c r="Z40" s="84">
        <f>SUM(FO!Z40,PO!Z40,CO!Z40,FE!Z40,PE!Z40)</f>
        <v>0</v>
      </c>
      <c r="AA40" s="84">
        <f>SUM(FO!AA40,PO!AA40,CO!AA40,FE!AA40,PE!AA40)</f>
        <v>0</v>
      </c>
      <c r="AB40" s="84">
        <f>SUM(FO!AB40,PO!AB40,CO!AB40,FE!AB40,PE!AB40)</f>
        <v>0</v>
      </c>
      <c r="AC40" s="84">
        <f>SUM(FO!AC40,PO!AC40,CO!AC40,FE!AC40,PE!AC40)</f>
        <v>0</v>
      </c>
      <c r="AD40" s="84">
        <f>SUM(FO!AD40,PO!AD40,CO!AD40,FE!AD40,PE!AD40)</f>
        <v>0</v>
      </c>
      <c r="AE40" s="84">
        <f>SUM(FO!AE40,PO!AE40,CO!AE40,FE!AE40,PE!AE40)</f>
        <v>0</v>
      </c>
      <c r="AF40" s="84">
        <f>SUM(FO!AF40,PO!AF40,CO!AF40,FE!AF40,PE!AF40)</f>
        <v>0</v>
      </c>
      <c r="AG40" s="84">
        <f t="shared" si="13"/>
        <v>0</v>
      </c>
      <c r="AH40" s="105" t="str">
        <f t="shared" si="14"/>
        <v/>
      </c>
      <c r="AJ40" s="84">
        <f t="shared" si="15"/>
        <v>4357.96</v>
      </c>
    </row>
    <row r="41" spans="1:36" x14ac:dyDescent="0.3">
      <c r="A41" s="113" t="s">
        <v>127</v>
      </c>
      <c r="B41" s="84">
        <f>SUM(FO!B41,PO!B41,CO!B41,FE!B41,PE!B41)</f>
        <v>0</v>
      </c>
      <c r="C41" s="84">
        <f>SUM(FO!C41,PO!C41,CO!C41,FE!C41,PE!C41)</f>
        <v>0</v>
      </c>
      <c r="D41" s="84">
        <f>SUM(FO!D41,PO!D41,CO!D41,FE!D41,PE!D41)</f>
        <v>0</v>
      </c>
      <c r="E41" s="84">
        <f>SUM(FO!E41,PO!E41,CO!E41,FE!E41,PE!E41)</f>
        <v>0</v>
      </c>
      <c r="F41" s="84">
        <f>SUM(FO!F41,PO!F41,CO!F41,FE!F41,PE!F41)</f>
        <v>0</v>
      </c>
      <c r="G41" s="84">
        <f>SUM(FO!G41,PO!G41,CO!G41,FE!G41,PE!G41)</f>
        <v>1662.88</v>
      </c>
      <c r="H41" s="84">
        <f>SUM(FO!H41,PO!H41,CO!H41,FE!H41,PE!H41)</f>
        <v>818.38</v>
      </c>
      <c r="I41" s="84">
        <f>SUM(FO!I41,PO!I41,CO!I41,FE!I41,PE!I41)</f>
        <v>111429.29</v>
      </c>
      <c r="J41" s="84">
        <f>SUM(FO!J41,PO!J41,CO!J41,FE!J41,PE!J41)</f>
        <v>0</v>
      </c>
      <c r="K41" s="84">
        <f>SUM(FO!K41,PO!K41,CO!K41,FE!K41,PE!K41)</f>
        <v>0</v>
      </c>
      <c r="L41" s="84">
        <f>SUM(FO!L41,PO!L41,CO!L41,FE!L41,PE!L41)</f>
        <v>0</v>
      </c>
      <c r="M41" s="84">
        <f>SUM(FO!M41,PO!M41,CO!M41,FE!M41,PE!M41)</f>
        <v>0</v>
      </c>
      <c r="N41" s="84">
        <f t="shared" si="11"/>
        <v>113910.54999999999</v>
      </c>
      <c r="O41" s="105">
        <f t="shared" si="12"/>
        <v>1.5343679637355234E-2</v>
      </c>
      <c r="P41" s="84"/>
      <c r="Q41" s="84"/>
      <c r="R41" s="84"/>
      <c r="S41" s="84"/>
      <c r="T41" s="84"/>
      <c r="U41" s="84">
        <f>SUM(FO!U41,PO!U41,CO!U41,FE!U41,PE!U41)</f>
        <v>0</v>
      </c>
      <c r="V41" s="84">
        <f>SUM(FO!V41,PO!V41,CO!V41,FE!V41,PE!V41)</f>
        <v>0</v>
      </c>
      <c r="W41" s="84">
        <f>SUM(FO!W41,PO!W41,CO!W41,FE!W41,PE!W41)</f>
        <v>0</v>
      </c>
      <c r="X41" s="84">
        <f>SUM(FO!X41,PO!X41,CO!X41,FE!X41,PE!X41)</f>
        <v>0</v>
      </c>
      <c r="Y41" s="84">
        <f>SUM(FO!Y41,PO!Y41,CO!Y41,FE!Y41,PE!Y41)</f>
        <v>0</v>
      </c>
      <c r="Z41" s="84">
        <f>SUM(FO!Z41,PO!Z41,CO!Z41,FE!Z41,PE!Z41)</f>
        <v>0</v>
      </c>
      <c r="AA41" s="84">
        <f>SUM(FO!AA41,PO!AA41,CO!AA41,FE!AA41,PE!AA41)</f>
        <v>0</v>
      </c>
      <c r="AB41" s="84">
        <f>SUM(FO!AB41,PO!AB41,CO!AB41,FE!AB41,PE!AB41)</f>
        <v>0</v>
      </c>
      <c r="AC41" s="84">
        <f>SUM(FO!AC41,PO!AC41,CO!AC41,FE!AC41,PE!AC41)</f>
        <v>0</v>
      </c>
      <c r="AD41" s="84">
        <f>SUM(FO!AD41,PO!AD41,CO!AD41,FE!AD41,PE!AD41)</f>
        <v>0</v>
      </c>
      <c r="AE41" s="84">
        <f>SUM(FO!AE41,PO!AE41,CO!AE41,FE!AE41,PE!AE41)</f>
        <v>0</v>
      </c>
      <c r="AF41" s="84">
        <f>SUM(FO!AF41,PO!AF41,CO!AF41,FE!AF41,PE!AF41)</f>
        <v>0</v>
      </c>
      <c r="AG41" s="84">
        <f t="shared" si="13"/>
        <v>0</v>
      </c>
      <c r="AH41" s="105" t="str">
        <f t="shared" si="14"/>
        <v/>
      </c>
      <c r="AJ41" s="84">
        <f t="shared" si="15"/>
        <v>113910.54999999999</v>
      </c>
    </row>
    <row r="42" spans="1:36" x14ac:dyDescent="0.3">
      <c r="A42" s="113" t="s">
        <v>128</v>
      </c>
      <c r="B42" s="84">
        <f>SUM(FO!B42,PO!B42,CO!B42,FE!B42,PE!B42)</f>
        <v>0</v>
      </c>
      <c r="C42" s="84">
        <f>SUM(FO!C42,PO!C42,CO!C42,FE!C42,PE!C42)</f>
        <v>0</v>
      </c>
      <c r="D42" s="84">
        <f>SUM(FO!D42,PO!D42,CO!D42,FE!D42,PE!D42)</f>
        <v>0</v>
      </c>
      <c r="E42" s="84">
        <f>SUM(FO!E42,PO!E42,CO!E42,FE!E42,PE!E42)</f>
        <v>0</v>
      </c>
      <c r="F42" s="84">
        <f>SUM(FO!F42,PO!F42,CO!F42,FE!F42,PE!F42)</f>
        <v>0</v>
      </c>
      <c r="G42" s="84">
        <f>SUM(FO!G42,PO!G42,CO!G42,FE!G42,PE!G42)</f>
        <v>0</v>
      </c>
      <c r="H42" s="84">
        <f>SUM(FO!H42,PO!H42,CO!H42,FE!H42,PE!H42)</f>
        <v>0</v>
      </c>
      <c r="I42" s="84">
        <f>SUM(FO!I42,PO!I42,CO!I42,FE!I42,PE!I42)</f>
        <v>0</v>
      </c>
      <c r="J42" s="84">
        <f>SUM(FO!J42,PO!J42,CO!J42,FE!J42,PE!J42)</f>
        <v>7000</v>
      </c>
      <c r="K42" s="84">
        <f>SUM(FO!K42,PO!K42,CO!K42,FE!K42,PE!K42)</f>
        <v>7000</v>
      </c>
      <c r="L42" s="84">
        <f>SUM(FO!L42,PO!L42,CO!L42,FE!L42,PE!L42)</f>
        <v>4000</v>
      </c>
      <c r="M42" s="84">
        <f>SUM(FO!M42,PO!M42,CO!M42,FE!M42,PE!M42)</f>
        <v>4000</v>
      </c>
      <c r="N42" s="84">
        <f t="shared" si="11"/>
        <v>22000</v>
      </c>
      <c r="O42" s="105">
        <f t="shared" si="12"/>
        <v>2.9633862010306788E-3</v>
      </c>
      <c r="P42" s="84"/>
      <c r="Q42" s="84"/>
      <c r="R42" s="84"/>
      <c r="S42" s="84"/>
      <c r="T42" s="84"/>
      <c r="U42" s="84">
        <f>SUM(FO!U42,PO!U42,CO!U42,FE!U42,PE!U42)</f>
        <v>0</v>
      </c>
      <c r="V42" s="84">
        <f>SUM(FO!V42,PO!V42,CO!V42,FE!V42,PE!V42)</f>
        <v>0</v>
      </c>
      <c r="W42" s="84">
        <f>SUM(FO!W42,PO!W42,CO!W42,FE!W42,PE!W42)</f>
        <v>0</v>
      </c>
      <c r="X42" s="84">
        <f>SUM(FO!X42,PO!X42,CO!X42,FE!X42,PE!X42)</f>
        <v>0</v>
      </c>
      <c r="Y42" s="84">
        <f>SUM(FO!Y42,PO!Y42,CO!Y42,FE!Y42,PE!Y42)</f>
        <v>0</v>
      </c>
      <c r="Z42" s="84">
        <f>SUM(FO!Z42,PO!Z42,CO!Z42,FE!Z42,PE!Z42)</f>
        <v>0</v>
      </c>
      <c r="AA42" s="84">
        <f>SUM(FO!AA42,PO!AA42,CO!AA42,FE!AA42,PE!AA42)</f>
        <v>0</v>
      </c>
      <c r="AB42" s="84">
        <f>SUM(FO!AB42,PO!AB42,CO!AB42,FE!AB42,PE!AB42)</f>
        <v>0</v>
      </c>
      <c r="AC42" s="84">
        <f>SUM(FO!AC42,PO!AC42,CO!AC42,FE!AC42,PE!AC42)</f>
        <v>0</v>
      </c>
      <c r="AD42" s="84">
        <f>SUM(FO!AD42,PO!AD42,CO!AD42,FE!AD42,PE!AD42)</f>
        <v>0</v>
      </c>
      <c r="AE42" s="84">
        <f>SUM(FO!AE42,PO!AE42,CO!AE42,FE!AE42,PE!AE42)</f>
        <v>0</v>
      </c>
      <c r="AF42" s="84">
        <f>SUM(FO!AF42,PO!AF42,CO!AF42,FE!AF42,PE!AF42)</f>
        <v>0</v>
      </c>
      <c r="AG42" s="84">
        <f t="shared" si="13"/>
        <v>0</v>
      </c>
      <c r="AH42" s="105" t="str">
        <f t="shared" si="14"/>
        <v/>
      </c>
      <c r="AJ42" s="84">
        <f t="shared" si="15"/>
        <v>22000</v>
      </c>
    </row>
    <row r="43" spans="1:36" x14ac:dyDescent="0.3">
      <c r="A43" s="102" t="s">
        <v>129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105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105"/>
      <c r="AJ43" s="84"/>
    </row>
    <row r="44" spans="1:36" x14ac:dyDescent="0.3">
      <c r="A44" s="103" t="s">
        <v>130</v>
      </c>
      <c r="B44" s="84">
        <f>SUM(FO!B44,PO!B44,CO!B44,FE!B44,PE!B44)</f>
        <v>0</v>
      </c>
      <c r="C44" s="84">
        <f>SUM(FO!C44,PO!C44,CO!C44,FE!C44,PE!C44)</f>
        <v>0</v>
      </c>
      <c r="D44" s="84">
        <f>SUM(FO!D44,PO!D44,CO!D44,FE!D44,PE!D44)</f>
        <v>0</v>
      </c>
      <c r="E44" s="84">
        <f>SUM(FO!E44,PO!E44,CO!E44,FE!E44,PE!E44)</f>
        <v>0</v>
      </c>
      <c r="F44" s="84">
        <f>SUM(FO!F44,PO!F44,CO!F44,FE!F44,PE!F44)</f>
        <v>19808</v>
      </c>
      <c r="G44" s="84">
        <f>SUM(FO!G44,PO!G44,CO!G44,FE!G44,PE!G44)</f>
        <v>10009</v>
      </c>
      <c r="H44" s="84">
        <f>SUM(FO!H44,PO!H44,CO!H44,FE!H44,PE!H44)</f>
        <v>10968.52</v>
      </c>
      <c r="I44" s="84">
        <f>SUM(FO!I44,PO!I44,CO!I44,FE!I44,PE!I44)</f>
        <v>6116.47</v>
      </c>
      <c r="J44" s="84">
        <f>SUM(FO!J44,PO!J44,CO!J44,FE!J44,PE!J44)</f>
        <v>40350</v>
      </c>
      <c r="K44" s="84">
        <f>SUM(FO!K44,PO!K44,CO!K44,FE!K44,PE!K44)</f>
        <v>44270</v>
      </c>
      <c r="L44" s="84">
        <f>SUM(FO!L44,PO!L44,CO!L44,FE!L44,PE!L44)</f>
        <v>48190</v>
      </c>
      <c r="M44" s="84">
        <f>SUM(FO!M44,PO!M44,CO!M44,FE!M44,PE!M44)</f>
        <v>52110</v>
      </c>
      <c r="N44" s="84">
        <f t="shared" ref="N44:N50" si="20">SUM(B44:M44)</f>
        <v>231821.99</v>
      </c>
      <c r="O44" s="105">
        <f t="shared" ref="O44:O50" si="21">IFERROR(N44/N$16,"")</f>
        <v>3.1226276648248726E-2</v>
      </c>
      <c r="P44" s="84"/>
      <c r="Q44" s="84"/>
      <c r="R44" s="84"/>
      <c r="S44" s="84"/>
      <c r="T44" s="84"/>
      <c r="U44" s="84">
        <f>SUM(FO!U44,PO!U44,CO!U44,FE!U44,PE!U44)</f>
        <v>0</v>
      </c>
      <c r="V44" s="84">
        <f>SUM(FO!V44,PO!V44,CO!V44,FE!V44,PE!V44)</f>
        <v>0</v>
      </c>
      <c r="W44" s="84">
        <f>SUM(FO!W44,PO!W44,CO!W44,FE!W44,PE!W44)</f>
        <v>0</v>
      </c>
      <c r="X44" s="84">
        <f>SUM(FO!X44,PO!X44,CO!X44,FE!X44,PE!X44)</f>
        <v>0</v>
      </c>
      <c r="Y44" s="84">
        <f>SUM(FO!Y44,PO!Y44,CO!Y44,FE!Y44,PE!Y44)</f>
        <v>0</v>
      </c>
      <c r="Z44" s="84">
        <f>SUM(FO!Z44,PO!Z44,CO!Z44,FE!Z44,PE!Z44)</f>
        <v>0</v>
      </c>
      <c r="AA44" s="84">
        <f>SUM(FO!AA44,PO!AA44,CO!AA44,FE!AA44,PE!AA44)</f>
        <v>0</v>
      </c>
      <c r="AB44" s="84">
        <f>SUM(FO!AB44,PO!AB44,CO!AB44,FE!AB44,PE!AB44)</f>
        <v>0</v>
      </c>
      <c r="AC44" s="84">
        <f>SUM(FO!AC44,PO!AC44,CO!AC44,FE!AC44,PE!AC44)</f>
        <v>0</v>
      </c>
      <c r="AD44" s="84">
        <f>SUM(FO!AD44,PO!AD44,CO!AD44,FE!AD44,PE!AD44)</f>
        <v>0</v>
      </c>
      <c r="AE44" s="84">
        <f>SUM(FO!AE44,PO!AE44,CO!AE44,FE!AE44,PE!AE44)</f>
        <v>0</v>
      </c>
      <c r="AF44" s="84">
        <f>SUM(FO!AF44,PO!AF44,CO!AF44,FE!AF44,PE!AF44)</f>
        <v>0</v>
      </c>
      <c r="AG44" s="84">
        <f t="shared" ref="AG44:AG50" si="22">SUM(U44:AF44)</f>
        <v>0</v>
      </c>
      <c r="AH44" s="105" t="str">
        <f t="shared" ref="AH44:AH50" si="23">IFERROR(AG44/AG$16,"")</f>
        <v/>
      </c>
      <c r="AJ44" s="84">
        <f t="shared" ref="AJ44:AJ50" si="24">N44-AG44</f>
        <v>231821.99</v>
      </c>
    </row>
    <row r="45" spans="1:36" x14ac:dyDescent="0.3">
      <c r="A45" s="103" t="s">
        <v>131</v>
      </c>
      <c r="B45" s="84">
        <f>SUM(FO!B45,PO!B45,CO!B45,FE!B45,PE!B45)</f>
        <v>6406.36</v>
      </c>
      <c r="C45" s="84">
        <f>SUM(FO!C45,PO!C45,CO!C45,FE!C45,PE!C45)</f>
        <v>256.47000000000003</v>
      </c>
      <c r="D45" s="84">
        <f>SUM(FO!D45,PO!D45,CO!D45,FE!D45,PE!D45)</f>
        <v>1327.17</v>
      </c>
      <c r="E45" s="84">
        <f>SUM(FO!E45,PO!E45,CO!E45,FE!E45,PE!E45)</f>
        <v>7521.93</v>
      </c>
      <c r="F45" s="84">
        <f>SUM(FO!F45,PO!F45,CO!F45,FE!F45,PE!F45)</f>
        <v>4983.8100000000004</v>
      </c>
      <c r="G45" s="84">
        <f>SUM(FO!G45,PO!G45,CO!G45,FE!G45,PE!G45)</f>
        <v>8114.45</v>
      </c>
      <c r="H45" s="84">
        <f>SUM(FO!H45,PO!H45,CO!H45,FE!H45,PE!H45)</f>
        <v>14179.16</v>
      </c>
      <c r="I45" s="84">
        <f>SUM(FO!I45,PO!I45,CO!I45,FE!I45,PE!I45)</f>
        <v>11260.12</v>
      </c>
      <c r="J45" s="84">
        <f>SUM(FO!J45,PO!J45,CO!J45,FE!J45,PE!J45)</f>
        <v>5750</v>
      </c>
      <c r="K45" s="84">
        <f>SUM(FO!K45,PO!K45,CO!K45,FE!K45,PE!K45)</f>
        <v>6000</v>
      </c>
      <c r="L45" s="84">
        <f>SUM(FO!L45,PO!L45,CO!L45,FE!L45,PE!L45)</f>
        <v>6250</v>
      </c>
      <c r="M45" s="84">
        <f>SUM(FO!M45,PO!M45,CO!M45,FE!M45,PE!M45)</f>
        <v>6500</v>
      </c>
      <c r="N45" s="84">
        <f t="shared" si="20"/>
        <v>78549.47</v>
      </c>
      <c r="O45" s="105">
        <f t="shared" si="21"/>
        <v>1.0580564340739694E-2</v>
      </c>
      <c r="P45" s="84"/>
      <c r="Q45" s="84"/>
      <c r="R45" s="84"/>
      <c r="S45" s="84"/>
      <c r="T45" s="84"/>
      <c r="U45" s="84">
        <f>SUM(FO!U45,PO!U45,CO!U45,FE!U45,PE!U45)</f>
        <v>0</v>
      </c>
      <c r="V45" s="84">
        <f>SUM(FO!V45,PO!V45,CO!V45,FE!V45,PE!V45)</f>
        <v>0</v>
      </c>
      <c r="W45" s="84">
        <f>SUM(FO!W45,PO!W45,CO!W45,FE!W45,PE!W45)</f>
        <v>0</v>
      </c>
      <c r="X45" s="84">
        <f>SUM(FO!X45,PO!X45,CO!X45,FE!X45,PE!X45)</f>
        <v>0</v>
      </c>
      <c r="Y45" s="84">
        <f>SUM(FO!Y45,PO!Y45,CO!Y45,FE!Y45,PE!Y45)</f>
        <v>0</v>
      </c>
      <c r="Z45" s="84">
        <f>SUM(FO!Z45,PO!Z45,CO!Z45,FE!Z45,PE!Z45)</f>
        <v>0</v>
      </c>
      <c r="AA45" s="84">
        <f>SUM(FO!AA45,PO!AA45,CO!AA45,FE!AA45,PE!AA45)</f>
        <v>0</v>
      </c>
      <c r="AB45" s="84">
        <f>SUM(FO!AB45,PO!AB45,CO!AB45,FE!AB45,PE!AB45)</f>
        <v>0</v>
      </c>
      <c r="AC45" s="84">
        <f>SUM(FO!AC45,PO!AC45,CO!AC45,FE!AC45,PE!AC45)</f>
        <v>0</v>
      </c>
      <c r="AD45" s="84">
        <f>SUM(FO!AD45,PO!AD45,CO!AD45,FE!AD45,PE!AD45)</f>
        <v>0</v>
      </c>
      <c r="AE45" s="84">
        <f>SUM(FO!AE45,PO!AE45,CO!AE45,FE!AE45,PE!AE45)</f>
        <v>0</v>
      </c>
      <c r="AF45" s="84">
        <f>SUM(FO!AF45,PO!AF45,CO!AF45,FE!AF45,PE!AF45)</f>
        <v>0</v>
      </c>
      <c r="AG45" s="84">
        <f t="shared" si="22"/>
        <v>0</v>
      </c>
      <c r="AH45" s="105" t="str">
        <f t="shared" si="23"/>
        <v/>
      </c>
      <c r="AJ45" s="84">
        <f t="shared" si="24"/>
        <v>78549.47</v>
      </c>
    </row>
    <row r="46" spans="1:36" x14ac:dyDescent="0.3">
      <c r="A46" s="103" t="s">
        <v>132</v>
      </c>
      <c r="B46" s="84">
        <f>SUM(FO!B46,PO!B46,CO!B46,FE!B46,PE!B46)</f>
        <v>3561.5</v>
      </c>
      <c r="C46" s="84">
        <f>SUM(FO!C46,PO!C46,CO!C46,FE!C46,PE!C46)</f>
        <v>2541.7399999999998</v>
      </c>
      <c r="D46" s="84">
        <f>SUM(FO!D46,PO!D46,CO!D46,FE!D46,PE!D46)</f>
        <v>3711.38</v>
      </c>
      <c r="E46" s="84">
        <f>SUM(FO!E46,PO!E46,CO!E46,FE!E46,PE!E46)</f>
        <v>37.64</v>
      </c>
      <c r="F46" s="84">
        <f>SUM(FO!F46,PO!F46,CO!F46,FE!F46,PE!F46)</f>
        <v>3173.45</v>
      </c>
      <c r="G46" s="84">
        <f>SUM(FO!G46,PO!G46,CO!G46,FE!G46,PE!G46)</f>
        <v>694.03</v>
      </c>
      <c r="H46" s="84">
        <f>SUM(FO!H46,PO!H46,CO!H46,FE!H46,PE!H46)</f>
        <v>1220.5200000000002</v>
      </c>
      <c r="I46" s="84">
        <f>SUM(FO!I46,PO!I46,CO!I46,FE!I46,PE!I46)</f>
        <v>9614.7899999999991</v>
      </c>
      <c r="J46" s="84">
        <f>SUM(FO!J46,PO!J46,CO!J46,FE!J46,PE!J46)</f>
        <v>3400</v>
      </c>
      <c r="K46" s="84">
        <f>SUM(FO!K46,PO!K46,CO!K46,FE!K46,PE!K46)</f>
        <v>3400</v>
      </c>
      <c r="L46" s="84">
        <f>SUM(FO!L46,PO!L46,CO!L46,FE!L46,PE!L46)</f>
        <v>3400</v>
      </c>
      <c r="M46" s="84">
        <f>SUM(FO!M46,PO!M46,CO!M46,FE!M46,PE!M46)</f>
        <v>3400</v>
      </c>
      <c r="N46" s="84">
        <f t="shared" si="20"/>
        <v>38155.050000000003</v>
      </c>
      <c r="O46" s="105">
        <f t="shared" si="21"/>
        <v>5.1394613031652547E-3</v>
      </c>
      <c r="P46" s="84"/>
      <c r="Q46" s="84"/>
      <c r="R46" s="84"/>
      <c r="S46" s="84"/>
      <c r="T46" s="84"/>
      <c r="U46" s="84">
        <f>SUM(FO!U46,PO!U46,CO!U46,FE!U46,PE!U46)</f>
        <v>0</v>
      </c>
      <c r="V46" s="84">
        <f>SUM(FO!V46,PO!V46,CO!V46,FE!V46,PE!V46)</f>
        <v>0</v>
      </c>
      <c r="W46" s="84">
        <f>SUM(FO!W46,PO!W46,CO!W46,FE!W46,PE!W46)</f>
        <v>0</v>
      </c>
      <c r="X46" s="84">
        <f>SUM(FO!X46,PO!X46,CO!X46,FE!X46,PE!X46)</f>
        <v>0</v>
      </c>
      <c r="Y46" s="84">
        <f>SUM(FO!Y46,PO!Y46,CO!Y46,FE!Y46,PE!Y46)</f>
        <v>0</v>
      </c>
      <c r="Z46" s="84">
        <f>SUM(FO!Z46,PO!Z46,CO!Z46,FE!Z46,PE!Z46)</f>
        <v>0</v>
      </c>
      <c r="AA46" s="84">
        <f>SUM(FO!AA46,PO!AA46,CO!AA46,FE!AA46,PE!AA46)</f>
        <v>0</v>
      </c>
      <c r="AB46" s="84">
        <f>SUM(FO!AB46,PO!AB46,CO!AB46,FE!AB46,PE!AB46)</f>
        <v>0</v>
      </c>
      <c r="AC46" s="84">
        <f>SUM(FO!AC46,PO!AC46,CO!AC46,FE!AC46,PE!AC46)</f>
        <v>0</v>
      </c>
      <c r="AD46" s="84">
        <f>SUM(FO!AD46,PO!AD46,CO!AD46,FE!AD46,PE!AD46)</f>
        <v>0</v>
      </c>
      <c r="AE46" s="84">
        <f>SUM(FO!AE46,PO!AE46,CO!AE46,FE!AE46,PE!AE46)</f>
        <v>0</v>
      </c>
      <c r="AF46" s="84">
        <f>SUM(FO!AF46,PO!AF46,CO!AF46,FE!AF46,PE!AF46)</f>
        <v>0</v>
      </c>
      <c r="AG46" s="84">
        <f t="shared" si="22"/>
        <v>0</v>
      </c>
      <c r="AH46" s="105" t="str">
        <f t="shared" si="23"/>
        <v/>
      </c>
      <c r="AJ46" s="84">
        <f t="shared" si="24"/>
        <v>38155.050000000003</v>
      </c>
    </row>
    <row r="47" spans="1:36" x14ac:dyDescent="0.3">
      <c r="A47" s="103" t="s">
        <v>133</v>
      </c>
      <c r="B47" s="84">
        <f>SUM(FO!B47,PO!B47,CO!B47,FE!B47,PE!B47)</f>
        <v>14676.39</v>
      </c>
      <c r="C47" s="84">
        <f>SUM(FO!C47,PO!C47,CO!C47,FE!C47,PE!C47)</f>
        <v>19314.55</v>
      </c>
      <c r="D47" s="84">
        <f>SUM(FO!D47,PO!D47,CO!D47,FE!D47,PE!D47)</f>
        <v>63529</v>
      </c>
      <c r="E47" s="84">
        <f>SUM(FO!E47,PO!E47,CO!E47,FE!E47,PE!E47)</f>
        <v>12929.300000000001</v>
      </c>
      <c r="F47" s="84">
        <f>SUM(FO!F47,PO!F47,CO!F47,FE!F47,PE!F47)</f>
        <v>45540.82</v>
      </c>
      <c r="G47" s="84">
        <f>SUM(FO!G47,PO!G47,CO!G47,FE!G47,PE!G47)</f>
        <v>39676.61</v>
      </c>
      <c r="H47" s="84">
        <f>SUM(FO!H47,PO!H47,CO!H47,FE!H47,PE!H47)</f>
        <v>12049.91</v>
      </c>
      <c r="I47" s="84">
        <f>SUM(FO!I47,PO!I47,CO!I47,FE!I47,PE!I47)</f>
        <v>-8022.21</v>
      </c>
      <c r="J47" s="84">
        <f>SUM(FO!J47,PO!J47,CO!J47,FE!J47,PE!J47)</f>
        <v>29000</v>
      </c>
      <c r="K47" s="84">
        <f>SUM(FO!K47,PO!K47,CO!K47,FE!K47,PE!K47)</f>
        <v>29000</v>
      </c>
      <c r="L47" s="84">
        <f>SUM(FO!L47,PO!L47,CO!L47,FE!L47,PE!L47)</f>
        <v>31000</v>
      </c>
      <c r="M47" s="84">
        <f>SUM(FO!M47,PO!M47,CO!M47,FE!M47,PE!M47)</f>
        <v>31000</v>
      </c>
      <c r="N47" s="84">
        <f t="shared" si="20"/>
        <v>319694.37</v>
      </c>
      <c r="O47" s="105">
        <f t="shared" si="21"/>
        <v>4.3062631118418009E-2</v>
      </c>
      <c r="P47" s="84"/>
      <c r="Q47" s="84"/>
      <c r="R47" s="84"/>
      <c r="S47" s="84"/>
      <c r="T47" s="84"/>
      <c r="U47" s="84">
        <f>SUM(FO!U47,PO!U47,CO!U47,FE!U47,PE!U47)</f>
        <v>0</v>
      </c>
      <c r="V47" s="84">
        <f>SUM(FO!V47,PO!V47,CO!V47,FE!V47,PE!V47)</f>
        <v>0</v>
      </c>
      <c r="W47" s="84">
        <f>SUM(FO!W47,PO!W47,CO!W47,FE!W47,PE!W47)</f>
        <v>0</v>
      </c>
      <c r="X47" s="84">
        <f>SUM(FO!X47,PO!X47,CO!X47,FE!X47,PE!X47)</f>
        <v>0</v>
      </c>
      <c r="Y47" s="84">
        <f>SUM(FO!Y47,PO!Y47,CO!Y47,FE!Y47,PE!Y47)</f>
        <v>0</v>
      </c>
      <c r="Z47" s="84">
        <f>SUM(FO!Z47,PO!Z47,CO!Z47,FE!Z47,PE!Z47)</f>
        <v>0</v>
      </c>
      <c r="AA47" s="84">
        <f>SUM(FO!AA47,PO!AA47,CO!AA47,FE!AA47,PE!AA47)</f>
        <v>0</v>
      </c>
      <c r="AB47" s="84">
        <f>SUM(FO!AB47,PO!AB47,CO!AB47,FE!AB47,PE!AB47)</f>
        <v>0</v>
      </c>
      <c r="AC47" s="84">
        <f>SUM(FO!AC47,PO!AC47,CO!AC47,FE!AC47,PE!AC47)</f>
        <v>0</v>
      </c>
      <c r="AD47" s="84">
        <f>SUM(FO!AD47,PO!AD47,CO!AD47,FE!AD47,PE!AD47)</f>
        <v>0</v>
      </c>
      <c r="AE47" s="84">
        <f>SUM(FO!AE47,PO!AE47,CO!AE47,FE!AE47,PE!AE47)</f>
        <v>0</v>
      </c>
      <c r="AF47" s="84">
        <f>SUM(FO!AF47,PO!AF47,CO!AF47,FE!AF47,PE!AF47)</f>
        <v>0</v>
      </c>
      <c r="AG47" s="84">
        <f t="shared" si="22"/>
        <v>0</v>
      </c>
      <c r="AH47" s="105" t="str">
        <f t="shared" si="23"/>
        <v/>
      </c>
      <c r="AJ47" s="84">
        <f t="shared" si="24"/>
        <v>319694.37</v>
      </c>
    </row>
    <row r="48" spans="1:36" x14ac:dyDescent="0.3">
      <c r="A48" s="103" t="s">
        <v>134</v>
      </c>
      <c r="B48" s="84">
        <f>SUM(FO!B48,PO!B48,CO!B48,FE!B48,PE!B48)</f>
        <v>2745.99</v>
      </c>
      <c r="C48" s="84">
        <f>SUM(FO!C48,PO!C48,CO!C48,FE!C48,PE!C48)</f>
        <v>5395</v>
      </c>
      <c r="D48" s="84">
        <f>SUM(FO!D48,PO!D48,CO!D48,FE!D48,PE!D48)</f>
        <v>4120</v>
      </c>
      <c r="E48" s="84">
        <f>SUM(FO!E48,PO!E48,CO!E48,FE!E48,PE!E48)</f>
        <v>2500</v>
      </c>
      <c r="F48" s="84">
        <f>SUM(FO!F48,PO!F48,CO!F48,FE!F48,PE!F48)</f>
        <v>2680</v>
      </c>
      <c r="G48" s="84">
        <f>SUM(FO!G48,PO!G48,CO!G48,FE!G48,PE!G48)</f>
        <v>2560</v>
      </c>
      <c r="H48" s="84">
        <f>SUM(FO!H48,PO!H48,CO!H48,FE!H48,PE!H48)</f>
        <v>1240</v>
      </c>
      <c r="I48" s="84">
        <f>SUM(FO!I48,PO!I48,CO!I48,FE!I48,PE!I48)</f>
        <v>1060</v>
      </c>
      <c r="J48" s="84">
        <f>SUM(FO!J48,PO!J48,CO!J48,FE!J48,PE!J48)</f>
        <v>3000</v>
      </c>
      <c r="K48" s="84">
        <f>SUM(FO!K48,PO!K48,CO!K48,FE!K48,PE!K48)</f>
        <v>3000</v>
      </c>
      <c r="L48" s="84">
        <f>SUM(FO!L48,PO!L48,CO!L48,FE!L48,PE!L48)</f>
        <v>3000</v>
      </c>
      <c r="M48" s="84">
        <f>SUM(FO!M48,PO!M48,CO!M48,FE!M48,PE!M48)</f>
        <v>3000</v>
      </c>
      <c r="N48" s="84">
        <f t="shared" si="20"/>
        <v>34300.99</v>
      </c>
      <c r="O48" s="105">
        <f t="shared" si="21"/>
        <v>4.6203218385314224E-3</v>
      </c>
      <c r="P48" s="84"/>
      <c r="Q48" s="84"/>
      <c r="R48" s="84"/>
      <c r="S48" s="84"/>
      <c r="T48" s="84"/>
      <c r="U48" s="84">
        <f>SUM(FO!U48,PO!U48,CO!U48,FE!U48,PE!U48)</f>
        <v>0</v>
      </c>
      <c r="V48" s="84">
        <f>SUM(FO!V48,PO!V48,CO!V48,FE!V48,PE!V48)</f>
        <v>0</v>
      </c>
      <c r="W48" s="84">
        <f>SUM(FO!W48,PO!W48,CO!W48,FE!W48,PE!W48)</f>
        <v>0</v>
      </c>
      <c r="X48" s="84">
        <f>SUM(FO!X48,PO!X48,CO!X48,FE!X48,PE!X48)</f>
        <v>0</v>
      </c>
      <c r="Y48" s="84">
        <f>SUM(FO!Y48,PO!Y48,CO!Y48,FE!Y48,PE!Y48)</f>
        <v>0</v>
      </c>
      <c r="Z48" s="84">
        <f>SUM(FO!Z48,PO!Z48,CO!Z48,FE!Z48,PE!Z48)</f>
        <v>0</v>
      </c>
      <c r="AA48" s="84">
        <f>SUM(FO!AA48,PO!AA48,CO!AA48,FE!AA48,PE!AA48)</f>
        <v>0</v>
      </c>
      <c r="AB48" s="84">
        <f>SUM(FO!AB48,PO!AB48,CO!AB48,FE!AB48,PE!AB48)</f>
        <v>0</v>
      </c>
      <c r="AC48" s="84">
        <f>SUM(FO!AC48,PO!AC48,CO!AC48,FE!AC48,PE!AC48)</f>
        <v>0</v>
      </c>
      <c r="AD48" s="84">
        <f>SUM(FO!AD48,PO!AD48,CO!AD48,FE!AD48,PE!AD48)</f>
        <v>0</v>
      </c>
      <c r="AE48" s="84">
        <f>SUM(FO!AE48,PO!AE48,CO!AE48,FE!AE48,PE!AE48)</f>
        <v>0</v>
      </c>
      <c r="AF48" s="84">
        <f>SUM(FO!AF48,PO!AF48,CO!AF48,FE!AF48,PE!AF48)</f>
        <v>0</v>
      </c>
      <c r="AG48" s="84">
        <f t="shared" si="22"/>
        <v>0</v>
      </c>
      <c r="AH48" s="105" t="str">
        <f t="shared" si="23"/>
        <v/>
      </c>
      <c r="AJ48" s="84">
        <f t="shared" si="24"/>
        <v>34300.99</v>
      </c>
    </row>
    <row r="49" spans="1:36" x14ac:dyDescent="0.3">
      <c r="A49" s="103" t="s">
        <v>135</v>
      </c>
      <c r="B49" s="84">
        <f>SUM(FO!B49,PO!B49,CO!B49,FE!B49,PE!B49)</f>
        <v>1960.25</v>
      </c>
      <c r="C49" s="84">
        <f>SUM(FO!C49,PO!C49,CO!C49,FE!C49,PE!C49)</f>
        <v>1371.12</v>
      </c>
      <c r="D49" s="84">
        <f>SUM(FO!D49,PO!D49,CO!D49,FE!D49,PE!D49)</f>
        <v>897.83999999999992</v>
      </c>
      <c r="E49" s="84">
        <f>SUM(FO!E49,PO!E49,CO!E49,FE!E49,PE!E49)</f>
        <v>881.53</v>
      </c>
      <c r="F49" s="84">
        <f>SUM(FO!F49,PO!F49,CO!F49,FE!F49,PE!F49)</f>
        <v>7011.68</v>
      </c>
      <c r="G49" s="84">
        <f>SUM(FO!G49,PO!G49,CO!G49,FE!G49,PE!G49)</f>
        <v>4314.54</v>
      </c>
      <c r="H49" s="84">
        <f>SUM(FO!H49,PO!H49,CO!H49,FE!H49,PE!H49)</f>
        <v>2792.06</v>
      </c>
      <c r="I49" s="84">
        <f>SUM(FO!I49,PO!I49,CO!I49,FE!I49,PE!I49)</f>
        <v>9114.23</v>
      </c>
      <c r="J49" s="84">
        <f>SUM(FO!J49,PO!J49,CO!J49,FE!J49,PE!J49)</f>
        <v>5000</v>
      </c>
      <c r="K49" s="84">
        <f>SUM(FO!K49,PO!K49,CO!K49,FE!K49,PE!K49)</f>
        <v>5000</v>
      </c>
      <c r="L49" s="84">
        <f>SUM(FO!L49,PO!L49,CO!L49,FE!L49,PE!L49)</f>
        <v>4000</v>
      </c>
      <c r="M49" s="84">
        <f>SUM(FO!M49,PO!M49,CO!M49,FE!M49,PE!M49)</f>
        <v>4000</v>
      </c>
      <c r="N49" s="84">
        <f t="shared" si="20"/>
        <v>46343.25</v>
      </c>
      <c r="O49" s="105">
        <f t="shared" si="21"/>
        <v>6.242406707314318E-3</v>
      </c>
      <c r="P49" s="84"/>
      <c r="Q49" s="84"/>
      <c r="R49" s="84"/>
      <c r="S49" s="84"/>
      <c r="T49" s="84"/>
      <c r="U49" s="84">
        <f>SUM(FO!U49,PO!U49,CO!U49,FE!U49,PE!U49)</f>
        <v>0</v>
      </c>
      <c r="V49" s="84">
        <f>SUM(FO!V49,PO!V49,CO!V49,FE!V49,PE!V49)</f>
        <v>0</v>
      </c>
      <c r="W49" s="84">
        <f>SUM(FO!W49,PO!W49,CO!W49,FE!W49,PE!W49)</f>
        <v>0</v>
      </c>
      <c r="X49" s="84">
        <f>SUM(FO!X49,PO!X49,CO!X49,FE!X49,PE!X49)</f>
        <v>0</v>
      </c>
      <c r="Y49" s="84">
        <f>SUM(FO!Y49,PO!Y49,CO!Y49,FE!Y49,PE!Y49)</f>
        <v>0</v>
      </c>
      <c r="Z49" s="84">
        <f>SUM(FO!Z49,PO!Z49,CO!Z49,FE!Z49,PE!Z49)</f>
        <v>0</v>
      </c>
      <c r="AA49" s="84">
        <f>SUM(FO!AA49,PO!AA49,CO!AA49,FE!AA49,PE!AA49)</f>
        <v>0</v>
      </c>
      <c r="AB49" s="84">
        <f>SUM(FO!AB49,PO!AB49,CO!AB49,FE!AB49,PE!AB49)</f>
        <v>0</v>
      </c>
      <c r="AC49" s="84">
        <f>SUM(FO!AC49,PO!AC49,CO!AC49,FE!AC49,PE!AC49)</f>
        <v>0</v>
      </c>
      <c r="AD49" s="84">
        <f>SUM(FO!AD49,PO!AD49,CO!AD49,FE!AD49,PE!AD49)</f>
        <v>0</v>
      </c>
      <c r="AE49" s="84">
        <f>SUM(FO!AE49,PO!AE49,CO!AE49,FE!AE49,PE!AE49)</f>
        <v>0</v>
      </c>
      <c r="AF49" s="84">
        <f>SUM(FO!AF49,PO!AF49,CO!AF49,FE!AF49,PE!AF49)</f>
        <v>0</v>
      </c>
      <c r="AG49" s="84">
        <f t="shared" si="22"/>
        <v>0</v>
      </c>
      <c r="AH49" s="105" t="str">
        <f t="shared" si="23"/>
        <v/>
      </c>
      <c r="AJ49" s="84">
        <f t="shared" si="24"/>
        <v>46343.25</v>
      </c>
    </row>
    <row r="50" spans="1:36" x14ac:dyDescent="0.3">
      <c r="A50" s="103" t="s">
        <v>136</v>
      </c>
      <c r="B50" s="84">
        <f>SUM(FO!B50,PO!B50,CO!B50,FE!B50,PE!B50)</f>
        <v>0</v>
      </c>
      <c r="C50" s="84">
        <f>SUM(FO!C50,PO!C50,CO!C50,FE!C50,PE!C50)</f>
        <v>121.5</v>
      </c>
      <c r="D50" s="84">
        <f>SUM(FO!D50,PO!D50,CO!D50,FE!D50,PE!D50)</f>
        <v>160.63</v>
      </c>
      <c r="E50" s="84">
        <f>SUM(FO!E50,PO!E50,CO!E50,FE!E50,PE!E50)</f>
        <v>0</v>
      </c>
      <c r="F50" s="84">
        <f>SUM(FO!F50,PO!F50,CO!F50,FE!F50,PE!F50)</f>
        <v>18.64</v>
      </c>
      <c r="G50" s="84">
        <f>SUM(FO!G50,PO!G50,CO!G50,FE!G50,PE!G50)</f>
        <v>0</v>
      </c>
      <c r="H50" s="84">
        <f>SUM(FO!H50,PO!H50,CO!H50,FE!H50,PE!H50)</f>
        <v>0</v>
      </c>
      <c r="I50" s="84">
        <f>SUM(FO!I50,PO!I50,CO!I50,FE!I50,PE!I50)</f>
        <v>175</v>
      </c>
      <c r="J50" s="84">
        <f>SUM(FO!J50,PO!J50,CO!J50,FE!J50,PE!J50)</f>
        <v>150</v>
      </c>
      <c r="K50" s="84">
        <f>SUM(FO!K50,PO!K50,CO!K50,FE!K50,PE!K50)</f>
        <v>150</v>
      </c>
      <c r="L50" s="84">
        <f>SUM(FO!L50,PO!L50,CO!L50,FE!L50,PE!L50)</f>
        <v>150</v>
      </c>
      <c r="M50" s="84">
        <f>SUM(FO!M50,PO!M50,CO!M50,FE!M50,PE!M50)</f>
        <v>150</v>
      </c>
      <c r="N50" s="84">
        <f t="shared" si="20"/>
        <v>1075.77</v>
      </c>
      <c r="O50" s="105">
        <f t="shared" si="21"/>
        <v>1.4490554424921695E-4</v>
      </c>
      <c r="P50" s="84"/>
      <c r="Q50" s="84"/>
      <c r="R50" s="84"/>
      <c r="S50" s="84"/>
      <c r="T50" s="84"/>
      <c r="U50" s="84">
        <f>SUM(FO!U50,PO!U50,CO!U50,FE!U50,PE!U50)</f>
        <v>0</v>
      </c>
      <c r="V50" s="84">
        <f>SUM(FO!V50,PO!V50,CO!V50,FE!V50,PE!V50)</f>
        <v>0</v>
      </c>
      <c r="W50" s="84">
        <f>SUM(FO!W50,PO!W50,CO!W50,FE!W50,PE!W50)</f>
        <v>0</v>
      </c>
      <c r="X50" s="84">
        <f>SUM(FO!X50,PO!X50,CO!X50,FE!X50,PE!X50)</f>
        <v>0</v>
      </c>
      <c r="Y50" s="84">
        <f>SUM(FO!Y50,PO!Y50,CO!Y50,FE!Y50,PE!Y50)</f>
        <v>0</v>
      </c>
      <c r="Z50" s="84">
        <f>SUM(FO!Z50,PO!Z50,CO!Z50,FE!Z50,PE!Z50)</f>
        <v>0</v>
      </c>
      <c r="AA50" s="84">
        <f>SUM(FO!AA50,PO!AA50,CO!AA50,FE!AA50,PE!AA50)</f>
        <v>0</v>
      </c>
      <c r="AB50" s="84">
        <f>SUM(FO!AB50,PO!AB50,CO!AB50,FE!AB50,PE!AB50)</f>
        <v>0</v>
      </c>
      <c r="AC50" s="84">
        <f>SUM(FO!AC50,PO!AC50,CO!AC50,FE!AC50,PE!AC50)</f>
        <v>0</v>
      </c>
      <c r="AD50" s="84">
        <f>SUM(FO!AD50,PO!AD50,CO!AD50,FE!AD50,PE!AD50)</f>
        <v>0</v>
      </c>
      <c r="AE50" s="84">
        <f>SUM(FO!AE50,PO!AE50,CO!AE50,FE!AE50,PE!AE50)</f>
        <v>0</v>
      </c>
      <c r="AF50" s="84">
        <f>SUM(FO!AF50,PO!AF50,CO!AF50,FE!AF50,PE!AF50)</f>
        <v>0</v>
      </c>
      <c r="AG50" s="84">
        <f t="shared" si="22"/>
        <v>0</v>
      </c>
      <c r="AH50" s="105" t="str">
        <f t="shared" si="23"/>
        <v/>
      </c>
      <c r="AJ50" s="84">
        <f t="shared" si="24"/>
        <v>1075.77</v>
      </c>
    </row>
    <row r="51" spans="1:36" x14ac:dyDescent="0.3">
      <c r="A51" s="115" t="s">
        <v>137</v>
      </c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105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105"/>
      <c r="AJ51" s="84"/>
    </row>
    <row r="52" spans="1:36" x14ac:dyDescent="0.3">
      <c r="A52" s="116" t="s">
        <v>138</v>
      </c>
      <c r="B52" s="84">
        <f>SUM(FO!B52,PO!B52,CO!B52,FE!B52,PE!B52)</f>
        <v>41771.03</v>
      </c>
      <c r="C52" s="84">
        <f>SUM(FO!C52,PO!C52,CO!C52,FE!C52,PE!C52)</f>
        <v>38728.5</v>
      </c>
      <c r="D52" s="84">
        <f>SUM(FO!D52,PO!D52,CO!D52,FE!D52,PE!D52)</f>
        <v>55703.48</v>
      </c>
      <c r="E52" s="84">
        <f>SUM(FO!E52,PO!E52,CO!E52,FE!E52,PE!E52)</f>
        <v>77202.080000000002</v>
      </c>
      <c r="F52" s="84">
        <f>SUM(FO!F52,PO!F52,CO!F52,FE!F52,PE!F52)</f>
        <v>72865.8</v>
      </c>
      <c r="G52" s="84">
        <f>SUM(FO!G52,PO!G52,CO!G52,FE!G52,PE!G52)</f>
        <v>64701.68</v>
      </c>
      <c r="H52" s="84">
        <f>SUM(FO!H52,PO!H52,CO!H52,FE!H52,PE!H52)</f>
        <v>82139.240000000005</v>
      </c>
      <c r="I52" s="84">
        <f>SUM(FO!I52,PO!I52,CO!I52,FE!I52,PE!I52)</f>
        <v>79454.55</v>
      </c>
      <c r="J52" s="84">
        <f>SUM(FO!J52,PO!J52,CO!J52,FE!J52,PE!J52)</f>
        <v>90000</v>
      </c>
      <c r="K52" s="84">
        <f>SUM(FO!K52,PO!K52,CO!K52,FE!K52,PE!K52)</f>
        <v>92700</v>
      </c>
      <c r="L52" s="84">
        <f>SUM(FO!L52,PO!L52,CO!L52,FE!L52,PE!L52)</f>
        <v>95800</v>
      </c>
      <c r="M52" s="84">
        <f>SUM(FO!M52,PO!M52,CO!M52,FE!M52,PE!M52)</f>
        <v>96900</v>
      </c>
      <c r="N52" s="84">
        <f>SUM(B52:M52)</f>
        <v>887966.36</v>
      </c>
      <c r="O52" s="105">
        <f>IFERROR(N52/N$16,"")</f>
        <v>0.11960851173652</v>
      </c>
      <c r="P52" s="84"/>
      <c r="Q52" s="84"/>
      <c r="R52" s="84"/>
      <c r="S52" s="84"/>
      <c r="T52" s="84"/>
      <c r="U52" s="84">
        <f>SUM(FO!U52,PO!U52,CO!U52,FE!U52,PE!U52)</f>
        <v>90012.583333333343</v>
      </c>
      <c r="V52" s="84">
        <f>SUM(FO!V52,PO!V52,CO!V52,FE!V52,PE!V52)</f>
        <v>90012.583333333343</v>
      </c>
      <c r="W52" s="84">
        <f>SUM(FO!W52,PO!W52,CO!W52,FE!W52,PE!W52)</f>
        <v>90012.583333333343</v>
      </c>
      <c r="X52" s="84">
        <f>SUM(FO!X52,PO!X52,CO!X52,FE!X52,PE!X52)</f>
        <v>90012.583333333343</v>
      </c>
      <c r="Y52" s="84">
        <f>SUM(FO!Y52,PO!Y52,CO!Y52,FE!Y52,PE!Y52)</f>
        <v>90012.583333333343</v>
      </c>
      <c r="Z52" s="84">
        <f>SUM(FO!Z52,PO!Z52,CO!Z52,FE!Z52,PE!Z52)</f>
        <v>90012.583333333343</v>
      </c>
      <c r="AA52" s="84">
        <f>SUM(FO!AA52,PO!AA52,CO!AA52,FE!AA52,PE!AA52)</f>
        <v>90012.583333333343</v>
      </c>
      <c r="AB52" s="84">
        <f>SUM(FO!AB52,PO!AB52,CO!AB52,FE!AB52,PE!AB52)</f>
        <v>90012.583333333343</v>
      </c>
      <c r="AC52" s="84">
        <f>SUM(FO!AC52,PO!AC52,CO!AC52,FE!AC52,PE!AC52)</f>
        <v>90012.583333333343</v>
      </c>
      <c r="AD52" s="84">
        <f>SUM(FO!AD52,PO!AD52,CO!AD52,FE!AD52,PE!AD52)</f>
        <v>92712.960833333345</v>
      </c>
      <c r="AE52" s="84">
        <f>SUM(FO!AE52,PO!AE52,CO!AE52,FE!AE52,PE!AE52)</f>
        <v>92712.960833333345</v>
      </c>
      <c r="AF52" s="84">
        <f>SUM(FO!AF52,PO!AF52,CO!AF52,FE!AF52,PE!AF52)</f>
        <v>92712.960833333345</v>
      </c>
      <c r="AG52" s="84">
        <f>SUM(U52:AF52)</f>
        <v>1088252.1325000003</v>
      </c>
      <c r="AH52" s="105" t="str">
        <f>IFERROR(AG52/AG$16,"")</f>
        <v/>
      </c>
      <c r="AJ52" s="84">
        <f>N52-AG52</f>
        <v>-200285.77250000031</v>
      </c>
    </row>
    <row r="53" spans="1:36" x14ac:dyDescent="0.3">
      <c r="A53" s="116" t="s">
        <v>139</v>
      </c>
      <c r="B53" s="84">
        <f>SUM(FO!B53,PO!B53,CO!B53,FE!B53,PE!B53)</f>
        <v>3714.57</v>
      </c>
      <c r="C53" s="84">
        <f>SUM(FO!C53,PO!C53,CO!C53,FE!C53,PE!C53)</f>
        <v>3251.23</v>
      </c>
      <c r="D53" s="84">
        <f>SUM(FO!D53,PO!D53,CO!D53,FE!D53,PE!D53)</f>
        <v>3711.25</v>
      </c>
      <c r="E53" s="84">
        <f>SUM(FO!E53,PO!E53,CO!E53,FE!E53,PE!E53)</f>
        <v>5152.42</v>
      </c>
      <c r="F53" s="84">
        <f>SUM(FO!F53,PO!F53,CO!F53,FE!F53,PE!F53)</f>
        <v>4827.71</v>
      </c>
      <c r="G53" s="84">
        <f>SUM(FO!G53,PO!G53,CO!G53,FE!G53,PE!G53)</f>
        <v>4403.72</v>
      </c>
      <c r="H53" s="84">
        <f>SUM(FO!H53,PO!H53,CO!H53,FE!H53,PE!H53)</f>
        <v>5573.24</v>
      </c>
      <c r="I53" s="84">
        <f>SUM(FO!I53,PO!I53,CO!I53,FE!I53,PE!I53)</f>
        <v>5853.77</v>
      </c>
      <c r="J53" s="84">
        <f>SUM(FO!J53,PO!J53,CO!J53,FE!J53,PE!J53)</f>
        <v>5850</v>
      </c>
      <c r="K53" s="84">
        <f>SUM(FO!K53,PO!K53,CO!K53,FE!K53,PE!K53)</f>
        <v>6026</v>
      </c>
      <c r="L53" s="84">
        <f>SUM(FO!L53,PO!L53,CO!L53,FE!L53,PE!L53)</f>
        <v>6227</v>
      </c>
      <c r="M53" s="84">
        <f>SUM(FO!M53,PO!M53,CO!M53,FE!M53,PE!M53)</f>
        <v>6299</v>
      </c>
      <c r="N53" s="84">
        <f>SUM(B53:M53)</f>
        <v>60889.91</v>
      </c>
      <c r="O53" s="105">
        <f>IFERROR(N53/N$16,"")</f>
        <v>8.2018326852727249E-3</v>
      </c>
      <c r="P53" s="84"/>
      <c r="Q53" s="84"/>
      <c r="R53" s="84"/>
      <c r="S53" s="84"/>
      <c r="T53" s="84"/>
      <c r="U53" s="84">
        <f>SUM(FO!U53,PO!U53,CO!U53,FE!U53,PE!U53)</f>
        <v>6163.2433510037235</v>
      </c>
      <c r="V53" s="84">
        <f>SUM(FO!V53,PO!V53,CO!V53,FE!V53,PE!V53)</f>
        <v>6163.2433510037235</v>
      </c>
      <c r="W53" s="84">
        <f>SUM(FO!W53,PO!W53,CO!W53,FE!W53,PE!W53)</f>
        <v>6163.2433510037235</v>
      </c>
      <c r="X53" s="84">
        <f>SUM(FO!X53,PO!X53,CO!X53,FE!X53,PE!X53)</f>
        <v>6163.2433510037235</v>
      </c>
      <c r="Y53" s="84">
        <f>SUM(FO!Y53,PO!Y53,CO!Y53,FE!Y53,PE!Y53)</f>
        <v>6163.2433510037235</v>
      </c>
      <c r="Z53" s="84">
        <f>SUM(FO!Z53,PO!Z53,CO!Z53,FE!Z53,PE!Z53)</f>
        <v>6163.2433510037235</v>
      </c>
      <c r="AA53" s="84">
        <f>SUM(FO!AA53,PO!AA53,CO!AA53,FE!AA53,PE!AA53)</f>
        <v>6163.2433510037235</v>
      </c>
      <c r="AB53" s="84">
        <f>SUM(FO!AB53,PO!AB53,CO!AB53,FE!AB53,PE!AB53)</f>
        <v>6163.2433510037235</v>
      </c>
      <c r="AC53" s="84">
        <f>SUM(FO!AC53,PO!AC53,CO!AC53,FE!AC53,PE!AC53)</f>
        <v>6163.2433510037235</v>
      </c>
      <c r="AD53" s="84">
        <f>SUM(FO!AD53,PO!AD53,CO!AD53,FE!AD53,PE!AD53)</f>
        <v>6348.1406515338349</v>
      </c>
      <c r="AE53" s="84">
        <f>SUM(FO!AE53,PO!AE53,CO!AE53,FE!AE53,PE!AE53)</f>
        <v>6348.1406515338349</v>
      </c>
      <c r="AF53" s="84">
        <f>SUM(FO!AF53,PO!AF53,CO!AF53,FE!AF53,PE!AF53)</f>
        <v>6348.1406515338349</v>
      </c>
      <c r="AG53" s="84">
        <f>SUM(U53:AF53)</f>
        <v>74513.612113635012</v>
      </c>
      <c r="AH53" s="105" t="str">
        <f>IFERROR(AG53/AG$16,"")</f>
        <v/>
      </c>
      <c r="AJ53" s="84">
        <f>N53-AG53</f>
        <v>-13623.702113635009</v>
      </c>
    </row>
    <row r="54" spans="1:36" x14ac:dyDescent="0.3">
      <c r="A54" s="116" t="s">
        <v>140</v>
      </c>
      <c r="B54" s="84">
        <f>SUM(FO!B54,PO!B54,CO!B54,FE!B54,PE!B54)</f>
        <v>31338.07</v>
      </c>
      <c r="C54" s="84">
        <f>SUM(FO!C54,PO!C54,CO!C54,FE!C54,PE!C54)</f>
        <v>21236.59</v>
      </c>
      <c r="D54" s="84">
        <f>SUM(FO!D54,PO!D54,CO!D54,FE!D54,PE!D54)</f>
        <v>9448.65</v>
      </c>
      <c r="E54" s="84">
        <f>SUM(FO!E54,PO!E54,CO!E54,FE!E54,PE!E54)</f>
        <v>12493.8</v>
      </c>
      <c r="F54" s="84">
        <f>SUM(FO!F54,PO!F54,CO!F54,FE!F54,PE!F54)</f>
        <v>12115.76</v>
      </c>
      <c r="G54" s="84">
        <f>SUM(FO!G54,PO!G54,CO!G54,FE!G54,PE!G54)</f>
        <v>16324.25</v>
      </c>
      <c r="H54" s="84">
        <f>SUM(FO!H54,PO!H54,CO!H54,FE!H54,PE!H54)</f>
        <v>13014.13</v>
      </c>
      <c r="I54" s="84">
        <f>SUM(FO!I54,PO!I54,CO!I54,FE!I54,PE!I54)</f>
        <v>17324.259999999998</v>
      </c>
      <c r="J54" s="84">
        <f>SUM(FO!J54,PO!J54,CO!J54,FE!J54,PE!J54)</f>
        <v>10800</v>
      </c>
      <c r="K54" s="84">
        <f>SUM(FO!K54,PO!K54,CO!K54,FE!K54,PE!K54)</f>
        <v>11124</v>
      </c>
      <c r="L54" s="84">
        <f>SUM(FO!L54,PO!L54,CO!L54,FE!L54,PE!L54)</f>
        <v>11496</v>
      </c>
      <c r="M54" s="84">
        <f>SUM(FO!M54,PO!M54,CO!M54,FE!M54,PE!M54)</f>
        <v>11628</v>
      </c>
      <c r="N54" s="84">
        <f>SUM(B54:M54)</f>
        <v>178343.51</v>
      </c>
      <c r="O54" s="105">
        <f>IFERROR(N54/N$16,"")</f>
        <v>2.4022758935335314E-2</v>
      </c>
      <c r="P54" s="84"/>
      <c r="Q54" s="84"/>
      <c r="R54" s="84"/>
      <c r="S54" s="84"/>
      <c r="T54" s="84"/>
      <c r="U54" s="84">
        <f>SUM(FO!U54,PO!U54,CO!U54,FE!U54,PE!U54)</f>
        <v>14766.898018835556</v>
      </c>
      <c r="V54" s="84">
        <f>SUM(FO!V54,PO!V54,CO!V54,FE!V54,PE!V54)</f>
        <v>14766.898018835556</v>
      </c>
      <c r="W54" s="84">
        <f>SUM(FO!W54,PO!W54,CO!W54,FE!W54,PE!W54)</f>
        <v>14766.898018835556</v>
      </c>
      <c r="X54" s="84">
        <f>SUM(FO!X54,PO!X54,CO!X54,FE!X54,PE!X54)</f>
        <v>14766.898018835556</v>
      </c>
      <c r="Y54" s="84">
        <f>SUM(FO!Y54,PO!Y54,CO!Y54,FE!Y54,PE!Y54)</f>
        <v>14766.898018835556</v>
      </c>
      <c r="Z54" s="84">
        <f>SUM(FO!Z54,PO!Z54,CO!Z54,FE!Z54,PE!Z54)</f>
        <v>14766.898018835556</v>
      </c>
      <c r="AA54" s="84">
        <f>SUM(FO!AA54,PO!AA54,CO!AA54,FE!AA54,PE!AA54)</f>
        <v>14766.898018835556</v>
      </c>
      <c r="AB54" s="84">
        <f>SUM(FO!AB54,PO!AB54,CO!AB54,FE!AB54,PE!AB54)</f>
        <v>14766.898018835556</v>
      </c>
      <c r="AC54" s="84">
        <f>SUM(FO!AC54,PO!AC54,CO!AC54,FE!AC54,PE!AC54)</f>
        <v>14766.898018835556</v>
      </c>
      <c r="AD54" s="84">
        <f>SUM(FO!AD54,PO!AD54,CO!AD54,FE!AD54,PE!AD54)</f>
        <v>15209.904959400623</v>
      </c>
      <c r="AE54" s="84">
        <f>SUM(FO!AE54,PO!AE54,CO!AE54,FE!AE54,PE!AE54)</f>
        <v>15209.904959400623</v>
      </c>
      <c r="AF54" s="84">
        <f>SUM(FO!AF54,PO!AF54,CO!AF54,FE!AF54,PE!AF54)</f>
        <v>15209.904959400623</v>
      </c>
      <c r="AG54" s="84">
        <f>SUM(U54:AF54)</f>
        <v>178531.79704772183</v>
      </c>
      <c r="AH54" s="105" t="str">
        <f>IFERROR(AG54/AG$16,"")</f>
        <v/>
      </c>
      <c r="AJ54" s="84">
        <f>N54-AG54</f>
        <v>-188.28704772182391</v>
      </c>
    </row>
    <row r="55" spans="1:36" x14ac:dyDescent="0.3">
      <c r="A55" s="118" t="s">
        <v>141</v>
      </c>
      <c r="B55" s="110">
        <f t="shared" ref="B55:M55" si="25">SUM(B52:B54)</f>
        <v>76823.67</v>
      </c>
      <c r="C55" s="110">
        <f t="shared" si="25"/>
        <v>63216.320000000007</v>
      </c>
      <c r="D55" s="110">
        <f t="shared" si="25"/>
        <v>68863.38</v>
      </c>
      <c r="E55" s="110">
        <f t="shared" si="25"/>
        <v>94848.3</v>
      </c>
      <c r="F55" s="110">
        <f t="shared" si="25"/>
        <v>89809.27</v>
      </c>
      <c r="G55" s="110">
        <f t="shared" si="25"/>
        <v>85429.65</v>
      </c>
      <c r="H55" s="110">
        <f t="shared" si="25"/>
        <v>100726.61000000002</v>
      </c>
      <c r="I55" s="110">
        <f t="shared" si="25"/>
        <v>102632.58</v>
      </c>
      <c r="J55" s="110">
        <f t="shared" si="25"/>
        <v>106650</v>
      </c>
      <c r="K55" s="110">
        <f t="shared" si="25"/>
        <v>109850</v>
      </c>
      <c r="L55" s="110">
        <f t="shared" si="25"/>
        <v>113523</v>
      </c>
      <c r="M55" s="110">
        <f t="shared" si="25"/>
        <v>114827</v>
      </c>
      <c r="N55" s="110">
        <f>SUM(B55:M55)</f>
        <v>1127199.7799999998</v>
      </c>
      <c r="O55" s="111">
        <f>IFERROR(N55/N$16,"")</f>
        <v>0.15183310335712802</v>
      </c>
      <c r="P55" s="84"/>
      <c r="Q55" s="84"/>
      <c r="R55" s="84"/>
      <c r="S55" s="84"/>
      <c r="T55" s="84"/>
      <c r="U55" s="110">
        <f t="shared" ref="U55:AF55" si="26">SUM(U52:U54)</f>
        <v>110942.72470317263</v>
      </c>
      <c r="V55" s="110">
        <f t="shared" si="26"/>
        <v>110942.72470317263</v>
      </c>
      <c r="W55" s="110">
        <f t="shared" si="26"/>
        <v>110942.72470317263</v>
      </c>
      <c r="X55" s="110">
        <f t="shared" si="26"/>
        <v>110942.72470317263</v>
      </c>
      <c r="Y55" s="110">
        <f t="shared" si="26"/>
        <v>110942.72470317263</v>
      </c>
      <c r="Z55" s="110">
        <f t="shared" si="26"/>
        <v>110942.72470317263</v>
      </c>
      <c r="AA55" s="110">
        <f t="shared" si="26"/>
        <v>110942.72470317263</v>
      </c>
      <c r="AB55" s="110">
        <f t="shared" si="26"/>
        <v>110942.72470317263</v>
      </c>
      <c r="AC55" s="110">
        <f t="shared" si="26"/>
        <v>110942.72470317263</v>
      </c>
      <c r="AD55" s="110">
        <f t="shared" si="26"/>
        <v>114271.0064442678</v>
      </c>
      <c r="AE55" s="110">
        <f t="shared" si="26"/>
        <v>114271.0064442678</v>
      </c>
      <c r="AF55" s="110">
        <f t="shared" si="26"/>
        <v>114271.0064442678</v>
      </c>
      <c r="AG55" s="110">
        <f>SUM(U55:AF55)</f>
        <v>1341297.541661357</v>
      </c>
      <c r="AH55" s="111" t="str">
        <f>IFERROR(AG55/AG$16,"")</f>
        <v/>
      </c>
      <c r="AJ55" s="110">
        <f>N55-AG55</f>
        <v>-214097.76166135725</v>
      </c>
    </row>
    <row r="56" spans="1:36" x14ac:dyDescent="0.3">
      <c r="A56" s="109" t="s">
        <v>142</v>
      </c>
      <c r="B56" s="110">
        <f t="shared" ref="B56:M56" si="27">B44+B45+B46+B47+B48+B49+B50+B55</f>
        <v>106174.16</v>
      </c>
      <c r="C56" s="110">
        <f t="shared" si="27"/>
        <v>92216.700000000012</v>
      </c>
      <c r="D56" s="110">
        <f t="shared" si="27"/>
        <v>142609.40000000002</v>
      </c>
      <c r="E56" s="110">
        <f t="shared" si="27"/>
        <v>118718.70000000001</v>
      </c>
      <c r="F56" s="110">
        <f t="shared" si="27"/>
        <v>173025.67</v>
      </c>
      <c r="G56" s="110">
        <f t="shared" si="27"/>
        <v>150798.28</v>
      </c>
      <c r="H56" s="110">
        <f t="shared" si="27"/>
        <v>143176.78000000003</v>
      </c>
      <c r="I56" s="110">
        <f t="shared" si="27"/>
        <v>131950.98000000001</v>
      </c>
      <c r="J56" s="110">
        <f t="shared" si="27"/>
        <v>193300</v>
      </c>
      <c r="K56" s="110">
        <f t="shared" si="27"/>
        <v>200670</v>
      </c>
      <c r="L56" s="110">
        <f t="shared" si="27"/>
        <v>209513</v>
      </c>
      <c r="M56" s="110">
        <f t="shared" si="27"/>
        <v>214987</v>
      </c>
      <c r="N56" s="110">
        <f>SUM(B56:M56)</f>
        <v>1877140.6700000002</v>
      </c>
      <c r="O56" s="111">
        <f>IFERROR(N56/N$16,"")</f>
        <v>0.25284967085779469</v>
      </c>
      <c r="P56" s="84"/>
      <c r="Q56" s="84"/>
      <c r="R56" s="84"/>
      <c r="S56" s="84"/>
      <c r="T56" s="84"/>
      <c r="U56" s="110">
        <f t="shared" ref="U56:AF56" si="28">U44+U45+U46+U47+U48+U49+U50+U55</f>
        <v>110942.72470317263</v>
      </c>
      <c r="V56" s="110">
        <f t="shared" si="28"/>
        <v>110942.72470317263</v>
      </c>
      <c r="W56" s="110">
        <f t="shared" si="28"/>
        <v>110942.72470317263</v>
      </c>
      <c r="X56" s="110">
        <f t="shared" si="28"/>
        <v>110942.72470317263</v>
      </c>
      <c r="Y56" s="110">
        <f t="shared" si="28"/>
        <v>110942.72470317263</v>
      </c>
      <c r="Z56" s="110">
        <f t="shared" si="28"/>
        <v>110942.72470317263</v>
      </c>
      <c r="AA56" s="110">
        <f t="shared" si="28"/>
        <v>110942.72470317263</v>
      </c>
      <c r="AB56" s="110">
        <f t="shared" si="28"/>
        <v>110942.72470317263</v>
      </c>
      <c r="AC56" s="110">
        <f t="shared" si="28"/>
        <v>110942.72470317263</v>
      </c>
      <c r="AD56" s="110">
        <f t="shared" si="28"/>
        <v>114271.0064442678</v>
      </c>
      <c r="AE56" s="110">
        <f t="shared" si="28"/>
        <v>114271.0064442678</v>
      </c>
      <c r="AF56" s="110">
        <f t="shared" si="28"/>
        <v>114271.0064442678</v>
      </c>
      <c r="AG56" s="110">
        <f>SUM(U56:AF56)</f>
        <v>1341297.541661357</v>
      </c>
      <c r="AH56" s="111" t="str">
        <f>IFERROR(AG56/AG$16,"")</f>
        <v/>
      </c>
      <c r="AJ56" s="110">
        <f>N56-AG56</f>
        <v>535843.12833864312</v>
      </c>
    </row>
    <row r="57" spans="1:36" x14ac:dyDescent="0.3">
      <c r="A57" s="102" t="s">
        <v>143</v>
      </c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105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105"/>
      <c r="AJ57" s="84"/>
    </row>
    <row r="58" spans="1:36" x14ac:dyDescent="0.3">
      <c r="A58" s="103" t="s">
        <v>144</v>
      </c>
      <c r="B58" s="84">
        <f>SUM(FO!B58,PO!B58,CO!B58,FE!B58,PE!B58)</f>
        <v>11975.85</v>
      </c>
      <c r="C58" s="84">
        <f>SUM(FO!C58,PO!C58,CO!C58,FE!C58,PE!C58)</f>
        <v>11156.17</v>
      </c>
      <c r="D58" s="84">
        <f>SUM(FO!D58,PO!D58,CO!D58,FE!D58,PE!D58)</f>
        <v>11961.24</v>
      </c>
      <c r="E58" s="84">
        <f>SUM(FO!E58,PO!E58,CO!E58,FE!E58,PE!E58)</f>
        <v>7090.45</v>
      </c>
      <c r="F58" s="84">
        <f>SUM(FO!F58,PO!F58,CO!F58,FE!F58,PE!F58)</f>
        <v>12334.88</v>
      </c>
      <c r="G58" s="84">
        <f>SUM(FO!G58,PO!G58,CO!G58,FE!G58,PE!G58)</f>
        <v>13958.17</v>
      </c>
      <c r="H58" s="84">
        <f>SUM(FO!H58,PO!H58,CO!H58,FE!H58,PE!H58)</f>
        <v>17445.88</v>
      </c>
      <c r="I58" s="84">
        <f>SUM(FO!I58,PO!I58,CO!I58,FE!I58,PE!I58)</f>
        <v>13773.96</v>
      </c>
      <c r="J58" s="84">
        <f>SUM(FO!J58,PO!J58,CO!J58,FE!J58,PE!J58)</f>
        <v>5208</v>
      </c>
      <c r="K58" s="84">
        <f>SUM(FO!K58,PO!K58,CO!K58,FE!K58,PE!K58)</f>
        <v>5208</v>
      </c>
      <c r="L58" s="84">
        <f>SUM(FO!L58,PO!L58,CO!L58,FE!L58,PE!L58)</f>
        <v>5208</v>
      </c>
      <c r="M58" s="84">
        <f>SUM(FO!M58,PO!M58,CO!M58,FE!M58,PE!M58)</f>
        <v>5208</v>
      </c>
      <c r="N58" s="84">
        <f t="shared" ref="N58:N64" si="29">SUM(B58:M58)</f>
        <v>120528.6</v>
      </c>
      <c r="O58" s="105">
        <f t="shared" ref="O58:O64" si="30">IFERROR(N58/N$16,"")</f>
        <v>1.6235126821343013E-2</v>
      </c>
      <c r="P58" s="84"/>
      <c r="Q58" s="84"/>
      <c r="R58" s="84"/>
      <c r="S58" s="84"/>
      <c r="T58" s="84"/>
      <c r="U58" s="84">
        <f>SUM(FO!U58,PO!U58,CO!U58,FE!U58,PE!U58)</f>
        <v>0</v>
      </c>
      <c r="V58" s="84">
        <f>SUM(FO!V58,PO!V58,CO!V58,FE!V58,PE!V58)</f>
        <v>0</v>
      </c>
      <c r="W58" s="84">
        <f>SUM(FO!W58,PO!W58,CO!W58,FE!W58,PE!W58)</f>
        <v>0</v>
      </c>
      <c r="X58" s="84">
        <f>SUM(FO!X58,PO!X58,CO!X58,FE!X58,PE!X58)</f>
        <v>0</v>
      </c>
      <c r="Y58" s="84">
        <f>SUM(FO!Y58,PO!Y58,CO!Y58,FE!Y58,PE!Y58)</f>
        <v>0</v>
      </c>
      <c r="Z58" s="84">
        <f>SUM(FO!Z58,PO!Z58,CO!Z58,FE!Z58,PE!Z58)</f>
        <v>0</v>
      </c>
      <c r="AA58" s="84">
        <f>SUM(FO!AA58,PO!AA58,CO!AA58,FE!AA58,PE!AA58)</f>
        <v>0</v>
      </c>
      <c r="AB58" s="84">
        <f>SUM(FO!AB58,PO!AB58,CO!AB58,FE!AB58,PE!AB58)</f>
        <v>0</v>
      </c>
      <c r="AC58" s="84">
        <f>SUM(FO!AC58,PO!AC58,CO!AC58,FE!AC58,PE!AC58)</f>
        <v>0</v>
      </c>
      <c r="AD58" s="84">
        <f>SUM(FO!AD58,PO!AD58,CO!AD58,FE!AD58,PE!AD58)</f>
        <v>0</v>
      </c>
      <c r="AE58" s="84">
        <f>SUM(FO!AE58,PO!AE58,CO!AE58,FE!AE58,PE!AE58)</f>
        <v>0</v>
      </c>
      <c r="AF58" s="84">
        <f>SUM(FO!AF58,PO!AF58,CO!AF58,FE!AF58,PE!AF58)</f>
        <v>0</v>
      </c>
      <c r="AG58" s="84">
        <f t="shared" ref="AG58:AG64" si="31">SUM(U58:AF58)</f>
        <v>0</v>
      </c>
      <c r="AH58" s="105" t="str">
        <f t="shared" ref="AH58:AH64" si="32">IFERROR(AG58/AG$16,"")</f>
        <v/>
      </c>
      <c r="AJ58" s="84">
        <f t="shared" ref="AJ58:AJ63" si="33">N58-AG58</f>
        <v>120528.6</v>
      </c>
    </row>
    <row r="59" spans="1:36" x14ac:dyDescent="0.3">
      <c r="A59" s="103" t="s">
        <v>145</v>
      </c>
      <c r="B59" s="84">
        <f>SUM(FO!B59,PO!B59,CO!B59,FE!B59,PE!B59)</f>
        <v>65</v>
      </c>
      <c r="C59" s="84">
        <f>SUM(FO!C59,PO!C59,CO!C59,FE!C59,PE!C59)</f>
        <v>0</v>
      </c>
      <c r="D59" s="84">
        <f>SUM(FO!D59,PO!D59,CO!D59,FE!D59,PE!D59)</f>
        <v>0</v>
      </c>
      <c r="E59" s="84">
        <f>SUM(FO!E59,PO!E59,CO!E59,FE!E59,PE!E59)</f>
        <v>0</v>
      </c>
      <c r="F59" s="84">
        <f>SUM(FO!F59,PO!F59,CO!F59,FE!F59,PE!F59)</f>
        <v>119.9</v>
      </c>
      <c r="G59" s="84">
        <f>SUM(FO!G59,PO!G59,CO!G59,FE!G59,PE!G59)</f>
        <v>0</v>
      </c>
      <c r="H59" s="84">
        <f>SUM(FO!H59,PO!H59,CO!H59,FE!H59,PE!H59)</f>
        <v>1921.29</v>
      </c>
      <c r="I59" s="84">
        <f>SUM(FO!I59,PO!I59,CO!I59,FE!I59,PE!I59)</f>
        <v>0</v>
      </c>
      <c r="J59" s="84">
        <f>SUM(FO!J59,PO!J59,CO!J59,FE!J59,PE!J59)</f>
        <v>40</v>
      </c>
      <c r="K59" s="84">
        <f>SUM(FO!K59,PO!K59,CO!K59,FE!K59,PE!K59)</f>
        <v>40</v>
      </c>
      <c r="L59" s="84">
        <f>SUM(FO!L59,PO!L59,CO!L59,FE!L59,PE!L59)</f>
        <v>40</v>
      </c>
      <c r="M59" s="84">
        <f>SUM(FO!M59,PO!M59,CO!M59,FE!M59,PE!M59)</f>
        <v>40</v>
      </c>
      <c r="N59" s="84">
        <f t="shared" si="29"/>
        <v>2266.19</v>
      </c>
      <c r="O59" s="105">
        <f t="shared" si="30"/>
        <v>3.0525437158698701E-4</v>
      </c>
      <c r="P59" s="84"/>
      <c r="Q59" s="84"/>
      <c r="R59" s="84"/>
      <c r="S59" s="84"/>
      <c r="T59" s="84"/>
      <c r="U59" s="84">
        <f>SUM(FO!U59,PO!U59,CO!U59,FE!U59,PE!U59)</f>
        <v>0</v>
      </c>
      <c r="V59" s="84">
        <f>SUM(FO!V59,PO!V59,CO!V59,FE!V59,PE!V59)</f>
        <v>0</v>
      </c>
      <c r="W59" s="84">
        <f>SUM(FO!W59,PO!W59,CO!W59,FE!W59,PE!W59)</f>
        <v>0</v>
      </c>
      <c r="X59" s="84">
        <f>SUM(FO!X59,PO!X59,CO!X59,FE!X59,PE!X59)</f>
        <v>0</v>
      </c>
      <c r="Y59" s="84">
        <f>SUM(FO!Y59,PO!Y59,CO!Y59,FE!Y59,PE!Y59)</f>
        <v>0</v>
      </c>
      <c r="Z59" s="84">
        <f>SUM(FO!Z59,PO!Z59,CO!Z59,FE!Z59,PE!Z59)</f>
        <v>0</v>
      </c>
      <c r="AA59" s="84">
        <f>SUM(FO!AA59,PO!AA59,CO!AA59,FE!AA59,PE!AA59)</f>
        <v>0</v>
      </c>
      <c r="AB59" s="84">
        <f>SUM(FO!AB59,PO!AB59,CO!AB59,FE!AB59,PE!AB59)</f>
        <v>0</v>
      </c>
      <c r="AC59" s="84">
        <f>SUM(FO!AC59,PO!AC59,CO!AC59,FE!AC59,PE!AC59)</f>
        <v>0</v>
      </c>
      <c r="AD59" s="84">
        <f>SUM(FO!AD59,PO!AD59,CO!AD59,FE!AD59,PE!AD59)</f>
        <v>0</v>
      </c>
      <c r="AE59" s="84">
        <f>SUM(FO!AE59,PO!AE59,CO!AE59,FE!AE59,PE!AE59)</f>
        <v>0</v>
      </c>
      <c r="AF59" s="84">
        <f>SUM(FO!AF59,PO!AF59,CO!AF59,FE!AF59,PE!AF59)</f>
        <v>0</v>
      </c>
      <c r="AG59" s="84">
        <f t="shared" si="31"/>
        <v>0</v>
      </c>
      <c r="AH59" s="105" t="str">
        <f t="shared" si="32"/>
        <v/>
      </c>
      <c r="AJ59" s="84">
        <f t="shared" si="33"/>
        <v>2266.19</v>
      </c>
    </row>
    <row r="60" spans="1:36" x14ac:dyDescent="0.3">
      <c r="A60" s="103" t="s">
        <v>146</v>
      </c>
      <c r="B60" s="84">
        <f>SUM(FO!B60,PO!B60,CO!B60,FE!B60,PE!B60)</f>
        <v>281.95999999999998</v>
      </c>
      <c r="C60" s="84">
        <f>SUM(FO!C60,PO!C60,CO!C60,FE!C60,PE!C60)</f>
        <v>47.22</v>
      </c>
      <c r="D60" s="84">
        <f>SUM(FO!D60,PO!D60,CO!D60,FE!D60,PE!D60)</f>
        <v>0</v>
      </c>
      <c r="E60" s="84">
        <f>SUM(FO!E60,PO!E60,CO!E60,FE!E60,PE!E60)</f>
        <v>0</v>
      </c>
      <c r="F60" s="84">
        <f>SUM(FO!F60,PO!F60,CO!F60,FE!F60,PE!F60)</f>
        <v>0</v>
      </c>
      <c r="G60" s="84">
        <f>SUM(FO!G60,PO!G60,CO!G60,FE!G60,PE!G60)</f>
        <v>0</v>
      </c>
      <c r="H60" s="84">
        <f>SUM(FO!H60,PO!H60,CO!H60,FE!H60,PE!H60)</f>
        <v>20.7</v>
      </c>
      <c r="I60" s="84">
        <f>SUM(FO!I60,PO!I60,CO!I60,FE!I60,PE!I60)</f>
        <v>321.5</v>
      </c>
      <c r="J60" s="84">
        <f>SUM(FO!J60,PO!J60,CO!J60,FE!J60,PE!J60)</f>
        <v>0</v>
      </c>
      <c r="K60" s="84">
        <f>SUM(FO!K60,PO!K60,CO!K60,FE!K60,PE!K60)</f>
        <v>0</v>
      </c>
      <c r="L60" s="84">
        <f>SUM(FO!L60,PO!L60,CO!L60,FE!L60,PE!L60)</f>
        <v>0</v>
      </c>
      <c r="M60" s="84">
        <f>SUM(FO!M60,PO!M60,CO!M60,FE!M60,PE!M60)</f>
        <v>0</v>
      </c>
      <c r="N60" s="84">
        <f t="shared" si="29"/>
        <v>671.37999999999988</v>
      </c>
      <c r="O60" s="105">
        <f t="shared" si="30"/>
        <v>9.0434464893089853E-5</v>
      </c>
      <c r="P60" s="84"/>
      <c r="Q60" s="84"/>
      <c r="R60" s="84"/>
      <c r="S60" s="84"/>
      <c r="T60" s="84"/>
      <c r="U60" s="84">
        <f>SUM(FO!U60,PO!U60,CO!U60,FE!U60,PE!U60)</f>
        <v>0</v>
      </c>
      <c r="V60" s="84">
        <f>SUM(FO!V60,PO!V60,CO!V60,FE!V60,PE!V60)</f>
        <v>0</v>
      </c>
      <c r="W60" s="84">
        <f>SUM(FO!W60,PO!W60,CO!W60,FE!W60,PE!W60)</f>
        <v>0</v>
      </c>
      <c r="X60" s="84">
        <f>SUM(FO!X60,PO!X60,CO!X60,FE!X60,PE!X60)</f>
        <v>0</v>
      </c>
      <c r="Y60" s="84">
        <f>SUM(FO!Y60,PO!Y60,CO!Y60,FE!Y60,PE!Y60)</f>
        <v>0</v>
      </c>
      <c r="Z60" s="84">
        <f>SUM(FO!Z60,PO!Z60,CO!Z60,FE!Z60,PE!Z60)</f>
        <v>0</v>
      </c>
      <c r="AA60" s="84">
        <f>SUM(FO!AA60,PO!AA60,CO!AA60,FE!AA60,PE!AA60)</f>
        <v>0</v>
      </c>
      <c r="AB60" s="84">
        <f>SUM(FO!AB60,PO!AB60,CO!AB60,FE!AB60,PE!AB60)</f>
        <v>0</v>
      </c>
      <c r="AC60" s="84">
        <f>SUM(FO!AC60,PO!AC60,CO!AC60,FE!AC60,PE!AC60)</f>
        <v>0</v>
      </c>
      <c r="AD60" s="84">
        <f>SUM(FO!AD60,PO!AD60,CO!AD60,FE!AD60,PE!AD60)</f>
        <v>0</v>
      </c>
      <c r="AE60" s="84">
        <f>SUM(FO!AE60,PO!AE60,CO!AE60,FE!AE60,PE!AE60)</f>
        <v>0</v>
      </c>
      <c r="AF60" s="84">
        <f>SUM(FO!AF60,PO!AF60,CO!AF60,FE!AF60,PE!AF60)</f>
        <v>0</v>
      </c>
      <c r="AG60" s="84">
        <f t="shared" si="31"/>
        <v>0</v>
      </c>
      <c r="AH60" s="105" t="str">
        <f t="shared" si="32"/>
        <v/>
      </c>
      <c r="AJ60" s="84">
        <f t="shared" si="33"/>
        <v>671.37999999999988</v>
      </c>
    </row>
    <row r="61" spans="1:36" x14ac:dyDescent="0.3">
      <c r="A61" s="109" t="s">
        <v>147</v>
      </c>
      <c r="B61" s="119">
        <f t="shared" ref="B61:M61" si="34">SUM(B58:B60)</f>
        <v>12322.81</v>
      </c>
      <c r="C61" s="119">
        <f t="shared" si="34"/>
        <v>11203.39</v>
      </c>
      <c r="D61" s="119">
        <f t="shared" si="34"/>
        <v>11961.24</v>
      </c>
      <c r="E61" s="119">
        <f t="shared" si="34"/>
        <v>7090.45</v>
      </c>
      <c r="F61" s="119">
        <f t="shared" si="34"/>
        <v>12454.779999999999</v>
      </c>
      <c r="G61" s="119">
        <f t="shared" si="34"/>
        <v>13958.17</v>
      </c>
      <c r="H61" s="119">
        <f t="shared" si="34"/>
        <v>19387.870000000003</v>
      </c>
      <c r="I61" s="119">
        <f t="shared" si="34"/>
        <v>14095.46</v>
      </c>
      <c r="J61" s="119">
        <f t="shared" si="34"/>
        <v>5248</v>
      </c>
      <c r="K61" s="119">
        <f t="shared" si="34"/>
        <v>5248</v>
      </c>
      <c r="L61" s="119">
        <f t="shared" si="34"/>
        <v>5248</v>
      </c>
      <c r="M61" s="119">
        <f t="shared" si="34"/>
        <v>5248</v>
      </c>
      <c r="N61" s="119">
        <f t="shared" si="29"/>
        <v>123466.16999999998</v>
      </c>
      <c r="O61" s="120">
        <f t="shared" si="30"/>
        <v>1.6630815657823088E-2</v>
      </c>
      <c r="P61" s="84"/>
      <c r="Q61" s="84"/>
      <c r="R61" s="84"/>
      <c r="S61" s="84"/>
      <c r="T61" s="84"/>
      <c r="U61" s="119">
        <f t="shared" ref="U61:AF61" si="35">SUM(U58:U60)</f>
        <v>0</v>
      </c>
      <c r="V61" s="119">
        <f t="shared" si="35"/>
        <v>0</v>
      </c>
      <c r="W61" s="119">
        <f t="shared" si="35"/>
        <v>0</v>
      </c>
      <c r="X61" s="119">
        <f t="shared" si="35"/>
        <v>0</v>
      </c>
      <c r="Y61" s="119">
        <f t="shared" si="35"/>
        <v>0</v>
      </c>
      <c r="Z61" s="119">
        <f t="shared" si="35"/>
        <v>0</v>
      </c>
      <c r="AA61" s="119">
        <f t="shared" si="35"/>
        <v>0</v>
      </c>
      <c r="AB61" s="119">
        <f t="shared" si="35"/>
        <v>0</v>
      </c>
      <c r="AC61" s="119">
        <f t="shared" si="35"/>
        <v>0</v>
      </c>
      <c r="AD61" s="119">
        <f t="shared" si="35"/>
        <v>0</v>
      </c>
      <c r="AE61" s="119">
        <f t="shared" si="35"/>
        <v>0</v>
      </c>
      <c r="AF61" s="119">
        <f t="shared" si="35"/>
        <v>0</v>
      </c>
      <c r="AG61" s="119">
        <f t="shared" si="31"/>
        <v>0</v>
      </c>
      <c r="AH61" s="120" t="str">
        <f t="shared" si="32"/>
        <v/>
      </c>
      <c r="AJ61" s="110">
        <f t="shared" si="33"/>
        <v>123466.16999999998</v>
      </c>
    </row>
    <row r="62" spans="1:36" x14ac:dyDescent="0.3">
      <c r="A62" s="161" t="s">
        <v>148</v>
      </c>
      <c r="B62" s="84">
        <f>SUM(FO!B62,PO!B62,CO!B62,FE!B62,PE!B62)</f>
        <v>0</v>
      </c>
      <c r="C62" s="84">
        <f>SUM(FO!C62,PO!C62,CO!C62,FE!C62,PE!C62)</f>
        <v>0</v>
      </c>
      <c r="D62" s="84">
        <f>SUM(FO!D62,PO!D62,CO!D62,FE!D62,PE!D62)</f>
        <v>0</v>
      </c>
      <c r="E62" s="84">
        <f>SUM(FO!E62,PO!E62,CO!E62,FE!E62,PE!E62)</f>
        <v>0</v>
      </c>
      <c r="F62" s="84">
        <f>SUM(FO!F62,PO!F62,CO!F62,FE!F62,PE!F62)</f>
        <v>0</v>
      </c>
      <c r="G62" s="84">
        <f>SUM(FO!G62,PO!G62,CO!G62,FE!G62,PE!G62)</f>
        <v>0</v>
      </c>
      <c r="H62" s="84">
        <f>SUM(FO!H62,PO!H62,CO!H62,FE!H62,PE!H62)</f>
        <v>-410.41</v>
      </c>
      <c r="I62" s="84">
        <f>SUM(FO!I62,PO!I62,CO!I62,FE!I62,PE!I62)</f>
        <v>0</v>
      </c>
      <c r="J62" s="84">
        <f>SUM(FO!J62,PO!J62,CO!J62,FE!J62,PE!J62)</f>
        <v>0</v>
      </c>
      <c r="K62" s="84">
        <f>SUM(FO!K62,PO!K62,CO!K62,FE!K62,PE!K62)</f>
        <v>0</v>
      </c>
      <c r="L62" s="84">
        <f>SUM(FO!L62,PO!L62,CO!L62,FE!L62,PE!L62)</f>
        <v>0</v>
      </c>
      <c r="M62" s="84">
        <f>SUM(FO!M62,PO!M62,CO!M62,FE!M62,PE!M62)</f>
        <v>0</v>
      </c>
      <c r="N62" s="84">
        <f t="shared" si="29"/>
        <v>-410.41</v>
      </c>
      <c r="O62" s="105">
        <f t="shared" si="30"/>
        <v>-5.5281969580227312E-5</v>
      </c>
      <c r="P62" s="84"/>
      <c r="Q62" s="84"/>
      <c r="R62" s="84"/>
      <c r="S62" s="84"/>
      <c r="T62" s="84"/>
      <c r="U62" s="84">
        <f>SUM(FO!U62,PO!U62,CO!U62,FE!U62,PE!U62)</f>
        <v>0</v>
      </c>
      <c r="V62" s="84">
        <f>SUM(FO!V62,PO!V62,CO!V62,FE!V62,PE!V62)</f>
        <v>0</v>
      </c>
      <c r="W62" s="84">
        <f>SUM(FO!W62,PO!W62,CO!W62,FE!W62,PE!W62)</f>
        <v>0</v>
      </c>
      <c r="X62" s="84">
        <f>SUM(FO!X62,PO!X62,CO!X62,FE!X62,PE!X62)</f>
        <v>0</v>
      </c>
      <c r="Y62" s="84">
        <f>SUM(FO!Y62,PO!Y62,CO!Y62,FE!Y62,PE!Y62)</f>
        <v>0</v>
      </c>
      <c r="Z62" s="84">
        <f>SUM(FO!Z62,PO!Z62,CO!Z62,FE!Z62,PE!Z62)</f>
        <v>0</v>
      </c>
      <c r="AA62" s="84">
        <f>SUM(FO!AA62,PO!AA62,CO!AA62,FE!AA62,PE!AA62)</f>
        <v>0</v>
      </c>
      <c r="AB62" s="84">
        <f>SUM(FO!AB62,PO!AB62,CO!AB62,FE!AB62,PE!AB62)</f>
        <v>0</v>
      </c>
      <c r="AC62" s="84">
        <f>SUM(FO!AC62,PO!AC62,CO!AC62,FE!AC62,PE!AC62)</f>
        <v>0</v>
      </c>
      <c r="AD62" s="84">
        <f>SUM(FO!AD62,PO!AD62,CO!AD62,FE!AD62,PE!AD62)</f>
        <v>0</v>
      </c>
      <c r="AE62" s="84">
        <f>SUM(FO!AE62,PO!AE62,CO!AE62,FE!AE62,PE!AE62)</f>
        <v>0</v>
      </c>
      <c r="AF62" s="84">
        <f>SUM(FO!AF62,PO!AF62,CO!AF62,FE!AF62,PE!AF62)</f>
        <v>0</v>
      </c>
      <c r="AG62" s="84">
        <f t="shared" si="31"/>
        <v>0</v>
      </c>
      <c r="AH62" s="105" t="str">
        <f t="shared" si="32"/>
        <v/>
      </c>
      <c r="AJ62" s="84">
        <f t="shared" si="33"/>
        <v>-410.41</v>
      </c>
    </row>
    <row r="63" spans="1:36" x14ac:dyDescent="0.3">
      <c r="A63" s="114" t="s">
        <v>149</v>
      </c>
      <c r="B63" s="110">
        <f t="shared" ref="B63:M63" si="36">B37+B38+B39+B40+B41+B42+B56+B61+B62</f>
        <v>268558.97000000003</v>
      </c>
      <c r="C63" s="110">
        <f t="shared" si="36"/>
        <v>280971.67</v>
      </c>
      <c r="D63" s="110">
        <f t="shared" si="36"/>
        <v>345439.98000000004</v>
      </c>
      <c r="E63" s="110">
        <f t="shared" si="36"/>
        <v>344866.53</v>
      </c>
      <c r="F63" s="110">
        <f t="shared" si="36"/>
        <v>384662.49000000011</v>
      </c>
      <c r="G63" s="110">
        <f t="shared" si="36"/>
        <v>357268.48000000004</v>
      </c>
      <c r="H63" s="110">
        <f t="shared" si="36"/>
        <v>344215.57000000012</v>
      </c>
      <c r="I63" s="110">
        <f t="shared" si="36"/>
        <v>458933.14000000007</v>
      </c>
      <c r="J63" s="110">
        <f t="shared" si="36"/>
        <v>416892.9104761905</v>
      </c>
      <c r="K63" s="110">
        <f t="shared" si="36"/>
        <v>423868.86285714287</v>
      </c>
      <c r="L63" s="110">
        <f t="shared" si="36"/>
        <v>422458.29142857145</v>
      </c>
      <c r="M63" s="110">
        <f t="shared" si="36"/>
        <v>429878.72</v>
      </c>
      <c r="N63" s="110">
        <f t="shared" si="29"/>
        <v>4478015.6147619057</v>
      </c>
      <c r="O63" s="111">
        <f t="shared" si="30"/>
        <v>0.6031858945811519</v>
      </c>
      <c r="P63" s="84"/>
      <c r="Q63" s="84"/>
      <c r="R63" s="84"/>
      <c r="S63" s="84"/>
      <c r="T63" s="84"/>
      <c r="U63" s="110">
        <f t="shared" ref="U63:AF63" si="37">U37+U38+U39+U40+U41+U42+U56+U61+U62</f>
        <v>164939.4120237953</v>
      </c>
      <c r="V63" s="110">
        <f t="shared" si="37"/>
        <v>164939.4120237953</v>
      </c>
      <c r="W63" s="110">
        <f t="shared" si="37"/>
        <v>164939.4120237953</v>
      </c>
      <c r="X63" s="110">
        <f t="shared" si="37"/>
        <v>164939.4120237953</v>
      </c>
      <c r="Y63" s="110">
        <f t="shared" si="37"/>
        <v>164939.4120237953</v>
      </c>
      <c r="Z63" s="110">
        <f t="shared" si="37"/>
        <v>164939.4120237953</v>
      </c>
      <c r="AA63" s="110">
        <f t="shared" si="37"/>
        <v>164939.4120237953</v>
      </c>
      <c r="AB63" s="110">
        <f t="shared" si="37"/>
        <v>164939.4120237953</v>
      </c>
      <c r="AC63" s="110">
        <f t="shared" si="37"/>
        <v>164939.4120237953</v>
      </c>
      <c r="AD63" s="110">
        <f t="shared" si="37"/>
        <v>169887.59438450917</v>
      </c>
      <c r="AE63" s="110">
        <f t="shared" si="37"/>
        <v>169887.59438450917</v>
      </c>
      <c r="AF63" s="110">
        <f t="shared" si="37"/>
        <v>169887.59438450917</v>
      </c>
      <c r="AG63" s="110">
        <f t="shared" si="31"/>
        <v>1994117.4913676851</v>
      </c>
      <c r="AH63" s="111" t="str">
        <f t="shared" si="32"/>
        <v/>
      </c>
      <c r="AJ63" s="110">
        <f t="shared" si="33"/>
        <v>2483898.1233942206</v>
      </c>
    </row>
    <row r="64" spans="1:36" x14ac:dyDescent="0.3">
      <c r="A64" s="130" t="s">
        <v>150</v>
      </c>
      <c r="B64" s="131">
        <f t="shared" ref="B64:M64" si="38">B16-B63</f>
        <v>274435.59000000003</v>
      </c>
      <c r="C64" s="131">
        <f t="shared" si="38"/>
        <v>222255.39000000007</v>
      </c>
      <c r="D64" s="131">
        <f t="shared" si="38"/>
        <v>201441.34999999992</v>
      </c>
      <c r="E64" s="131">
        <f t="shared" si="38"/>
        <v>404837.44999999995</v>
      </c>
      <c r="F64" s="131">
        <f t="shared" si="38"/>
        <v>135283.39999999991</v>
      </c>
      <c r="G64" s="131">
        <f t="shared" si="38"/>
        <v>122474.51999999996</v>
      </c>
      <c r="H64" s="131">
        <f t="shared" si="38"/>
        <v>296993.25999999983</v>
      </c>
      <c r="I64" s="131">
        <f t="shared" si="38"/>
        <v>12372.419999999925</v>
      </c>
      <c r="J64" s="131">
        <f t="shared" si="38"/>
        <v>234714.42285714275</v>
      </c>
      <c r="K64" s="131">
        <f t="shared" si="38"/>
        <v>323571.80380952376</v>
      </c>
      <c r="L64" s="131">
        <f t="shared" si="38"/>
        <v>349982.37523809518</v>
      </c>
      <c r="M64" s="131">
        <f t="shared" si="38"/>
        <v>367561.94666666666</v>
      </c>
      <c r="N64" s="131">
        <f t="shared" si="29"/>
        <v>2945923.9285714277</v>
      </c>
      <c r="O64" s="132">
        <f t="shared" si="30"/>
        <v>0.39681410541884798</v>
      </c>
      <c r="P64" s="84"/>
      <c r="Q64" s="84"/>
      <c r="R64" s="84"/>
      <c r="S64" s="84"/>
      <c r="T64" s="84"/>
      <c r="U64" s="131">
        <f t="shared" ref="U64:AF64" si="39">U16-U63</f>
        <v>-164939.4120237953</v>
      </c>
      <c r="V64" s="131">
        <f t="shared" si="39"/>
        <v>-164939.4120237953</v>
      </c>
      <c r="W64" s="131">
        <f t="shared" si="39"/>
        <v>-164939.4120237953</v>
      </c>
      <c r="X64" s="131">
        <f t="shared" si="39"/>
        <v>-164939.4120237953</v>
      </c>
      <c r="Y64" s="131">
        <f t="shared" si="39"/>
        <v>-164939.4120237953</v>
      </c>
      <c r="Z64" s="131">
        <f t="shared" si="39"/>
        <v>-164939.4120237953</v>
      </c>
      <c r="AA64" s="131">
        <f t="shared" si="39"/>
        <v>-164939.4120237953</v>
      </c>
      <c r="AB64" s="131">
        <f t="shared" si="39"/>
        <v>-164939.4120237953</v>
      </c>
      <c r="AC64" s="131">
        <f t="shared" si="39"/>
        <v>-164939.4120237953</v>
      </c>
      <c r="AD64" s="131">
        <f t="shared" si="39"/>
        <v>-169887.59438450917</v>
      </c>
      <c r="AE64" s="131">
        <f t="shared" si="39"/>
        <v>-169887.59438450917</v>
      </c>
      <c r="AF64" s="131">
        <f t="shared" si="39"/>
        <v>-169887.59438450917</v>
      </c>
      <c r="AG64" s="131">
        <f t="shared" si="31"/>
        <v>-1994117.4913676851</v>
      </c>
      <c r="AH64" s="132" t="str">
        <f t="shared" si="32"/>
        <v/>
      </c>
      <c r="AJ64" s="131">
        <f>AG64-N64</f>
        <v>-4940041.4199391128</v>
      </c>
    </row>
    <row r="65" spans="1:37" x14ac:dyDescent="0.3">
      <c r="A65" s="101" t="s">
        <v>151</v>
      </c>
      <c r="B65" s="133">
        <f t="shared" ref="B65:N65" si="40">IFERROR(B64/B16,"")</f>
        <v>0.50541130651474664</v>
      </c>
      <c r="C65" s="133">
        <f t="shared" si="40"/>
        <v>0.44166025173606532</v>
      </c>
      <c r="D65" s="133">
        <f t="shared" si="40"/>
        <v>0.36834563359476896</v>
      </c>
      <c r="E65" s="133">
        <f t="shared" si="40"/>
        <v>0.53999639964563073</v>
      </c>
      <c r="F65" s="133">
        <f t="shared" si="40"/>
        <v>0.26018745912194807</v>
      </c>
      <c r="G65" s="133">
        <f t="shared" si="40"/>
        <v>0.25529193755823421</v>
      </c>
      <c r="H65" s="133">
        <f t="shared" si="40"/>
        <v>0.46317712125080973</v>
      </c>
      <c r="I65" s="133">
        <f t="shared" si="40"/>
        <v>2.6251377132066777E-2</v>
      </c>
      <c r="J65" s="133">
        <f t="shared" si="40"/>
        <v>0.3602083814134629</v>
      </c>
      <c r="K65" s="133">
        <f t="shared" si="40"/>
        <v>0.43290634058291866</v>
      </c>
      <c r="L65" s="133">
        <f t="shared" si="40"/>
        <v>0.4530864185962441</v>
      </c>
      <c r="M65" s="133">
        <f t="shared" si="40"/>
        <v>0.46092701567765543</v>
      </c>
      <c r="N65" s="133">
        <f t="shared" si="40"/>
        <v>0.39681410541884798</v>
      </c>
      <c r="O65" s="133"/>
      <c r="P65" s="134"/>
      <c r="Q65" s="134"/>
      <c r="R65" s="134"/>
      <c r="S65" s="134"/>
      <c r="T65" s="134"/>
      <c r="U65" s="133" t="str">
        <f t="shared" ref="U65:AG65" si="41">IFERROR(U64/U16,"")</f>
        <v/>
      </c>
      <c r="V65" s="133" t="str">
        <f t="shared" si="41"/>
        <v/>
      </c>
      <c r="W65" s="133" t="str">
        <f t="shared" si="41"/>
        <v/>
      </c>
      <c r="X65" s="133" t="str">
        <f t="shared" si="41"/>
        <v/>
      </c>
      <c r="Y65" s="133" t="str">
        <f t="shared" si="41"/>
        <v/>
      </c>
      <c r="Z65" s="133" t="str">
        <f t="shared" si="41"/>
        <v/>
      </c>
      <c r="AA65" s="133" t="str">
        <f t="shared" si="41"/>
        <v/>
      </c>
      <c r="AB65" s="133" t="str">
        <f t="shared" si="41"/>
        <v/>
      </c>
      <c r="AC65" s="133" t="str">
        <f t="shared" si="41"/>
        <v/>
      </c>
      <c r="AD65" s="133" t="str">
        <f t="shared" si="41"/>
        <v/>
      </c>
      <c r="AE65" s="133" t="str">
        <f t="shared" si="41"/>
        <v/>
      </c>
      <c r="AF65" s="133" t="str">
        <f t="shared" si="41"/>
        <v/>
      </c>
      <c r="AG65" s="133" t="str">
        <f t="shared" si="41"/>
        <v/>
      </c>
      <c r="AH65" s="133"/>
      <c r="AI65" s="135"/>
      <c r="AJ65" s="133"/>
      <c r="AK65" s="135"/>
    </row>
    <row r="66" spans="1:37" x14ac:dyDescent="0.3">
      <c r="A66" s="102" t="s">
        <v>152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105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105"/>
      <c r="AJ66" s="84"/>
    </row>
    <row r="67" spans="1:37" x14ac:dyDescent="0.3">
      <c r="A67" s="103" t="s">
        <v>153</v>
      </c>
      <c r="B67" s="84">
        <f>SUM(FO!B67,PO!B67,CO!B67,FE!B67,PE!B67)</f>
        <v>54176.66</v>
      </c>
      <c r="C67" s="84">
        <f>SUM(FO!C67,PO!C67,CO!C67,FE!C67,PE!C67)</f>
        <v>-73775.58</v>
      </c>
      <c r="D67" s="84">
        <f>SUM(FO!D67,PO!D67,CO!D67,FE!D67,PE!D67)</f>
        <v>140925.68</v>
      </c>
      <c r="E67" s="84">
        <f>SUM(FO!E67,PO!E67,CO!E67,FE!E67,PE!E67)</f>
        <v>134198.53</v>
      </c>
      <c r="F67" s="84">
        <f>SUM(FO!F67,PO!F67,CO!F67,FE!F67,PE!F67)</f>
        <v>203069.15</v>
      </c>
      <c r="G67" s="84">
        <f>SUM(FO!G67,PO!G67,CO!G67,FE!G67,PE!G67)</f>
        <v>190550.34000000003</v>
      </c>
      <c r="H67" s="84">
        <f>SUM(FO!H67,PO!H67,CO!H67,FE!H67,PE!H67)</f>
        <v>184829.3</v>
      </c>
      <c r="I67" s="84">
        <f>SUM(FO!I67,PO!I67,CO!I67,FE!I67,PE!I67)</f>
        <v>197514.57</v>
      </c>
      <c r="J67" s="84">
        <f>SUM(FO!J67,PO!J67,CO!J67,FE!J67,PE!J67)</f>
        <v>265600</v>
      </c>
      <c r="K67" s="84">
        <f>SUM(FO!K67,PO!K67,CO!K67,FE!K67,PE!K67)</f>
        <v>287700</v>
      </c>
      <c r="L67" s="84">
        <f>SUM(FO!L67,PO!L67,CO!L67,FE!L67,PE!L67)</f>
        <v>290000</v>
      </c>
      <c r="M67" s="84">
        <f>SUM(FO!M67,PO!M67,CO!M67,FE!M67,PE!M67)</f>
        <v>299600</v>
      </c>
      <c r="N67" s="84">
        <f t="shared" ref="N67:N80" si="42">SUM(B67:M67)</f>
        <v>2174388.6500000004</v>
      </c>
      <c r="O67" s="105">
        <f t="shared" ref="O67:O80" si="43">IFERROR(N67/N$16,"")</f>
        <v>0.29288878732216944</v>
      </c>
      <c r="P67" s="84"/>
      <c r="Q67" s="84"/>
      <c r="R67" s="84"/>
      <c r="S67" s="84"/>
      <c r="T67" s="84"/>
      <c r="U67" s="84">
        <f>SUM(FO!U67,PO!U67,CO!U67,FE!U67,PE!U67)</f>
        <v>200432</v>
      </c>
      <c r="V67" s="84">
        <f>SUM(FO!V67,PO!V67,CO!V67,FE!V67,PE!V67)</f>
        <v>200432</v>
      </c>
      <c r="W67" s="84">
        <f>SUM(FO!W67,PO!W67,CO!W67,FE!W67,PE!W67)</f>
        <v>200432</v>
      </c>
      <c r="X67" s="84">
        <f>SUM(FO!X67,PO!X67,CO!X67,FE!X67,PE!X67)</f>
        <v>200432</v>
      </c>
      <c r="Y67" s="84">
        <f>SUM(FO!Y67,PO!Y67,CO!Y67,FE!Y67,PE!Y67)</f>
        <v>200432</v>
      </c>
      <c r="Z67" s="84">
        <f>SUM(FO!Z67,PO!Z67,CO!Z67,FE!Z67,PE!Z67)</f>
        <v>200432</v>
      </c>
      <c r="AA67" s="84">
        <f>SUM(FO!AA67,PO!AA67,CO!AA67,FE!AA67,PE!AA67)</f>
        <v>200432</v>
      </c>
      <c r="AB67" s="84">
        <f>SUM(FO!AB67,PO!AB67,CO!AB67,FE!AB67,PE!AB67)</f>
        <v>200432</v>
      </c>
      <c r="AC67" s="84">
        <f>SUM(FO!AC67,PO!AC67,CO!AC67,FE!AC67,PE!AC67)</f>
        <v>200432</v>
      </c>
      <c r="AD67" s="84">
        <f>SUM(FO!AD67,PO!AD67,CO!AD67,FE!AD67,PE!AD67)</f>
        <v>206444.96000000002</v>
      </c>
      <c r="AE67" s="84">
        <f>SUM(FO!AE67,PO!AE67,CO!AE67,FE!AE67,PE!AE67)</f>
        <v>206444.96000000002</v>
      </c>
      <c r="AF67" s="84">
        <f>SUM(FO!AF67,PO!AF67,CO!AF67,FE!AF67,PE!AF67)</f>
        <v>206444.96000000002</v>
      </c>
      <c r="AG67" s="84">
        <f t="shared" ref="AG67:AG80" si="44">SUM(U67:AF67)</f>
        <v>2423222.88</v>
      </c>
      <c r="AH67" s="105" t="str">
        <f t="shared" ref="AH67:AH80" si="45">IFERROR(AG67/AG$16,"")</f>
        <v/>
      </c>
      <c r="AJ67" s="84">
        <f t="shared" ref="AJ67:AJ80" si="46">N67-AG67</f>
        <v>-248834.22999999952</v>
      </c>
    </row>
    <row r="68" spans="1:37" x14ac:dyDescent="0.3">
      <c r="A68" s="103" t="s">
        <v>154</v>
      </c>
      <c r="B68" s="84">
        <f>SUM(FO!B68,PO!B68,CO!B68,FE!B68,PE!B68)</f>
        <v>14246.86</v>
      </c>
      <c r="C68" s="84">
        <f>SUM(FO!C68,PO!C68,CO!C68,FE!C68,PE!C68)</f>
        <v>38431.920000000006</v>
      </c>
      <c r="D68" s="84">
        <f>SUM(FO!D68,PO!D68,CO!D68,FE!D68,PE!D68)</f>
        <v>6290.03</v>
      </c>
      <c r="E68" s="84">
        <f>SUM(FO!E68,PO!E68,CO!E68,FE!E68,PE!E68)</f>
        <v>5633.46</v>
      </c>
      <c r="F68" s="84">
        <f>SUM(FO!F68,PO!F68,CO!F68,FE!F68,PE!F68)</f>
        <v>7753.08</v>
      </c>
      <c r="G68" s="84">
        <f>SUM(FO!G68,PO!G68,CO!G68,FE!G68,PE!G68)</f>
        <v>7265.23</v>
      </c>
      <c r="H68" s="84">
        <f>SUM(FO!H68,PO!H68,CO!H68,FE!H68,PE!H68)</f>
        <v>7181.2999999999993</v>
      </c>
      <c r="I68" s="84">
        <f>SUM(FO!I68,PO!I68,CO!I68,FE!I68,PE!I68)</f>
        <v>10596.09</v>
      </c>
      <c r="J68" s="84">
        <f>SUM(FO!J68,PO!J68,CO!J68,FE!J68,PE!J68)</f>
        <v>10133</v>
      </c>
      <c r="K68" s="84">
        <f>SUM(FO!K68,PO!K68,CO!K68,FE!K68,PE!K68)</f>
        <v>11006</v>
      </c>
      <c r="L68" s="84">
        <f>SUM(FO!L68,PO!L68,CO!L68,FE!L68,PE!L68)</f>
        <v>11098</v>
      </c>
      <c r="M68" s="84">
        <f>SUM(FO!M68,PO!M68,CO!M68,FE!M68,PE!M68)</f>
        <v>11444</v>
      </c>
      <c r="N68" s="84">
        <f t="shared" si="42"/>
        <v>141078.97</v>
      </c>
      <c r="O68" s="105">
        <f t="shared" si="43"/>
        <v>1.9003248770619142E-2</v>
      </c>
      <c r="P68" s="84"/>
      <c r="Q68" s="84"/>
      <c r="R68" s="84"/>
      <c r="S68" s="84"/>
      <c r="T68" s="84"/>
      <c r="U68" s="84">
        <f>SUM(FO!U68,PO!U68,CO!U68,FE!U68,PE!U68)</f>
        <v>8215.8222718154957</v>
      </c>
      <c r="V68" s="84">
        <f>SUM(FO!V68,PO!V68,CO!V68,FE!V68,PE!V68)</f>
        <v>8215.8222718154957</v>
      </c>
      <c r="W68" s="84">
        <f>SUM(FO!W68,PO!W68,CO!W68,FE!W68,PE!W68)</f>
        <v>8215.8222718154957</v>
      </c>
      <c r="X68" s="84">
        <f>SUM(FO!X68,PO!X68,CO!X68,FE!X68,PE!X68)</f>
        <v>8215.8222718154957</v>
      </c>
      <c r="Y68" s="84">
        <f>SUM(FO!Y68,PO!Y68,CO!Y68,FE!Y68,PE!Y68)</f>
        <v>8215.8222718154957</v>
      </c>
      <c r="Z68" s="84">
        <f>SUM(FO!Z68,PO!Z68,CO!Z68,FE!Z68,PE!Z68)</f>
        <v>8215.8222718154957</v>
      </c>
      <c r="AA68" s="84">
        <f>SUM(FO!AA68,PO!AA68,CO!AA68,FE!AA68,PE!AA68)</f>
        <v>8215.8222718154957</v>
      </c>
      <c r="AB68" s="84">
        <f>SUM(FO!AB68,PO!AB68,CO!AB68,FE!AB68,PE!AB68)</f>
        <v>8215.8222718154957</v>
      </c>
      <c r="AC68" s="84">
        <f>SUM(FO!AC68,PO!AC68,CO!AC68,FE!AC68,PE!AC68)</f>
        <v>8215.8222718154957</v>
      </c>
      <c r="AD68" s="84">
        <f>SUM(FO!AD68,PO!AD68,CO!AD68,FE!AD68,PE!AD68)</f>
        <v>8462.2969399699596</v>
      </c>
      <c r="AE68" s="84">
        <f>SUM(FO!AE68,PO!AE68,CO!AE68,FE!AE68,PE!AE68)</f>
        <v>8462.2969399699596</v>
      </c>
      <c r="AF68" s="84">
        <f>SUM(FO!AF68,PO!AF68,CO!AF68,FE!AF68,PE!AF68)</f>
        <v>8462.2969399699596</v>
      </c>
      <c r="AG68" s="84">
        <f t="shared" si="44"/>
        <v>99329.291266249362</v>
      </c>
      <c r="AH68" s="105" t="str">
        <f t="shared" si="45"/>
        <v/>
      </c>
      <c r="AJ68" s="84">
        <f t="shared" si="46"/>
        <v>41749.678733750639</v>
      </c>
    </row>
    <row r="69" spans="1:37" x14ac:dyDescent="0.3">
      <c r="A69" s="103" t="s">
        <v>155</v>
      </c>
      <c r="B69" s="84">
        <f>SUM(FO!B69,PO!B69,CO!B69,FE!B69,PE!B69)</f>
        <v>56302.42</v>
      </c>
      <c r="C69" s="84">
        <f>SUM(FO!C69,PO!C69,CO!C69,FE!C69,PE!C69)</f>
        <v>25595.520000000004</v>
      </c>
      <c r="D69" s="84">
        <f>SUM(FO!D69,PO!D69,CO!D69,FE!D69,PE!D69)</f>
        <v>20283.02</v>
      </c>
      <c r="E69" s="84">
        <f>SUM(FO!E69,PO!E69,CO!E69,FE!E69,PE!E69)</f>
        <v>21911.800000000003</v>
      </c>
      <c r="F69" s="84">
        <f>SUM(FO!F69,PO!F69,CO!F69,FE!F69,PE!F69)</f>
        <v>14943.43</v>
      </c>
      <c r="G69" s="84">
        <f>SUM(FO!G69,PO!G69,CO!G69,FE!G69,PE!G69)</f>
        <v>18184.32</v>
      </c>
      <c r="H69" s="84">
        <f>SUM(FO!H69,PO!H69,CO!H69,FE!H69,PE!H69)</f>
        <v>12933.23</v>
      </c>
      <c r="I69" s="84">
        <f>SUM(FO!I69,PO!I69,CO!I69,FE!I69,PE!I69)</f>
        <v>20943.04</v>
      </c>
      <c r="J69" s="84">
        <f>SUM(FO!J69,PO!J69,CO!J69,FE!J69,PE!J69)</f>
        <v>23905</v>
      </c>
      <c r="K69" s="84">
        <f>SUM(FO!K69,PO!K69,CO!K69,FE!K69,PE!K69)</f>
        <v>26185</v>
      </c>
      <c r="L69" s="84">
        <f>SUM(FO!L69,PO!L69,CO!L69,FE!L69,PE!L69)</f>
        <v>26433</v>
      </c>
      <c r="M69" s="84">
        <f>SUM(FO!M69,PO!M69,CO!M69,FE!M69,PE!M69)</f>
        <v>27124</v>
      </c>
      <c r="N69" s="84">
        <f t="shared" si="42"/>
        <v>294743.78000000003</v>
      </c>
      <c r="O69" s="105">
        <f t="shared" si="43"/>
        <v>3.9701802295073738E-2</v>
      </c>
      <c r="P69" s="84"/>
      <c r="Q69" s="84"/>
      <c r="R69" s="84"/>
      <c r="S69" s="84"/>
      <c r="T69" s="84"/>
      <c r="U69" s="84">
        <f>SUM(FO!U69,PO!U69,CO!U69,FE!U69,PE!U69)</f>
        <v>17950.855451481231</v>
      </c>
      <c r="V69" s="84">
        <f>SUM(FO!V69,PO!V69,CO!V69,FE!V69,PE!V69)</f>
        <v>17950.855451481231</v>
      </c>
      <c r="W69" s="84">
        <f>SUM(FO!W69,PO!W69,CO!W69,FE!W69,PE!W69)</f>
        <v>17950.855451481231</v>
      </c>
      <c r="X69" s="84">
        <f>SUM(FO!X69,PO!X69,CO!X69,FE!X69,PE!X69)</f>
        <v>17950.855451481231</v>
      </c>
      <c r="Y69" s="84">
        <f>SUM(FO!Y69,PO!Y69,CO!Y69,FE!Y69,PE!Y69)</f>
        <v>17950.855451481231</v>
      </c>
      <c r="Z69" s="84">
        <f>SUM(FO!Z69,PO!Z69,CO!Z69,FE!Z69,PE!Z69)</f>
        <v>17950.855451481231</v>
      </c>
      <c r="AA69" s="84">
        <f>SUM(FO!AA69,PO!AA69,CO!AA69,FE!AA69,PE!AA69)</f>
        <v>17950.855451481231</v>
      </c>
      <c r="AB69" s="84">
        <f>SUM(FO!AB69,PO!AB69,CO!AB69,FE!AB69,PE!AB69)</f>
        <v>17950.855451481231</v>
      </c>
      <c r="AC69" s="84">
        <f>SUM(FO!AC69,PO!AC69,CO!AC69,FE!AC69,PE!AC69)</f>
        <v>17950.855451481231</v>
      </c>
      <c r="AD69" s="84">
        <f>SUM(FO!AD69,PO!AD69,CO!AD69,FE!AD69,PE!AD69)</f>
        <v>18489.38111502567</v>
      </c>
      <c r="AE69" s="84">
        <f>SUM(FO!AE69,PO!AE69,CO!AE69,FE!AE69,PE!AE69)</f>
        <v>18489.38111502567</v>
      </c>
      <c r="AF69" s="84">
        <f>SUM(FO!AF69,PO!AF69,CO!AF69,FE!AF69,PE!AF69)</f>
        <v>18489.38111502567</v>
      </c>
      <c r="AG69" s="84">
        <f t="shared" si="44"/>
        <v>217025.84240840809</v>
      </c>
      <c r="AH69" s="105" t="str">
        <f t="shared" si="45"/>
        <v/>
      </c>
      <c r="AJ69" s="84">
        <f t="shared" si="46"/>
        <v>77717.937591591937</v>
      </c>
    </row>
    <row r="70" spans="1:37" x14ac:dyDescent="0.3">
      <c r="A70" s="103" t="s">
        <v>156</v>
      </c>
      <c r="B70" s="84">
        <f>SUM(FO!B70,PO!B70,CO!B70,FE!B70,PE!B70)</f>
        <v>0</v>
      </c>
      <c r="C70" s="84">
        <f>SUM(FO!C70,PO!C70,CO!C70,FE!C70,PE!C70)</f>
        <v>0</v>
      </c>
      <c r="D70" s="84">
        <f>SUM(FO!D70,PO!D70,CO!D70,FE!D70,PE!D70)</f>
        <v>0</v>
      </c>
      <c r="E70" s="84">
        <f>SUM(FO!E70,PO!E70,CO!E70,FE!E70,PE!E70)</f>
        <v>0</v>
      </c>
      <c r="F70" s="84">
        <f>SUM(FO!F70,PO!F70,CO!F70,FE!F70,PE!F70)</f>
        <v>0</v>
      </c>
      <c r="G70" s="84">
        <f>SUM(FO!G70,PO!G70,CO!G70,FE!G70,PE!G70)</f>
        <v>0</v>
      </c>
      <c r="H70" s="84">
        <f>SUM(FO!H70,PO!H70,CO!H70,FE!H70,PE!H70)</f>
        <v>0</v>
      </c>
      <c r="I70" s="84">
        <f>SUM(FO!I70,PO!I70,CO!I70,FE!I70,PE!I70)</f>
        <v>0</v>
      </c>
      <c r="J70" s="84">
        <f>SUM(FO!J70,PO!J70,CO!J70,FE!J70,PE!J70)</f>
        <v>0</v>
      </c>
      <c r="K70" s="84">
        <f>SUM(FO!K70,PO!K70,CO!K70,FE!K70,PE!K70)</f>
        <v>0</v>
      </c>
      <c r="L70" s="84">
        <f>SUM(FO!L70,PO!L70,CO!L70,FE!L70,PE!L70)</f>
        <v>0</v>
      </c>
      <c r="M70" s="84">
        <f>SUM(FO!M70,PO!M70,CO!M70,FE!M70,PE!M70)</f>
        <v>0</v>
      </c>
      <c r="N70" s="84">
        <f t="shared" si="42"/>
        <v>0</v>
      </c>
      <c r="O70" s="105">
        <f t="shared" si="43"/>
        <v>0</v>
      </c>
      <c r="P70" s="84"/>
      <c r="Q70" s="84"/>
      <c r="R70" s="84"/>
      <c r="S70" s="84"/>
      <c r="T70" s="84"/>
      <c r="U70" s="84">
        <f>SUM(FO!U70,PO!U70,CO!U70,FE!U70,PE!U70)</f>
        <v>0</v>
      </c>
      <c r="V70" s="84">
        <f>SUM(FO!V70,PO!V70,CO!V70,FE!V70,PE!V70)</f>
        <v>0</v>
      </c>
      <c r="W70" s="84">
        <f>SUM(FO!W70,PO!W70,CO!W70,FE!W70,PE!W70)</f>
        <v>0</v>
      </c>
      <c r="X70" s="84">
        <f>SUM(FO!X70,PO!X70,CO!X70,FE!X70,PE!X70)</f>
        <v>0</v>
      </c>
      <c r="Y70" s="84">
        <f>SUM(FO!Y70,PO!Y70,CO!Y70,FE!Y70,PE!Y70)</f>
        <v>0</v>
      </c>
      <c r="Z70" s="84">
        <f>SUM(FO!Z70,PO!Z70,CO!Z70,FE!Z70,PE!Z70)</f>
        <v>0</v>
      </c>
      <c r="AA70" s="84">
        <f>SUM(FO!AA70,PO!AA70,CO!AA70,FE!AA70,PE!AA70)</f>
        <v>0</v>
      </c>
      <c r="AB70" s="84">
        <f>SUM(FO!AB70,PO!AB70,CO!AB70,FE!AB70,PE!AB70)</f>
        <v>0</v>
      </c>
      <c r="AC70" s="84">
        <f>SUM(FO!AC70,PO!AC70,CO!AC70,FE!AC70,PE!AC70)</f>
        <v>0</v>
      </c>
      <c r="AD70" s="84">
        <f>SUM(FO!AD70,PO!AD70,CO!AD70,FE!AD70,PE!AD70)</f>
        <v>0</v>
      </c>
      <c r="AE70" s="84">
        <f>SUM(FO!AE70,PO!AE70,CO!AE70,FE!AE70,PE!AE70)</f>
        <v>0</v>
      </c>
      <c r="AF70" s="84">
        <f>SUM(FO!AF70,PO!AF70,CO!AF70,FE!AF70,PE!AF70)</f>
        <v>0</v>
      </c>
      <c r="AG70" s="84">
        <f t="shared" si="44"/>
        <v>0</v>
      </c>
      <c r="AH70" s="105" t="str">
        <f t="shared" si="45"/>
        <v/>
      </c>
      <c r="AJ70" s="84">
        <f t="shared" si="46"/>
        <v>0</v>
      </c>
    </row>
    <row r="71" spans="1:37" x14ac:dyDescent="0.3">
      <c r="A71" s="103" t="s">
        <v>157</v>
      </c>
      <c r="B71" s="84">
        <f>SUM(FO!B71,PO!B71,CO!B71,FE!B71,PE!B71)</f>
        <v>0</v>
      </c>
      <c r="C71" s="84">
        <f>SUM(FO!C71,PO!C71,CO!C71,FE!C71,PE!C71)</f>
        <v>0</v>
      </c>
      <c r="D71" s="84">
        <f>SUM(FO!D71,PO!D71,CO!D71,FE!D71,PE!D71)</f>
        <v>0</v>
      </c>
      <c r="E71" s="84">
        <f>SUM(FO!E71,PO!E71,CO!E71,FE!E71,PE!E71)</f>
        <v>0</v>
      </c>
      <c r="F71" s="84">
        <f>SUM(FO!F71,PO!F71,CO!F71,FE!F71,PE!F71)</f>
        <v>0</v>
      </c>
      <c r="G71" s="84">
        <f>SUM(FO!G71,PO!G71,CO!G71,FE!G71,PE!G71)</f>
        <v>0</v>
      </c>
      <c r="H71" s="84">
        <f>SUM(FO!H71,PO!H71,CO!H71,FE!H71,PE!H71)</f>
        <v>0</v>
      </c>
      <c r="I71" s="84">
        <f>SUM(FO!I71,PO!I71,CO!I71,FE!I71,PE!I71)</f>
        <v>0</v>
      </c>
      <c r="J71" s="84">
        <f>SUM(FO!J71,PO!J71,CO!J71,FE!J71,PE!J71)</f>
        <v>0</v>
      </c>
      <c r="K71" s="84">
        <f>SUM(FO!K71,PO!K71,CO!K71,FE!K71,PE!K71)</f>
        <v>0</v>
      </c>
      <c r="L71" s="84">
        <f>SUM(FO!L71,PO!L71,CO!L71,FE!L71,PE!L71)</f>
        <v>0</v>
      </c>
      <c r="M71" s="84">
        <f>SUM(FO!M71,PO!M71,CO!M71,FE!M71,PE!M71)</f>
        <v>0</v>
      </c>
      <c r="N71" s="84">
        <f t="shared" si="42"/>
        <v>0</v>
      </c>
      <c r="O71" s="105">
        <f t="shared" si="43"/>
        <v>0</v>
      </c>
      <c r="P71" s="84"/>
      <c r="Q71" s="84"/>
      <c r="R71" s="84"/>
      <c r="S71" s="84"/>
      <c r="T71" s="84"/>
      <c r="U71" s="84">
        <f>SUM(FO!U71,PO!U71,CO!U71,FE!U71,PE!U71)</f>
        <v>0</v>
      </c>
      <c r="V71" s="84">
        <f>SUM(FO!V71,PO!V71,CO!V71,FE!V71,PE!V71)</f>
        <v>0</v>
      </c>
      <c r="W71" s="84">
        <f>SUM(FO!W71,PO!W71,CO!W71,FE!W71,PE!W71)</f>
        <v>0</v>
      </c>
      <c r="X71" s="84">
        <f>SUM(FO!X71,PO!X71,CO!X71,FE!X71,PE!X71)</f>
        <v>0</v>
      </c>
      <c r="Y71" s="84">
        <f>SUM(FO!Y71,PO!Y71,CO!Y71,FE!Y71,PE!Y71)</f>
        <v>0</v>
      </c>
      <c r="Z71" s="84">
        <f>SUM(FO!Z71,PO!Z71,CO!Z71,FE!Z71,PE!Z71)</f>
        <v>0</v>
      </c>
      <c r="AA71" s="84">
        <f>SUM(FO!AA71,PO!AA71,CO!AA71,FE!AA71,PE!AA71)</f>
        <v>0</v>
      </c>
      <c r="AB71" s="84">
        <f>SUM(FO!AB71,PO!AB71,CO!AB71,FE!AB71,PE!AB71)</f>
        <v>0</v>
      </c>
      <c r="AC71" s="84">
        <f>SUM(FO!AC71,PO!AC71,CO!AC71,FE!AC71,PE!AC71)</f>
        <v>0</v>
      </c>
      <c r="AD71" s="84">
        <f>SUM(FO!AD71,PO!AD71,CO!AD71,FE!AD71,PE!AD71)</f>
        <v>0</v>
      </c>
      <c r="AE71" s="84">
        <f>SUM(FO!AE71,PO!AE71,CO!AE71,FE!AE71,PE!AE71)</f>
        <v>0</v>
      </c>
      <c r="AF71" s="84">
        <f>SUM(FO!AF71,PO!AF71,CO!AF71,FE!AF71,PE!AF71)</f>
        <v>0</v>
      </c>
      <c r="AG71" s="84">
        <f t="shared" si="44"/>
        <v>0</v>
      </c>
      <c r="AH71" s="105" t="str">
        <f t="shared" si="45"/>
        <v/>
      </c>
      <c r="AJ71" s="84">
        <f t="shared" si="46"/>
        <v>0</v>
      </c>
    </row>
    <row r="72" spans="1:37" x14ac:dyDescent="0.3">
      <c r="A72" s="103" t="s">
        <v>158</v>
      </c>
      <c r="B72" s="84">
        <f>SUM(FO!B72,PO!B72,CO!B72,FE!B72,PE!B72)</f>
        <v>0</v>
      </c>
      <c r="C72" s="84">
        <f>SUM(FO!C72,PO!C72,CO!C72,FE!C72,PE!C72)</f>
        <v>0</v>
      </c>
      <c r="D72" s="84">
        <f>SUM(FO!D72,PO!D72,CO!D72,FE!D72,PE!D72)</f>
        <v>0</v>
      </c>
      <c r="E72" s="84">
        <f>SUM(FO!E72,PO!E72,CO!E72,FE!E72,PE!E72)</f>
        <v>0</v>
      </c>
      <c r="F72" s="84">
        <f>SUM(FO!F72,PO!F72,CO!F72,FE!F72,PE!F72)</f>
        <v>0</v>
      </c>
      <c r="G72" s="84">
        <f>SUM(FO!G72,PO!G72,CO!G72,FE!G72,PE!G72)</f>
        <v>0</v>
      </c>
      <c r="H72" s="84">
        <f>SUM(FO!H72,PO!H72,CO!H72,FE!H72,PE!H72)</f>
        <v>0</v>
      </c>
      <c r="I72" s="84">
        <f>SUM(FO!I72,PO!I72,CO!I72,FE!I72,PE!I72)</f>
        <v>0</v>
      </c>
      <c r="J72" s="84">
        <f>SUM(FO!J72,PO!J72,CO!J72,FE!J72,PE!J72)</f>
        <v>0</v>
      </c>
      <c r="K72" s="84">
        <f>SUM(FO!K72,PO!K72,CO!K72,FE!K72,PE!K72)</f>
        <v>0</v>
      </c>
      <c r="L72" s="84">
        <f>SUM(FO!L72,PO!L72,CO!L72,FE!L72,PE!L72)</f>
        <v>0</v>
      </c>
      <c r="M72" s="84">
        <f>SUM(FO!M72,PO!M72,CO!M72,FE!M72,PE!M72)</f>
        <v>0</v>
      </c>
      <c r="N72" s="84">
        <f t="shared" si="42"/>
        <v>0</v>
      </c>
      <c r="O72" s="105">
        <f t="shared" si="43"/>
        <v>0</v>
      </c>
      <c r="P72" s="84"/>
      <c r="Q72" s="84"/>
      <c r="R72" s="84"/>
      <c r="S72" s="84"/>
      <c r="T72" s="84"/>
      <c r="U72" s="84">
        <f>SUM(FO!U72,PO!U72,CO!U72,FE!U72,PE!U72)</f>
        <v>0</v>
      </c>
      <c r="V72" s="84">
        <f>SUM(FO!V72,PO!V72,CO!V72,FE!V72,PE!V72)</f>
        <v>0</v>
      </c>
      <c r="W72" s="84">
        <f>SUM(FO!W72,PO!W72,CO!W72,FE!W72,PE!W72)</f>
        <v>0</v>
      </c>
      <c r="X72" s="84">
        <f>SUM(FO!X72,PO!X72,CO!X72,FE!X72,PE!X72)</f>
        <v>0</v>
      </c>
      <c r="Y72" s="84">
        <f>SUM(FO!Y72,PO!Y72,CO!Y72,FE!Y72,PE!Y72)</f>
        <v>0</v>
      </c>
      <c r="Z72" s="84">
        <f>SUM(FO!Z72,PO!Z72,CO!Z72,FE!Z72,PE!Z72)</f>
        <v>0</v>
      </c>
      <c r="AA72" s="84">
        <f>SUM(FO!AA72,PO!AA72,CO!AA72,FE!AA72,PE!AA72)</f>
        <v>0</v>
      </c>
      <c r="AB72" s="84">
        <f>SUM(FO!AB72,PO!AB72,CO!AB72,FE!AB72,PE!AB72)</f>
        <v>0</v>
      </c>
      <c r="AC72" s="84">
        <f>SUM(FO!AC72,PO!AC72,CO!AC72,FE!AC72,PE!AC72)</f>
        <v>0</v>
      </c>
      <c r="AD72" s="84">
        <f>SUM(FO!AD72,PO!AD72,CO!AD72,FE!AD72,PE!AD72)</f>
        <v>0</v>
      </c>
      <c r="AE72" s="84">
        <f>SUM(FO!AE72,PO!AE72,CO!AE72,FE!AE72,PE!AE72)</f>
        <v>0</v>
      </c>
      <c r="AF72" s="84">
        <f>SUM(FO!AF72,PO!AF72,CO!AF72,FE!AF72,PE!AF72)</f>
        <v>0</v>
      </c>
      <c r="AG72" s="84">
        <f t="shared" si="44"/>
        <v>0</v>
      </c>
      <c r="AH72" s="105" t="str">
        <f t="shared" si="45"/>
        <v/>
      </c>
      <c r="AJ72" s="84">
        <f t="shared" si="46"/>
        <v>0</v>
      </c>
    </row>
    <row r="73" spans="1:37" x14ac:dyDescent="0.3">
      <c r="A73" s="136" t="s">
        <v>159</v>
      </c>
      <c r="B73" s="137">
        <f t="shared" ref="B73:M73" si="47">SUM(B67:B72)</f>
        <v>124725.94</v>
      </c>
      <c r="C73" s="137">
        <f t="shared" si="47"/>
        <v>-9748.1399999999921</v>
      </c>
      <c r="D73" s="137">
        <f t="shared" si="47"/>
        <v>167498.72999999998</v>
      </c>
      <c r="E73" s="137">
        <f t="shared" si="47"/>
        <v>161743.78999999998</v>
      </c>
      <c r="F73" s="137">
        <f t="shared" si="47"/>
        <v>225765.65999999997</v>
      </c>
      <c r="G73" s="137">
        <f t="shared" si="47"/>
        <v>215999.89000000004</v>
      </c>
      <c r="H73" s="137">
        <f t="shared" si="47"/>
        <v>204943.83</v>
      </c>
      <c r="I73" s="137">
        <f t="shared" si="47"/>
        <v>229053.7</v>
      </c>
      <c r="J73" s="137">
        <f t="shared" si="47"/>
        <v>299638</v>
      </c>
      <c r="K73" s="137">
        <f t="shared" si="47"/>
        <v>324891</v>
      </c>
      <c r="L73" s="137">
        <f t="shared" si="47"/>
        <v>327531</v>
      </c>
      <c r="M73" s="137">
        <f t="shared" si="47"/>
        <v>338168</v>
      </c>
      <c r="N73" s="137">
        <f t="shared" si="42"/>
        <v>2610211.4</v>
      </c>
      <c r="O73" s="138">
        <f t="shared" si="43"/>
        <v>0.35159383838786223</v>
      </c>
      <c r="P73" s="84"/>
      <c r="Q73" s="84"/>
      <c r="R73" s="84"/>
      <c r="S73" s="84"/>
      <c r="T73" s="84"/>
      <c r="U73" s="137">
        <f t="shared" ref="U73:AF73" si="48">SUM(U67:U72)</f>
        <v>226598.67772329674</v>
      </c>
      <c r="V73" s="137">
        <f t="shared" si="48"/>
        <v>226598.67772329674</v>
      </c>
      <c r="W73" s="137">
        <f t="shared" si="48"/>
        <v>226598.67772329674</v>
      </c>
      <c r="X73" s="137">
        <f t="shared" si="48"/>
        <v>226598.67772329674</v>
      </c>
      <c r="Y73" s="137">
        <f t="shared" si="48"/>
        <v>226598.67772329674</v>
      </c>
      <c r="Z73" s="137">
        <f t="shared" si="48"/>
        <v>226598.67772329674</v>
      </c>
      <c r="AA73" s="137">
        <f t="shared" si="48"/>
        <v>226598.67772329674</v>
      </c>
      <c r="AB73" s="137">
        <f t="shared" si="48"/>
        <v>226598.67772329674</v>
      </c>
      <c r="AC73" s="137">
        <f t="shared" si="48"/>
        <v>226598.67772329674</v>
      </c>
      <c r="AD73" s="137">
        <f t="shared" si="48"/>
        <v>233396.63805499565</v>
      </c>
      <c r="AE73" s="137">
        <f t="shared" si="48"/>
        <v>233396.63805499565</v>
      </c>
      <c r="AF73" s="137">
        <f t="shared" si="48"/>
        <v>233396.63805499565</v>
      </c>
      <c r="AG73" s="137">
        <f t="shared" si="44"/>
        <v>2739578.0136746578</v>
      </c>
      <c r="AH73" s="138" t="str">
        <f t="shared" si="45"/>
        <v/>
      </c>
      <c r="AJ73" s="137">
        <f t="shared" si="46"/>
        <v>-129366.61367465788</v>
      </c>
    </row>
    <row r="74" spans="1:37" x14ac:dyDescent="0.3">
      <c r="A74" s="113" t="s">
        <v>160</v>
      </c>
      <c r="B74" s="84">
        <f>SUM(FO!B74,PO!B74,CO!B74,FE!B74,PE!B74)</f>
        <v>1875.49</v>
      </c>
      <c r="C74" s="84">
        <f>SUM(FO!C74,PO!C74,CO!C74,FE!C74,PE!C74)</f>
        <v>1791.2099999999996</v>
      </c>
      <c r="D74" s="84">
        <f>SUM(FO!D74,PO!D74,CO!D74,FE!D74,PE!D74)</f>
        <v>2123.14</v>
      </c>
      <c r="E74" s="84">
        <f>SUM(FO!E74,PO!E74,CO!E74,FE!E74,PE!E74)</f>
        <v>9767.2000000000007</v>
      </c>
      <c r="F74" s="84">
        <f>SUM(FO!F74,PO!F74,CO!F74,FE!F74,PE!F74)</f>
        <v>6562.35</v>
      </c>
      <c r="G74" s="84">
        <f>SUM(FO!G74,PO!G74,CO!G74,FE!G74,PE!G74)</f>
        <v>12287.210000000001</v>
      </c>
      <c r="H74" s="84">
        <f>SUM(FO!H74,PO!H74,CO!H74,FE!H74,PE!H74)</f>
        <v>9428.9700000000012</v>
      </c>
      <c r="I74" s="84">
        <f>SUM(FO!I74,PO!I74,CO!I74,FE!I74,PE!I74)</f>
        <v>3944</v>
      </c>
      <c r="J74" s="84">
        <f>SUM(FO!J74,PO!J74,CO!J74,FE!J74,PE!J74)</f>
        <v>7500</v>
      </c>
      <c r="K74" s="84">
        <f>SUM(FO!K74,PO!K74,CO!K74,FE!K74,PE!K74)</f>
        <v>7500</v>
      </c>
      <c r="L74" s="84">
        <f>SUM(FO!L74,PO!L74,CO!L74,FE!L74,PE!L74)</f>
        <v>7500</v>
      </c>
      <c r="M74" s="84">
        <f>SUM(FO!M74,PO!M74,CO!M74,FE!M74,PE!M74)</f>
        <v>7500</v>
      </c>
      <c r="N74" s="84">
        <f t="shared" si="42"/>
        <v>77779.570000000007</v>
      </c>
      <c r="O74" s="105">
        <f t="shared" si="43"/>
        <v>1.0476859293640898E-2</v>
      </c>
      <c r="P74" s="84"/>
      <c r="Q74" s="84"/>
      <c r="R74" s="84"/>
      <c r="S74" s="84"/>
      <c r="T74" s="84"/>
      <c r="U74" s="84">
        <f>SUM(FO!U74,PO!U74,CO!U74,FE!U74,PE!U74)</f>
        <v>0</v>
      </c>
      <c r="V74" s="84">
        <f>SUM(FO!V74,PO!V74,CO!V74,FE!V74,PE!V74)</f>
        <v>0</v>
      </c>
      <c r="W74" s="84">
        <f>SUM(FO!W74,PO!W74,CO!W74,FE!W74,PE!W74)</f>
        <v>0</v>
      </c>
      <c r="X74" s="84">
        <f>SUM(FO!X74,PO!X74,CO!X74,FE!X74,PE!X74)</f>
        <v>0</v>
      </c>
      <c r="Y74" s="84">
        <f>SUM(FO!Y74,PO!Y74,CO!Y74,FE!Y74,PE!Y74)</f>
        <v>0</v>
      </c>
      <c r="Z74" s="84">
        <f>SUM(FO!Z74,PO!Z74,CO!Z74,FE!Z74,PE!Z74)</f>
        <v>0</v>
      </c>
      <c r="AA74" s="84">
        <f>SUM(FO!AA74,PO!AA74,CO!AA74,FE!AA74,PE!AA74)</f>
        <v>0</v>
      </c>
      <c r="AB74" s="84">
        <f>SUM(FO!AB74,PO!AB74,CO!AB74,FE!AB74,PE!AB74)</f>
        <v>0</v>
      </c>
      <c r="AC74" s="84">
        <f>SUM(FO!AC74,PO!AC74,CO!AC74,FE!AC74,PE!AC74)</f>
        <v>0</v>
      </c>
      <c r="AD74" s="84">
        <f>SUM(FO!AD74,PO!AD74,CO!AD74,FE!AD74,PE!AD74)</f>
        <v>0</v>
      </c>
      <c r="AE74" s="84">
        <f>SUM(FO!AE74,PO!AE74,CO!AE74,FE!AE74,PE!AE74)</f>
        <v>0</v>
      </c>
      <c r="AF74" s="84">
        <f>SUM(FO!AF74,PO!AF74,CO!AF74,FE!AF74,PE!AF74)</f>
        <v>0</v>
      </c>
      <c r="AG74" s="84">
        <f t="shared" si="44"/>
        <v>0</v>
      </c>
      <c r="AH74" s="105" t="str">
        <f t="shared" si="45"/>
        <v/>
      </c>
      <c r="AJ74" s="84">
        <f t="shared" si="46"/>
        <v>77779.570000000007</v>
      </c>
    </row>
    <row r="75" spans="1:37" x14ac:dyDescent="0.3">
      <c r="A75" s="113" t="s">
        <v>161</v>
      </c>
      <c r="B75" s="84">
        <f>SUM(FO!B75,PO!B75,CO!B75,FE!B75,PE!B75)</f>
        <v>399.67</v>
      </c>
      <c r="C75" s="84">
        <f>SUM(FO!C75,PO!C75,CO!C75,FE!C75,PE!C75)</f>
        <v>218.65</v>
      </c>
      <c r="D75" s="84">
        <f>SUM(FO!D75,PO!D75,CO!D75,FE!D75,PE!D75)</f>
        <v>0</v>
      </c>
      <c r="E75" s="84">
        <f>SUM(FO!E75,PO!E75,CO!E75,FE!E75,PE!E75)</f>
        <v>3145.44</v>
      </c>
      <c r="F75" s="84">
        <f>SUM(FO!F75,PO!F75,CO!F75,FE!F75,PE!F75)</f>
        <v>0</v>
      </c>
      <c r="G75" s="84">
        <f>SUM(FO!G75,PO!G75,CO!G75,FE!G75,PE!G75)</f>
        <v>327.78000000000003</v>
      </c>
      <c r="H75" s="84">
        <f>SUM(FO!H75,PO!H75,CO!H75,FE!H75,PE!H75)</f>
        <v>234.79</v>
      </c>
      <c r="I75" s="84">
        <f>SUM(FO!I75,PO!I75,CO!I75,FE!I75,PE!I75)</f>
        <v>310.75</v>
      </c>
      <c r="J75" s="84">
        <f>SUM(FO!J75,PO!J75,CO!J75,FE!J75,PE!J75)</f>
        <v>850</v>
      </c>
      <c r="K75" s="84">
        <f>SUM(FO!K75,PO!K75,CO!K75,FE!K75,PE!K75)</f>
        <v>850</v>
      </c>
      <c r="L75" s="84">
        <f>SUM(FO!L75,PO!L75,CO!L75,FE!L75,PE!L75)</f>
        <v>850</v>
      </c>
      <c r="M75" s="84">
        <f>SUM(FO!M75,PO!M75,CO!M75,FE!M75,PE!M75)</f>
        <v>850</v>
      </c>
      <c r="N75" s="84">
        <f t="shared" si="42"/>
        <v>8037.0800000000008</v>
      </c>
      <c r="O75" s="105">
        <f t="shared" si="43"/>
        <v>1.0825896349354385E-3</v>
      </c>
      <c r="P75" s="84"/>
      <c r="Q75" s="84"/>
      <c r="R75" s="84"/>
      <c r="S75" s="84"/>
      <c r="T75" s="84"/>
      <c r="U75" s="84">
        <f>SUM(FO!U75,PO!U75,CO!U75,FE!U75,PE!U75)</f>
        <v>0</v>
      </c>
      <c r="V75" s="84">
        <f>SUM(FO!V75,PO!V75,CO!V75,FE!V75,PE!V75)</f>
        <v>0</v>
      </c>
      <c r="W75" s="84">
        <f>SUM(FO!W75,PO!W75,CO!W75,FE!W75,PE!W75)</f>
        <v>0</v>
      </c>
      <c r="X75" s="84">
        <f>SUM(FO!X75,PO!X75,CO!X75,FE!X75,PE!X75)</f>
        <v>0</v>
      </c>
      <c r="Y75" s="84">
        <f>SUM(FO!Y75,PO!Y75,CO!Y75,FE!Y75,PE!Y75)</f>
        <v>0</v>
      </c>
      <c r="Z75" s="84">
        <f>SUM(FO!Z75,PO!Z75,CO!Z75,FE!Z75,PE!Z75)</f>
        <v>0</v>
      </c>
      <c r="AA75" s="84">
        <f>SUM(FO!AA75,PO!AA75,CO!AA75,FE!AA75,PE!AA75)</f>
        <v>0</v>
      </c>
      <c r="AB75" s="84">
        <f>SUM(FO!AB75,PO!AB75,CO!AB75,FE!AB75,PE!AB75)</f>
        <v>0</v>
      </c>
      <c r="AC75" s="84">
        <f>SUM(FO!AC75,PO!AC75,CO!AC75,FE!AC75,PE!AC75)</f>
        <v>0</v>
      </c>
      <c r="AD75" s="84">
        <f>SUM(FO!AD75,PO!AD75,CO!AD75,FE!AD75,PE!AD75)</f>
        <v>0</v>
      </c>
      <c r="AE75" s="84">
        <f>SUM(FO!AE75,PO!AE75,CO!AE75,FE!AE75,PE!AE75)</f>
        <v>0</v>
      </c>
      <c r="AF75" s="84">
        <f>SUM(FO!AF75,PO!AF75,CO!AF75,FE!AF75,PE!AF75)</f>
        <v>0</v>
      </c>
      <c r="AG75" s="84">
        <f t="shared" si="44"/>
        <v>0</v>
      </c>
      <c r="AH75" s="105" t="str">
        <f t="shared" si="45"/>
        <v/>
      </c>
      <c r="AJ75" s="84">
        <f t="shared" si="46"/>
        <v>8037.0800000000008</v>
      </c>
    </row>
    <row r="76" spans="1:37" x14ac:dyDescent="0.3">
      <c r="A76" s="113" t="s">
        <v>162</v>
      </c>
      <c r="B76" s="84">
        <f>SUM(FO!B76,PO!B76,CO!B76,FE!B76,PE!B76)</f>
        <v>410.24</v>
      </c>
      <c r="C76" s="84">
        <f>SUM(FO!C76,PO!C76,CO!C76,FE!C76,PE!C76)</f>
        <v>0</v>
      </c>
      <c r="D76" s="84">
        <f>SUM(FO!D76,PO!D76,CO!D76,FE!D76,PE!D76)</f>
        <v>356.53</v>
      </c>
      <c r="E76" s="84">
        <f>SUM(FO!E76,PO!E76,CO!E76,FE!E76,PE!E76)</f>
        <v>683.7700000000001</v>
      </c>
      <c r="F76" s="84">
        <f>SUM(FO!F76,PO!F76,CO!F76,FE!F76,PE!F76)</f>
        <v>55.11</v>
      </c>
      <c r="G76" s="84">
        <f>SUM(FO!G76,PO!G76,CO!G76,FE!G76,PE!G76)</f>
        <v>0</v>
      </c>
      <c r="H76" s="84">
        <f>SUM(FO!H76,PO!H76,CO!H76,FE!H76,PE!H76)</f>
        <v>0</v>
      </c>
      <c r="I76" s="84">
        <f>SUM(FO!I76,PO!I76,CO!I76,FE!I76,PE!I76)</f>
        <v>119.7</v>
      </c>
      <c r="J76" s="84">
        <f>SUM(FO!J76,PO!J76,CO!J76,FE!J76,PE!J76)</f>
        <v>300</v>
      </c>
      <c r="K76" s="84">
        <f>SUM(FO!K76,PO!K76,CO!K76,FE!K76,PE!K76)</f>
        <v>300</v>
      </c>
      <c r="L76" s="84">
        <f>SUM(FO!L76,PO!L76,CO!L76,FE!L76,PE!L76)</f>
        <v>300</v>
      </c>
      <c r="M76" s="84">
        <f>SUM(FO!M76,PO!M76,CO!M76,FE!M76,PE!M76)</f>
        <v>300</v>
      </c>
      <c r="N76" s="84">
        <f t="shared" si="42"/>
        <v>2825.35</v>
      </c>
      <c r="O76" s="105">
        <f t="shared" si="43"/>
        <v>3.805728728673649E-4</v>
      </c>
      <c r="P76" s="84"/>
      <c r="Q76" s="84"/>
      <c r="R76" s="84"/>
      <c r="S76" s="84"/>
      <c r="T76" s="84"/>
      <c r="U76" s="84">
        <f>SUM(FO!U76,PO!U76,CO!U76,FE!U76,PE!U76)</f>
        <v>0</v>
      </c>
      <c r="V76" s="84">
        <f>SUM(FO!V76,PO!V76,CO!V76,FE!V76,PE!V76)</f>
        <v>0</v>
      </c>
      <c r="W76" s="84">
        <f>SUM(FO!W76,PO!W76,CO!W76,FE!W76,PE!W76)</f>
        <v>0</v>
      </c>
      <c r="X76" s="84">
        <f>SUM(FO!X76,PO!X76,CO!X76,FE!X76,PE!X76)</f>
        <v>0</v>
      </c>
      <c r="Y76" s="84">
        <f>SUM(FO!Y76,PO!Y76,CO!Y76,FE!Y76,PE!Y76)</f>
        <v>0</v>
      </c>
      <c r="Z76" s="84">
        <f>SUM(FO!Z76,PO!Z76,CO!Z76,FE!Z76,PE!Z76)</f>
        <v>0</v>
      </c>
      <c r="AA76" s="84">
        <f>SUM(FO!AA76,PO!AA76,CO!AA76,FE!AA76,PE!AA76)</f>
        <v>0</v>
      </c>
      <c r="AB76" s="84">
        <f>SUM(FO!AB76,PO!AB76,CO!AB76,FE!AB76,PE!AB76)</f>
        <v>0</v>
      </c>
      <c r="AC76" s="84">
        <f>SUM(FO!AC76,PO!AC76,CO!AC76,FE!AC76,PE!AC76)</f>
        <v>0</v>
      </c>
      <c r="AD76" s="84">
        <f>SUM(FO!AD76,PO!AD76,CO!AD76,FE!AD76,PE!AD76)</f>
        <v>0</v>
      </c>
      <c r="AE76" s="84">
        <f>SUM(FO!AE76,PO!AE76,CO!AE76,FE!AE76,PE!AE76)</f>
        <v>0</v>
      </c>
      <c r="AF76" s="84">
        <f>SUM(FO!AF76,PO!AF76,CO!AF76,FE!AF76,PE!AF76)</f>
        <v>0</v>
      </c>
      <c r="AG76" s="84">
        <f t="shared" si="44"/>
        <v>0</v>
      </c>
      <c r="AH76" s="105" t="str">
        <f t="shared" si="45"/>
        <v/>
      </c>
      <c r="AJ76" s="84">
        <f t="shared" si="46"/>
        <v>2825.35</v>
      </c>
    </row>
    <row r="77" spans="1:37" x14ac:dyDescent="0.3">
      <c r="A77" s="113" t="s">
        <v>163</v>
      </c>
      <c r="B77" s="84">
        <f>SUM(FO!B77,PO!B77,CO!B77,FE!B77,PE!B77)</f>
        <v>0</v>
      </c>
      <c r="C77" s="84">
        <f>SUM(FO!C77,PO!C77,CO!C77,FE!C77,PE!C77)</f>
        <v>0</v>
      </c>
      <c r="D77" s="84">
        <f>SUM(FO!D77,PO!D77,CO!D77,FE!D77,PE!D77)</f>
        <v>0</v>
      </c>
      <c r="E77" s="84">
        <f>SUM(FO!E77,PO!E77,CO!E77,FE!E77,PE!E77)</f>
        <v>0</v>
      </c>
      <c r="F77" s="84">
        <f>SUM(FO!F77,PO!F77,CO!F77,FE!F77,PE!F77)</f>
        <v>0</v>
      </c>
      <c r="G77" s="84">
        <f>SUM(FO!G77,PO!G77,CO!G77,FE!G77,PE!G77)</f>
        <v>0</v>
      </c>
      <c r="H77" s="84">
        <f>SUM(FO!H77,PO!H77,CO!H77,FE!H77,PE!H77)</f>
        <v>0</v>
      </c>
      <c r="I77" s="84">
        <f>SUM(FO!I77,PO!I77,CO!I77,FE!I77,PE!I77)</f>
        <v>0</v>
      </c>
      <c r="J77" s="84">
        <f>SUM(FO!J77,PO!J77,CO!J77,FE!J77,PE!J77)</f>
        <v>0</v>
      </c>
      <c r="K77" s="84">
        <f>SUM(FO!K77,PO!K77,CO!K77,FE!K77,PE!K77)</f>
        <v>0</v>
      </c>
      <c r="L77" s="84">
        <f>SUM(FO!L77,PO!L77,CO!L77,FE!L77,PE!L77)</f>
        <v>0</v>
      </c>
      <c r="M77" s="84">
        <f>SUM(FO!M77,PO!M77,CO!M77,FE!M77,PE!M77)</f>
        <v>0</v>
      </c>
      <c r="N77" s="84">
        <f t="shared" si="42"/>
        <v>0</v>
      </c>
      <c r="O77" s="105">
        <f t="shared" si="43"/>
        <v>0</v>
      </c>
      <c r="P77" s="84"/>
      <c r="Q77" s="84"/>
      <c r="R77" s="84"/>
      <c r="S77" s="84"/>
      <c r="T77" s="84"/>
      <c r="U77" s="84">
        <f>SUM(FO!U77,PO!U77,CO!U77,FE!U77,PE!U77)</f>
        <v>0</v>
      </c>
      <c r="V77" s="84">
        <f>SUM(FO!V77,PO!V77,CO!V77,FE!V77,PE!V77)</f>
        <v>0</v>
      </c>
      <c r="W77" s="84">
        <f>SUM(FO!W77,PO!W77,CO!W77,FE!W77,PE!W77)</f>
        <v>0</v>
      </c>
      <c r="X77" s="84">
        <f>SUM(FO!X77,PO!X77,CO!X77,FE!X77,PE!X77)</f>
        <v>0</v>
      </c>
      <c r="Y77" s="84">
        <f>SUM(FO!Y77,PO!Y77,CO!Y77,FE!Y77,PE!Y77)</f>
        <v>0</v>
      </c>
      <c r="Z77" s="84">
        <f>SUM(FO!Z77,PO!Z77,CO!Z77,FE!Z77,PE!Z77)</f>
        <v>0</v>
      </c>
      <c r="AA77" s="84">
        <f>SUM(FO!AA77,PO!AA77,CO!AA77,FE!AA77,PE!AA77)</f>
        <v>0</v>
      </c>
      <c r="AB77" s="84">
        <f>SUM(FO!AB77,PO!AB77,CO!AB77,FE!AB77,PE!AB77)</f>
        <v>0</v>
      </c>
      <c r="AC77" s="84">
        <f>SUM(FO!AC77,PO!AC77,CO!AC77,FE!AC77,PE!AC77)</f>
        <v>0</v>
      </c>
      <c r="AD77" s="84">
        <f>SUM(FO!AD77,PO!AD77,CO!AD77,FE!AD77,PE!AD77)</f>
        <v>0</v>
      </c>
      <c r="AE77" s="84">
        <f>SUM(FO!AE77,PO!AE77,CO!AE77,FE!AE77,PE!AE77)</f>
        <v>0</v>
      </c>
      <c r="AF77" s="84">
        <f>SUM(FO!AF77,PO!AF77,CO!AF77,FE!AF77,PE!AF77)</f>
        <v>0</v>
      </c>
      <c r="AG77" s="84">
        <f t="shared" si="44"/>
        <v>0</v>
      </c>
      <c r="AH77" s="105" t="str">
        <f t="shared" si="45"/>
        <v/>
      </c>
      <c r="AJ77" s="84">
        <f t="shared" si="46"/>
        <v>0</v>
      </c>
    </row>
    <row r="78" spans="1:37" x14ac:dyDescent="0.3">
      <c r="A78" s="113" t="s">
        <v>164</v>
      </c>
      <c r="B78" s="84">
        <f>SUM(FO!B78,PO!B78,CO!B78,FE!B78,PE!B78)</f>
        <v>0</v>
      </c>
      <c r="C78" s="84">
        <f>SUM(FO!C78,PO!C78,CO!C78,FE!C78,PE!C78)</f>
        <v>0</v>
      </c>
      <c r="D78" s="84">
        <f>SUM(FO!D78,PO!D78,CO!D78,FE!D78,PE!D78)</f>
        <v>0</v>
      </c>
      <c r="E78" s="84">
        <f>SUM(FO!E78,PO!E78,CO!E78,FE!E78,PE!E78)</f>
        <v>0</v>
      </c>
      <c r="F78" s="84">
        <f>SUM(FO!F78,PO!F78,CO!F78,FE!F78,PE!F78)</f>
        <v>0</v>
      </c>
      <c r="G78" s="84">
        <f>SUM(FO!G78,PO!G78,CO!G78,FE!G78,PE!G78)</f>
        <v>0</v>
      </c>
      <c r="H78" s="84">
        <f>SUM(FO!H78,PO!H78,CO!H78,FE!H78,PE!H78)</f>
        <v>0</v>
      </c>
      <c r="I78" s="84">
        <f>SUM(FO!I78,PO!I78,CO!I78,FE!I78,PE!I78)</f>
        <v>0</v>
      </c>
      <c r="J78" s="84">
        <f>SUM(FO!J78,PO!J78,CO!J78,FE!J78,PE!J78)</f>
        <v>300</v>
      </c>
      <c r="K78" s="84">
        <f>SUM(FO!K78,PO!K78,CO!K78,FE!K78,PE!K78)</f>
        <v>300</v>
      </c>
      <c r="L78" s="84">
        <f>SUM(FO!L78,PO!L78,CO!L78,FE!L78,PE!L78)</f>
        <v>300</v>
      </c>
      <c r="M78" s="84">
        <f>SUM(FO!M78,PO!M78,CO!M78,FE!M78,PE!M78)</f>
        <v>300</v>
      </c>
      <c r="N78" s="84">
        <f t="shared" si="42"/>
        <v>1200</v>
      </c>
      <c r="O78" s="105">
        <f t="shared" si="43"/>
        <v>1.616392473289461E-4</v>
      </c>
      <c r="P78" s="84"/>
      <c r="Q78" s="84"/>
      <c r="R78" s="84"/>
      <c r="S78" s="84"/>
      <c r="T78" s="84"/>
      <c r="U78" s="84">
        <f>SUM(FO!U78,PO!U78,CO!U78,FE!U78,PE!U78)</f>
        <v>0</v>
      </c>
      <c r="V78" s="84">
        <f>SUM(FO!V78,PO!V78,CO!V78,FE!V78,PE!V78)</f>
        <v>0</v>
      </c>
      <c r="W78" s="84">
        <f>SUM(FO!W78,PO!W78,CO!W78,FE!W78,PE!W78)</f>
        <v>0</v>
      </c>
      <c r="X78" s="84">
        <f>SUM(FO!X78,PO!X78,CO!X78,FE!X78,PE!X78)</f>
        <v>0</v>
      </c>
      <c r="Y78" s="84">
        <f>SUM(FO!Y78,PO!Y78,CO!Y78,FE!Y78,PE!Y78)</f>
        <v>0</v>
      </c>
      <c r="Z78" s="84">
        <f>SUM(FO!Z78,PO!Z78,CO!Z78,FE!Z78,PE!Z78)</f>
        <v>0</v>
      </c>
      <c r="AA78" s="84">
        <f>SUM(FO!AA78,PO!AA78,CO!AA78,FE!AA78,PE!AA78)</f>
        <v>0</v>
      </c>
      <c r="AB78" s="84">
        <f>SUM(FO!AB78,PO!AB78,CO!AB78,FE!AB78,PE!AB78)</f>
        <v>0</v>
      </c>
      <c r="AC78" s="84">
        <f>SUM(FO!AC78,PO!AC78,CO!AC78,FE!AC78,PE!AC78)</f>
        <v>0</v>
      </c>
      <c r="AD78" s="84">
        <f>SUM(FO!AD78,PO!AD78,CO!AD78,FE!AD78,PE!AD78)</f>
        <v>0</v>
      </c>
      <c r="AE78" s="84">
        <f>SUM(FO!AE78,PO!AE78,CO!AE78,FE!AE78,PE!AE78)</f>
        <v>0</v>
      </c>
      <c r="AF78" s="84">
        <f>SUM(FO!AF78,PO!AF78,CO!AF78,FE!AF78,PE!AF78)</f>
        <v>0</v>
      </c>
      <c r="AG78" s="84">
        <f t="shared" si="44"/>
        <v>0</v>
      </c>
      <c r="AH78" s="105" t="str">
        <f t="shared" si="45"/>
        <v/>
      </c>
      <c r="AJ78" s="84">
        <f t="shared" si="46"/>
        <v>1200</v>
      </c>
    </row>
    <row r="79" spans="1:37" x14ac:dyDescent="0.3">
      <c r="A79" s="113" t="s">
        <v>165</v>
      </c>
      <c r="B79" s="84">
        <f>SUM(FO!B79,PO!B79,CO!B79,FE!B79,PE!B79)</f>
        <v>0</v>
      </c>
      <c r="C79" s="84">
        <f>SUM(FO!C79,PO!C79,CO!C79,FE!C79,PE!C79)</f>
        <v>0</v>
      </c>
      <c r="D79" s="84">
        <f>SUM(FO!D79,PO!D79,CO!D79,FE!D79,PE!D79)</f>
        <v>871.4</v>
      </c>
      <c r="E79" s="84">
        <f>SUM(FO!E79,PO!E79,CO!E79,FE!E79,PE!E79)</f>
        <v>2711.33</v>
      </c>
      <c r="F79" s="84">
        <f>SUM(FO!F79,PO!F79,CO!F79,FE!F79,PE!F79)</f>
        <v>0</v>
      </c>
      <c r="G79" s="84">
        <f>SUM(FO!G79,PO!G79,CO!G79,FE!G79,PE!G79)</f>
        <v>2900</v>
      </c>
      <c r="H79" s="84">
        <f>SUM(FO!H79,PO!H79,CO!H79,FE!H79,PE!H79)</f>
        <v>0</v>
      </c>
      <c r="I79" s="84">
        <f>SUM(FO!I79,PO!I79,CO!I79,FE!I79,PE!I79)</f>
        <v>0</v>
      </c>
      <c r="J79" s="84">
        <f>SUM(FO!J79,PO!J79,CO!J79,FE!J79,PE!J79)</f>
        <v>1000</v>
      </c>
      <c r="K79" s="84">
        <f>SUM(FO!K79,PO!K79,CO!K79,FE!K79,PE!K79)</f>
        <v>1000</v>
      </c>
      <c r="L79" s="84">
        <f>SUM(FO!L79,PO!L79,CO!L79,FE!L79,PE!L79)</f>
        <v>3000</v>
      </c>
      <c r="M79" s="84">
        <f>SUM(FO!M79,PO!M79,CO!M79,FE!M79,PE!M79)</f>
        <v>1000</v>
      </c>
      <c r="N79" s="84">
        <f t="shared" si="42"/>
        <v>12482.73</v>
      </c>
      <c r="O79" s="105">
        <f t="shared" si="43"/>
        <v>1.6814159015087129E-3</v>
      </c>
      <c r="P79" s="84"/>
      <c r="Q79" s="84"/>
      <c r="R79" s="84"/>
      <c r="S79" s="84"/>
      <c r="T79" s="84"/>
      <c r="U79" s="84">
        <f>SUM(FO!U79,PO!U79,CO!U79,FE!U79,PE!U79)</f>
        <v>0</v>
      </c>
      <c r="V79" s="84">
        <f>SUM(FO!V79,PO!V79,CO!V79,FE!V79,PE!V79)</f>
        <v>0</v>
      </c>
      <c r="W79" s="84">
        <f>SUM(FO!W79,PO!W79,CO!W79,FE!W79,PE!W79)</f>
        <v>0</v>
      </c>
      <c r="X79" s="84">
        <f>SUM(FO!X79,PO!X79,CO!X79,FE!X79,PE!X79)</f>
        <v>0</v>
      </c>
      <c r="Y79" s="84">
        <f>SUM(FO!Y79,PO!Y79,CO!Y79,FE!Y79,PE!Y79)</f>
        <v>0</v>
      </c>
      <c r="Z79" s="84">
        <f>SUM(FO!Z79,PO!Z79,CO!Z79,FE!Z79,PE!Z79)</f>
        <v>0</v>
      </c>
      <c r="AA79" s="84">
        <f>SUM(FO!AA79,PO!AA79,CO!AA79,FE!AA79,PE!AA79)</f>
        <v>0</v>
      </c>
      <c r="AB79" s="84">
        <f>SUM(FO!AB79,PO!AB79,CO!AB79,FE!AB79,PE!AB79)</f>
        <v>0</v>
      </c>
      <c r="AC79" s="84">
        <f>SUM(FO!AC79,PO!AC79,CO!AC79,FE!AC79,PE!AC79)</f>
        <v>0</v>
      </c>
      <c r="AD79" s="84">
        <f>SUM(FO!AD79,PO!AD79,CO!AD79,FE!AD79,PE!AD79)</f>
        <v>0</v>
      </c>
      <c r="AE79" s="84">
        <f>SUM(FO!AE79,PO!AE79,CO!AE79,FE!AE79,PE!AE79)</f>
        <v>0</v>
      </c>
      <c r="AF79" s="84">
        <f>SUM(FO!AF79,PO!AF79,CO!AF79,FE!AF79,PE!AF79)</f>
        <v>0</v>
      </c>
      <c r="AG79" s="84">
        <f t="shared" si="44"/>
        <v>0</v>
      </c>
      <c r="AH79" s="105" t="str">
        <f t="shared" si="45"/>
        <v/>
      </c>
      <c r="AJ79" s="84">
        <f t="shared" si="46"/>
        <v>12482.73</v>
      </c>
    </row>
    <row r="80" spans="1:37" x14ac:dyDescent="0.3">
      <c r="A80" s="113" t="s">
        <v>166</v>
      </c>
      <c r="B80" s="84">
        <f>SUM(FO!B80,PO!B80,CO!B80,FE!B80,PE!B80)</f>
        <v>70.88</v>
      </c>
      <c r="C80" s="84">
        <f>SUM(FO!C80,PO!C80,CO!C80,FE!C80,PE!C80)</f>
        <v>205.88</v>
      </c>
      <c r="D80" s="84">
        <f>SUM(FO!D80,PO!D80,CO!D80,FE!D80,PE!D80)</f>
        <v>355.89</v>
      </c>
      <c r="E80" s="84">
        <f>SUM(FO!E80,PO!E80,CO!E80,FE!E80,PE!E80)</f>
        <v>255.89</v>
      </c>
      <c r="F80" s="84">
        <f>SUM(FO!F80,PO!F80,CO!F80,FE!F80,PE!F80)</f>
        <v>34.99</v>
      </c>
      <c r="G80" s="84">
        <f>SUM(FO!G80,PO!G80,CO!G80,FE!G80,PE!G80)</f>
        <v>0</v>
      </c>
      <c r="H80" s="84">
        <f>SUM(FO!H80,PO!H80,CO!H80,FE!H80,PE!H80)</f>
        <v>0</v>
      </c>
      <c r="I80" s="84">
        <f>SUM(FO!I80,PO!I80,CO!I80,FE!I80,PE!I80)</f>
        <v>0</v>
      </c>
      <c r="J80" s="84">
        <f>SUM(FO!J80,PO!J80,CO!J80,FE!J80,PE!J80)</f>
        <v>210</v>
      </c>
      <c r="K80" s="84">
        <f>SUM(FO!K80,PO!K80,CO!K80,FE!K80,PE!K80)</f>
        <v>210</v>
      </c>
      <c r="L80" s="84">
        <f>SUM(FO!L80,PO!L80,CO!L80,FE!L80,PE!L80)</f>
        <v>210</v>
      </c>
      <c r="M80" s="84">
        <f>SUM(FO!M80,PO!M80,CO!M80,FE!M80,PE!M80)</f>
        <v>210</v>
      </c>
      <c r="N80" s="84">
        <f t="shared" si="42"/>
        <v>1763.53</v>
      </c>
      <c r="O80" s="105">
        <f t="shared" si="43"/>
        <v>2.3754638486834693E-4</v>
      </c>
      <c r="P80" s="84"/>
      <c r="Q80" s="84"/>
      <c r="R80" s="84"/>
      <c r="S80" s="84"/>
      <c r="T80" s="84"/>
      <c r="U80" s="84">
        <f>SUM(FO!U80,PO!U80,CO!U80,FE!U80,PE!U80)</f>
        <v>0</v>
      </c>
      <c r="V80" s="84">
        <f>SUM(FO!V80,PO!V80,CO!V80,FE!V80,PE!V80)</f>
        <v>0</v>
      </c>
      <c r="W80" s="84">
        <f>SUM(FO!W80,PO!W80,CO!W80,FE!W80,PE!W80)</f>
        <v>0</v>
      </c>
      <c r="X80" s="84">
        <f>SUM(FO!X80,PO!X80,CO!X80,FE!X80,PE!X80)</f>
        <v>0</v>
      </c>
      <c r="Y80" s="84">
        <f>SUM(FO!Y80,PO!Y80,CO!Y80,FE!Y80,PE!Y80)</f>
        <v>0</v>
      </c>
      <c r="Z80" s="84">
        <f>SUM(FO!Z80,PO!Z80,CO!Z80,FE!Z80,PE!Z80)</f>
        <v>0</v>
      </c>
      <c r="AA80" s="84">
        <f>SUM(FO!AA80,PO!AA80,CO!AA80,FE!AA80,PE!AA80)</f>
        <v>0</v>
      </c>
      <c r="AB80" s="84">
        <f>SUM(FO!AB80,PO!AB80,CO!AB80,FE!AB80,PE!AB80)</f>
        <v>0</v>
      </c>
      <c r="AC80" s="84">
        <f>SUM(FO!AC80,PO!AC80,CO!AC80,FE!AC80,PE!AC80)</f>
        <v>0</v>
      </c>
      <c r="AD80" s="84">
        <f>SUM(FO!AD80,PO!AD80,CO!AD80,FE!AD80,PE!AD80)</f>
        <v>0</v>
      </c>
      <c r="AE80" s="84">
        <f>SUM(FO!AE80,PO!AE80,CO!AE80,FE!AE80,PE!AE80)</f>
        <v>0</v>
      </c>
      <c r="AF80" s="84">
        <f>SUM(FO!AF80,PO!AF80,CO!AF80,FE!AF80,PE!AF80)</f>
        <v>0</v>
      </c>
      <c r="AG80" s="84">
        <f t="shared" si="44"/>
        <v>0</v>
      </c>
      <c r="AH80" s="105" t="str">
        <f t="shared" si="45"/>
        <v/>
      </c>
      <c r="AJ80" s="84">
        <f t="shared" si="46"/>
        <v>1763.53</v>
      </c>
    </row>
    <row r="81" spans="1:36" x14ac:dyDescent="0.3">
      <c r="A81" s="102" t="s">
        <v>167</v>
      </c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105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105"/>
      <c r="AJ81" s="84"/>
    </row>
    <row r="82" spans="1:36" x14ac:dyDescent="0.3">
      <c r="A82" s="103" t="s">
        <v>168</v>
      </c>
      <c r="B82" s="84">
        <f>SUM(FO!B82,PO!B82,CO!B82,FE!B82,PE!B82)</f>
        <v>0</v>
      </c>
      <c r="C82" s="84">
        <f>SUM(FO!C82,PO!C82,CO!C82,FE!C82,PE!C82)</f>
        <v>0</v>
      </c>
      <c r="D82" s="84">
        <f>SUM(FO!D82,PO!D82,CO!D82,FE!D82,PE!D82)</f>
        <v>0</v>
      </c>
      <c r="E82" s="84">
        <f>SUM(FO!E82,PO!E82,CO!E82,FE!E82,PE!E82)</f>
        <v>0</v>
      </c>
      <c r="F82" s="84">
        <f>SUM(FO!F82,PO!F82,CO!F82,FE!F82,PE!F82)</f>
        <v>0</v>
      </c>
      <c r="G82" s="84">
        <f>SUM(FO!G82,PO!G82,CO!G82,FE!G82,PE!G82)</f>
        <v>0</v>
      </c>
      <c r="H82" s="84">
        <f>SUM(FO!H82,PO!H82,CO!H82,FE!H82,PE!H82)</f>
        <v>0</v>
      </c>
      <c r="I82" s="84">
        <f>SUM(FO!I82,PO!I82,CO!I82,FE!I82,PE!I82)</f>
        <v>0</v>
      </c>
      <c r="J82" s="84">
        <f>SUM(FO!J82,PO!J82,CO!J82,FE!J82,PE!J82)</f>
        <v>0</v>
      </c>
      <c r="K82" s="84">
        <f>SUM(FO!K82,PO!K82,CO!K82,FE!K82,PE!K82)</f>
        <v>0</v>
      </c>
      <c r="L82" s="84">
        <f>SUM(FO!L82,PO!L82,CO!L82,FE!L82,PE!L82)</f>
        <v>0</v>
      </c>
      <c r="M82" s="84">
        <f>SUM(FO!M82,PO!M82,CO!M82,FE!M82,PE!M82)</f>
        <v>0</v>
      </c>
      <c r="N82" s="84">
        <f t="shared" ref="N82:N117" si="49">SUM(B82:M82)</f>
        <v>0</v>
      </c>
      <c r="O82" s="105">
        <f t="shared" ref="O82:O117" si="50">IFERROR(N82/N$16,"")</f>
        <v>0</v>
      </c>
      <c r="P82" s="84"/>
      <c r="Q82" s="84"/>
      <c r="R82" s="84"/>
      <c r="S82" s="84"/>
      <c r="T82" s="84"/>
      <c r="U82" s="84">
        <f>SUM(FO!U82,PO!U82,CO!U82,FE!U82,PE!U82)</f>
        <v>0</v>
      </c>
      <c r="V82" s="84">
        <f>SUM(FO!V82,PO!V82,CO!V82,FE!V82,PE!V82)</f>
        <v>0</v>
      </c>
      <c r="W82" s="84">
        <f>SUM(FO!W82,PO!W82,CO!W82,FE!W82,PE!W82)</f>
        <v>0</v>
      </c>
      <c r="X82" s="84">
        <f>SUM(FO!X82,PO!X82,CO!X82,FE!X82,PE!X82)</f>
        <v>0</v>
      </c>
      <c r="Y82" s="84">
        <f>SUM(FO!Y82,PO!Y82,CO!Y82,FE!Y82,PE!Y82)</f>
        <v>0</v>
      </c>
      <c r="Z82" s="84">
        <f>SUM(FO!Z82,PO!Z82,CO!Z82,FE!Z82,PE!Z82)</f>
        <v>0</v>
      </c>
      <c r="AA82" s="84">
        <f>SUM(FO!AA82,PO!AA82,CO!AA82,FE!AA82,PE!AA82)</f>
        <v>0</v>
      </c>
      <c r="AB82" s="84">
        <f>SUM(FO!AB82,PO!AB82,CO!AB82,FE!AB82,PE!AB82)</f>
        <v>0</v>
      </c>
      <c r="AC82" s="84">
        <f>SUM(FO!AC82,PO!AC82,CO!AC82,FE!AC82,PE!AC82)</f>
        <v>0</v>
      </c>
      <c r="AD82" s="84">
        <f>SUM(FO!AD82,PO!AD82,CO!AD82,FE!AD82,PE!AD82)</f>
        <v>0</v>
      </c>
      <c r="AE82" s="84">
        <f>SUM(FO!AE82,PO!AE82,CO!AE82,FE!AE82,PE!AE82)</f>
        <v>0</v>
      </c>
      <c r="AF82" s="84">
        <f>SUM(FO!AF82,PO!AF82,CO!AF82,FE!AF82,PE!AF82)</f>
        <v>0</v>
      </c>
      <c r="AG82" s="84">
        <f t="shared" ref="AG82:AG117" si="51">SUM(U82:AF82)</f>
        <v>0</v>
      </c>
      <c r="AH82" s="105" t="str">
        <f t="shared" ref="AH82:AH117" si="52">IFERROR(AG82/AG$16,"")</f>
        <v/>
      </c>
      <c r="AJ82" s="84">
        <f t="shared" ref="AJ82:AJ116" si="53">N82-AG82</f>
        <v>0</v>
      </c>
    </row>
    <row r="83" spans="1:36" x14ac:dyDescent="0.3">
      <c r="A83" s="103" t="s">
        <v>169</v>
      </c>
      <c r="B83" s="84">
        <f>SUM(FO!B83,PO!B83,CO!B83,FE!B83,PE!B83)</f>
        <v>1716.81</v>
      </c>
      <c r="C83" s="84">
        <f>SUM(FO!C83,PO!C83,CO!C83,FE!C83,PE!C83)</f>
        <v>1639.89</v>
      </c>
      <c r="D83" s="84">
        <f>SUM(FO!D83,PO!D83,CO!D83,FE!D83,PE!D83)</f>
        <v>654.95000000000005</v>
      </c>
      <c r="E83" s="84">
        <f>SUM(FO!E83,PO!E83,CO!E83,FE!E83,PE!E83)</f>
        <v>0</v>
      </c>
      <c r="F83" s="84">
        <f>SUM(FO!F83,PO!F83,CO!F83,FE!F83,PE!F83)</f>
        <v>596.5</v>
      </c>
      <c r="G83" s="84">
        <f>SUM(FO!G83,PO!G83,CO!G83,FE!G83,PE!G83)</f>
        <v>1755.52</v>
      </c>
      <c r="H83" s="84">
        <f>SUM(FO!H83,PO!H83,CO!H83,FE!H83,PE!H83)</f>
        <v>728.5</v>
      </c>
      <c r="I83" s="84">
        <f>SUM(FO!I83,PO!I83,CO!I83,FE!I83,PE!I83)</f>
        <v>0</v>
      </c>
      <c r="J83" s="84">
        <f>SUM(FO!J83,PO!J83,CO!J83,FE!J83,PE!J83)</f>
        <v>1500</v>
      </c>
      <c r="K83" s="84">
        <f>SUM(FO!K83,PO!K83,CO!K83,FE!K83,PE!K83)</f>
        <v>1500</v>
      </c>
      <c r="L83" s="84">
        <f>SUM(FO!L83,PO!L83,CO!L83,FE!L83,PE!L83)</f>
        <v>3000</v>
      </c>
      <c r="M83" s="84">
        <f>SUM(FO!M83,PO!M83,CO!M83,FE!M83,PE!M83)</f>
        <v>1500</v>
      </c>
      <c r="N83" s="84">
        <f t="shared" si="49"/>
        <v>14592.17</v>
      </c>
      <c r="O83" s="105">
        <f t="shared" si="50"/>
        <v>1.9655561464133565E-3</v>
      </c>
      <c r="P83" s="84"/>
      <c r="Q83" s="84"/>
      <c r="R83" s="84"/>
      <c r="S83" s="84"/>
      <c r="T83" s="84"/>
      <c r="U83" s="84">
        <f>SUM(FO!U83,PO!U83,CO!U83,FE!U83,PE!U83)</f>
        <v>0</v>
      </c>
      <c r="V83" s="84">
        <f>SUM(FO!V83,PO!V83,CO!V83,FE!V83,PE!V83)</f>
        <v>0</v>
      </c>
      <c r="W83" s="84">
        <f>SUM(FO!W83,PO!W83,CO!W83,FE!W83,PE!W83)</f>
        <v>0</v>
      </c>
      <c r="X83" s="84">
        <f>SUM(FO!X83,PO!X83,CO!X83,FE!X83,PE!X83)</f>
        <v>0</v>
      </c>
      <c r="Y83" s="84">
        <f>SUM(FO!Y83,PO!Y83,CO!Y83,FE!Y83,PE!Y83)</f>
        <v>0</v>
      </c>
      <c r="Z83" s="84">
        <f>SUM(FO!Z83,PO!Z83,CO!Z83,FE!Z83,PE!Z83)</f>
        <v>0</v>
      </c>
      <c r="AA83" s="84">
        <f>SUM(FO!AA83,PO!AA83,CO!AA83,FE!AA83,PE!AA83)</f>
        <v>0</v>
      </c>
      <c r="AB83" s="84">
        <f>SUM(FO!AB83,PO!AB83,CO!AB83,FE!AB83,PE!AB83)</f>
        <v>0</v>
      </c>
      <c r="AC83" s="84">
        <f>SUM(FO!AC83,PO!AC83,CO!AC83,FE!AC83,PE!AC83)</f>
        <v>0</v>
      </c>
      <c r="AD83" s="84">
        <f>SUM(FO!AD83,PO!AD83,CO!AD83,FE!AD83,PE!AD83)</f>
        <v>0</v>
      </c>
      <c r="AE83" s="84">
        <f>SUM(FO!AE83,PO!AE83,CO!AE83,FE!AE83,PE!AE83)</f>
        <v>0</v>
      </c>
      <c r="AF83" s="84">
        <f>SUM(FO!AF83,PO!AF83,CO!AF83,FE!AF83,PE!AF83)</f>
        <v>0</v>
      </c>
      <c r="AG83" s="84">
        <f t="shared" si="51"/>
        <v>0</v>
      </c>
      <c r="AH83" s="105" t="str">
        <f t="shared" si="52"/>
        <v/>
      </c>
      <c r="AJ83" s="84">
        <f t="shared" si="53"/>
        <v>14592.17</v>
      </c>
    </row>
    <row r="84" spans="1:36" x14ac:dyDescent="0.3">
      <c r="A84" s="103" t="s">
        <v>170</v>
      </c>
      <c r="B84" s="84">
        <f>SUM(FO!B84,PO!B84,CO!B84,FE!B84,PE!B84)</f>
        <v>153.63</v>
      </c>
      <c r="C84" s="84">
        <f>SUM(FO!C84,PO!C84,CO!C84,FE!C84,PE!C84)</f>
        <v>1867.65</v>
      </c>
      <c r="D84" s="84">
        <f>SUM(FO!D84,PO!D84,CO!D84,FE!D84,PE!D84)</f>
        <v>0</v>
      </c>
      <c r="E84" s="84">
        <f>SUM(FO!E84,PO!E84,CO!E84,FE!E84,PE!E84)</f>
        <v>0</v>
      </c>
      <c r="F84" s="84">
        <f>SUM(FO!F84,PO!F84,CO!F84,FE!F84,PE!F84)</f>
        <v>901.61</v>
      </c>
      <c r="G84" s="84">
        <f>SUM(FO!G84,PO!G84,CO!G84,FE!G84,PE!G84)</f>
        <v>20</v>
      </c>
      <c r="H84" s="84">
        <f>SUM(FO!H84,PO!H84,CO!H84,FE!H84,PE!H84)</f>
        <v>270.05</v>
      </c>
      <c r="I84" s="84">
        <f>SUM(FO!I84,PO!I84,CO!I84,FE!I84,PE!I84)</f>
        <v>0</v>
      </c>
      <c r="J84" s="84">
        <f>SUM(FO!J84,PO!J84,CO!J84,FE!J84,PE!J84)</f>
        <v>600</v>
      </c>
      <c r="K84" s="84">
        <f>SUM(FO!K84,PO!K84,CO!K84,FE!K84,PE!K84)</f>
        <v>600</v>
      </c>
      <c r="L84" s="84">
        <f>SUM(FO!L84,PO!L84,CO!L84,FE!L84,PE!L84)</f>
        <v>600</v>
      </c>
      <c r="M84" s="84">
        <f>SUM(FO!M84,PO!M84,CO!M84,FE!M84,PE!M84)</f>
        <v>600</v>
      </c>
      <c r="N84" s="84">
        <f t="shared" si="49"/>
        <v>5612.9400000000005</v>
      </c>
      <c r="O84" s="105">
        <f t="shared" si="50"/>
        <v>7.5605949741877902E-4</v>
      </c>
      <c r="P84" s="84"/>
      <c r="Q84" s="84"/>
      <c r="R84" s="84"/>
      <c r="S84" s="84"/>
      <c r="T84" s="84"/>
      <c r="U84" s="84">
        <f>SUM(FO!U84,PO!U84,CO!U84,FE!U84,PE!U84)</f>
        <v>0</v>
      </c>
      <c r="V84" s="84">
        <f>SUM(FO!V84,PO!V84,CO!V84,FE!V84,PE!V84)</f>
        <v>0</v>
      </c>
      <c r="W84" s="84">
        <f>SUM(FO!W84,PO!W84,CO!W84,FE!W84,PE!W84)</f>
        <v>0</v>
      </c>
      <c r="X84" s="84">
        <f>SUM(FO!X84,PO!X84,CO!X84,FE!X84,PE!X84)</f>
        <v>0</v>
      </c>
      <c r="Y84" s="84">
        <f>SUM(FO!Y84,PO!Y84,CO!Y84,FE!Y84,PE!Y84)</f>
        <v>0</v>
      </c>
      <c r="Z84" s="84">
        <f>SUM(FO!Z84,PO!Z84,CO!Z84,FE!Z84,PE!Z84)</f>
        <v>0</v>
      </c>
      <c r="AA84" s="84">
        <f>SUM(FO!AA84,PO!AA84,CO!AA84,FE!AA84,PE!AA84)</f>
        <v>0</v>
      </c>
      <c r="AB84" s="84">
        <f>SUM(FO!AB84,PO!AB84,CO!AB84,FE!AB84,PE!AB84)</f>
        <v>0</v>
      </c>
      <c r="AC84" s="84">
        <f>SUM(FO!AC84,PO!AC84,CO!AC84,FE!AC84,PE!AC84)</f>
        <v>0</v>
      </c>
      <c r="AD84" s="84">
        <f>SUM(FO!AD84,PO!AD84,CO!AD84,FE!AD84,PE!AD84)</f>
        <v>0</v>
      </c>
      <c r="AE84" s="84">
        <f>SUM(FO!AE84,PO!AE84,CO!AE84,FE!AE84,PE!AE84)</f>
        <v>0</v>
      </c>
      <c r="AF84" s="84">
        <f>SUM(FO!AF84,PO!AF84,CO!AF84,FE!AF84,PE!AF84)</f>
        <v>0</v>
      </c>
      <c r="AG84" s="84">
        <f t="shared" si="51"/>
        <v>0</v>
      </c>
      <c r="AH84" s="105" t="str">
        <f t="shared" si="52"/>
        <v/>
      </c>
      <c r="AJ84" s="84">
        <f t="shared" si="53"/>
        <v>5612.9400000000005</v>
      </c>
    </row>
    <row r="85" spans="1:36" x14ac:dyDescent="0.3">
      <c r="A85" s="103" t="s">
        <v>171</v>
      </c>
      <c r="B85" s="84">
        <f>SUM(FO!B85,PO!B85,CO!B85,FE!B85,PE!B85)</f>
        <v>2186.21</v>
      </c>
      <c r="C85" s="84">
        <f>SUM(FO!C85,PO!C85,CO!C85,FE!C85,PE!C85)</f>
        <v>3511.6899999999996</v>
      </c>
      <c r="D85" s="84">
        <f>SUM(FO!D85,PO!D85,CO!D85,FE!D85,PE!D85)</f>
        <v>325.89999999999998</v>
      </c>
      <c r="E85" s="84">
        <f>SUM(FO!E85,PO!E85,CO!E85,FE!E85,PE!E85)</f>
        <v>1638.14</v>
      </c>
      <c r="F85" s="84">
        <f>SUM(FO!F85,PO!F85,CO!F85,FE!F85,PE!F85)</f>
        <v>1041.9100000000001</v>
      </c>
      <c r="G85" s="84">
        <f>SUM(FO!G85,PO!G85,CO!G85,FE!G85,PE!G85)</f>
        <v>721.44</v>
      </c>
      <c r="H85" s="84">
        <f>SUM(FO!H85,PO!H85,CO!H85,FE!H85,PE!H85)</f>
        <v>1816.86</v>
      </c>
      <c r="I85" s="84">
        <f>SUM(FO!I85,PO!I85,CO!I85,FE!I85,PE!I85)</f>
        <v>0</v>
      </c>
      <c r="J85" s="84">
        <f>SUM(FO!J85,PO!J85,CO!J85,FE!J85,PE!J85)</f>
        <v>1500</v>
      </c>
      <c r="K85" s="84">
        <f>SUM(FO!K85,PO!K85,CO!K85,FE!K85,PE!K85)</f>
        <v>1500</v>
      </c>
      <c r="L85" s="84">
        <f>SUM(FO!L85,PO!L85,CO!L85,FE!L85,PE!L85)</f>
        <v>4000</v>
      </c>
      <c r="M85" s="84">
        <f>SUM(FO!M85,PO!M85,CO!M85,FE!M85,PE!M85)</f>
        <v>1500</v>
      </c>
      <c r="N85" s="84">
        <f t="shared" si="49"/>
        <v>19742.150000000001</v>
      </c>
      <c r="O85" s="105">
        <f t="shared" si="50"/>
        <v>2.6592552222126282E-3</v>
      </c>
      <c r="P85" s="84"/>
      <c r="Q85" s="84"/>
      <c r="R85" s="84"/>
      <c r="S85" s="84"/>
      <c r="T85" s="84"/>
      <c r="U85" s="84">
        <f>SUM(FO!U85,PO!U85,CO!U85,FE!U85,PE!U85)</f>
        <v>0</v>
      </c>
      <c r="V85" s="84">
        <f>SUM(FO!V85,PO!V85,CO!V85,FE!V85,PE!V85)</f>
        <v>0</v>
      </c>
      <c r="W85" s="84">
        <f>SUM(FO!W85,PO!W85,CO!W85,FE!W85,PE!W85)</f>
        <v>0</v>
      </c>
      <c r="X85" s="84">
        <f>SUM(FO!X85,PO!X85,CO!X85,FE!X85,PE!X85)</f>
        <v>0</v>
      </c>
      <c r="Y85" s="84">
        <f>SUM(FO!Y85,PO!Y85,CO!Y85,FE!Y85,PE!Y85)</f>
        <v>0</v>
      </c>
      <c r="Z85" s="84">
        <f>SUM(FO!Z85,PO!Z85,CO!Z85,FE!Z85,PE!Z85)</f>
        <v>0</v>
      </c>
      <c r="AA85" s="84">
        <f>SUM(FO!AA85,PO!AA85,CO!AA85,FE!AA85,PE!AA85)</f>
        <v>0</v>
      </c>
      <c r="AB85" s="84">
        <f>SUM(FO!AB85,PO!AB85,CO!AB85,FE!AB85,PE!AB85)</f>
        <v>0</v>
      </c>
      <c r="AC85" s="84">
        <f>SUM(FO!AC85,PO!AC85,CO!AC85,FE!AC85,PE!AC85)</f>
        <v>0</v>
      </c>
      <c r="AD85" s="84">
        <f>SUM(FO!AD85,PO!AD85,CO!AD85,FE!AD85,PE!AD85)</f>
        <v>0</v>
      </c>
      <c r="AE85" s="84">
        <f>SUM(FO!AE85,PO!AE85,CO!AE85,FE!AE85,PE!AE85)</f>
        <v>0</v>
      </c>
      <c r="AF85" s="84">
        <f>SUM(FO!AF85,PO!AF85,CO!AF85,FE!AF85,PE!AF85)</f>
        <v>0</v>
      </c>
      <c r="AG85" s="84">
        <f t="shared" si="51"/>
        <v>0</v>
      </c>
      <c r="AH85" s="105" t="str">
        <f t="shared" si="52"/>
        <v/>
      </c>
      <c r="AJ85" s="84">
        <f t="shared" si="53"/>
        <v>19742.150000000001</v>
      </c>
    </row>
    <row r="86" spans="1:36" x14ac:dyDescent="0.3">
      <c r="A86" s="103" t="s">
        <v>172</v>
      </c>
      <c r="B86" s="84">
        <f>SUM(FO!B86,PO!B86,CO!B86,FE!B86,PE!B86)</f>
        <v>143.34</v>
      </c>
      <c r="C86" s="84">
        <f>SUM(FO!C86,PO!C86,CO!C86,FE!C86,PE!C86)</f>
        <v>368.8</v>
      </c>
      <c r="D86" s="84">
        <f>SUM(FO!D86,PO!D86,CO!D86,FE!D86,PE!D86)</f>
        <v>160.18</v>
      </c>
      <c r="E86" s="84">
        <f>SUM(FO!E86,PO!E86,CO!E86,FE!E86,PE!E86)</f>
        <v>0</v>
      </c>
      <c r="F86" s="84">
        <f>SUM(FO!F86,PO!F86,CO!F86,FE!F86,PE!F86)</f>
        <v>235.48</v>
      </c>
      <c r="G86" s="84">
        <f>SUM(FO!G86,PO!G86,CO!G86,FE!G86,PE!G86)</f>
        <v>241.47</v>
      </c>
      <c r="H86" s="84">
        <f>SUM(FO!H86,PO!H86,CO!H86,FE!H86,PE!H86)</f>
        <v>169.9</v>
      </c>
      <c r="I86" s="84">
        <f>SUM(FO!I86,PO!I86,CO!I86,FE!I86,PE!I86)</f>
        <v>0</v>
      </c>
      <c r="J86" s="84">
        <f>SUM(FO!J86,PO!J86,CO!J86,FE!J86,PE!J86)</f>
        <v>200</v>
      </c>
      <c r="K86" s="84">
        <f>SUM(FO!K86,PO!K86,CO!K86,FE!K86,PE!K86)</f>
        <v>200</v>
      </c>
      <c r="L86" s="84">
        <f>SUM(FO!L86,PO!L86,CO!L86,FE!L86,PE!L86)</f>
        <v>500</v>
      </c>
      <c r="M86" s="84">
        <f>SUM(FO!M86,PO!M86,CO!M86,FE!M86,PE!M86)</f>
        <v>200</v>
      </c>
      <c r="N86" s="84">
        <f t="shared" si="49"/>
        <v>2419.17</v>
      </c>
      <c r="O86" s="105">
        <f t="shared" si="50"/>
        <v>3.2586068163397217E-4</v>
      </c>
      <c r="P86" s="84"/>
      <c r="Q86" s="84"/>
      <c r="R86" s="84"/>
      <c r="S86" s="84"/>
      <c r="T86" s="84"/>
      <c r="U86" s="84">
        <f>SUM(FO!U86,PO!U86,CO!U86,FE!U86,PE!U86)</f>
        <v>0</v>
      </c>
      <c r="V86" s="84">
        <f>SUM(FO!V86,PO!V86,CO!V86,FE!V86,PE!V86)</f>
        <v>0</v>
      </c>
      <c r="W86" s="84">
        <f>SUM(FO!W86,PO!W86,CO!W86,FE!W86,PE!W86)</f>
        <v>0</v>
      </c>
      <c r="X86" s="84">
        <f>SUM(FO!X86,PO!X86,CO!X86,FE!X86,PE!X86)</f>
        <v>0</v>
      </c>
      <c r="Y86" s="84">
        <f>SUM(FO!Y86,PO!Y86,CO!Y86,FE!Y86,PE!Y86)</f>
        <v>0</v>
      </c>
      <c r="Z86" s="84">
        <f>SUM(FO!Z86,PO!Z86,CO!Z86,FE!Z86,PE!Z86)</f>
        <v>0</v>
      </c>
      <c r="AA86" s="84">
        <f>SUM(FO!AA86,PO!AA86,CO!AA86,FE!AA86,PE!AA86)</f>
        <v>0</v>
      </c>
      <c r="AB86" s="84">
        <f>SUM(FO!AB86,PO!AB86,CO!AB86,FE!AB86,PE!AB86)</f>
        <v>0</v>
      </c>
      <c r="AC86" s="84">
        <f>SUM(FO!AC86,PO!AC86,CO!AC86,FE!AC86,PE!AC86)</f>
        <v>0</v>
      </c>
      <c r="AD86" s="84">
        <f>SUM(FO!AD86,PO!AD86,CO!AD86,FE!AD86,PE!AD86)</f>
        <v>0</v>
      </c>
      <c r="AE86" s="84">
        <f>SUM(FO!AE86,PO!AE86,CO!AE86,FE!AE86,PE!AE86)</f>
        <v>0</v>
      </c>
      <c r="AF86" s="84">
        <f>SUM(FO!AF86,PO!AF86,CO!AF86,FE!AF86,PE!AF86)</f>
        <v>0</v>
      </c>
      <c r="AG86" s="84">
        <f t="shared" si="51"/>
        <v>0</v>
      </c>
      <c r="AH86" s="105" t="str">
        <f t="shared" si="52"/>
        <v/>
      </c>
      <c r="AJ86" s="84">
        <f t="shared" si="53"/>
        <v>2419.17</v>
      </c>
    </row>
    <row r="87" spans="1:36" x14ac:dyDescent="0.3">
      <c r="A87" s="109" t="s">
        <v>173</v>
      </c>
      <c r="B87" s="110">
        <f t="shared" ref="B87:M87" si="54">SUM(B82:B86)</f>
        <v>4199.99</v>
      </c>
      <c r="C87" s="110">
        <f t="shared" si="54"/>
        <v>7388.03</v>
      </c>
      <c r="D87" s="110">
        <f t="shared" si="54"/>
        <v>1141.03</v>
      </c>
      <c r="E87" s="110">
        <f t="shared" si="54"/>
        <v>1638.14</v>
      </c>
      <c r="F87" s="110">
        <f t="shared" si="54"/>
        <v>2775.5000000000005</v>
      </c>
      <c r="G87" s="110">
        <f t="shared" si="54"/>
        <v>2738.43</v>
      </c>
      <c r="H87" s="110">
        <f t="shared" si="54"/>
        <v>2985.31</v>
      </c>
      <c r="I87" s="110">
        <f t="shared" si="54"/>
        <v>0</v>
      </c>
      <c r="J87" s="110">
        <f t="shared" si="54"/>
        <v>3800</v>
      </c>
      <c r="K87" s="110">
        <f t="shared" si="54"/>
        <v>3800</v>
      </c>
      <c r="L87" s="110">
        <f t="shared" si="54"/>
        <v>8100</v>
      </c>
      <c r="M87" s="110">
        <f t="shared" si="54"/>
        <v>3800</v>
      </c>
      <c r="N87" s="110">
        <f t="shared" si="49"/>
        <v>42366.430000000008</v>
      </c>
      <c r="O87" s="111">
        <f t="shared" si="50"/>
        <v>5.7067315476787362E-3</v>
      </c>
      <c r="P87" s="84"/>
      <c r="Q87" s="84"/>
      <c r="R87" s="84"/>
      <c r="S87" s="84"/>
      <c r="T87" s="84"/>
      <c r="U87" s="110">
        <f t="shared" ref="U87:AF87" si="55">SUM(U82:U86)</f>
        <v>0</v>
      </c>
      <c r="V87" s="110">
        <f t="shared" si="55"/>
        <v>0</v>
      </c>
      <c r="W87" s="110">
        <f t="shared" si="55"/>
        <v>0</v>
      </c>
      <c r="X87" s="110">
        <f t="shared" si="55"/>
        <v>0</v>
      </c>
      <c r="Y87" s="110">
        <f t="shared" si="55"/>
        <v>0</v>
      </c>
      <c r="Z87" s="110">
        <f t="shared" si="55"/>
        <v>0</v>
      </c>
      <c r="AA87" s="110">
        <f t="shared" si="55"/>
        <v>0</v>
      </c>
      <c r="AB87" s="110">
        <f t="shared" si="55"/>
        <v>0</v>
      </c>
      <c r="AC87" s="110">
        <f t="shared" si="55"/>
        <v>0</v>
      </c>
      <c r="AD87" s="110">
        <f t="shared" si="55"/>
        <v>0</v>
      </c>
      <c r="AE87" s="110">
        <f t="shared" si="55"/>
        <v>0</v>
      </c>
      <c r="AF87" s="110">
        <f t="shared" si="55"/>
        <v>0</v>
      </c>
      <c r="AG87" s="110">
        <f t="shared" si="51"/>
        <v>0</v>
      </c>
      <c r="AH87" s="111" t="str">
        <f t="shared" si="52"/>
        <v/>
      </c>
      <c r="AJ87" s="110">
        <f t="shared" si="53"/>
        <v>42366.430000000008</v>
      </c>
    </row>
    <row r="88" spans="1:36" x14ac:dyDescent="0.3">
      <c r="A88" s="113" t="s">
        <v>174</v>
      </c>
      <c r="B88" s="84">
        <f>SUM(FO!B88,PO!B88,CO!B88,FE!B88,PE!B88)</f>
        <v>0</v>
      </c>
      <c r="C88" s="84">
        <f>SUM(FO!C88,PO!C88,CO!C88,FE!C88,PE!C88)</f>
        <v>0</v>
      </c>
      <c r="D88" s="84">
        <f>SUM(FO!D88,PO!D88,CO!D88,FE!D88,PE!D88)</f>
        <v>0</v>
      </c>
      <c r="E88" s="84">
        <f>SUM(FO!E88,PO!E88,CO!E88,FE!E88,PE!E88)</f>
        <v>0</v>
      </c>
      <c r="F88" s="84">
        <f>SUM(FO!F88,PO!F88,CO!F88,FE!F88,PE!F88)</f>
        <v>0</v>
      </c>
      <c r="G88" s="84">
        <f>SUM(FO!G88,PO!G88,CO!G88,FE!G88,PE!G88)</f>
        <v>0</v>
      </c>
      <c r="H88" s="84">
        <f>SUM(FO!H88,PO!H88,CO!H88,FE!H88,PE!H88)</f>
        <v>0</v>
      </c>
      <c r="I88" s="84">
        <f>SUM(FO!I88,PO!I88,CO!I88,FE!I88,PE!I88)</f>
        <v>0</v>
      </c>
      <c r="J88" s="84">
        <f>SUM(FO!J88,PO!J88,CO!J88,FE!J88,PE!J88)</f>
        <v>0</v>
      </c>
      <c r="K88" s="84">
        <f>SUM(FO!K88,PO!K88,CO!K88,FE!K88,PE!K88)</f>
        <v>0</v>
      </c>
      <c r="L88" s="84">
        <f>SUM(FO!L88,PO!L88,CO!L88,FE!L88,PE!L88)</f>
        <v>0</v>
      </c>
      <c r="M88" s="84">
        <f>SUM(FO!M88,PO!M88,CO!M88,FE!M88,PE!M88)</f>
        <v>0</v>
      </c>
      <c r="N88" s="84">
        <f t="shared" si="49"/>
        <v>0</v>
      </c>
      <c r="O88" s="105">
        <f t="shared" si="50"/>
        <v>0</v>
      </c>
      <c r="P88" s="84"/>
      <c r="Q88" s="84"/>
      <c r="R88" s="84"/>
      <c r="S88" s="84"/>
      <c r="T88" s="84"/>
      <c r="U88" s="84">
        <f>SUM(FO!U88,PO!U88,CO!U88,FE!U88,PE!U88)</f>
        <v>0</v>
      </c>
      <c r="V88" s="84">
        <f>SUM(FO!V88,PO!V88,CO!V88,FE!V88,PE!V88)</f>
        <v>0</v>
      </c>
      <c r="W88" s="84">
        <f>SUM(FO!W88,PO!W88,CO!W88,FE!W88,PE!W88)</f>
        <v>0</v>
      </c>
      <c r="X88" s="84">
        <f>SUM(FO!X88,PO!X88,CO!X88,FE!X88,PE!X88)</f>
        <v>0</v>
      </c>
      <c r="Y88" s="84">
        <f>SUM(FO!Y88,PO!Y88,CO!Y88,FE!Y88,PE!Y88)</f>
        <v>0</v>
      </c>
      <c r="Z88" s="84">
        <f>SUM(FO!Z88,PO!Z88,CO!Z88,FE!Z88,PE!Z88)</f>
        <v>0</v>
      </c>
      <c r="AA88" s="84">
        <f>SUM(FO!AA88,PO!AA88,CO!AA88,FE!AA88,PE!AA88)</f>
        <v>0</v>
      </c>
      <c r="AB88" s="84">
        <f>SUM(FO!AB88,PO!AB88,CO!AB88,FE!AB88,PE!AB88)</f>
        <v>0</v>
      </c>
      <c r="AC88" s="84">
        <f>SUM(FO!AC88,PO!AC88,CO!AC88,FE!AC88,PE!AC88)</f>
        <v>0</v>
      </c>
      <c r="AD88" s="84">
        <f>SUM(FO!AD88,PO!AD88,CO!AD88,FE!AD88,PE!AD88)</f>
        <v>0</v>
      </c>
      <c r="AE88" s="84">
        <f>SUM(FO!AE88,PO!AE88,CO!AE88,FE!AE88,PE!AE88)</f>
        <v>0</v>
      </c>
      <c r="AF88" s="84">
        <f>SUM(FO!AF88,PO!AF88,CO!AF88,FE!AF88,PE!AF88)</f>
        <v>0</v>
      </c>
      <c r="AG88" s="84">
        <f t="shared" si="51"/>
        <v>0</v>
      </c>
      <c r="AH88" s="105" t="str">
        <f t="shared" si="52"/>
        <v/>
      </c>
      <c r="AJ88" s="84">
        <f t="shared" si="53"/>
        <v>0</v>
      </c>
    </row>
    <row r="89" spans="1:36" x14ac:dyDescent="0.3">
      <c r="A89" s="113" t="s">
        <v>175</v>
      </c>
      <c r="B89" s="84">
        <f>SUM(FO!B89,PO!B89,CO!B89,FE!B89,PE!B89)</f>
        <v>0</v>
      </c>
      <c r="C89" s="84">
        <f>SUM(FO!C89,PO!C89,CO!C89,FE!C89,PE!C89)</f>
        <v>0</v>
      </c>
      <c r="D89" s="84">
        <f>SUM(FO!D89,PO!D89,CO!D89,FE!D89,PE!D89)</f>
        <v>0</v>
      </c>
      <c r="E89" s="84">
        <f>SUM(FO!E89,PO!E89,CO!E89,FE!E89,PE!E89)</f>
        <v>0</v>
      </c>
      <c r="F89" s="84">
        <f>SUM(FO!F89,PO!F89,CO!F89,FE!F89,PE!F89)</f>
        <v>0</v>
      </c>
      <c r="G89" s="84">
        <f>SUM(FO!G89,PO!G89,CO!G89,FE!G89,PE!G89)</f>
        <v>31320</v>
      </c>
      <c r="H89" s="84">
        <f>SUM(FO!H89,PO!H89,CO!H89,FE!H89,PE!H89)</f>
        <v>-8375</v>
      </c>
      <c r="I89" s="84">
        <f>SUM(FO!I89,PO!I89,CO!I89,FE!I89,PE!I89)</f>
        <v>-8375</v>
      </c>
      <c r="J89" s="84">
        <f>SUM(FO!J89,PO!J89,CO!J89,FE!J89,PE!J89)</f>
        <v>0</v>
      </c>
      <c r="K89" s="84">
        <f>SUM(FO!K89,PO!K89,CO!K89,FE!K89,PE!K89)</f>
        <v>0</v>
      </c>
      <c r="L89" s="84">
        <f>SUM(FO!L89,PO!L89,CO!L89,FE!L89,PE!L89)</f>
        <v>0</v>
      </c>
      <c r="M89" s="84">
        <f>SUM(FO!M89,PO!M89,CO!M89,FE!M89,PE!M89)</f>
        <v>0</v>
      </c>
      <c r="N89" s="84">
        <f t="shared" si="49"/>
        <v>14570</v>
      </c>
      <c r="O89" s="105">
        <f t="shared" si="50"/>
        <v>1.962569861318954E-3</v>
      </c>
      <c r="P89" s="84"/>
      <c r="Q89" s="84"/>
      <c r="R89" s="84"/>
      <c r="S89" s="84"/>
      <c r="T89" s="84"/>
      <c r="U89" s="84">
        <f>SUM(FO!U89,PO!U89,CO!U89,FE!U89,PE!U89)</f>
        <v>0</v>
      </c>
      <c r="V89" s="84">
        <f>SUM(FO!V89,PO!V89,CO!V89,FE!V89,PE!V89)</f>
        <v>0</v>
      </c>
      <c r="W89" s="84">
        <f>SUM(FO!W89,PO!W89,CO!W89,FE!W89,PE!W89)</f>
        <v>0</v>
      </c>
      <c r="X89" s="84">
        <f>SUM(FO!X89,PO!X89,CO!X89,FE!X89,PE!X89)</f>
        <v>0</v>
      </c>
      <c r="Y89" s="84">
        <f>SUM(FO!Y89,PO!Y89,CO!Y89,FE!Y89,PE!Y89)</f>
        <v>0</v>
      </c>
      <c r="Z89" s="84">
        <f>SUM(FO!Z89,PO!Z89,CO!Z89,FE!Z89,PE!Z89)</f>
        <v>0</v>
      </c>
      <c r="AA89" s="84">
        <f>SUM(FO!AA89,PO!AA89,CO!AA89,FE!AA89,PE!AA89)</f>
        <v>0</v>
      </c>
      <c r="AB89" s="84">
        <f>SUM(FO!AB89,PO!AB89,CO!AB89,FE!AB89,PE!AB89)</f>
        <v>0</v>
      </c>
      <c r="AC89" s="84">
        <f>SUM(FO!AC89,PO!AC89,CO!AC89,FE!AC89,PE!AC89)</f>
        <v>0</v>
      </c>
      <c r="AD89" s="84">
        <f>SUM(FO!AD89,PO!AD89,CO!AD89,FE!AD89,PE!AD89)</f>
        <v>0</v>
      </c>
      <c r="AE89" s="84">
        <f>SUM(FO!AE89,PO!AE89,CO!AE89,FE!AE89,PE!AE89)</f>
        <v>0</v>
      </c>
      <c r="AF89" s="84">
        <f>SUM(FO!AF89,PO!AF89,CO!AF89,FE!AF89,PE!AF89)</f>
        <v>0</v>
      </c>
      <c r="AG89" s="84">
        <f t="shared" si="51"/>
        <v>0</v>
      </c>
      <c r="AH89" s="105" t="str">
        <f t="shared" si="52"/>
        <v/>
      </c>
      <c r="AJ89" s="84">
        <f t="shared" si="53"/>
        <v>14570</v>
      </c>
    </row>
    <row r="90" spans="1:36" x14ac:dyDescent="0.3">
      <c r="A90" s="113" t="s">
        <v>176</v>
      </c>
      <c r="B90" s="84">
        <f>SUM(FO!B90,PO!B90,CO!B90,FE!B90,PE!B90)</f>
        <v>0</v>
      </c>
      <c r="C90" s="84">
        <f>SUM(FO!C90,PO!C90,CO!C90,FE!C90,PE!C90)</f>
        <v>0</v>
      </c>
      <c r="D90" s="84">
        <f>SUM(FO!D90,PO!D90,CO!D90,FE!D90,PE!D90)</f>
        <v>0</v>
      </c>
      <c r="E90" s="84">
        <f>SUM(FO!E90,PO!E90,CO!E90,FE!E90,PE!E90)</f>
        <v>0</v>
      </c>
      <c r="F90" s="84">
        <f>SUM(FO!F90,PO!F90,CO!F90,FE!F90,PE!F90)</f>
        <v>0</v>
      </c>
      <c r="G90" s="84">
        <f>SUM(FO!G90,PO!G90,CO!G90,FE!G90,PE!G90)</f>
        <v>0</v>
      </c>
      <c r="H90" s="84">
        <f>SUM(FO!H90,PO!H90,CO!H90,FE!H90,PE!H90)</f>
        <v>0</v>
      </c>
      <c r="I90" s="84">
        <f>SUM(FO!I90,PO!I90,CO!I90,FE!I90,PE!I90)</f>
        <v>0</v>
      </c>
      <c r="J90" s="84">
        <f>SUM(FO!J90,PO!J90,CO!J90,FE!J90,PE!J90)</f>
        <v>0</v>
      </c>
      <c r="K90" s="84">
        <f>SUM(FO!K90,PO!K90,CO!K90,FE!K90,PE!K90)</f>
        <v>0</v>
      </c>
      <c r="L90" s="84">
        <f>SUM(FO!L90,PO!L90,CO!L90,FE!L90,PE!L90)</f>
        <v>0</v>
      </c>
      <c r="M90" s="84">
        <f>SUM(FO!M90,PO!M90,CO!M90,FE!M90,PE!M90)</f>
        <v>0</v>
      </c>
      <c r="N90" s="84">
        <f t="shared" si="49"/>
        <v>0</v>
      </c>
      <c r="O90" s="105">
        <f t="shared" si="50"/>
        <v>0</v>
      </c>
      <c r="P90" s="84"/>
      <c r="Q90" s="84"/>
      <c r="R90" s="84"/>
      <c r="S90" s="84"/>
      <c r="T90" s="84"/>
      <c r="U90" s="84">
        <f>SUM(FO!U90,PO!U90,CO!U90,FE!U90,PE!U90)</f>
        <v>0</v>
      </c>
      <c r="V90" s="84">
        <f>SUM(FO!V90,PO!V90,CO!V90,FE!V90,PE!V90)</f>
        <v>0</v>
      </c>
      <c r="W90" s="84">
        <f>SUM(FO!W90,PO!W90,CO!W90,FE!W90,PE!W90)</f>
        <v>0</v>
      </c>
      <c r="X90" s="84">
        <f>SUM(FO!X90,PO!X90,CO!X90,FE!X90,PE!X90)</f>
        <v>0</v>
      </c>
      <c r="Y90" s="84">
        <f>SUM(FO!Y90,PO!Y90,CO!Y90,FE!Y90,PE!Y90)</f>
        <v>0</v>
      </c>
      <c r="Z90" s="84">
        <f>SUM(FO!Z90,PO!Z90,CO!Z90,FE!Z90,PE!Z90)</f>
        <v>0</v>
      </c>
      <c r="AA90" s="84">
        <f>SUM(FO!AA90,PO!AA90,CO!AA90,FE!AA90,PE!AA90)</f>
        <v>0</v>
      </c>
      <c r="AB90" s="84">
        <f>SUM(FO!AB90,PO!AB90,CO!AB90,FE!AB90,PE!AB90)</f>
        <v>0</v>
      </c>
      <c r="AC90" s="84">
        <f>SUM(FO!AC90,PO!AC90,CO!AC90,FE!AC90,PE!AC90)</f>
        <v>0</v>
      </c>
      <c r="AD90" s="84">
        <f>SUM(FO!AD90,PO!AD90,CO!AD90,FE!AD90,PE!AD90)</f>
        <v>0</v>
      </c>
      <c r="AE90" s="84">
        <f>SUM(FO!AE90,PO!AE90,CO!AE90,FE!AE90,PE!AE90)</f>
        <v>0</v>
      </c>
      <c r="AF90" s="84">
        <f>SUM(FO!AF90,PO!AF90,CO!AF90,FE!AF90,PE!AF90)</f>
        <v>0</v>
      </c>
      <c r="AG90" s="84">
        <f t="shared" si="51"/>
        <v>0</v>
      </c>
      <c r="AH90" s="105" t="str">
        <f t="shared" si="52"/>
        <v/>
      </c>
      <c r="AJ90" s="84">
        <f t="shared" si="53"/>
        <v>0</v>
      </c>
    </row>
    <row r="91" spans="1:36" x14ac:dyDescent="0.3">
      <c r="A91" s="113" t="s">
        <v>177</v>
      </c>
      <c r="B91" s="84">
        <f>SUM(FO!B91,PO!B91,CO!B91,FE!B91,PE!B91)</f>
        <v>0</v>
      </c>
      <c r="C91" s="84">
        <f>SUM(FO!C91,PO!C91,CO!C91,FE!C91,PE!C91)</f>
        <v>11217.74</v>
      </c>
      <c r="D91" s="84">
        <f>SUM(FO!D91,PO!D91,CO!D91,FE!D91,PE!D91)</f>
        <v>51810.95</v>
      </c>
      <c r="E91" s="84">
        <f>SUM(FO!E91,PO!E91,CO!E91,FE!E91,PE!E91)</f>
        <v>34690.39</v>
      </c>
      <c r="F91" s="84">
        <f>SUM(FO!F91,PO!F91,CO!F91,FE!F91,PE!F91)</f>
        <v>36509.269999999997</v>
      </c>
      <c r="G91" s="84">
        <f>SUM(FO!G91,PO!G91,CO!G91,FE!G91,PE!G91)</f>
        <v>56672.78</v>
      </c>
      <c r="H91" s="84">
        <f>SUM(FO!H91,PO!H91,CO!H91,FE!H91,PE!H91)</f>
        <v>8883.7099999999991</v>
      </c>
      <c r="I91" s="84">
        <f>SUM(FO!I91,PO!I91,CO!I91,FE!I91,PE!I91)</f>
        <v>14805.67</v>
      </c>
      <c r="J91" s="84">
        <f>SUM(FO!J91,PO!J91,CO!J91,FE!J91,PE!J91)</f>
        <v>0</v>
      </c>
      <c r="K91" s="84">
        <f>SUM(FO!K91,PO!K91,CO!K91,FE!K91,PE!K91)</f>
        <v>0</v>
      </c>
      <c r="L91" s="84">
        <f>SUM(FO!L91,PO!L91,CO!L91,FE!L91,PE!L91)</f>
        <v>0</v>
      </c>
      <c r="M91" s="84">
        <f>SUM(FO!M91,PO!M91,CO!M91,FE!M91,PE!M91)</f>
        <v>0</v>
      </c>
      <c r="N91" s="84">
        <f t="shared" si="49"/>
        <v>214590.50999999998</v>
      </c>
      <c r="O91" s="105">
        <f t="shared" si="50"/>
        <v>2.8905207100278902E-2</v>
      </c>
      <c r="P91" s="84"/>
      <c r="Q91" s="84"/>
      <c r="R91" s="84"/>
      <c r="S91" s="84"/>
      <c r="T91" s="84"/>
      <c r="U91" s="84">
        <f>SUM(FO!U91,PO!U91,CO!U91,FE!U91,PE!U91)</f>
        <v>0</v>
      </c>
      <c r="V91" s="84">
        <f>SUM(FO!V91,PO!V91,CO!V91,FE!V91,PE!V91)</f>
        <v>0</v>
      </c>
      <c r="W91" s="84">
        <f>SUM(FO!W91,PO!W91,CO!W91,FE!W91,PE!W91)</f>
        <v>0</v>
      </c>
      <c r="X91" s="84">
        <f>SUM(FO!X91,PO!X91,CO!X91,FE!X91,PE!X91)</f>
        <v>0</v>
      </c>
      <c r="Y91" s="84">
        <f>SUM(FO!Y91,PO!Y91,CO!Y91,FE!Y91,PE!Y91)</f>
        <v>0</v>
      </c>
      <c r="Z91" s="84">
        <f>SUM(FO!Z91,PO!Z91,CO!Z91,FE!Z91,PE!Z91)</f>
        <v>0</v>
      </c>
      <c r="AA91" s="84">
        <f>SUM(FO!AA91,PO!AA91,CO!AA91,FE!AA91,PE!AA91)</f>
        <v>0</v>
      </c>
      <c r="AB91" s="84">
        <f>SUM(FO!AB91,PO!AB91,CO!AB91,FE!AB91,PE!AB91)</f>
        <v>0</v>
      </c>
      <c r="AC91" s="84">
        <f>SUM(FO!AC91,PO!AC91,CO!AC91,FE!AC91,PE!AC91)</f>
        <v>0</v>
      </c>
      <c r="AD91" s="84">
        <f>SUM(FO!AD91,PO!AD91,CO!AD91,FE!AD91,PE!AD91)</f>
        <v>0</v>
      </c>
      <c r="AE91" s="84">
        <f>SUM(FO!AE91,PO!AE91,CO!AE91,FE!AE91,PE!AE91)</f>
        <v>0</v>
      </c>
      <c r="AF91" s="84">
        <f>SUM(FO!AF91,PO!AF91,CO!AF91,FE!AF91,PE!AF91)</f>
        <v>0</v>
      </c>
      <c r="AG91" s="84">
        <f t="shared" si="51"/>
        <v>0</v>
      </c>
      <c r="AH91" s="105" t="str">
        <f t="shared" si="52"/>
        <v/>
      </c>
      <c r="AJ91" s="84">
        <f t="shared" si="53"/>
        <v>214590.50999999998</v>
      </c>
    </row>
    <row r="92" spans="1:36" x14ac:dyDescent="0.3">
      <c r="A92" s="113" t="s">
        <v>178</v>
      </c>
      <c r="B92" s="84">
        <f>SUM(FO!B92,PO!B92,CO!B92,FE!B92,PE!B92)</f>
        <v>2556.6099999999997</v>
      </c>
      <c r="C92" s="84">
        <f>SUM(FO!C92,PO!C92,CO!C92,FE!C92,PE!C92)</f>
        <v>2642.6400000000003</v>
      </c>
      <c r="D92" s="84">
        <f>SUM(FO!D92,PO!D92,CO!D92,FE!D92,PE!D92)</f>
        <v>4142.74</v>
      </c>
      <c r="E92" s="84">
        <f>SUM(FO!E92,PO!E92,CO!E92,FE!E92,PE!E92)</f>
        <v>3000.5200000000004</v>
      </c>
      <c r="F92" s="84">
        <f>SUM(FO!F92,PO!F92,CO!F92,FE!F92,PE!F92)</f>
        <v>9578.0300000000007</v>
      </c>
      <c r="G92" s="84">
        <f>SUM(FO!G92,PO!G92,CO!G92,FE!G92,PE!G92)</f>
        <v>3128.8099999999995</v>
      </c>
      <c r="H92" s="84">
        <f>SUM(FO!H92,PO!H92,CO!H92,FE!H92,PE!H92)</f>
        <v>0</v>
      </c>
      <c r="I92" s="84">
        <f>SUM(FO!I92,PO!I92,CO!I92,FE!I92,PE!I92)</f>
        <v>811.1</v>
      </c>
      <c r="J92" s="84">
        <f>SUM(FO!J92,PO!J92,CO!J92,FE!J92,PE!J92)</f>
        <v>0</v>
      </c>
      <c r="K92" s="84">
        <f>SUM(FO!K92,PO!K92,CO!K92,FE!K92,PE!K92)</f>
        <v>0</v>
      </c>
      <c r="L92" s="84">
        <f>SUM(FO!L92,PO!L92,CO!L92,FE!L92,PE!L92)</f>
        <v>0</v>
      </c>
      <c r="M92" s="84">
        <f>SUM(FO!M92,PO!M92,CO!M92,FE!M92,PE!M92)</f>
        <v>0</v>
      </c>
      <c r="N92" s="84">
        <f t="shared" si="49"/>
        <v>25860.449999999997</v>
      </c>
      <c r="O92" s="105">
        <f t="shared" si="50"/>
        <v>3.4833863946565368E-3</v>
      </c>
      <c r="P92" s="84"/>
      <c r="Q92" s="84"/>
      <c r="R92" s="84"/>
      <c r="S92" s="84"/>
      <c r="T92" s="84"/>
      <c r="U92" s="84">
        <f>SUM(FO!U92,PO!U92,CO!U92,FE!U92,PE!U92)</f>
        <v>0</v>
      </c>
      <c r="V92" s="84">
        <f>SUM(FO!V92,PO!V92,CO!V92,FE!V92,PE!V92)</f>
        <v>0</v>
      </c>
      <c r="W92" s="84">
        <f>SUM(FO!W92,PO!W92,CO!W92,FE!W92,PE!W92)</f>
        <v>0</v>
      </c>
      <c r="X92" s="84">
        <f>SUM(FO!X92,PO!X92,CO!X92,FE!X92,PE!X92)</f>
        <v>0</v>
      </c>
      <c r="Y92" s="84">
        <f>SUM(FO!Y92,PO!Y92,CO!Y92,FE!Y92,PE!Y92)</f>
        <v>0</v>
      </c>
      <c r="Z92" s="84">
        <f>SUM(FO!Z92,PO!Z92,CO!Z92,FE!Z92,PE!Z92)</f>
        <v>0</v>
      </c>
      <c r="AA92" s="84">
        <f>SUM(FO!AA92,PO!AA92,CO!AA92,FE!AA92,PE!AA92)</f>
        <v>0</v>
      </c>
      <c r="AB92" s="84">
        <f>SUM(FO!AB92,PO!AB92,CO!AB92,FE!AB92,PE!AB92)</f>
        <v>0</v>
      </c>
      <c r="AC92" s="84">
        <f>SUM(FO!AC92,PO!AC92,CO!AC92,FE!AC92,PE!AC92)</f>
        <v>0</v>
      </c>
      <c r="AD92" s="84">
        <f>SUM(FO!AD92,PO!AD92,CO!AD92,FE!AD92,PE!AD92)</f>
        <v>0</v>
      </c>
      <c r="AE92" s="84">
        <f>SUM(FO!AE92,PO!AE92,CO!AE92,FE!AE92,PE!AE92)</f>
        <v>0</v>
      </c>
      <c r="AF92" s="84">
        <f>SUM(FO!AF92,PO!AF92,CO!AF92,FE!AF92,PE!AF92)</f>
        <v>0</v>
      </c>
      <c r="AG92" s="84">
        <f t="shared" si="51"/>
        <v>0</v>
      </c>
      <c r="AH92" s="105" t="str">
        <f t="shared" si="52"/>
        <v/>
      </c>
      <c r="AJ92" s="84">
        <f t="shared" si="53"/>
        <v>25860.449999999997</v>
      </c>
    </row>
    <row r="93" spans="1:36" x14ac:dyDescent="0.3">
      <c r="A93" s="113" t="s">
        <v>179</v>
      </c>
      <c r="B93" s="84">
        <f>SUM(FO!B93,PO!B93,CO!B93,FE!B93,PE!B93)</f>
        <v>695.8</v>
      </c>
      <c r="C93" s="84">
        <f>SUM(FO!C93,PO!C93,CO!C93,FE!C93,PE!C93)</f>
        <v>1174.04</v>
      </c>
      <c r="D93" s="84">
        <f>SUM(FO!D93,PO!D93,CO!D93,FE!D93,PE!D93)</f>
        <v>946.56</v>
      </c>
      <c r="E93" s="84">
        <f>SUM(FO!E93,PO!E93,CO!E93,FE!E93,PE!E93)</f>
        <v>2409.75</v>
      </c>
      <c r="F93" s="84">
        <f>SUM(FO!F93,PO!F93,CO!F93,FE!F93,PE!F93)</f>
        <v>5233.37</v>
      </c>
      <c r="G93" s="84">
        <f>SUM(FO!G93,PO!G93,CO!G93,FE!G93,PE!G93)</f>
        <v>555.44000000000005</v>
      </c>
      <c r="H93" s="84">
        <f>SUM(FO!H93,PO!H93,CO!H93,FE!H93,PE!H93)</f>
        <v>0</v>
      </c>
      <c r="I93" s="84">
        <f>SUM(FO!I93,PO!I93,CO!I93,FE!I93,PE!I93)</f>
        <v>19.07</v>
      </c>
      <c r="J93" s="84">
        <f>SUM(FO!J93,PO!J93,CO!J93,FE!J93,PE!J93)</f>
        <v>1100</v>
      </c>
      <c r="K93" s="84">
        <f>SUM(FO!K93,PO!K93,CO!K93,FE!K93,PE!K93)</f>
        <v>5300</v>
      </c>
      <c r="L93" s="84">
        <f>SUM(FO!L93,PO!L93,CO!L93,FE!L93,PE!L93)</f>
        <v>5300</v>
      </c>
      <c r="M93" s="84">
        <f>SUM(FO!M93,PO!M93,CO!M93,FE!M93,PE!M93)</f>
        <v>5300</v>
      </c>
      <c r="N93" s="84">
        <f t="shared" si="49"/>
        <v>28034.03</v>
      </c>
      <c r="O93" s="105">
        <f t="shared" si="50"/>
        <v>3.7761662573309123E-3</v>
      </c>
      <c r="P93" s="84"/>
      <c r="Q93" s="84"/>
      <c r="R93" s="84"/>
      <c r="S93" s="84"/>
      <c r="T93" s="84"/>
      <c r="U93" s="84">
        <f>SUM(FO!U93,PO!U93,CO!U93,FE!U93,PE!U93)</f>
        <v>0</v>
      </c>
      <c r="V93" s="84">
        <f>SUM(FO!V93,PO!V93,CO!V93,FE!V93,PE!V93)</f>
        <v>0</v>
      </c>
      <c r="W93" s="84">
        <f>SUM(FO!W93,PO!W93,CO!W93,FE!W93,PE!W93)</f>
        <v>0</v>
      </c>
      <c r="X93" s="84">
        <f>SUM(FO!X93,PO!X93,CO!X93,FE!X93,PE!X93)</f>
        <v>0</v>
      </c>
      <c r="Y93" s="84">
        <f>SUM(FO!Y93,PO!Y93,CO!Y93,FE!Y93,PE!Y93)</f>
        <v>0</v>
      </c>
      <c r="Z93" s="84">
        <f>SUM(FO!Z93,PO!Z93,CO!Z93,FE!Z93,PE!Z93)</f>
        <v>0</v>
      </c>
      <c r="AA93" s="84">
        <f>SUM(FO!AA93,PO!AA93,CO!AA93,FE!AA93,PE!AA93)</f>
        <v>0</v>
      </c>
      <c r="AB93" s="84">
        <f>SUM(FO!AB93,PO!AB93,CO!AB93,FE!AB93,PE!AB93)</f>
        <v>0</v>
      </c>
      <c r="AC93" s="84">
        <f>SUM(FO!AC93,PO!AC93,CO!AC93,FE!AC93,PE!AC93)</f>
        <v>0</v>
      </c>
      <c r="AD93" s="84">
        <f>SUM(FO!AD93,PO!AD93,CO!AD93,FE!AD93,PE!AD93)</f>
        <v>0</v>
      </c>
      <c r="AE93" s="84">
        <f>SUM(FO!AE93,PO!AE93,CO!AE93,FE!AE93,PE!AE93)</f>
        <v>0</v>
      </c>
      <c r="AF93" s="84">
        <f>SUM(FO!AF93,PO!AF93,CO!AF93,FE!AF93,PE!AF93)</f>
        <v>0</v>
      </c>
      <c r="AG93" s="84">
        <f t="shared" si="51"/>
        <v>0</v>
      </c>
      <c r="AH93" s="105" t="str">
        <f t="shared" si="52"/>
        <v/>
      </c>
      <c r="AJ93" s="84">
        <f t="shared" si="53"/>
        <v>28034.03</v>
      </c>
    </row>
    <row r="94" spans="1:36" x14ac:dyDescent="0.3">
      <c r="A94" s="113" t="s">
        <v>180</v>
      </c>
      <c r="B94" s="84">
        <f>SUM(FO!B94,PO!B94,CO!B94,FE!B94,PE!B94)</f>
        <v>0</v>
      </c>
      <c r="C94" s="84">
        <f>SUM(FO!C94,PO!C94,CO!C94,FE!C94,PE!C94)</f>
        <v>0</v>
      </c>
      <c r="D94" s="84">
        <f>SUM(FO!D94,PO!D94,CO!D94,FE!D94,PE!D94)</f>
        <v>0</v>
      </c>
      <c r="E94" s="84">
        <f>SUM(FO!E94,PO!E94,CO!E94,FE!E94,PE!E94)</f>
        <v>0</v>
      </c>
      <c r="F94" s="84">
        <f>SUM(FO!F94,PO!F94,CO!F94,FE!F94,PE!F94)</f>
        <v>0</v>
      </c>
      <c r="G94" s="84">
        <f>SUM(FO!G94,PO!G94,CO!G94,FE!G94,PE!G94)</f>
        <v>0</v>
      </c>
      <c r="H94" s="84">
        <f>SUM(FO!H94,PO!H94,CO!H94,FE!H94,PE!H94)</f>
        <v>0</v>
      </c>
      <c r="I94" s="84">
        <f>SUM(FO!I94,PO!I94,CO!I94,FE!I94,PE!I94)</f>
        <v>0</v>
      </c>
      <c r="J94" s="84">
        <f>SUM(FO!J94,PO!J94,CO!J94,FE!J94,PE!J94)</f>
        <v>0</v>
      </c>
      <c r="K94" s="84">
        <f>SUM(FO!K94,PO!K94,CO!K94,FE!K94,PE!K94)</f>
        <v>0</v>
      </c>
      <c r="L94" s="84">
        <f>SUM(FO!L94,PO!L94,CO!L94,FE!L94,PE!L94)</f>
        <v>0</v>
      </c>
      <c r="M94" s="84">
        <f>SUM(FO!M94,PO!M94,CO!M94,FE!M94,PE!M94)</f>
        <v>0</v>
      </c>
      <c r="N94" s="84">
        <f t="shared" si="49"/>
        <v>0</v>
      </c>
      <c r="O94" s="105">
        <f t="shared" si="50"/>
        <v>0</v>
      </c>
      <c r="P94" s="84"/>
      <c r="Q94" s="84"/>
      <c r="R94" s="84"/>
      <c r="S94" s="84"/>
      <c r="T94" s="84"/>
      <c r="U94" s="84">
        <f>SUM(FO!U94,PO!U94,CO!U94,FE!U94,PE!U94)</f>
        <v>0</v>
      </c>
      <c r="V94" s="84">
        <f>SUM(FO!V94,PO!V94,CO!V94,FE!V94,PE!V94)</f>
        <v>0</v>
      </c>
      <c r="W94" s="84">
        <f>SUM(FO!W94,PO!W94,CO!W94,FE!W94,PE!W94)</f>
        <v>0</v>
      </c>
      <c r="X94" s="84">
        <f>SUM(FO!X94,PO!X94,CO!X94,FE!X94,PE!X94)</f>
        <v>0</v>
      </c>
      <c r="Y94" s="84">
        <f>SUM(FO!Y94,PO!Y94,CO!Y94,FE!Y94,PE!Y94)</f>
        <v>0</v>
      </c>
      <c r="Z94" s="84">
        <f>SUM(FO!Z94,PO!Z94,CO!Z94,FE!Z94,PE!Z94)</f>
        <v>0</v>
      </c>
      <c r="AA94" s="84">
        <f>SUM(FO!AA94,PO!AA94,CO!AA94,FE!AA94,PE!AA94)</f>
        <v>0</v>
      </c>
      <c r="AB94" s="84">
        <f>SUM(FO!AB94,PO!AB94,CO!AB94,FE!AB94,PE!AB94)</f>
        <v>0</v>
      </c>
      <c r="AC94" s="84">
        <f>SUM(FO!AC94,PO!AC94,CO!AC94,FE!AC94,PE!AC94)</f>
        <v>0</v>
      </c>
      <c r="AD94" s="84">
        <f>SUM(FO!AD94,PO!AD94,CO!AD94,FE!AD94,PE!AD94)</f>
        <v>0</v>
      </c>
      <c r="AE94" s="84">
        <f>SUM(FO!AE94,PO!AE94,CO!AE94,FE!AE94,PE!AE94)</f>
        <v>0</v>
      </c>
      <c r="AF94" s="84">
        <f>SUM(FO!AF94,PO!AF94,CO!AF94,FE!AF94,PE!AF94)</f>
        <v>0</v>
      </c>
      <c r="AG94" s="84">
        <f t="shared" si="51"/>
        <v>0</v>
      </c>
      <c r="AH94" s="105" t="str">
        <f t="shared" si="52"/>
        <v/>
      </c>
      <c r="AJ94" s="84">
        <f t="shared" si="53"/>
        <v>0</v>
      </c>
    </row>
    <row r="95" spans="1:36" x14ac:dyDescent="0.3">
      <c r="A95" s="113" t="s">
        <v>181</v>
      </c>
      <c r="B95" s="84">
        <f>SUM(FO!B95,PO!B95,CO!B95,FE!B95,PE!B95)</f>
        <v>5265.28</v>
      </c>
      <c r="C95" s="84">
        <f>SUM(FO!C95,PO!C95,CO!C95,FE!C95,PE!C95)</f>
        <v>2452.1799999999998</v>
      </c>
      <c r="D95" s="84">
        <f>SUM(FO!D95,PO!D95,CO!D95,FE!D95,PE!D95)</f>
        <v>4962.84</v>
      </c>
      <c r="E95" s="84">
        <f>SUM(FO!E95,PO!E95,CO!E95,FE!E95,PE!E95)</f>
        <v>6484.8499999999995</v>
      </c>
      <c r="F95" s="84">
        <f>SUM(FO!F95,PO!F95,CO!F95,FE!F95,PE!F95)</f>
        <v>2744.63</v>
      </c>
      <c r="G95" s="84">
        <f>SUM(FO!G95,PO!G95,CO!G95,FE!G95,PE!G95)</f>
        <v>-14.290000000000191</v>
      </c>
      <c r="H95" s="84">
        <f>SUM(FO!H95,PO!H95,CO!H95,FE!H95,PE!H95)</f>
        <v>3654.69</v>
      </c>
      <c r="I95" s="84">
        <f>SUM(FO!I95,PO!I95,CO!I95,FE!I95,PE!I95)</f>
        <v>2514.69</v>
      </c>
      <c r="J95" s="84">
        <f>SUM(FO!J95,PO!J95,CO!J95,FE!J95,PE!J95)</f>
        <v>7450</v>
      </c>
      <c r="K95" s="84">
        <f>SUM(FO!K95,PO!K95,CO!K95,FE!K95,PE!K95)</f>
        <v>7450</v>
      </c>
      <c r="L95" s="84">
        <f>SUM(FO!L95,PO!L95,CO!L95,FE!L95,PE!L95)</f>
        <v>7450</v>
      </c>
      <c r="M95" s="84">
        <f>SUM(FO!M95,PO!M95,CO!M95,FE!M95,PE!M95)</f>
        <v>7450</v>
      </c>
      <c r="N95" s="84">
        <f t="shared" si="49"/>
        <v>57864.869999999995</v>
      </c>
      <c r="O95" s="105">
        <f t="shared" si="50"/>
        <v>7.7943616946560944E-3</v>
      </c>
      <c r="P95" s="84"/>
      <c r="Q95" s="84"/>
      <c r="R95" s="84"/>
      <c r="S95" s="84"/>
      <c r="T95" s="84"/>
      <c r="U95" s="84">
        <f>SUM(FO!U95,PO!U95,CO!U95,FE!U95,PE!U95)</f>
        <v>0</v>
      </c>
      <c r="V95" s="84">
        <f>SUM(FO!V95,PO!V95,CO!V95,FE!V95,PE!V95)</f>
        <v>0</v>
      </c>
      <c r="W95" s="84">
        <f>SUM(FO!W95,PO!W95,CO!W95,FE!W95,PE!W95)</f>
        <v>0</v>
      </c>
      <c r="X95" s="84">
        <f>SUM(FO!X95,PO!X95,CO!X95,FE!X95,PE!X95)</f>
        <v>0</v>
      </c>
      <c r="Y95" s="84">
        <f>SUM(FO!Y95,PO!Y95,CO!Y95,FE!Y95,PE!Y95)</f>
        <v>0</v>
      </c>
      <c r="Z95" s="84">
        <f>SUM(FO!Z95,PO!Z95,CO!Z95,FE!Z95,PE!Z95)</f>
        <v>0</v>
      </c>
      <c r="AA95" s="84">
        <f>SUM(FO!AA95,PO!AA95,CO!AA95,FE!AA95,PE!AA95)</f>
        <v>0</v>
      </c>
      <c r="AB95" s="84">
        <f>SUM(FO!AB95,PO!AB95,CO!AB95,FE!AB95,PE!AB95)</f>
        <v>0</v>
      </c>
      <c r="AC95" s="84">
        <f>SUM(FO!AC95,PO!AC95,CO!AC95,FE!AC95,PE!AC95)</f>
        <v>0</v>
      </c>
      <c r="AD95" s="84">
        <f>SUM(FO!AD95,PO!AD95,CO!AD95,FE!AD95,PE!AD95)</f>
        <v>0</v>
      </c>
      <c r="AE95" s="84">
        <f>SUM(FO!AE95,PO!AE95,CO!AE95,FE!AE95,PE!AE95)</f>
        <v>0</v>
      </c>
      <c r="AF95" s="84">
        <f>SUM(FO!AF95,PO!AF95,CO!AF95,FE!AF95,PE!AF95)</f>
        <v>0</v>
      </c>
      <c r="AG95" s="84">
        <f t="shared" si="51"/>
        <v>0</v>
      </c>
      <c r="AH95" s="105" t="str">
        <f t="shared" si="52"/>
        <v/>
      </c>
      <c r="AJ95" s="84">
        <f t="shared" si="53"/>
        <v>57864.869999999995</v>
      </c>
    </row>
    <row r="96" spans="1:36" x14ac:dyDescent="0.3">
      <c r="A96" s="113" t="s">
        <v>182</v>
      </c>
      <c r="B96" s="84">
        <f>SUM(FO!B96,PO!B96,CO!B96,FE!B96,PE!B96)</f>
        <v>4965.6899999999996</v>
      </c>
      <c r="C96" s="84">
        <f>SUM(FO!C96,PO!C96,CO!C96,FE!C96,PE!C96)</f>
        <v>15.09</v>
      </c>
      <c r="D96" s="84">
        <f>SUM(FO!D96,PO!D96,CO!D96,FE!D96,PE!D96)</f>
        <v>765.15</v>
      </c>
      <c r="E96" s="84">
        <f>SUM(FO!E96,PO!E96,CO!E96,FE!E96,PE!E96)</f>
        <v>9652.7100000000009</v>
      </c>
      <c r="F96" s="84">
        <f>SUM(FO!F96,PO!F96,CO!F96,FE!F96,PE!F96)</f>
        <v>1174.75</v>
      </c>
      <c r="G96" s="84">
        <f>SUM(FO!G96,PO!G96,CO!G96,FE!G96,PE!G96)</f>
        <v>4659.04</v>
      </c>
      <c r="H96" s="84">
        <f>SUM(FO!H96,PO!H96,CO!H96,FE!H96,PE!H96)</f>
        <v>561.23</v>
      </c>
      <c r="I96" s="84">
        <f>SUM(FO!I96,PO!I96,CO!I96,FE!I96,PE!I96)</f>
        <v>273.43</v>
      </c>
      <c r="J96" s="84">
        <f>SUM(FO!J96,PO!J96,CO!J96,FE!J96,PE!J96)</f>
        <v>600</v>
      </c>
      <c r="K96" s="84">
        <f>SUM(FO!K96,PO!K96,CO!K96,FE!K96,PE!K96)</f>
        <v>600</v>
      </c>
      <c r="L96" s="84">
        <f>SUM(FO!L96,PO!L96,CO!L96,FE!L96,PE!L96)</f>
        <v>600</v>
      </c>
      <c r="M96" s="84">
        <f>SUM(FO!M96,PO!M96,CO!M96,FE!M96,PE!M96)</f>
        <v>600</v>
      </c>
      <c r="N96" s="84">
        <f t="shared" si="49"/>
        <v>24467.09</v>
      </c>
      <c r="O96" s="105">
        <f t="shared" si="50"/>
        <v>3.2957016766079869E-3</v>
      </c>
      <c r="P96" s="84"/>
      <c r="Q96" s="84"/>
      <c r="R96" s="84"/>
      <c r="S96" s="84"/>
      <c r="T96" s="84"/>
      <c r="U96" s="84">
        <f>SUM(FO!U96,PO!U96,CO!U96,FE!U96,PE!U96)</f>
        <v>0</v>
      </c>
      <c r="V96" s="84">
        <f>SUM(FO!V96,PO!V96,CO!V96,FE!V96,PE!V96)</f>
        <v>0</v>
      </c>
      <c r="W96" s="84">
        <f>SUM(FO!W96,PO!W96,CO!W96,FE!W96,PE!W96)</f>
        <v>0</v>
      </c>
      <c r="X96" s="84">
        <f>SUM(FO!X96,PO!X96,CO!X96,FE!X96,PE!X96)</f>
        <v>0</v>
      </c>
      <c r="Y96" s="84">
        <f>SUM(FO!Y96,PO!Y96,CO!Y96,FE!Y96,PE!Y96)</f>
        <v>0</v>
      </c>
      <c r="Z96" s="84">
        <f>SUM(FO!Z96,PO!Z96,CO!Z96,FE!Z96,PE!Z96)</f>
        <v>0</v>
      </c>
      <c r="AA96" s="84">
        <f>SUM(FO!AA96,PO!AA96,CO!AA96,FE!AA96,PE!AA96)</f>
        <v>0</v>
      </c>
      <c r="AB96" s="84">
        <f>SUM(FO!AB96,PO!AB96,CO!AB96,FE!AB96,PE!AB96)</f>
        <v>0</v>
      </c>
      <c r="AC96" s="84">
        <f>SUM(FO!AC96,PO!AC96,CO!AC96,FE!AC96,PE!AC96)</f>
        <v>0</v>
      </c>
      <c r="AD96" s="84">
        <f>SUM(FO!AD96,PO!AD96,CO!AD96,FE!AD96,PE!AD96)</f>
        <v>0</v>
      </c>
      <c r="AE96" s="84">
        <f>SUM(FO!AE96,PO!AE96,CO!AE96,FE!AE96,PE!AE96)</f>
        <v>0</v>
      </c>
      <c r="AF96" s="84">
        <f>SUM(FO!AF96,PO!AF96,CO!AF96,FE!AF96,PE!AF96)</f>
        <v>0</v>
      </c>
      <c r="AG96" s="84">
        <f t="shared" si="51"/>
        <v>0</v>
      </c>
      <c r="AH96" s="105" t="str">
        <f t="shared" si="52"/>
        <v/>
      </c>
      <c r="AJ96" s="84">
        <f t="shared" si="53"/>
        <v>24467.09</v>
      </c>
    </row>
    <row r="97" spans="1:36" x14ac:dyDescent="0.3">
      <c r="A97" s="113" t="s">
        <v>183</v>
      </c>
      <c r="B97" s="84">
        <f>SUM(FO!B97,PO!B97,CO!B97,FE!B97,PE!B97)</f>
        <v>0</v>
      </c>
      <c r="C97" s="84">
        <f>SUM(FO!C97,PO!C97,CO!C97,FE!C97,PE!C97)</f>
        <v>0</v>
      </c>
      <c r="D97" s="84">
        <f>SUM(FO!D97,PO!D97,CO!D97,FE!D97,PE!D97)</f>
        <v>0</v>
      </c>
      <c r="E97" s="84">
        <f>SUM(FO!E97,PO!E97,CO!E97,FE!E97,PE!E97)</f>
        <v>0</v>
      </c>
      <c r="F97" s="84">
        <f>SUM(FO!F97,PO!F97,CO!F97,FE!F97,PE!F97)</f>
        <v>0</v>
      </c>
      <c r="G97" s="84">
        <f>SUM(FO!G97,PO!G97,CO!G97,FE!G97,PE!G97)</f>
        <v>0</v>
      </c>
      <c r="H97" s="84">
        <f>SUM(FO!H97,PO!H97,CO!H97,FE!H97,PE!H97)</f>
        <v>0</v>
      </c>
      <c r="I97" s="84">
        <f>SUM(FO!I97,PO!I97,CO!I97,FE!I97,PE!I97)</f>
        <v>0</v>
      </c>
      <c r="J97" s="84">
        <f>SUM(FO!J97,PO!J97,CO!J97,FE!J97,PE!J97)</f>
        <v>0</v>
      </c>
      <c r="K97" s="84">
        <f>SUM(FO!K97,PO!K97,CO!K97,FE!K97,PE!K97)</f>
        <v>0</v>
      </c>
      <c r="L97" s="84">
        <f>SUM(FO!L97,PO!L97,CO!L97,FE!L97,PE!L97)</f>
        <v>0</v>
      </c>
      <c r="M97" s="84">
        <f>SUM(FO!M97,PO!M97,CO!M97,FE!M97,PE!M97)</f>
        <v>0</v>
      </c>
      <c r="N97" s="84">
        <f t="shared" si="49"/>
        <v>0</v>
      </c>
      <c r="O97" s="105">
        <f t="shared" si="50"/>
        <v>0</v>
      </c>
      <c r="P97" s="84"/>
      <c r="Q97" s="84"/>
      <c r="R97" s="84"/>
      <c r="S97" s="84"/>
      <c r="T97" s="84"/>
      <c r="U97" s="84">
        <f>SUM(FO!U97,PO!U97,CO!U97,FE!U97,PE!U97)</f>
        <v>0</v>
      </c>
      <c r="V97" s="84">
        <f>SUM(FO!V97,PO!V97,CO!V97,FE!V97,PE!V97)</f>
        <v>0</v>
      </c>
      <c r="W97" s="84">
        <f>SUM(FO!W97,PO!W97,CO!W97,FE!W97,PE!W97)</f>
        <v>0</v>
      </c>
      <c r="X97" s="84">
        <f>SUM(FO!X97,PO!X97,CO!X97,FE!X97,PE!X97)</f>
        <v>0</v>
      </c>
      <c r="Y97" s="84">
        <f>SUM(FO!Y97,PO!Y97,CO!Y97,FE!Y97,PE!Y97)</f>
        <v>0</v>
      </c>
      <c r="Z97" s="84">
        <f>SUM(FO!Z97,PO!Z97,CO!Z97,FE!Z97,PE!Z97)</f>
        <v>0</v>
      </c>
      <c r="AA97" s="84">
        <f>SUM(FO!AA97,PO!AA97,CO!AA97,FE!AA97,PE!AA97)</f>
        <v>0</v>
      </c>
      <c r="AB97" s="84">
        <f>SUM(FO!AB97,PO!AB97,CO!AB97,FE!AB97,PE!AB97)</f>
        <v>0</v>
      </c>
      <c r="AC97" s="84">
        <f>SUM(FO!AC97,PO!AC97,CO!AC97,FE!AC97,PE!AC97)</f>
        <v>0</v>
      </c>
      <c r="AD97" s="84">
        <f>SUM(FO!AD97,PO!AD97,CO!AD97,FE!AD97,PE!AD97)</f>
        <v>0</v>
      </c>
      <c r="AE97" s="84">
        <f>SUM(FO!AE97,PO!AE97,CO!AE97,FE!AE97,PE!AE97)</f>
        <v>0</v>
      </c>
      <c r="AF97" s="84">
        <f>SUM(FO!AF97,PO!AF97,CO!AF97,FE!AF97,PE!AF97)</f>
        <v>0</v>
      </c>
      <c r="AG97" s="84">
        <f t="shared" si="51"/>
        <v>0</v>
      </c>
      <c r="AH97" s="105" t="str">
        <f t="shared" si="52"/>
        <v/>
      </c>
      <c r="AJ97" s="84">
        <f t="shared" si="53"/>
        <v>0</v>
      </c>
    </row>
    <row r="98" spans="1:36" x14ac:dyDescent="0.3">
      <c r="A98" s="113" t="s">
        <v>184</v>
      </c>
      <c r="B98" s="84">
        <f>SUM(FO!B98,PO!B98,CO!B98,FE!B98,PE!B98)</f>
        <v>0</v>
      </c>
      <c r="C98" s="84">
        <f>SUM(FO!C98,PO!C98,CO!C98,FE!C98,PE!C98)</f>
        <v>0</v>
      </c>
      <c r="D98" s="84">
        <f>SUM(FO!D98,PO!D98,CO!D98,FE!D98,PE!D98)</f>
        <v>0</v>
      </c>
      <c r="E98" s="84">
        <f>SUM(FO!E98,PO!E98,CO!E98,FE!E98,PE!E98)</f>
        <v>0</v>
      </c>
      <c r="F98" s="84">
        <f>SUM(FO!F98,PO!F98,CO!F98,FE!F98,PE!F98)</f>
        <v>0</v>
      </c>
      <c r="G98" s="84">
        <f>SUM(FO!G98,PO!G98,CO!G98,FE!G98,PE!G98)</f>
        <v>0</v>
      </c>
      <c r="H98" s="84">
        <f>SUM(FO!H98,PO!H98,CO!H98,FE!H98,PE!H98)</f>
        <v>0</v>
      </c>
      <c r="I98" s="84">
        <f>SUM(FO!I98,PO!I98,CO!I98,FE!I98,PE!I98)</f>
        <v>0</v>
      </c>
      <c r="J98" s="84">
        <f>SUM(FO!J98,PO!J98,CO!J98,FE!J98,PE!J98)</f>
        <v>630000</v>
      </c>
      <c r="K98" s="84">
        <f>SUM(FO!K98,PO!K98,CO!K98,FE!K98,PE!K98)</f>
        <v>2000</v>
      </c>
      <c r="L98" s="84">
        <f>SUM(FO!L98,PO!L98,CO!L98,FE!L98,PE!L98)</f>
        <v>2000</v>
      </c>
      <c r="M98" s="84">
        <f>SUM(FO!M98,PO!M98,CO!M98,FE!M98,PE!M98)</f>
        <v>2000</v>
      </c>
      <c r="N98" s="84">
        <f t="shared" si="49"/>
        <v>636000</v>
      </c>
      <c r="O98" s="105">
        <f t="shared" si="50"/>
        <v>8.5668801084341439E-2</v>
      </c>
      <c r="P98" s="84"/>
      <c r="Q98" s="84"/>
      <c r="R98" s="84"/>
      <c r="S98" s="84"/>
      <c r="T98" s="84"/>
      <c r="U98" s="84">
        <f>SUM(FO!U98,PO!U98,CO!U98,FE!U98,PE!U98)</f>
        <v>0</v>
      </c>
      <c r="V98" s="84">
        <f>SUM(FO!V98,PO!V98,CO!V98,FE!V98,PE!V98)</f>
        <v>0</v>
      </c>
      <c r="W98" s="84">
        <f>SUM(FO!W98,PO!W98,CO!W98,FE!W98,PE!W98)</f>
        <v>0</v>
      </c>
      <c r="X98" s="84">
        <f>SUM(FO!X98,PO!X98,CO!X98,FE!X98,PE!X98)</f>
        <v>0</v>
      </c>
      <c r="Y98" s="84">
        <f>SUM(FO!Y98,PO!Y98,CO!Y98,FE!Y98,PE!Y98)</f>
        <v>0</v>
      </c>
      <c r="Z98" s="84">
        <f>SUM(FO!Z98,PO!Z98,CO!Z98,FE!Z98,PE!Z98)</f>
        <v>0</v>
      </c>
      <c r="AA98" s="84">
        <f>SUM(FO!AA98,PO!AA98,CO!AA98,FE!AA98,PE!AA98)</f>
        <v>0</v>
      </c>
      <c r="AB98" s="84">
        <f>SUM(FO!AB98,PO!AB98,CO!AB98,FE!AB98,PE!AB98)</f>
        <v>0</v>
      </c>
      <c r="AC98" s="84">
        <f>SUM(FO!AC98,PO!AC98,CO!AC98,FE!AC98,PE!AC98)</f>
        <v>0</v>
      </c>
      <c r="AD98" s="84">
        <f>SUM(FO!AD98,PO!AD98,CO!AD98,FE!AD98,PE!AD98)</f>
        <v>0</v>
      </c>
      <c r="AE98" s="84">
        <f>SUM(FO!AE98,PO!AE98,CO!AE98,FE!AE98,PE!AE98)</f>
        <v>0</v>
      </c>
      <c r="AF98" s="84">
        <f>SUM(FO!AF98,PO!AF98,CO!AF98,FE!AF98,PE!AF98)</f>
        <v>0</v>
      </c>
      <c r="AG98" s="84">
        <f t="shared" si="51"/>
        <v>0</v>
      </c>
      <c r="AH98" s="105" t="str">
        <f t="shared" si="52"/>
        <v/>
      </c>
      <c r="AJ98" s="84">
        <f t="shared" si="53"/>
        <v>636000</v>
      </c>
    </row>
    <row r="99" spans="1:36" x14ac:dyDescent="0.3">
      <c r="A99" s="113" t="s">
        <v>185</v>
      </c>
      <c r="B99" s="84">
        <f>SUM(FO!B99,PO!B99,CO!B99,FE!B99,PE!B99)</f>
        <v>5040.75</v>
      </c>
      <c r="C99" s="84">
        <f>SUM(FO!C99,PO!C99,CO!C99,FE!C99,PE!C99)</f>
        <v>826.9</v>
      </c>
      <c r="D99" s="84">
        <f>SUM(FO!D99,PO!D99,CO!D99,FE!D99,PE!D99)</f>
        <v>303.94</v>
      </c>
      <c r="E99" s="84">
        <f>SUM(FO!E99,PO!E99,CO!E99,FE!E99,PE!E99)</f>
        <v>557.39</v>
      </c>
      <c r="F99" s="84">
        <f>SUM(FO!F99,PO!F99,CO!F99,FE!F99,PE!F99)</f>
        <v>597.79999999999995</v>
      </c>
      <c r="G99" s="84">
        <f>SUM(FO!G99,PO!G99,CO!G99,FE!G99,PE!G99)</f>
        <v>497.39</v>
      </c>
      <c r="H99" s="84">
        <f>SUM(FO!H99,PO!H99,CO!H99,FE!H99,PE!H99)</f>
        <v>573.49</v>
      </c>
      <c r="I99" s="84">
        <f>SUM(FO!I99,PO!I99,CO!I99,FE!I99,PE!I99)</f>
        <v>512.64</v>
      </c>
      <c r="J99" s="84">
        <f>SUM(FO!J99,PO!J99,CO!J99,FE!J99,PE!J99)</f>
        <v>2210</v>
      </c>
      <c r="K99" s="84">
        <f>SUM(FO!K99,PO!K99,CO!K99,FE!K99,PE!K99)</f>
        <v>2210</v>
      </c>
      <c r="L99" s="84">
        <f>SUM(FO!L99,PO!L99,CO!L99,FE!L99,PE!L99)</f>
        <v>2210</v>
      </c>
      <c r="M99" s="84">
        <f>SUM(FO!M99,PO!M99,CO!M99,FE!M99,PE!M99)</f>
        <v>2210</v>
      </c>
      <c r="N99" s="84">
        <f t="shared" si="49"/>
        <v>17750.3</v>
      </c>
      <c r="O99" s="105">
        <f t="shared" si="50"/>
        <v>2.3909542765524934E-3</v>
      </c>
      <c r="P99" s="84"/>
      <c r="Q99" s="84"/>
      <c r="R99" s="84"/>
      <c r="S99" s="84"/>
      <c r="T99" s="84"/>
      <c r="U99" s="84">
        <f>SUM(FO!U99,PO!U99,CO!U99,FE!U99,PE!U99)</f>
        <v>0</v>
      </c>
      <c r="V99" s="84">
        <f>SUM(FO!V99,PO!V99,CO!V99,FE!V99,PE!V99)</f>
        <v>0</v>
      </c>
      <c r="W99" s="84">
        <f>SUM(FO!W99,PO!W99,CO!W99,FE!W99,PE!W99)</f>
        <v>0</v>
      </c>
      <c r="X99" s="84">
        <f>SUM(FO!X99,PO!X99,CO!X99,FE!X99,PE!X99)</f>
        <v>0</v>
      </c>
      <c r="Y99" s="84">
        <f>SUM(FO!Y99,PO!Y99,CO!Y99,FE!Y99,PE!Y99)</f>
        <v>0</v>
      </c>
      <c r="Z99" s="84">
        <f>SUM(FO!Z99,PO!Z99,CO!Z99,FE!Z99,PE!Z99)</f>
        <v>0</v>
      </c>
      <c r="AA99" s="84">
        <f>SUM(FO!AA99,PO!AA99,CO!AA99,FE!AA99,PE!AA99)</f>
        <v>0</v>
      </c>
      <c r="AB99" s="84">
        <f>SUM(FO!AB99,PO!AB99,CO!AB99,FE!AB99,PE!AB99)</f>
        <v>0</v>
      </c>
      <c r="AC99" s="84">
        <f>SUM(FO!AC99,PO!AC99,CO!AC99,FE!AC99,PE!AC99)</f>
        <v>0</v>
      </c>
      <c r="AD99" s="84">
        <f>SUM(FO!AD99,PO!AD99,CO!AD99,FE!AD99,PE!AD99)</f>
        <v>0</v>
      </c>
      <c r="AE99" s="84">
        <f>SUM(FO!AE99,PO!AE99,CO!AE99,FE!AE99,PE!AE99)</f>
        <v>0</v>
      </c>
      <c r="AF99" s="84">
        <f>SUM(FO!AF99,PO!AF99,CO!AF99,FE!AF99,PE!AF99)</f>
        <v>0</v>
      </c>
      <c r="AG99" s="84">
        <f t="shared" si="51"/>
        <v>0</v>
      </c>
      <c r="AH99" s="105" t="str">
        <f t="shared" si="52"/>
        <v/>
      </c>
      <c r="AJ99" s="84">
        <f t="shared" si="53"/>
        <v>17750.3</v>
      </c>
    </row>
    <row r="100" spans="1:36" x14ac:dyDescent="0.3">
      <c r="A100" s="113" t="s">
        <v>186</v>
      </c>
      <c r="B100" s="84">
        <f>SUM(FO!B100,PO!B100,CO!B100,FE!B100,PE!B100)</f>
        <v>0</v>
      </c>
      <c r="C100" s="84">
        <f>SUM(FO!C100,PO!C100,CO!C100,FE!C100,PE!C100)</f>
        <v>0</v>
      </c>
      <c r="D100" s="84">
        <f>SUM(FO!D100,PO!D100,CO!D100,FE!D100,PE!D100)</f>
        <v>930</v>
      </c>
      <c r="E100" s="84">
        <f>SUM(FO!E100,PO!E100,CO!E100,FE!E100,PE!E100)</f>
        <v>450</v>
      </c>
      <c r="F100" s="84">
        <f>SUM(FO!F100,PO!F100,CO!F100,FE!F100,PE!F100)</f>
        <v>450</v>
      </c>
      <c r="G100" s="84">
        <f>SUM(FO!G100,PO!G100,CO!G100,FE!G100,PE!G100)</f>
        <v>450</v>
      </c>
      <c r="H100" s="84">
        <f>SUM(FO!H100,PO!H100,CO!H100,FE!H100,PE!H100)</f>
        <v>450</v>
      </c>
      <c r="I100" s="84">
        <f>SUM(FO!I100,PO!I100,CO!I100,FE!I100,PE!I100)</f>
        <v>450</v>
      </c>
      <c r="J100" s="84">
        <f>SUM(FO!J100,PO!J100,CO!J100,FE!J100,PE!J100)</f>
        <v>450</v>
      </c>
      <c r="K100" s="84">
        <f>SUM(FO!K100,PO!K100,CO!K100,FE!K100,PE!K100)</f>
        <v>450</v>
      </c>
      <c r="L100" s="84">
        <f>SUM(FO!L100,PO!L100,CO!L100,FE!L100,PE!L100)</f>
        <v>450</v>
      </c>
      <c r="M100" s="84">
        <f>SUM(FO!M100,PO!M100,CO!M100,FE!M100,PE!M100)</f>
        <v>450</v>
      </c>
      <c r="N100" s="84">
        <f t="shared" si="49"/>
        <v>4980</v>
      </c>
      <c r="O100" s="105">
        <f t="shared" si="50"/>
        <v>6.7080287641512631E-4</v>
      </c>
      <c r="P100" s="84"/>
      <c r="Q100" s="84"/>
      <c r="R100" s="84"/>
      <c r="S100" s="84"/>
      <c r="T100" s="84"/>
      <c r="U100" s="84">
        <f>SUM(FO!U100,PO!U100,CO!U100,FE!U100,PE!U100)</f>
        <v>0</v>
      </c>
      <c r="V100" s="84">
        <f>SUM(FO!V100,PO!V100,CO!V100,FE!V100,PE!V100)</f>
        <v>0</v>
      </c>
      <c r="W100" s="84">
        <f>SUM(FO!W100,PO!W100,CO!W100,FE!W100,PE!W100)</f>
        <v>0</v>
      </c>
      <c r="X100" s="84">
        <f>SUM(FO!X100,PO!X100,CO!X100,FE!X100,PE!X100)</f>
        <v>0</v>
      </c>
      <c r="Y100" s="84">
        <f>SUM(FO!Y100,PO!Y100,CO!Y100,FE!Y100,PE!Y100)</f>
        <v>0</v>
      </c>
      <c r="Z100" s="84">
        <f>SUM(FO!Z100,PO!Z100,CO!Z100,FE!Z100,PE!Z100)</f>
        <v>0</v>
      </c>
      <c r="AA100" s="84">
        <f>SUM(FO!AA100,PO!AA100,CO!AA100,FE!AA100,PE!AA100)</f>
        <v>0</v>
      </c>
      <c r="AB100" s="84">
        <f>SUM(FO!AB100,PO!AB100,CO!AB100,FE!AB100,PE!AB100)</f>
        <v>0</v>
      </c>
      <c r="AC100" s="84">
        <f>SUM(FO!AC100,PO!AC100,CO!AC100,FE!AC100,PE!AC100)</f>
        <v>0</v>
      </c>
      <c r="AD100" s="84">
        <f>SUM(FO!AD100,PO!AD100,CO!AD100,FE!AD100,PE!AD100)</f>
        <v>0</v>
      </c>
      <c r="AE100" s="84">
        <f>SUM(FO!AE100,PO!AE100,CO!AE100,FE!AE100,PE!AE100)</f>
        <v>0</v>
      </c>
      <c r="AF100" s="84">
        <f>SUM(FO!AF100,PO!AF100,CO!AF100,FE!AF100,PE!AF100)</f>
        <v>0</v>
      </c>
      <c r="AG100" s="84">
        <f t="shared" si="51"/>
        <v>0</v>
      </c>
      <c r="AH100" s="105" t="str">
        <f t="shared" si="52"/>
        <v/>
      </c>
      <c r="AJ100" s="84">
        <f t="shared" si="53"/>
        <v>4980</v>
      </c>
    </row>
    <row r="101" spans="1:36" x14ac:dyDescent="0.3">
      <c r="A101" s="113" t="s">
        <v>187</v>
      </c>
      <c r="B101" s="84">
        <f>SUM(FO!B101,PO!B101,CO!B101,FE!B101,PE!B101)</f>
        <v>2546.6999999999998</v>
      </c>
      <c r="C101" s="84">
        <f>SUM(FO!C101,PO!C101,CO!C101,FE!C101,PE!C101)</f>
        <v>1667.4</v>
      </c>
      <c r="D101" s="84">
        <f>SUM(FO!D101,PO!D101,CO!D101,FE!D101,PE!D101)</f>
        <v>2572.8599999999997</v>
      </c>
      <c r="E101" s="84">
        <f>SUM(FO!E101,PO!E101,CO!E101,FE!E101,PE!E101)</f>
        <v>2170.39</v>
      </c>
      <c r="F101" s="84">
        <f>SUM(FO!F101,PO!F101,CO!F101,FE!F101,PE!F101)</f>
        <v>2114.52</v>
      </c>
      <c r="G101" s="84">
        <f>SUM(FO!G101,PO!G101,CO!G101,FE!G101,PE!G101)</f>
        <v>2730.36</v>
      </c>
      <c r="H101" s="84">
        <f>SUM(FO!H101,PO!H101,CO!H101,FE!H101,PE!H101)</f>
        <v>2114.5100000000002</v>
      </c>
      <c r="I101" s="84">
        <f>SUM(FO!I101,PO!I101,CO!I101,FE!I101,PE!I101)</f>
        <v>0</v>
      </c>
      <c r="J101" s="84">
        <f>SUM(FO!J101,PO!J101,CO!J101,FE!J101,PE!J101)</f>
        <v>2200</v>
      </c>
      <c r="K101" s="84">
        <f>SUM(FO!K101,PO!K101,CO!K101,FE!K101,PE!K101)</f>
        <v>2200</v>
      </c>
      <c r="L101" s="84">
        <f>SUM(FO!L101,PO!L101,CO!L101,FE!L101,PE!L101)</f>
        <v>2200</v>
      </c>
      <c r="M101" s="84">
        <f>SUM(FO!M101,PO!M101,CO!M101,FE!M101,PE!M101)</f>
        <v>2200</v>
      </c>
      <c r="N101" s="84">
        <f t="shared" si="49"/>
        <v>24716.74</v>
      </c>
      <c r="O101" s="105">
        <f t="shared" si="50"/>
        <v>3.3293293750210466E-3</v>
      </c>
      <c r="P101" s="84"/>
      <c r="Q101" s="84"/>
      <c r="R101" s="84"/>
      <c r="S101" s="84"/>
      <c r="T101" s="84"/>
      <c r="U101" s="84">
        <f>SUM(FO!U101,PO!U101,CO!U101,FE!U101,PE!U101)</f>
        <v>0</v>
      </c>
      <c r="V101" s="84">
        <f>SUM(FO!V101,PO!V101,CO!V101,FE!V101,PE!V101)</f>
        <v>0</v>
      </c>
      <c r="W101" s="84">
        <f>SUM(FO!W101,PO!W101,CO!W101,FE!W101,PE!W101)</f>
        <v>0</v>
      </c>
      <c r="X101" s="84">
        <f>SUM(FO!X101,PO!X101,CO!X101,FE!X101,PE!X101)</f>
        <v>0</v>
      </c>
      <c r="Y101" s="84">
        <f>SUM(FO!Y101,PO!Y101,CO!Y101,FE!Y101,PE!Y101)</f>
        <v>0</v>
      </c>
      <c r="Z101" s="84">
        <f>SUM(FO!Z101,PO!Z101,CO!Z101,FE!Z101,PE!Z101)</f>
        <v>0</v>
      </c>
      <c r="AA101" s="84">
        <f>SUM(FO!AA101,PO!AA101,CO!AA101,FE!AA101,PE!AA101)</f>
        <v>0</v>
      </c>
      <c r="AB101" s="84">
        <f>SUM(FO!AB101,PO!AB101,CO!AB101,FE!AB101,PE!AB101)</f>
        <v>0</v>
      </c>
      <c r="AC101" s="84">
        <f>SUM(FO!AC101,PO!AC101,CO!AC101,FE!AC101,PE!AC101)</f>
        <v>0</v>
      </c>
      <c r="AD101" s="84">
        <f>SUM(FO!AD101,PO!AD101,CO!AD101,FE!AD101,PE!AD101)</f>
        <v>0</v>
      </c>
      <c r="AE101" s="84">
        <f>SUM(FO!AE101,PO!AE101,CO!AE101,FE!AE101,PE!AE101)</f>
        <v>0</v>
      </c>
      <c r="AF101" s="84">
        <f>SUM(FO!AF101,PO!AF101,CO!AF101,FE!AF101,PE!AF101)</f>
        <v>0</v>
      </c>
      <c r="AG101" s="84">
        <f t="shared" si="51"/>
        <v>0</v>
      </c>
      <c r="AH101" s="105" t="str">
        <f t="shared" si="52"/>
        <v/>
      </c>
      <c r="AJ101" s="84">
        <f t="shared" si="53"/>
        <v>24716.74</v>
      </c>
    </row>
    <row r="102" spans="1:36" x14ac:dyDescent="0.3">
      <c r="A102" s="113" t="s">
        <v>188</v>
      </c>
      <c r="B102" s="84">
        <f>SUM(FO!B102,PO!B102,CO!B102,FE!B102,PE!B102)</f>
        <v>0</v>
      </c>
      <c r="C102" s="84">
        <f>SUM(FO!C102,PO!C102,CO!C102,FE!C102,PE!C102)</f>
        <v>270.15999999999997</v>
      </c>
      <c r="D102" s="84">
        <f>SUM(FO!D102,PO!D102,CO!D102,FE!D102,PE!D102)</f>
        <v>0</v>
      </c>
      <c r="E102" s="84">
        <f>SUM(FO!E102,PO!E102,CO!E102,FE!E102,PE!E102)</f>
        <v>36.200000000000003</v>
      </c>
      <c r="F102" s="84">
        <f>SUM(FO!F102,PO!F102,CO!F102,FE!F102,PE!F102)</f>
        <v>21.59</v>
      </c>
      <c r="G102" s="84">
        <f>SUM(FO!G102,PO!G102,CO!G102,FE!G102,PE!G102)</f>
        <v>10.06</v>
      </c>
      <c r="H102" s="84">
        <f>SUM(FO!H102,PO!H102,CO!H102,FE!H102,PE!H102)</f>
        <v>0</v>
      </c>
      <c r="I102" s="84">
        <f>SUM(FO!I102,PO!I102,CO!I102,FE!I102,PE!I102)</f>
        <v>238.27</v>
      </c>
      <c r="J102" s="84">
        <f>SUM(FO!J102,PO!J102,CO!J102,FE!J102,PE!J102)</f>
        <v>50</v>
      </c>
      <c r="K102" s="84">
        <f>SUM(FO!K102,PO!K102,CO!K102,FE!K102,PE!K102)</f>
        <v>50</v>
      </c>
      <c r="L102" s="84">
        <f>SUM(FO!L102,PO!L102,CO!L102,FE!L102,PE!L102)</f>
        <v>50</v>
      </c>
      <c r="M102" s="84">
        <f>SUM(FO!M102,PO!M102,CO!M102,FE!M102,PE!M102)</f>
        <v>50</v>
      </c>
      <c r="N102" s="84">
        <f t="shared" si="49"/>
        <v>776.28</v>
      </c>
      <c r="O102" s="105">
        <f t="shared" si="50"/>
        <v>1.0456442909709524E-4</v>
      </c>
      <c r="P102" s="84"/>
      <c r="Q102" s="84"/>
      <c r="R102" s="84"/>
      <c r="S102" s="84"/>
      <c r="T102" s="84"/>
      <c r="U102" s="84">
        <f>SUM(FO!U102,PO!U102,CO!U102,FE!U102,PE!U102)</f>
        <v>0</v>
      </c>
      <c r="V102" s="84">
        <f>SUM(FO!V102,PO!V102,CO!V102,FE!V102,PE!V102)</f>
        <v>0</v>
      </c>
      <c r="W102" s="84">
        <f>SUM(FO!W102,PO!W102,CO!W102,FE!W102,PE!W102)</f>
        <v>0</v>
      </c>
      <c r="X102" s="84">
        <f>SUM(FO!X102,PO!X102,CO!X102,FE!X102,PE!X102)</f>
        <v>0</v>
      </c>
      <c r="Y102" s="84">
        <f>SUM(FO!Y102,PO!Y102,CO!Y102,FE!Y102,PE!Y102)</f>
        <v>0</v>
      </c>
      <c r="Z102" s="84">
        <f>SUM(FO!Z102,PO!Z102,CO!Z102,FE!Z102,PE!Z102)</f>
        <v>0</v>
      </c>
      <c r="AA102" s="84">
        <f>SUM(FO!AA102,PO!AA102,CO!AA102,FE!AA102,PE!AA102)</f>
        <v>0</v>
      </c>
      <c r="AB102" s="84">
        <f>SUM(FO!AB102,PO!AB102,CO!AB102,FE!AB102,PE!AB102)</f>
        <v>0</v>
      </c>
      <c r="AC102" s="84">
        <f>SUM(FO!AC102,PO!AC102,CO!AC102,FE!AC102,PE!AC102)</f>
        <v>0</v>
      </c>
      <c r="AD102" s="84">
        <f>SUM(FO!AD102,PO!AD102,CO!AD102,FE!AD102,PE!AD102)</f>
        <v>0</v>
      </c>
      <c r="AE102" s="84">
        <f>SUM(FO!AE102,PO!AE102,CO!AE102,FE!AE102,PE!AE102)</f>
        <v>0</v>
      </c>
      <c r="AF102" s="84">
        <f>SUM(FO!AF102,PO!AF102,CO!AF102,FE!AF102,PE!AF102)</f>
        <v>0</v>
      </c>
      <c r="AG102" s="84">
        <f t="shared" si="51"/>
        <v>0</v>
      </c>
      <c r="AH102" s="105" t="str">
        <f t="shared" si="52"/>
        <v/>
      </c>
      <c r="AJ102" s="84">
        <f t="shared" si="53"/>
        <v>776.28</v>
      </c>
    </row>
    <row r="103" spans="1:36" x14ac:dyDescent="0.3">
      <c r="A103" s="113" t="s">
        <v>189</v>
      </c>
      <c r="B103" s="84">
        <f>SUM(FO!B103,PO!B103,CO!B103,FE!B103,PE!B103)</f>
        <v>0</v>
      </c>
      <c r="C103" s="84">
        <f>SUM(FO!C103,PO!C103,CO!C103,FE!C103,PE!C103)</f>
        <v>0</v>
      </c>
      <c r="D103" s="84">
        <f>SUM(FO!D103,PO!D103,CO!D103,FE!D103,PE!D103)</f>
        <v>0</v>
      </c>
      <c r="E103" s="84">
        <f>SUM(FO!E103,PO!E103,CO!E103,FE!E103,PE!E103)</f>
        <v>0</v>
      </c>
      <c r="F103" s="84">
        <f>SUM(FO!F103,PO!F103,CO!F103,FE!F103,PE!F103)</f>
        <v>0</v>
      </c>
      <c r="G103" s="84">
        <f>SUM(FO!G103,PO!G103,CO!G103,FE!G103,PE!G103)</f>
        <v>0</v>
      </c>
      <c r="H103" s="84">
        <f>SUM(FO!H103,PO!H103,CO!H103,FE!H103,PE!H103)</f>
        <v>0</v>
      </c>
      <c r="I103" s="84">
        <f>SUM(FO!I103,PO!I103,CO!I103,FE!I103,PE!I103)</f>
        <v>0</v>
      </c>
      <c r="J103" s="84">
        <f>SUM(FO!J103,PO!J103,CO!J103,FE!J103,PE!J103)</f>
        <v>0</v>
      </c>
      <c r="K103" s="84">
        <f>SUM(FO!K103,PO!K103,CO!K103,FE!K103,PE!K103)</f>
        <v>0</v>
      </c>
      <c r="L103" s="84">
        <f>SUM(FO!L103,PO!L103,CO!L103,FE!L103,PE!L103)</f>
        <v>0</v>
      </c>
      <c r="M103" s="84">
        <f>SUM(FO!M103,PO!M103,CO!M103,FE!M103,PE!M103)</f>
        <v>0</v>
      </c>
      <c r="N103" s="84">
        <f t="shared" si="49"/>
        <v>0</v>
      </c>
      <c r="O103" s="105">
        <f t="shared" si="50"/>
        <v>0</v>
      </c>
      <c r="P103" s="84"/>
      <c r="Q103" s="84"/>
      <c r="R103" s="84"/>
      <c r="S103" s="84"/>
      <c r="T103" s="84"/>
      <c r="U103" s="84">
        <f>SUM(FO!U103,PO!U103,CO!U103,FE!U103,PE!U103)</f>
        <v>0</v>
      </c>
      <c r="V103" s="84">
        <f>SUM(FO!V103,PO!V103,CO!V103,FE!V103,PE!V103)</f>
        <v>0</v>
      </c>
      <c r="W103" s="84">
        <f>SUM(FO!W103,PO!W103,CO!W103,FE!W103,PE!W103)</f>
        <v>0</v>
      </c>
      <c r="X103" s="84">
        <f>SUM(FO!X103,PO!X103,CO!X103,FE!X103,PE!X103)</f>
        <v>0</v>
      </c>
      <c r="Y103" s="84">
        <f>SUM(FO!Y103,PO!Y103,CO!Y103,FE!Y103,PE!Y103)</f>
        <v>0</v>
      </c>
      <c r="Z103" s="84">
        <f>SUM(FO!Z103,PO!Z103,CO!Z103,FE!Z103,PE!Z103)</f>
        <v>0</v>
      </c>
      <c r="AA103" s="84">
        <f>SUM(FO!AA103,PO!AA103,CO!AA103,FE!AA103,PE!AA103)</f>
        <v>0</v>
      </c>
      <c r="AB103" s="84">
        <f>SUM(FO!AB103,PO!AB103,CO!AB103,FE!AB103,PE!AB103)</f>
        <v>0</v>
      </c>
      <c r="AC103" s="84">
        <f>SUM(FO!AC103,PO!AC103,CO!AC103,FE!AC103,PE!AC103)</f>
        <v>0</v>
      </c>
      <c r="AD103" s="84">
        <f>SUM(FO!AD103,PO!AD103,CO!AD103,FE!AD103,PE!AD103)</f>
        <v>0</v>
      </c>
      <c r="AE103" s="84">
        <f>SUM(FO!AE103,PO!AE103,CO!AE103,FE!AE103,PE!AE103)</f>
        <v>0</v>
      </c>
      <c r="AF103" s="84">
        <f>SUM(FO!AF103,PO!AF103,CO!AF103,FE!AF103,PE!AF103)</f>
        <v>0</v>
      </c>
      <c r="AG103" s="84">
        <f t="shared" si="51"/>
        <v>0</v>
      </c>
      <c r="AH103" s="105" t="str">
        <f t="shared" si="52"/>
        <v/>
      </c>
      <c r="AJ103" s="84">
        <f t="shared" si="53"/>
        <v>0</v>
      </c>
    </row>
    <row r="104" spans="1:36" x14ac:dyDescent="0.3">
      <c r="A104" s="113" t="s">
        <v>190</v>
      </c>
      <c r="B104" s="84">
        <f>SUM(FO!B104,PO!B104,CO!B104,FE!B104,PE!B104)</f>
        <v>0</v>
      </c>
      <c r="C104" s="84">
        <f>SUM(FO!C104,PO!C104,CO!C104,FE!C104,PE!C104)</f>
        <v>0</v>
      </c>
      <c r="D104" s="84">
        <f>SUM(FO!D104,PO!D104,CO!D104,FE!D104,PE!D104)</f>
        <v>0</v>
      </c>
      <c r="E104" s="84">
        <f>SUM(FO!E104,PO!E104,CO!E104,FE!E104,PE!E104)</f>
        <v>2070.0500000000002</v>
      </c>
      <c r="F104" s="84">
        <f>SUM(FO!F104,PO!F104,CO!F104,FE!F104,PE!F104)</f>
        <v>0</v>
      </c>
      <c r="G104" s="84">
        <f>SUM(FO!G104,PO!G104,CO!G104,FE!G104,PE!G104)</f>
        <v>676.49</v>
      </c>
      <c r="H104" s="84">
        <f>SUM(FO!H104,PO!H104,CO!H104,FE!H104,PE!H104)</f>
        <v>0</v>
      </c>
      <c r="I104" s="84">
        <f>SUM(FO!I104,PO!I104,CO!I104,FE!I104,PE!I104)</f>
        <v>0</v>
      </c>
      <c r="J104" s="84">
        <f>SUM(FO!J104,PO!J104,CO!J104,FE!J104,PE!J104)</f>
        <v>0</v>
      </c>
      <c r="K104" s="84">
        <f>SUM(FO!K104,PO!K104,CO!K104,FE!K104,PE!K104)</f>
        <v>0</v>
      </c>
      <c r="L104" s="84">
        <f>SUM(FO!L104,PO!L104,CO!L104,FE!L104,PE!L104)</f>
        <v>0</v>
      </c>
      <c r="M104" s="84">
        <f>SUM(FO!M104,PO!M104,CO!M104,FE!M104,PE!M104)</f>
        <v>0</v>
      </c>
      <c r="N104" s="84">
        <f t="shared" si="49"/>
        <v>2746.54</v>
      </c>
      <c r="O104" s="105">
        <f t="shared" si="50"/>
        <v>3.6995721529903638E-4</v>
      </c>
      <c r="P104" s="84"/>
      <c r="Q104" s="84"/>
      <c r="R104" s="84"/>
      <c r="S104" s="84"/>
      <c r="T104" s="84"/>
      <c r="U104" s="84">
        <f>SUM(FO!U104,PO!U104,CO!U104,FE!U104,PE!U104)</f>
        <v>0</v>
      </c>
      <c r="V104" s="84">
        <f>SUM(FO!V104,PO!V104,CO!V104,FE!V104,PE!V104)</f>
        <v>0</v>
      </c>
      <c r="W104" s="84">
        <f>SUM(FO!W104,PO!W104,CO!W104,FE!W104,PE!W104)</f>
        <v>0</v>
      </c>
      <c r="X104" s="84">
        <f>SUM(FO!X104,PO!X104,CO!X104,FE!X104,PE!X104)</f>
        <v>0</v>
      </c>
      <c r="Y104" s="84">
        <f>SUM(FO!Y104,PO!Y104,CO!Y104,FE!Y104,PE!Y104)</f>
        <v>0</v>
      </c>
      <c r="Z104" s="84">
        <f>SUM(FO!Z104,PO!Z104,CO!Z104,FE!Z104,PE!Z104)</f>
        <v>0</v>
      </c>
      <c r="AA104" s="84">
        <f>SUM(FO!AA104,PO!AA104,CO!AA104,FE!AA104,PE!AA104)</f>
        <v>0</v>
      </c>
      <c r="AB104" s="84">
        <f>SUM(FO!AB104,PO!AB104,CO!AB104,FE!AB104,PE!AB104)</f>
        <v>0</v>
      </c>
      <c r="AC104" s="84">
        <f>SUM(FO!AC104,PO!AC104,CO!AC104,FE!AC104,PE!AC104)</f>
        <v>0</v>
      </c>
      <c r="AD104" s="84">
        <f>SUM(FO!AD104,PO!AD104,CO!AD104,FE!AD104,PE!AD104)</f>
        <v>0</v>
      </c>
      <c r="AE104" s="84">
        <f>SUM(FO!AE104,PO!AE104,CO!AE104,FE!AE104,PE!AE104)</f>
        <v>0</v>
      </c>
      <c r="AF104" s="84">
        <f>SUM(FO!AF104,PO!AF104,CO!AF104,FE!AF104,PE!AF104)</f>
        <v>0</v>
      </c>
      <c r="AG104" s="84">
        <f t="shared" si="51"/>
        <v>0</v>
      </c>
      <c r="AH104" s="105" t="str">
        <f t="shared" si="52"/>
        <v/>
      </c>
      <c r="AJ104" s="84">
        <f t="shared" si="53"/>
        <v>2746.54</v>
      </c>
    </row>
    <row r="105" spans="1:36" x14ac:dyDescent="0.3">
      <c r="A105" s="113" t="s">
        <v>191</v>
      </c>
      <c r="B105" s="84">
        <f>SUM(FO!B105,PO!B105,CO!B105,FE!B105,PE!B105)</f>
        <v>0</v>
      </c>
      <c r="C105" s="84">
        <f>SUM(FO!C105,PO!C105,CO!C105,FE!C105,PE!C105)</f>
        <v>0</v>
      </c>
      <c r="D105" s="84">
        <f>SUM(FO!D105,PO!D105,CO!D105,FE!D105,PE!D105)</f>
        <v>0</v>
      </c>
      <c r="E105" s="84">
        <f>SUM(FO!E105,PO!E105,CO!E105,FE!E105,PE!E105)</f>
        <v>0</v>
      </c>
      <c r="F105" s="84">
        <f>SUM(FO!F105,PO!F105,CO!F105,FE!F105,PE!F105)</f>
        <v>0</v>
      </c>
      <c r="G105" s="84">
        <f>SUM(FO!G105,PO!G105,CO!G105,FE!G105,PE!G105)</f>
        <v>0</v>
      </c>
      <c r="H105" s="84">
        <f>SUM(FO!H105,PO!H105,CO!H105,FE!H105,PE!H105)</f>
        <v>0</v>
      </c>
      <c r="I105" s="84">
        <f>SUM(FO!I105,PO!I105,CO!I105,FE!I105,PE!I105)</f>
        <v>0</v>
      </c>
      <c r="J105" s="84">
        <f>SUM(FO!J105,PO!J105,CO!J105,FE!J105,PE!J105)</f>
        <v>0</v>
      </c>
      <c r="K105" s="84">
        <f>SUM(FO!K105,PO!K105,CO!K105,FE!K105,PE!K105)</f>
        <v>0</v>
      </c>
      <c r="L105" s="84">
        <f>SUM(FO!L105,PO!L105,CO!L105,FE!L105,PE!L105)</f>
        <v>0</v>
      </c>
      <c r="M105" s="84">
        <f>SUM(FO!M105,PO!M105,CO!M105,FE!M105,PE!M105)</f>
        <v>0</v>
      </c>
      <c r="N105" s="84">
        <f t="shared" si="49"/>
        <v>0</v>
      </c>
      <c r="O105" s="105">
        <f t="shared" si="50"/>
        <v>0</v>
      </c>
      <c r="P105" s="84"/>
      <c r="Q105" s="84"/>
      <c r="R105" s="84"/>
      <c r="S105" s="84"/>
      <c r="T105" s="84"/>
      <c r="U105" s="84">
        <f>SUM(FO!U105,PO!U105,CO!U105,FE!U105,PE!U105)</f>
        <v>0</v>
      </c>
      <c r="V105" s="84">
        <f>SUM(FO!V105,PO!V105,CO!V105,FE!V105,PE!V105)</f>
        <v>0</v>
      </c>
      <c r="W105" s="84">
        <f>SUM(FO!W105,PO!W105,CO!W105,FE!W105,PE!W105)</f>
        <v>0</v>
      </c>
      <c r="X105" s="84">
        <f>SUM(FO!X105,PO!X105,CO!X105,FE!X105,PE!X105)</f>
        <v>0</v>
      </c>
      <c r="Y105" s="84">
        <f>SUM(FO!Y105,PO!Y105,CO!Y105,FE!Y105,PE!Y105)</f>
        <v>0</v>
      </c>
      <c r="Z105" s="84">
        <f>SUM(FO!Z105,PO!Z105,CO!Z105,FE!Z105,PE!Z105)</f>
        <v>0</v>
      </c>
      <c r="AA105" s="84">
        <f>SUM(FO!AA105,PO!AA105,CO!AA105,FE!AA105,PE!AA105)</f>
        <v>0</v>
      </c>
      <c r="AB105" s="84">
        <f>SUM(FO!AB105,PO!AB105,CO!AB105,FE!AB105,PE!AB105)</f>
        <v>0</v>
      </c>
      <c r="AC105" s="84">
        <f>SUM(FO!AC105,PO!AC105,CO!AC105,FE!AC105,PE!AC105)</f>
        <v>0</v>
      </c>
      <c r="AD105" s="84">
        <f>SUM(FO!AD105,PO!AD105,CO!AD105,FE!AD105,PE!AD105)</f>
        <v>0</v>
      </c>
      <c r="AE105" s="84">
        <f>SUM(FO!AE105,PO!AE105,CO!AE105,FE!AE105,PE!AE105)</f>
        <v>0</v>
      </c>
      <c r="AF105" s="84">
        <f>SUM(FO!AF105,PO!AF105,CO!AF105,FE!AF105,PE!AF105)</f>
        <v>0</v>
      </c>
      <c r="AG105" s="84">
        <f t="shared" si="51"/>
        <v>0</v>
      </c>
      <c r="AH105" s="105" t="str">
        <f t="shared" si="52"/>
        <v/>
      </c>
      <c r="AJ105" s="84">
        <f t="shared" si="53"/>
        <v>0</v>
      </c>
    </row>
    <row r="106" spans="1:36" x14ac:dyDescent="0.3">
      <c r="A106" s="113" t="s">
        <v>192</v>
      </c>
      <c r="B106" s="84">
        <f>SUM(FO!B106,PO!B106,CO!B106,FE!B106,PE!B106)</f>
        <v>2271</v>
      </c>
      <c r="C106" s="84">
        <f>SUM(FO!C106,PO!C106,CO!C106,FE!C106,PE!C106)</f>
        <v>10588.349999999999</v>
      </c>
      <c r="D106" s="84">
        <f>SUM(FO!D106,PO!D106,CO!D106,FE!D106,PE!D106)</f>
        <v>4997.13</v>
      </c>
      <c r="E106" s="84">
        <f>SUM(FO!E106,PO!E106,CO!E106,FE!E106,PE!E106)</f>
        <v>6587.7599999999993</v>
      </c>
      <c r="F106" s="84">
        <f>SUM(FO!F106,PO!F106,CO!F106,FE!F106,PE!F106)</f>
        <v>526.41999999999996</v>
      </c>
      <c r="G106" s="84">
        <f>SUM(FO!G106,PO!G106,CO!G106,FE!G106,PE!G106)</f>
        <v>0</v>
      </c>
      <c r="H106" s="84">
        <f>SUM(FO!H106,PO!H106,CO!H106,FE!H106,PE!H106)</f>
        <v>150</v>
      </c>
      <c r="I106" s="84">
        <f>SUM(FO!I106,PO!I106,CO!I106,FE!I106,PE!I106)</f>
        <v>2590.92</v>
      </c>
      <c r="J106" s="84">
        <f>SUM(FO!J106,PO!J106,CO!J106,FE!J106,PE!J106)</f>
        <v>4000</v>
      </c>
      <c r="K106" s="84">
        <f>SUM(FO!K106,PO!K106,CO!K106,FE!K106,PE!K106)</f>
        <v>6500</v>
      </c>
      <c r="L106" s="84">
        <f>SUM(FO!L106,PO!L106,CO!L106,FE!L106,PE!L106)</f>
        <v>6500</v>
      </c>
      <c r="M106" s="84">
        <f>SUM(FO!M106,PO!M106,CO!M106,FE!M106,PE!M106)</f>
        <v>6500</v>
      </c>
      <c r="N106" s="84">
        <f t="shared" si="49"/>
        <v>51211.579999999994</v>
      </c>
      <c r="O106" s="105">
        <f t="shared" si="50"/>
        <v>6.8981677047717576E-3</v>
      </c>
      <c r="P106" s="84"/>
      <c r="Q106" s="84"/>
      <c r="R106" s="84"/>
      <c r="S106" s="84"/>
      <c r="T106" s="84"/>
      <c r="U106" s="84">
        <f>SUM(FO!U106,PO!U106,CO!U106,FE!U106,PE!U106)</f>
        <v>0</v>
      </c>
      <c r="V106" s="84">
        <f>SUM(FO!V106,PO!V106,CO!V106,FE!V106,PE!V106)</f>
        <v>0</v>
      </c>
      <c r="W106" s="84">
        <f>SUM(FO!W106,PO!W106,CO!W106,FE!W106,PE!W106)</f>
        <v>0</v>
      </c>
      <c r="X106" s="84">
        <f>SUM(FO!X106,PO!X106,CO!X106,FE!X106,PE!X106)</f>
        <v>0</v>
      </c>
      <c r="Y106" s="84">
        <f>SUM(FO!Y106,PO!Y106,CO!Y106,FE!Y106,PE!Y106)</f>
        <v>0</v>
      </c>
      <c r="Z106" s="84">
        <f>SUM(FO!Z106,PO!Z106,CO!Z106,FE!Z106,PE!Z106)</f>
        <v>0</v>
      </c>
      <c r="AA106" s="84">
        <f>SUM(FO!AA106,PO!AA106,CO!AA106,FE!AA106,PE!AA106)</f>
        <v>0</v>
      </c>
      <c r="AB106" s="84">
        <f>SUM(FO!AB106,PO!AB106,CO!AB106,FE!AB106,PE!AB106)</f>
        <v>0</v>
      </c>
      <c r="AC106" s="84">
        <f>SUM(FO!AC106,PO!AC106,CO!AC106,FE!AC106,PE!AC106)</f>
        <v>0</v>
      </c>
      <c r="AD106" s="84">
        <f>SUM(FO!AD106,PO!AD106,CO!AD106,FE!AD106,PE!AD106)</f>
        <v>0</v>
      </c>
      <c r="AE106" s="84">
        <f>SUM(FO!AE106,PO!AE106,CO!AE106,FE!AE106,PE!AE106)</f>
        <v>0</v>
      </c>
      <c r="AF106" s="84">
        <f>SUM(FO!AF106,PO!AF106,CO!AF106,FE!AF106,PE!AF106)</f>
        <v>0</v>
      </c>
      <c r="AG106" s="84">
        <f t="shared" si="51"/>
        <v>0</v>
      </c>
      <c r="AH106" s="105" t="str">
        <f t="shared" si="52"/>
        <v/>
      </c>
      <c r="AJ106" s="84">
        <f t="shared" si="53"/>
        <v>51211.579999999994</v>
      </c>
    </row>
    <row r="107" spans="1:36" x14ac:dyDescent="0.3">
      <c r="A107" s="113" t="s">
        <v>193</v>
      </c>
      <c r="B107" s="84">
        <f>SUM(FO!B107,PO!B107,CO!B107,FE!B107,PE!B107)</f>
        <v>4830.25</v>
      </c>
      <c r="C107" s="84">
        <f>SUM(FO!C107,PO!C107,CO!C107,FE!C107,PE!C107)</f>
        <v>5363.35</v>
      </c>
      <c r="D107" s="84">
        <f>SUM(FO!D107,PO!D107,CO!D107,FE!D107,PE!D107)</f>
        <v>4304.45</v>
      </c>
      <c r="E107" s="84">
        <f>SUM(FO!E107,PO!E107,CO!E107,FE!E107,PE!E107)</f>
        <v>4118.95</v>
      </c>
      <c r="F107" s="84">
        <f>SUM(FO!F107,PO!F107,CO!F107,FE!F107,PE!F107)</f>
        <v>5555.2</v>
      </c>
      <c r="G107" s="84">
        <f>SUM(FO!G107,PO!G107,CO!G107,FE!G107,PE!G107)</f>
        <v>4469.1099999999997</v>
      </c>
      <c r="H107" s="84">
        <f>SUM(FO!H107,PO!H107,CO!H107,FE!H107,PE!H107)</f>
        <v>0</v>
      </c>
      <c r="I107" s="84">
        <f>SUM(FO!I107,PO!I107,CO!I107,FE!I107,PE!I107)</f>
        <v>7531.48</v>
      </c>
      <c r="J107" s="84">
        <f>SUM(FO!J107,PO!J107,CO!J107,FE!J107,PE!J107)</f>
        <v>4800</v>
      </c>
      <c r="K107" s="84">
        <f>SUM(FO!K107,PO!K107,CO!K107,FE!K107,PE!K107)</f>
        <v>4800</v>
      </c>
      <c r="L107" s="84">
        <f>SUM(FO!L107,PO!L107,CO!L107,FE!L107,PE!L107)</f>
        <v>4800</v>
      </c>
      <c r="M107" s="84">
        <f>SUM(FO!M107,PO!M107,CO!M107,FE!M107,PE!M107)</f>
        <v>4800</v>
      </c>
      <c r="N107" s="84">
        <f t="shared" si="49"/>
        <v>55372.79</v>
      </c>
      <c r="O107" s="105">
        <f t="shared" si="50"/>
        <v>7.458680081753162E-3</v>
      </c>
      <c r="P107" s="84"/>
      <c r="Q107" s="84"/>
      <c r="R107" s="84"/>
      <c r="S107" s="84"/>
      <c r="T107" s="84"/>
      <c r="U107" s="84">
        <f>SUM(FO!U107,PO!U107,CO!U107,FE!U107,PE!U107)</f>
        <v>0</v>
      </c>
      <c r="V107" s="84">
        <f>SUM(FO!V107,PO!V107,CO!V107,FE!V107,PE!V107)</f>
        <v>0</v>
      </c>
      <c r="W107" s="84">
        <f>SUM(FO!W107,PO!W107,CO!W107,FE!W107,PE!W107)</f>
        <v>0</v>
      </c>
      <c r="X107" s="84">
        <f>SUM(FO!X107,PO!X107,CO!X107,FE!X107,PE!X107)</f>
        <v>0</v>
      </c>
      <c r="Y107" s="84">
        <f>SUM(FO!Y107,PO!Y107,CO!Y107,FE!Y107,PE!Y107)</f>
        <v>0</v>
      </c>
      <c r="Z107" s="84">
        <f>SUM(FO!Z107,PO!Z107,CO!Z107,FE!Z107,PE!Z107)</f>
        <v>0</v>
      </c>
      <c r="AA107" s="84">
        <f>SUM(FO!AA107,PO!AA107,CO!AA107,FE!AA107,PE!AA107)</f>
        <v>0</v>
      </c>
      <c r="AB107" s="84">
        <f>SUM(FO!AB107,PO!AB107,CO!AB107,FE!AB107,PE!AB107)</f>
        <v>0</v>
      </c>
      <c r="AC107" s="84">
        <f>SUM(FO!AC107,PO!AC107,CO!AC107,FE!AC107,PE!AC107)</f>
        <v>0</v>
      </c>
      <c r="AD107" s="84">
        <f>SUM(FO!AD107,PO!AD107,CO!AD107,FE!AD107,PE!AD107)</f>
        <v>0</v>
      </c>
      <c r="AE107" s="84">
        <f>SUM(FO!AE107,PO!AE107,CO!AE107,FE!AE107,PE!AE107)</f>
        <v>0</v>
      </c>
      <c r="AF107" s="84">
        <f>SUM(FO!AF107,PO!AF107,CO!AF107,FE!AF107,PE!AF107)</f>
        <v>0</v>
      </c>
      <c r="AG107" s="84">
        <f t="shared" si="51"/>
        <v>0</v>
      </c>
      <c r="AH107" s="105" t="str">
        <f t="shared" si="52"/>
        <v/>
      </c>
      <c r="AJ107" s="84">
        <f t="shared" si="53"/>
        <v>55372.79</v>
      </c>
    </row>
    <row r="108" spans="1:36" x14ac:dyDescent="0.3">
      <c r="A108" s="113" t="s">
        <v>194</v>
      </c>
      <c r="B108" s="84">
        <f>SUM(FO!B108,PO!B108,CO!B108,FE!B108,PE!B108)</f>
        <v>0</v>
      </c>
      <c r="C108" s="84">
        <f>SUM(FO!C108,PO!C108,CO!C108,FE!C108,PE!C108)</f>
        <v>0</v>
      </c>
      <c r="D108" s="84">
        <f>SUM(FO!D108,PO!D108,CO!D108,FE!D108,PE!D108)</f>
        <v>0</v>
      </c>
      <c r="E108" s="84">
        <f>SUM(FO!E108,PO!E108,CO!E108,FE!E108,PE!E108)</f>
        <v>0</v>
      </c>
      <c r="F108" s="84">
        <f>SUM(FO!F108,PO!F108,CO!F108,FE!F108,PE!F108)</f>
        <v>0</v>
      </c>
      <c r="G108" s="84">
        <f>SUM(FO!G108,PO!G108,CO!G108,FE!G108,PE!G108)</f>
        <v>0</v>
      </c>
      <c r="H108" s="84">
        <f>SUM(FO!H108,PO!H108,CO!H108,FE!H108,PE!H108)</f>
        <v>0</v>
      </c>
      <c r="I108" s="84">
        <f>SUM(FO!I108,PO!I108,CO!I108,FE!I108,PE!I108)</f>
        <v>0</v>
      </c>
      <c r="J108" s="84">
        <f>SUM(FO!J108,PO!J108,CO!J108,FE!J108,PE!J108)</f>
        <v>0</v>
      </c>
      <c r="K108" s="84">
        <f>SUM(FO!K108,PO!K108,CO!K108,FE!K108,PE!K108)</f>
        <v>0</v>
      </c>
      <c r="L108" s="84">
        <f>SUM(FO!L108,PO!L108,CO!L108,FE!L108,PE!L108)</f>
        <v>0</v>
      </c>
      <c r="M108" s="84">
        <f>SUM(FO!M108,PO!M108,CO!M108,FE!M108,PE!M108)</f>
        <v>0</v>
      </c>
      <c r="N108" s="84">
        <f t="shared" si="49"/>
        <v>0</v>
      </c>
      <c r="O108" s="105">
        <f t="shared" si="50"/>
        <v>0</v>
      </c>
      <c r="P108" s="84"/>
      <c r="Q108" s="84"/>
      <c r="R108" s="84"/>
      <c r="S108" s="84"/>
      <c r="T108" s="84"/>
      <c r="U108" s="84">
        <f>SUM(FO!U108,PO!U108,CO!U108,FE!U108,PE!U108)</f>
        <v>0</v>
      </c>
      <c r="V108" s="84">
        <f>SUM(FO!V108,PO!V108,CO!V108,FE!V108,PE!V108)</f>
        <v>0</v>
      </c>
      <c r="W108" s="84">
        <f>SUM(FO!W108,PO!W108,CO!W108,FE!W108,PE!W108)</f>
        <v>0</v>
      </c>
      <c r="X108" s="84">
        <f>SUM(FO!X108,PO!X108,CO!X108,FE!X108,PE!X108)</f>
        <v>0</v>
      </c>
      <c r="Y108" s="84">
        <f>SUM(FO!Y108,PO!Y108,CO!Y108,FE!Y108,PE!Y108)</f>
        <v>0</v>
      </c>
      <c r="Z108" s="84">
        <f>SUM(FO!Z108,PO!Z108,CO!Z108,FE!Z108,PE!Z108)</f>
        <v>0</v>
      </c>
      <c r="AA108" s="84">
        <f>SUM(FO!AA108,PO!AA108,CO!AA108,FE!AA108,PE!AA108)</f>
        <v>0</v>
      </c>
      <c r="AB108" s="84">
        <f>SUM(FO!AB108,PO!AB108,CO!AB108,FE!AB108,PE!AB108)</f>
        <v>0</v>
      </c>
      <c r="AC108" s="84">
        <f>SUM(FO!AC108,PO!AC108,CO!AC108,FE!AC108,PE!AC108)</f>
        <v>0</v>
      </c>
      <c r="AD108" s="84">
        <f>SUM(FO!AD108,PO!AD108,CO!AD108,FE!AD108,PE!AD108)</f>
        <v>0</v>
      </c>
      <c r="AE108" s="84">
        <f>SUM(FO!AE108,PO!AE108,CO!AE108,FE!AE108,PE!AE108)</f>
        <v>0</v>
      </c>
      <c r="AF108" s="84">
        <f>SUM(FO!AF108,PO!AF108,CO!AF108,FE!AF108,PE!AF108)</f>
        <v>0</v>
      </c>
      <c r="AG108" s="84">
        <f t="shared" si="51"/>
        <v>0</v>
      </c>
      <c r="AH108" s="105" t="str">
        <f t="shared" si="52"/>
        <v/>
      </c>
      <c r="AJ108" s="84">
        <f t="shared" si="53"/>
        <v>0</v>
      </c>
    </row>
    <row r="109" spans="1:36" x14ac:dyDescent="0.3">
      <c r="A109" s="113" t="s">
        <v>195</v>
      </c>
      <c r="B109" s="84">
        <f>SUM(FO!B109,PO!B109,CO!B109,FE!B109,PE!B109)</f>
        <v>0</v>
      </c>
      <c r="C109" s="84">
        <f>SUM(FO!C109,PO!C109,CO!C109,FE!C109,PE!C109)</f>
        <v>0</v>
      </c>
      <c r="D109" s="84">
        <f>SUM(FO!D109,PO!D109,CO!D109,FE!D109,PE!D109)</f>
        <v>0</v>
      </c>
      <c r="E109" s="84">
        <f>SUM(FO!E109,PO!E109,CO!E109,FE!E109,PE!E109)</f>
        <v>0</v>
      </c>
      <c r="F109" s="84">
        <f>SUM(FO!F109,PO!F109,CO!F109,FE!F109,PE!F109)</f>
        <v>0</v>
      </c>
      <c r="G109" s="84">
        <f>SUM(FO!G109,PO!G109,CO!G109,FE!G109,PE!G109)</f>
        <v>0</v>
      </c>
      <c r="H109" s="84">
        <f>SUM(FO!H109,PO!H109,CO!H109,FE!H109,PE!H109)</f>
        <v>0</v>
      </c>
      <c r="I109" s="84">
        <f>SUM(FO!I109,PO!I109,CO!I109,FE!I109,PE!I109)</f>
        <v>0</v>
      </c>
      <c r="J109" s="84">
        <f>SUM(FO!J109,PO!J109,CO!J109,FE!J109,PE!J109)</f>
        <v>0</v>
      </c>
      <c r="K109" s="84">
        <f>SUM(FO!K109,PO!K109,CO!K109,FE!K109,PE!K109)</f>
        <v>0</v>
      </c>
      <c r="L109" s="84">
        <f>SUM(FO!L109,PO!L109,CO!L109,FE!L109,PE!L109)</f>
        <v>0</v>
      </c>
      <c r="M109" s="84">
        <f>SUM(FO!M109,PO!M109,CO!M109,FE!M109,PE!M109)</f>
        <v>0</v>
      </c>
      <c r="N109" s="84">
        <f t="shared" si="49"/>
        <v>0</v>
      </c>
      <c r="O109" s="105">
        <f t="shared" si="50"/>
        <v>0</v>
      </c>
      <c r="P109" s="84"/>
      <c r="Q109" s="84"/>
      <c r="R109" s="84"/>
      <c r="S109" s="84"/>
      <c r="T109" s="84"/>
      <c r="U109" s="84">
        <f>SUM(FO!U109,PO!U109,CO!U109,FE!U109,PE!U109)</f>
        <v>0</v>
      </c>
      <c r="V109" s="84">
        <f>SUM(FO!V109,PO!V109,CO!V109,FE!V109,PE!V109)</f>
        <v>0</v>
      </c>
      <c r="W109" s="84">
        <f>SUM(FO!W109,PO!W109,CO!W109,FE!W109,PE!W109)</f>
        <v>0</v>
      </c>
      <c r="X109" s="84">
        <f>SUM(FO!X109,PO!X109,CO!X109,FE!X109,PE!X109)</f>
        <v>0</v>
      </c>
      <c r="Y109" s="84">
        <f>SUM(FO!Y109,PO!Y109,CO!Y109,FE!Y109,PE!Y109)</f>
        <v>0</v>
      </c>
      <c r="Z109" s="84">
        <f>SUM(FO!Z109,PO!Z109,CO!Z109,FE!Z109,PE!Z109)</f>
        <v>0</v>
      </c>
      <c r="AA109" s="84">
        <f>SUM(FO!AA109,PO!AA109,CO!AA109,FE!AA109,PE!AA109)</f>
        <v>0</v>
      </c>
      <c r="AB109" s="84">
        <f>SUM(FO!AB109,PO!AB109,CO!AB109,FE!AB109,PE!AB109)</f>
        <v>0</v>
      </c>
      <c r="AC109" s="84">
        <f>SUM(FO!AC109,PO!AC109,CO!AC109,FE!AC109,PE!AC109)</f>
        <v>0</v>
      </c>
      <c r="AD109" s="84">
        <f>SUM(FO!AD109,PO!AD109,CO!AD109,FE!AD109,PE!AD109)</f>
        <v>0</v>
      </c>
      <c r="AE109" s="84">
        <f>SUM(FO!AE109,PO!AE109,CO!AE109,FE!AE109,PE!AE109)</f>
        <v>0</v>
      </c>
      <c r="AF109" s="84">
        <f>SUM(FO!AF109,PO!AF109,CO!AF109,FE!AF109,PE!AF109)</f>
        <v>0</v>
      </c>
      <c r="AG109" s="84">
        <f t="shared" si="51"/>
        <v>0</v>
      </c>
      <c r="AH109" s="105" t="str">
        <f t="shared" si="52"/>
        <v/>
      </c>
      <c r="AJ109" s="84">
        <f t="shared" si="53"/>
        <v>0</v>
      </c>
    </row>
    <row r="110" spans="1:36" x14ac:dyDescent="0.3">
      <c r="A110" s="113" t="s">
        <v>196</v>
      </c>
      <c r="B110" s="84">
        <f>SUM(FO!B110,PO!B110,CO!B110,FE!B110,PE!B110)</f>
        <v>0</v>
      </c>
      <c r="C110" s="84">
        <f>SUM(FO!C110,PO!C110,CO!C110,FE!C110,PE!C110)</f>
        <v>0</v>
      </c>
      <c r="D110" s="84">
        <f>SUM(FO!D110,PO!D110,CO!D110,FE!D110,PE!D110)</f>
        <v>0</v>
      </c>
      <c r="E110" s="84">
        <f>SUM(FO!E110,PO!E110,CO!E110,FE!E110,PE!E110)</f>
        <v>5</v>
      </c>
      <c r="F110" s="84">
        <f>SUM(FO!F110,PO!F110,CO!F110,FE!F110,PE!F110)</f>
        <v>0</v>
      </c>
      <c r="G110" s="84">
        <f>SUM(FO!G110,PO!G110,CO!G110,FE!G110,PE!G110)</f>
        <v>6515</v>
      </c>
      <c r="H110" s="84">
        <f>SUM(FO!H110,PO!H110,CO!H110,FE!H110,PE!H110)</f>
        <v>3900</v>
      </c>
      <c r="I110" s="84">
        <f>SUM(FO!I110,PO!I110,CO!I110,FE!I110,PE!I110)</f>
        <v>3900</v>
      </c>
      <c r="J110" s="84">
        <f>SUM(FO!J110,PO!J110,CO!J110,FE!J110,PE!J110)</f>
        <v>0</v>
      </c>
      <c r="K110" s="84">
        <f>SUM(FO!K110,PO!K110,CO!K110,FE!K110,PE!K110)</f>
        <v>0</v>
      </c>
      <c r="L110" s="84">
        <f>SUM(FO!L110,PO!L110,CO!L110,FE!L110,PE!L110)</f>
        <v>0</v>
      </c>
      <c r="M110" s="84">
        <f>SUM(FO!M110,PO!M110,CO!M110,FE!M110,PE!M110)</f>
        <v>0</v>
      </c>
      <c r="N110" s="84">
        <f t="shared" si="49"/>
        <v>14320</v>
      </c>
      <c r="O110" s="105">
        <f t="shared" si="50"/>
        <v>1.9288950181254236E-3</v>
      </c>
      <c r="P110" s="84"/>
      <c r="Q110" s="84"/>
      <c r="R110" s="84"/>
      <c r="S110" s="84"/>
      <c r="T110" s="84"/>
      <c r="U110" s="84">
        <f>SUM(FO!U110,PO!U110,CO!U110,FE!U110,PE!U110)</f>
        <v>0</v>
      </c>
      <c r="V110" s="84">
        <f>SUM(FO!V110,PO!V110,CO!V110,FE!V110,PE!V110)</f>
        <v>0</v>
      </c>
      <c r="W110" s="84">
        <f>SUM(FO!W110,PO!W110,CO!W110,FE!W110,PE!W110)</f>
        <v>0</v>
      </c>
      <c r="X110" s="84">
        <f>SUM(FO!X110,PO!X110,CO!X110,FE!X110,PE!X110)</f>
        <v>0</v>
      </c>
      <c r="Y110" s="84">
        <f>SUM(FO!Y110,PO!Y110,CO!Y110,FE!Y110,PE!Y110)</f>
        <v>0</v>
      </c>
      <c r="Z110" s="84">
        <f>SUM(FO!Z110,PO!Z110,CO!Z110,FE!Z110,PE!Z110)</f>
        <v>0</v>
      </c>
      <c r="AA110" s="84">
        <f>SUM(FO!AA110,PO!AA110,CO!AA110,FE!AA110,PE!AA110)</f>
        <v>0</v>
      </c>
      <c r="AB110" s="84">
        <f>SUM(FO!AB110,PO!AB110,CO!AB110,FE!AB110,PE!AB110)</f>
        <v>0</v>
      </c>
      <c r="AC110" s="84">
        <f>SUM(FO!AC110,PO!AC110,CO!AC110,FE!AC110,PE!AC110)</f>
        <v>0</v>
      </c>
      <c r="AD110" s="84">
        <f>SUM(FO!AD110,PO!AD110,CO!AD110,FE!AD110,PE!AD110)</f>
        <v>0</v>
      </c>
      <c r="AE110" s="84">
        <f>SUM(FO!AE110,PO!AE110,CO!AE110,FE!AE110,PE!AE110)</f>
        <v>0</v>
      </c>
      <c r="AF110" s="84">
        <f>SUM(FO!AF110,PO!AF110,CO!AF110,FE!AF110,PE!AF110)</f>
        <v>0</v>
      </c>
      <c r="AG110" s="84">
        <f t="shared" si="51"/>
        <v>0</v>
      </c>
      <c r="AH110" s="105" t="str">
        <f t="shared" si="52"/>
        <v/>
      </c>
      <c r="AJ110" s="84">
        <f t="shared" si="53"/>
        <v>14320</v>
      </c>
    </row>
    <row r="111" spans="1:36" x14ac:dyDescent="0.3">
      <c r="A111" s="113" t="s">
        <v>197</v>
      </c>
      <c r="B111" s="84">
        <f>SUM(FO!B111,PO!B111,CO!B111,FE!B111,PE!B111)</f>
        <v>0</v>
      </c>
      <c r="C111" s="84">
        <f>SUM(FO!C111,PO!C111,CO!C111,FE!C111,PE!C111)</f>
        <v>0</v>
      </c>
      <c r="D111" s="84">
        <f>SUM(FO!D111,PO!D111,CO!D111,FE!D111,PE!D111)</f>
        <v>0</v>
      </c>
      <c r="E111" s="84">
        <f>SUM(FO!E111,PO!E111,CO!E111,FE!E111,PE!E111)</f>
        <v>0</v>
      </c>
      <c r="F111" s="84">
        <f>SUM(FO!F111,PO!F111,CO!F111,FE!F111,PE!F111)</f>
        <v>0</v>
      </c>
      <c r="G111" s="84">
        <f>SUM(FO!G111,PO!G111,CO!G111,FE!G111,PE!G111)</f>
        <v>0</v>
      </c>
      <c r="H111" s="84">
        <f>SUM(FO!H111,PO!H111,CO!H111,FE!H111,PE!H111)</f>
        <v>0</v>
      </c>
      <c r="I111" s="84">
        <f>SUM(FO!I111,PO!I111,CO!I111,FE!I111,PE!I111)</f>
        <v>0</v>
      </c>
      <c r="J111" s="84">
        <f>SUM(FO!J111,PO!J111,CO!J111,FE!J111,PE!J111)</f>
        <v>0</v>
      </c>
      <c r="K111" s="84">
        <f>SUM(FO!K111,PO!K111,CO!K111,FE!K111,PE!K111)</f>
        <v>0</v>
      </c>
      <c r="L111" s="84">
        <f>SUM(FO!L111,PO!L111,CO!L111,FE!L111,PE!L111)</f>
        <v>0</v>
      </c>
      <c r="M111" s="84">
        <f>SUM(FO!M111,PO!M111,CO!M111,FE!M111,PE!M111)</f>
        <v>0</v>
      </c>
      <c r="N111" s="84">
        <f t="shared" si="49"/>
        <v>0</v>
      </c>
      <c r="O111" s="105">
        <f t="shared" si="50"/>
        <v>0</v>
      </c>
      <c r="P111" s="84"/>
      <c r="Q111" s="84"/>
      <c r="R111" s="84"/>
      <c r="S111" s="84"/>
      <c r="T111" s="84"/>
      <c r="U111" s="84">
        <f>SUM(FO!U111,PO!U111,CO!U111,FE!U111,PE!U111)</f>
        <v>0</v>
      </c>
      <c r="V111" s="84">
        <f>SUM(FO!V111,PO!V111,CO!V111,FE!V111,PE!V111)</f>
        <v>0</v>
      </c>
      <c r="W111" s="84">
        <f>SUM(FO!W111,PO!W111,CO!W111,FE!W111,PE!W111)</f>
        <v>0</v>
      </c>
      <c r="X111" s="84">
        <f>SUM(FO!X111,PO!X111,CO!X111,FE!X111,PE!X111)</f>
        <v>0</v>
      </c>
      <c r="Y111" s="84">
        <f>SUM(FO!Y111,PO!Y111,CO!Y111,FE!Y111,PE!Y111)</f>
        <v>0</v>
      </c>
      <c r="Z111" s="84">
        <f>SUM(FO!Z111,PO!Z111,CO!Z111,FE!Z111,PE!Z111)</f>
        <v>0</v>
      </c>
      <c r="AA111" s="84">
        <f>SUM(FO!AA111,PO!AA111,CO!AA111,FE!AA111,PE!AA111)</f>
        <v>0</v>
      </c>
      <c r="AB111" s="84">
        <f>SUM(FO!AB111,PO!AB111,CO!AB111,FE!AB111,PE!AB111)</f>
        <v>0</v>
      </c>
      <c r="AC111" s="84">
        <f>SUM(FO!AC111,PO!AC111,CO!AC111,FE!AC111,PE!AC111)</f>
        <v>0</v>
      </c>
      <c r="AD111" s="84">
        <f>SUM(FO!AD111,PO!AD111,CO!AD111,FE!AD111,PE!AD111)</f>
        <v>0</v>
      </c>
      <c r="AE111" s="84">
        <f>SUM(FO!AE111,PO!AE111,CO!AE111,FE!AE111,PE!AE111)</f>
        <v>0</v>
      </c>
      <c r="AF111" s="84">
        <f>SUM(FO!AF111,PO!AF111,CO!AF111,FE!AF111,PE!AF111)</f>
        <v>0</v>
      </c>
      <c r="AG111" s="84">
        <f t="shared" si="51"/>
        <v>0</v>
      </c>
      <c r="AH111" s="105" t="str">
        <f t="shared" si="52"/>
        <v/>
      </c>
      <c r="AJ111" s="84">
        <f t="shared" si="53"/>
        <v>0</v>
      </c>
    </row>
    <row r="112" spans="1:36" x14ac:dyDescent="0.3">
      <c r="A112" s="113" t="s">
        <v>198</v>
      </c>
      <c r="B112" s="84">
        <f>SUM(FO!B112,PO!B112,CO!B112,FE!B112,PE!B112)</f>
        <v>0</v>
      </c>
      <c r="C112" s="84">
        <f>SUM(FO!C112,PO!C112,CO!C112,FE!C112,PE!C112)</f>
        <v>0</v>
      </c>
      <c r="D112" s="84">
        <f>SUM(FO!D112,PO!D112,CO!D112,FE!D112,PE!D112)</f>
        <v>0</v>
      </c>
      <c r="E112" s="84">
        <f>SUM(FO!E112,PO!E112,CO!E112,FE!E112,PE!E112)</f>
        <v>0</v>
      </c>
      <c r="F112" s="84">
        <f>SUM(FO!F112,PO!F112,CO!F112,FE!F112,PE!F112)</f>
        <v>0</v>
      </c>
      <c r="G112" s="84">
        <f>SUM(FO!G112,PO!G112,CO!G112,FE!G112,PE!G112)</f>
        <v>0</v>
      </c>
      <c r="H112" s="84">
        <f>SUM(FO!H112,PO!H112,CO!H112,FE!H112,PE!H112)</f>
        <v>0</v>
      </c>
      <c r="I112" s="84">
        <f>SUM(FO!I112,PO!I112,CO!I112,FE!I112,PE!I112)</f>
        <v>0</v>
      </c>
      <c r="J112" s="84">
        <f>SUM(FO!J112,PO!J112,CO!J112,FE!J112,PE!J112)</f>
        <v>0</v>
      </c>
      <c r="K112" s="84">
        <f>SUM(FO!K112,PO!K112,CO!K112,FE!K112,PE!K112)</f>
        <v>0</v>
      </c>
      <c r="L112" s="84">
        <f>SUM(FO!L112,PO!L112,CO!L112,FE!L112,PE!L112)</f>
        <v>0</v>
      </c>
      <c r="M112" s="84">
        <f>SUM(FO!M112,PO!M112,CO!M112,FE!M112,PE!M112)</f>
        <v>0</v>
      </c>
      <c r="N112" s="84">
        <f t="shared" si="49"/>
        <v>0</v>
      </c>
      <c r="O112" s="105">
        <f t="shared" si="50"/>
        <v>0</v>
      </c>
      <c r="P112" s="84"/>
      <c r="Q112" s="84"/>
      <c r="R112" s="84"/>
      <c r="S112" s="84"/>
      <c r="T112" s="84"/>
      <c r="U112" s="84">
        <f>SUM(FO!U112,PO!U112,CO!U112,FE!U112,PE!U112)</f>
        <v>0</v>
      </c>
      <c r="V112" s="84">
        <f>SUM(FO!V112,PO!V112,CO!V112,FE!V112,PE!V112)</f>
        <v>0</v>
      </c>
      <c r="W112" s="84">
        <f>SUM(FO!W112,PO!W112,CO!W112,FE!W112,PE!W112)</f>
        <v>0</v>
      </c>
      <c r="X112" s="84">
        <f>SUM(FO!X112,PO!X112,CO!X112,FE!X112,PE!X112)</f>
        <v>0</v>
      </c>
      <c r="Y112" s="84">
        <f>SUM(FO!Y112,PO!Y112,CO!Y112,FE!Y112,PE!Y112)</f>
        <v>0</v>
      </c>
      <c r="Z112" s="84">
        <f>SUM(FO!Z112,PO!Z112,CO!Z112,FE!Z112,PE!Z112)</f>
        <v>0</v>
      </c>
      <c r="AA112" s="84">
        <f>SUM(FO!AA112,PO!AA112,CO!AA112,FE!AA112,PE!AA112)</f>
        <v>0</v>
      </c>
      <c r="AB112" s="84">
        <f>SUM(FO!AB112,PO!AB112,CO!AB112,FE!AB112,PE!AB112)</f>
        <v>0</v>
      </c>
      <c r="AC112" s="84">
        <f>SUM(FO!AC112,PO!AC112,CO!AC112,FE!AC112,PE!AC112)</f>
        <v>0</v>
      </c>
      <c r="AD112" s="84">
        <f>SUM(FO!AD112,PO!AD112,CO!AD112,FE!AD112,PE!AD112)</f>
        <v>0</v>
      </c>
      <c r="AE112" s="84">
        <f>SUM(FO!AE112,PO!AE112,CO!AE112,FE!AE112,PE!AE112)</f>
        <v>0</v>
      </c>
      <c r="AF112" s="84">
        <f>SUM(FO!AF112,PO!AF112,CO!AF112,FE!AF112,PE!AF112)</f>
        <v>0</v>
      </c>
      <c r="AG112" s="84">
        <f t="shared" si="51"/>
        <v>0</v>
      </c>
      <c r="AH112" s="105" t="str">
        <f t="shared" si="52"/>
        <v/>
      </c>
      <c r="AJ112" s="84">
        <f t="shared" si="53"/>
        <v>0</v>
      </c>
    </row>
    <row r="113" spans="1:36" x14ac:dyDescent="0.3">
      <c r="A113" s="113" t="s">
        <v>199</v>
      </c>
      <c r="B113" s="84">
        <f>SUM(FO!B113,PO!B113,CO!B113,FE!B113,PE!B113)</f>
        <v>0</v>
      </c>
      <c r="C113" s="84">
        <f>SUM(FO!C113,PO!C113,CO!C113,FE!C113,PE!C113)</f>
        <v>0</v>
      </c>
      <c r="D113" s="84">
        <f>SUM(FO!D113,PO!D113,CO!D113,FE!D113,PE!D113)</f>
        <v>0</v>
      </c>
      <c r="E113" s="84">
        <f>SUM(FO!E113,PO!E113,CO!E113,FE!E113,PE!E113)</f>
        <v>0</v>
      </c>
      <c r="F113" s="84">
        <f>SUM(FO!F113,PO!F113,CO!F113,FE!F113,PE!F113)</f>
        <v>0</v>
      </c>
      <c r="G113" s="84">
        <f>SUM(FO!G113,PO!G113,CO!G113,FE!G113,PE!G113)</f>
        <v>0</v>
      </c>
      <c r="H113" s="84">
        <f>SUM(FO!H113,PO!H113,CO!H113,FE!H113,PE!H113)</f>
        <v>0</v>
      </c>
      <c r="I113" s="84">
        <f>SUM(FO!I113,PO!I113,CO!I113,FE!I113,PE!I113)</f>
        <v>0</v>
      </c>
      <c r="J113" s="84">
        <f>SUM(FO!J113,PO!J113,CO!J113,FE!J113,PE!J113)</f>
        <v>0</v>
      </c>
      <c r="K113" s="84">
        <f>SUM(FO!K113,PO!K113,CO!K113,FE!K113,PE!K113)</f>
        <v>0</v>
      </c>
      <c r="L113" s="84">
        <f>SUM(FO!L113,PO!L113,CO!L113,FE!L113,PE!L113)</f>
        <v>0</v>
      </c>
      <c r="M113" s="84">
        <f>SUM(FO!M113,PO!M113,CO!M113,FE!M113,PE!M113)</f>
        <v>0</v>
      </c>
      <c r="N113" s="84">
        <f t="shared" si="49"/>
        <v>0</v>
      </c>
      <c r="O113" s="105">
        <f t="shared" si="50"/>
        <v>0</v>
      </c>
      <c r="P113" s="84"/>
      <c r="Q113" s="84"/>
      <c r="R113" s="84"/>
      <c r="S113" s="84"/>
      <c r="T113" s="84"/>
      <c r="U113" s="84">
        <f>SUM(FO!U113,PO!U113,CO!U113,FE!U113,PE!U113)</f>
        <v>0</v>
      </c>
      <c r="V113" s="84">
        <f>SUM(FO!V113,PO!V113,CO!V113,FE!V113,PE!V113)</f>
        <v>0</v>
      </c>
      <c r="W113" s="84">
        <f>SUM(FO!W113,PO!W113,CO!W113,FE!W113,PE!W113)</f>
        <v>0</v>
      </c>
      <c r="X113" s="84">
        <f>SUM(FO!X113,PO!X113,CO!X113,FE!X113,PE!X113)</f>
        <v>0</v>
      </c>
      <c r="Y113" s="84">
        <f>SUM(FO!Y113,PO!Y113,CO!Y113,FE!Y113,PE!Y113)</f>
        <v>0</v>
      </c>
      <c r="Z113" s="84">
        <f>SUM(FO!Z113,PO!Z113,CO!Z113,FE!Z113,PE!Z113)</f>
        <v>0</v>
      </c>
      <c r="AA113" s="84">
        <f>SUM(FO!AA113,PO!AA113,CO!AA113,FE!AA113,PE!AA113)</f>
        <v>0</v>
      </c>
      <c r="AB113" s="84">
        <f>SUM(FO!AB113,PO!AB113,CO!AB113,FE!AB113,PE!AB113)</f>
        <v>0</v>
      </c>
      <c r="AC113" s="84">
        <f>SUM(FO!AC113,PO!AC113,CO!AC113,FE!AC113,PE!AC113)</f>
        <v>0</v>
      </c>
      <c r="AD113" s="84">
        <f>SUM(FO!AD113,PO!AD113,CO!AD113,FE!AD113,PE!AD113)</f>
        <v>0</v>
      </c>
      <c r="AE113" s="84">
        <f>SUM(FO!AE113,PO!AE113,CO!AE113,FE!AE113,PE!AE113)</f>
        <v>0</v>
      </c>
      <c r="AF113" s="84">
        <f>SUM(FO!AF113,PO!AF113,CO!AF113,FE!AF113,PE!AF113)</f>
        <v>0</v>
      </c>
      <c r="AG113" s="84">
        <f t="shared" si="51"/>
        <v>0</v>
      </c>
      <c r="AH113" s="105" t="str">
        <f t="shared" si="52"/>
        <v/>
      </c>
      <c r="AJ113" s="84">
        <f t="shared" si="53"/>
        <v>0</v>
      </c>
    </row>
    <row r="114" spans="1:36" x14ac:dyDescent="0.3">
      <c r="A114" s="113" t="s">
        <v>200</v>
      </c>
      <c r="B114" s="84">
        <f>SUM(FO!B114,PO!B114,CO!B114,FE!B114,PE!B114)</f>
        <v>0</v>
      </c>
      <c r="C114" s="84">
        <f>SUM(FO!C114,PO!C114,CO!C114,FE!C114,PE!C114)</f>
        <v>0</v>
      </c>
      <c r="D114" s="84">
        <f>SUM(FO!D114,PO!D114,CO!D114,FE!D114,PE!D114)</f>
        <v>0</v>
      </c>
      <c r="E114" s="84">
        <f>SUM(FO!E114,PO!E114,CO!E114,FE!E114,PE!E114)</f>
        <v>0</v>
      </c>
      <c r="F114" s="84">
        <f>SUM(FO!F114,PO!F114,CO!F114,FE!F114,PE!F114)</f>
        <v>0</v>
      </c>
      <c r="G114" s="84">
        <f>SUM(FO!G114,PO!G114,CO!G114,FE!G114,PE!G114)</f>
        <v>30.03</v>
      </c>
      <c r="H114" s="84">
        <f>SUM(FO!H114,PO!H114,CO!H114,FE!H114,PE!H114)</f>
        <v>0</v>
      </c>
      <c r="I114" s="84">
        <f>SUM(FO!I114,PO!I114,CO!I114,FE!I114,PE!I114)</f>
        <v>0</v>
      </c>
      <c r="J114" s="84">
        <f>SUM(FO!J114,PO!J114,CO!J114,FE!J114,PE!J114)</f>
        <v>0</v>
      </c>
      <c r="K114" s="84">
        <f>SUM(FO!K114,PO!K114,CO!K114,FE!K114,PE!K114)</f>
        <v>0</v>
      </c>
      <c r="L114" s="84">
        <f>SUM(FO!L114,PO!L114,CO!L114,FE!L114,PE!L114)</f>
        <v>0</v>
      </c>
      <c r="M114" s="84">
        <f>SUM(FO!M114,PO!M114,CO!M114,FE!M114,PE!M114)</f>
        <v>0</v>
      </c>
      <c r="N114" s="84">
        <f t="shared" si="49"/>
        <v>30.03</v>
      </c>
      <c r="O114" s="105">
        <f t="shared" si="50"/>
        <v>4.0450221644068763E-6</v>
      </c>
      <c r="P114" s="84"/>
      <c r="Q114" s="84"/>
      <c r="R114" s="84"/>
      <c r="S114" s="84"/>
      <c r="T114" s="84"/>
      <c r="U114" s="84">
        <f>SUM(FO!U114,PO!U114,CO!U114,FE!U114,PE!U114)</f>
        <v>0</v>
      </c>
      <c r="V114" s="84">
        <f>SUM(FO!V114,PO!V114,CO!V114,FE!V114,PE!V114)</f>
        <v>0</v>
      </c>
      <c r="W114" s="84">
        <f>SUM(FO!W114,PO!W114,CO!W114,FE!W114,PE!W114)</f>
        <v>0</v>
      </c>
      <c r="X114" s="84">
        <f>SUM(FO!X114,PO!X114,CO!X114,FE!X114,PE!X114)</f>
        <v>0</v>
      </c>
      <c r="Y114" s="84">
        <f>SUM(FO!Y114,PO!Y114,CO!Y114,FE!Y114,PE!Y114)</f>
        <v>0</v>
      </c>
      <c r="Z114" s="84">
        <f>SUM(FO!Z114,PO!Z114,CO!Z114,FE!Z114,PE!Z114)</f>
        <v>0</v>
      </c>
      <c r="AA114" s="84">
        <f>SUM(FO!AA114,PO!AA114,CO!AA114,FE!AA114,PE!AA114)</f>
        <v>0</v>
      </c>
      <c r="AB114" s="84">
        <f>SUM(FO!AB114,PO!AB114,CO!AB114,FE!AB114,PE!AB114)</f>
        <v>0</v>
      </c>
      <c r="AC114" s="84">
        <f>SUM(FO!AC114,PO!AC114,CO!AC114,FE!AC114,PE!AC114)</f>
        <v>0</v>
      </c>
      <c r="AD114" s="84">
        <f>SUM(FO!AD114,PO!AD114,CO!AD114,FE!AD114,PE!AD114)</f>
        <v>0</v>
      </c>
      <c r="AE114" s="84">
        <f>SUM(FO!AE114,PO!AE114,CO!AE114,FE!AE114,PE!AE114)</f>
        <v>0</v>
      </c>
      <c r="AF114" s="84">
        <f>SUM(FO!AF114,PO!AF114,CO!AF114,FE!AF114,PE!AF114)</f>
        <v>0</v>
      </c>
      <c r="AG114" s="84">
        <f t="shared" si="51"/>
        <v>0</v>
      </c>
      <c r="AH114" s="105" t="str">
        <f t="shared" si="52"/>
        <v/>
      </c>
      <c r="AJ114" s="84">
        <f t="shared" si="53"/>
        <v>30.03</v>
      </c>
    </row>
    <row r="115" spans="1:36" x14ac:dyDescent="0.3">
      <c r="A115" s="113" t="s">
        <v>201</v>
      </c>
      <c r="B115" s="84">
        <f>SUM(FO!B115,PO!B115,CO!B115,FE!B115,PE!B115)</f>
        <v>0</v>
      </c>
      <c r="C115" s="84">
        <f>SUM(FO!C115,PO!C115,CO!C115,FE!C115,PE!C115)</f>
        <v>0</v>
      </c>
      <c r="D115" s="84">
        <f>SUM(FO!D115,PO!D115,CO!D115,FE!D115,PE!D115)</f>
        <v>0</v>
      </c>
      <c r="E115" s="84">
        <f>SUM(FO!E115,PO!E115,CO!E115,FE!E115,PE!E115)</f>
        <v>0</v>
      </c>
      <c r="F115" s="84">
        <f>SUM(FO!F115,PO!F115,CO!F115,FE!F115,PE!F115)</f>
        <v>0</v>
      </c>
      <c r="G115" s="84">
        <f>SUM(FO!G115,PO!G115,CO!G115,FE!G115,PE!G115)</f>
        <v>0</v>
      </c>
      <c r="H115" s="84">
        <f>SUM(FO!H115,PO!H115,CO!H115,FE!H115,PE!H115)</f>
        <v>0</v>
      </c>
      <c r="I115" s="84">
        <f>SUM(FO!I115,PO!I115,CO!I115,FE!I115,PE!I115)</f>
        <v>0</v>
      </c>
      <c r="J115" s="84">
        <f>SUM(FO!J115,PO!J115,CO!J115,FE!J115,PE!J115)</f>
        <v>0</v>
      </c>
      <c r="K115" s="84">
        <f>SUM(FO!K115,PO!K115,CO!K115,FE!K115,PE!K115)</f>
        <v>0</v>
      </c>
      <c r="L115" s="84">
        <f>SUM(FO!L115,PO!L115,CO!L115,FE!L115,PE!L115)</f>
        <v>0</v>
      </c>
      <c r="M115" s="84">
        <f>SUM(FO!M115,PO!M115,CO!M115,FE!M115,PE!M115)</f>
        <v>0</v>
      </c>
      <c r="N115" s="84">
        <f t="shared" si="49"/>
        <v>0</v>
      </c>
      <c r="O115" s="105">
        <f t="shared" si="50"/>
        <v>0</v>
      </c>
      <c r="P115" s="84"/>
      <c r="Q115" s="84"/>
      <c r="R115" s="84"/>
      <c r="S115" s="84"/>
      <c r="T115" s="84"/>
      <c r="U115" s="84">
        <f>SUM(FO!U115,PO!U115,CO!U115,FE!U115,PE!U115)</f>
        <v>0</v>
      </c>
      <c r="V115" s="84">
        <f>SUM(FO!V115,PO!V115,CO!V115,FE!V115,PE!V115)</f>
        <v>0</v>
      </c>
      <c r="W115" s="84">
        <f>SUM(FO!W115,PO!W115,CO!W115,FE!W115,PE!W115)</f>
        <v>0</v>
      </c>
      <c r="X115" s="84">
        <f>SUM(FO!X115,PO!X115,CO!X115,FE!X115,PE!X115)</f>
        <v>0</v>
      </c>
      <c r="Y115" s="84">
        <f>SUM(FO!Y115,PO!Y115,CO!Y115,FE!Y115,PE!Y115)</f>
        <v>0</v>
      </c>
      <c r="Z115" s="84">
        <f>SUM(FO!Z115,PO!Z115,CO!Z115,FE!Z115,PE!Z115)</f>
        <v>0</v>
      </c>
      <c r="AA115" s="84">
        <f>SUM(FO!AA115,PO!AA115,CO!AA115,FE!AA115,PE!AA115)</f>
        <v>0</v>
      </c>
      <c r="AB115" s="84">
        <f>SUM(FO!AB115,PO!AB115,CO!AB115,FE!AB115,PE!AB115)</f>
        <v>0</v>
      </c>
      <c r="AC115" s="84">
        <f>SUM(FO!AC115,PO!AC115,CO!AC115,FE!AC115,PE!AC115)</f>
        <v>0</v>
      </c>
      <c r="AD115" s="84">
        <f>SUM(FO!AD115,PO!AD115,CO!AD115,FE!AD115,PE!AD115)</f>
        <v>0</v>
      </c>
      <c r="AE115" s="84">
        <f>SUM(FO!AE115,PO!AE115,CO!AE115,FE!AE115,PE!AE115)</f>
        <v>0</v>
      </c>
      <c r="AF115" s="84">
        <f>SUM(FO!AF115,PO!AF115,CO!AF115,FE!AF115,PE!AF115)</f>
        <v>0</v>
      </c>
      <c r="AG115" s="84">
        <f t="shared" si="51"/>
        <v>0</v>
      </c>
      <c r="AH115" s="105" t="str">
        <f t="shared" si="52"/>
        <v/>
      </c>
      <c r="AJ115" s="84">
        <f t="shared" si="53"/>
        <v>0</v>
      </c>
    </row>
    <row r="116" spans="1:36" x14ac:dyDescent="0.3">
      <c r="A116" s="114" t="s">
        <v>202</v>
      </c>
      <c r="B116" s="110">
        <f t="shared" ref="B116:M116" si="56">B73+SUM(B74:B80)+B87+SUM(B88:B115)</f>
        <v>159854.28999999998</v>
      </c>
      <c r="C116" s="110">
        <f t="shared" si="56"/>
        <v>36073.48000000001</v>
      </c>
      <c r="D116" s="110">
        <f t="shared" si="56"/>
        <v>248083.33999999997</v>
      </c>
      <c r="E116" s="110">
        <f t="shared" si="56"/>
        <v>252179.52</v>
      </c>
      <c r="F116" s="110">
        <f t="shared" si="56"/>
        <v>299699.18999999994</v>
      </c>
      <c r="G116" s="110">
        <f t="shared" si="56"/>
        <v>345953.53</v>
      </c>
      <c r="H116" s="110">
        <f t="shared" si="56"/>
        <v>229505.53</v>
      </c>
      <c r="I116" s="110">
        <f t="shared" si="56"/>
        <v>258700.42</v>
      </c>
      <c r="J116" s="110">
        <f t="shared" si="56"/>
        <v>966458</v>
      </c>
      <c r="K116" s="110">
        <f t="shared" si="56"/>
        <v>370411</v>
      </c>
      <c r="L116" s="110">
        <f t="shared" si="56"/>
        <v>379351</v>
      </c>
      <c r="M116" s="110">
        <f t="shared" si="56"/>
        <v>383688</v>
      </c>
      <c r="N116" s="110">
        <f t="shared" si="49"/>
        <v>3929957.3</v>
      </c>
      <c r="O116" s="111">
        <f t="shared" si="50"/>
        <v>0.52936278333908104</v>
      </c>
      <c r="P116" s="84"/>
      <c r="Q116" s="84"/>
      <c r="R116" s="84"/>
      <c r="S116" s="84"/>
      <c r="T116" s="84"/>
      <c r="U116" s="110">
        <f t="shared" ref="U116:AF116" si="57">U73+SUM(U74:U80)+U87+SUM(U88:U115)</f>
        <v>226598.67772329674</v>
      </c>
      <c r="V116" s="110">
        <f t="shared" si="57"/>
        <v>226598.67772329674</v>
      </c>
      <c r="W116" s="110">
        <f t="shared" si="57"/>
        <v>226598.67772329674</v>
      </c>
      <c r="X116" s="110">
        <f t="shared" si="57"/>
        <v>226598.67772329674</v>
      </c>
      <c r="Y116" s="110">
        <f t="shared" si="57"/>
        <v>226598.67772329674</v>
      </c>
      <c r="Z116" s="110">
        <f t="shared" si="57"/>
        <v>226598.67772329674</v>
      </c>
      <c r="AA116" s="110">
        <f t="shared" si="57"/>
        <v>226598.67772329674</v>
      </c>
      <c r="AB116" s="110">
        <f t="shared" si="57"/>
        <v>226598.67772329674</v>
      </c>
      <c r="AC116" s="110">
        <f t="shared" si="57"/>
        <v>226598.67772329674</v>
      </c>
      <c r="AD116" s="110">
        <f t="shared" si="57"/>
        <v>233396.63805499565</v>
      </c>
      <c r="AE116" s="110">
        <f t="shared" si="57"/>
        <v>233396.63805499565</v>
      </c>
      <c r="AF116" s="110">
        <f t="shared" si="57"/>
        <v>233396.63805499565</v>
      </c>
      <c r="AG116" s="110">
        <f t="shared" si="51"/>
        <v>2739578.0136746578</v>
      </c>
      <c r="AH116" s="111" t="str">
        <f t="shared" si="52"/>
        <v/>
      </c>
      <c r="AJ116" s="110">
        <f t="shared" si="53"/>
        <v>1190379.286325342</v>
      </c>
    </row>
    <row r="117" spans="1:36" x14ac:dyDescent="0.3">
      <c r="A117" s="136" t="s">
        <v>203</v>
      </c>
      <c r="B117" s="137">
        <f t="shared" ref="B117:M117" si="58">B64-B116</f>
        <v>114581.30000000005</v>
      </c>
      <c r="C117" s="137">
        <f t="shared" si="58"/>
        <v>186181.91000000006</v>
      </c>
      <c r="D117" s="137">
        <f t="shared" si="58"/>
        <v>-46641.990000000049</v>
      </c>
      <c r="E117" s="137">
        <f t="shared" si="58"/>
        <v>152657.92999999996</v>
      </c>
      <c r="F117" s="137">
        <f t="shared" si="58"/>
        <v>-164415.79000000004</v>
      </c>
      <c r="G117" s="137">
        <f t="shared" si="58"/>
        <v>-223479.01000000007</v>
      </c>
      <c r="H117" s="137">
        <f t="shared" si="58"/>
        <v>67487.729999999836</v>
      </c>
      <c r="I117" s="137">
        <f t="shared" si="58"/>
        <v>-246328.00000000009</v>
      </c>
      <c r="J117" s="137">
        <f t="shared" si="58"/>
        <v>-731743.57714285725</v>
      </c>
      <c r="K117" s="137">
        <f t="shared" si="58"/>
        <v>-46839.196190476243</v>
      </c>
      <c r="L117" s="137">
        <f t="shared" si="58"/>
        <v>-29368.624761904823</v>
      </c>
      <c r="M117" s="137">
        <f t="shared" si="58"/>
        <v>-16126.053333333344</v>
      </c>
      <c r="N117" s="137">
        <f t="shared" si="49"/>
        <v>-984033.37142857199</v>
      </c>
      <c r="O117" s="138">
        <f t="shared" si="50"/>
        <v>-0.13254867792023303</v>
      </c>
      <c r="P117" s="84"/>
      <c r="Q117" s="84"/>
      <c r="R117" s="84"/>
      <c r="S117" s="84"/>
      <c r="T117" s="84"/>
      <c r="U117" s="137">
        <f t="shared" ref="U117:AF117" si="59">U64-U116</f>
        <v>-391538.08974709205</v>
      </c>
      <c r="V117" s="137">
        <f t="shared" si="59"/>
        <v>-391538.08974709205</v>
      </c>
      <c r="W117" s="137">
        <f t="shared" si="59"/>
        <v>-391538.08974709205</v>
      </c>
      <c r="X117" s="137">
        <f t="shared" si="59"/>
        <v>-391538.08974709205</v>
      </c>
      <c r="Y117" s="137">
        <f t="shared" si="59"/>
        <v>-391538.08974709205</v>
      </c>
      <c r="Z117" s="137">
        <f t="shared" si="59"/>
        <v>-391538.08974709205</v>
      </c>
      <c r="AA117" s="137">
        <f t="shared" si="59"/>
        <v>-391538.08974709205</v>
      </c>
      <c r="AB117" s="137">
        <f t="shared" si="59"/>
        <v>-391538.08974709205</v>
      </c>
      <c r="AC117" s="137">
        <f t="shared" si="59"/>
        <v>-391538.08974709205</v>
      </c>
      <c r="AD117" s="137">
        <f t="shared" si="59"/>
        <v>-403284.23243950482</v>
      </c>
      <c r="AE117" s="137">
        <f t="shared" si="59"/>
        <v>-403284.23243950482</v>
      </c>
      <c r="AF117" s="137">
        <f t="shared" si="59"/>
        <v>-403284.23243950482</v>
      </c>
      <c r="AG117" s="137">
        <f t="shared" si="51"/>
        <v>-4733695.5050423434</v>
      </c>
      <c r="AH117" s="138" t="str">
        <f t="shared" si="52"/>
        <v/>
      </c>
      <c r="AJ117" s="137">
        <f>AG117-N117</f>
        <v>-3749662.1336137713</v>
      </c>
    </row>
    <row r="118" spans="1:36" x14ac:dyDescent="0.3">
      <c r="A118" s="100" t="s">
        <v>204</v>
      </c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105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105"/>
      <c r="AJ118" s="84"/>
    </row>
    <row r="119" spans="1:36" x14ac:dyDescent="0.3">
      <c r="A119" s="101" t="s">
        <v>205</v>
      </c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105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105"/>
      <c r="AJ119" s="84"/>
    </row>
    <row r="120" spans="1:36" x14ac:dyDescent="0.3">
      <c r="A120" s="113" t="s">
        <v>206</v>
      </c>
      <c r="B120" s="84">
        <f>SUM(FO!B120,PO!B120,CO!B120,FE!B120,PE!B120)</f>
        <v>0</v>
      </c>
      <c r="C120" s="84">
        <f>SUM(FO!C120,PO!C120,CO!C120,FE!C120,PE!C120)</f>
        <v>0</v>
      </c>
      <c r="D120" s="84">
        <f>SUM(FO!D120,PO!D120,CO!D120,FE!D120,PE!D120)</f>
        <v>0</v>
      </c>
      <c r="E120" s="84">
        <f>SUM(FO!E120,PO!E120,CO!E120,FE!E120,PE!E120)</f>
        <v>0</v>
      </c>
      <c r="F120" s="84">
        <f>SUM(FO!F120,PO!F120,CO!F120,FE!F120,PE!F120)</f>
        <v>0</v>
      </c>
      <c r="G120" s="84">
        <f>SUM(FO!G120,PO!G120,CO!G120,FE!G120,PE!G120)</f>
        <v>0</v>
      </c>
      <c r="H120" s="84">
        <f>SUM(FO!H120,PO!H120,CO!H120,FE!H120,PE!H120)</f>
        <v>0</v>
      </c>
      <c r="I120" s="84">
        <f>SUM(FO!I120,PO!I120,CO!I120,FE!I120,PE!I120)</f>
        <v>0</v>
      </c>
      <c r="J120" s="84">
        <f>SUM(FO!J120,PO!J120,CO!J120,FE!J120,PE!J120)</f>
        <v>0</v>
      </c>
      <c r="K120" s="84">
        <f>SUM(FO!K120,PO!K120,CO!K120,FE!K120,PE!K120)</f>
        <v>0</v>
      </c>
      <c r="L120" s="84">
        <f>SUM(FO!L120,PO!L120,CO!L120,FE!L120,PE!L120)</f>
        <v>0</v>
      </c>
      <c r="M120" s="84">
        <f>SUM(FO!M120,PO!M120,CO!M120,FE!M120,PE!M120)</f>
        <v>0</v>
      </c>
      <c r="N120" s="84">
        <f>SUM(B120:M120)</f>
        <v>0</v>
      </c>
      <c r="O120" s="105">
        <f>IFERROR(N120/N$16,"")</f>
        <v>0</v>
      </c>
      <c r="P120" s="84"/>
      <c r="Q120" s="84"/>
      <c r="R120" s="84"/>
      <c r="S120" s="84"/>
      <c r="T120" s="84"/>
      <c r="U120" s="84">
        <f>SUM(FO!U120,PO!U120,CO!U120,FE!U120,PE!U120)</f>
        <v>0</v>
      </c>
      <c r="V120" s="84">
        <f>SUM(FO!V120,PO!V120,CO!V120,FE!V120,PE!V120)</f>
        <v>0</v>
      </c>
      <c r="W120" s="84">
        <f>SUM(FO!W120,PO!W120,CO!W120,FE!W120,PE!W120)</f>
        <v>0</v>
      </c>
      <c r="X120" s="84">
        <f>SUM(FO!X120,PO!X120,CO!X120,FE!X120,PE!X120)</f>
        <v>0</v>
      </c>
      <c r="Y120" s="84">
        <f>SUM(FO!Y120,PO!Y120,CO!Y120,FE!Y120,PE!Y120)</f>
        <v>0</v>
      </c>
      <c r="Z120" s="84">
        <f>SUM(FO!Z120,PO!Z120,CO!Z120,FE!Z120,PE!Z120)</f>
        <v>0</v>
      </c>
      <c r="AA120" s="84">
        <f>SUM(FO!AA120,PO!AA120,CO!AA120,FE!AA120,PE!AA120)</f>
        <v>0</v>
      </c>
      <c r="AB120" s="84">
        <f>SUM(FO!AB120,PO!AB120,CO!AB120,FE!AB120,PE!AB120)</f>
        <v>0</v>
      </c>
      <c r="AC120" s="84">
        <f>SUM(FO!AC120,PO!AC120,CO!AC120,FE!AC120,PE!AC120)</f>
        <v>0</v>
      </c>
      <c r="AD120" s="84">
        <f>SUM(FO!AD120,PO!AD120,CO!AD120,FE!AD120,PE!AD120)</f>
        <v>0</v>
      </c>
      <c r="AE120" s="84">
        <f>SUM(FO!AE120,PO!AE120,CO!AE120,FE!AE120,PE!AE120)</f>
        <v>0</v>
      </c>
      <c r="AF120" s="84">
        <f>SUM(FO!AF120,PO!AF120,CO!AF120,FE!AF120,PE!AF120)</f>
        <v>0</v>
      </c>
      <c r="AG120" s="84">
        <f>SUM(U120:AF120)</f>
        <v>0</v>
      </c>
      <c r="AH120" s="105" t="str">
        <f>IFERROR(AG120/AG$16,"")</f>
        <v/>
      </c>
      <c r="AJ120" s="84">
        <f>AG120-N120</f>
        <v>0</v>
      </c>
    </row>
    <row r="121" spans="1:36" x14ac:dyDescent="0.3">
      <c r="A121" s="113" t="s">
        <v>207</v>
      </c>
      <c r="B121" s="84">
        <f>SUM(FO!B121,PO!B121,CO!B121,FE!B121,PE!B121)</f>
        <v>0</v>
      </c>
      <c r="C121" s="84">
        <f>SUM(FO!C121,PO!C121,CO!C121,FE!C121,PE!C121)</f>
        <v>0</v>
      </c>
      <c r="D121" s="84">
        <f>SUM(FO!D121,PO!D121,CO!D121,FE!D121,PE!D121)</f>
        <v>0</v>
      </c>
      <c r="E121" s="84">
        <f>SUM(FO!E121,PO!E121,CO!E121,FE!E121,PE!E121)</f>
        <v>104811.32</v>
      </c>
      <c r="F121" s="84">
        <f>SUM(FO!F121,PO!F121,CO!F121,FE!F121,PE!F121)</f>
        <v>0</v>
      </c>
      <c r="G121" s="84">
        <f>SUM(FO!G121,PO!G121,CO!G121,FE!G121,PE!G121)</f>
        <v>0</v>
      </c>
      <c r="H121" s="84">
        <f>SUM(FO!H121,PO!H121,CO!H121,FE!H121,PE!H121)</f>
        <v>0</v>
      </c>
      <c r="I121" s="84">
        <f>SUM(FO!I121,PO!I121,CO!I121,FE!I121,PE!I121)</f>
        <v>0</v>
      </c>
      <c r="J121" s="84">
        <f>SUM(FO!J121,PO!J121,CO!J121,FE!J121,PE!J121)</f>
        <v>0</v>
      </c>
      <c r="K121" s="84">
        <f>SUM(FO!K121,PO!K121,CO!K121,FE!K121,PE!K121)</f>
        <v>0</v>
      </c>
      <c r="L121" s="84">
        <f>SUM(FO!L121,PO!L121,CO!L121,FE!L121,PE!L121)</f>
        <v>0</v>
      </c>
      <c r="M121" s="84">
        <f>SUM(FO!M121,PO!M121,CO!M121,FE!M121,PE!M121)</f>
        <v>0</v>
      </c>
      <c r="N121" s="84">
        <f>SUM(B121:M121)</f>
        <v>104811.32</v>
      </c>
      <c r="O121" s="105">
        <f>IFERROR(N121/N$16,"")</f>
        <v>1.4118019063627764E-2</v>
      </c>
      <c r="P121" s="84"/>
      <c r="Q121" s="84"/>
      <c r="R121" s="84"/>
      <c r="S121" s="84"/>
      <c r="T121" s="84"/>
      <c r="U121" s="84">
        <f>SUM(FO!U121,PO!U121,CO!U121,FE!U121,PE!U121)</f>
        <v>0</v>
      </c>
      <c r="V121" s="84">
        <f>SUM(FO!V121,PO!V121,CO!V121,FE!V121,PE!V121)</f>
        <v>0</v>
      </c>
      <c r="W121" s="84">
        <f>SUM(FO!W121,PO!W121,CO!W121,FE!W121,PE!W121)</f>
        <v>0</v>
      </c>
      <c r="X121" s="84">
        <f>SUM(FO!X121,PO!X121,CO!X121,FE!X121,PE!X121)</f>
        <v>0</v>
      </c>
      <c r="Y121" s="84">
        <f>SUM(FO!Y121,PO!Y121,CO!Y121,FE!Y121,PE!Y121)</f>
        <v>0</v>
      </c>
      <c r="Z121" s="84">
        <f>SUM(FO!Z121,PO!Z121,CO!Z121,FE!Z121,PE!Z121)</f>
        <v>0</v>
      </c>
      <c r="AA121" s="84">
        <f>SUM(FO!AA121,PO!AA121,CO!AA121,FE!AA121,PE!AA121)</f>
        <v>0</v>
      </c>
      <c r="AB121" s="84">
        <f>SUM(FO!AB121,PO!AB121,CO!AB121,FE!AB121,PE!AB121)</f>
        <v>0</v>
      </c>
      <c r="AC121" s="84">
        <f>SUM(FO!AC121,PO!AC121,CO!AC121,FE!AC121,PE!AC121)</f>
        <v>0</v>
      </c>
      <c r="AD121" s="84">
        <f>SUM(FO!AD121,PO!AD121,CO!AD121,FE!AD121,PE!AD121)</f>
        <v>0</v>
      </c>
      <c r="AE121" s="84">
        <f>SUM(FO!AE121,PO!AE121,CO!AE121,FE!AE121,PE!AE121)</f>
        <v>0</v>
      </c>
      <c r="AF121" s="84">
        <f>SUM(FO!AF121,PO!AF121,CO!AF121,FE!AF121,PE!AF121)</f>
        <v>0</v>
      </c>
      <c r="AG121" s="84">
        <f>SUM(U121:AF121)</f>
        <v>0</v>
      </c>
      <c r="AH121" s="105" t="str">
        <f>IFERROR(AG121/AG$16,"")</f>
        <v/>
      </c>
      <c r="AJ121" s="84">
        <f>AG121-N121</f>
        <v>-104811.32</v>
      </c>
    </row>
    <row r="122" spans="1:36" x14ac:dyDescent="0.3">
      <c r="A122" s="114" t="s">
        <v>208</v>
      </c>
      <c r="B122" s="110">
        <f t="shared" ref="B122:M122" si="60">SUM(B120:B121)</f>
        <v>0</v>
      </c>
      <c r="C122" s="110">
        <f t="shared" si="60"/>
        <v>0</v>
      </c>
      <c r="D122" s="110">
        <f t="shared" si="60"/>
        <v>0</v>
      </c>
      <c r="E122" s="110">
        <f t="shared" si="60"/>
        <v>104811.32</v>
      </c>
      <c r="F122" s="110">
        <f t="shared" si="60"/>
        <v>0</v>
      </c>
      <c r="G122" s="110">
        <f t="shared" si="60"/>
        <v>0</v>
      </c>
      <c r="H122" s="110">
        <f t="shared" si="60"/>
        <v>0</v>
      </c>
      <c r="I122" s="110">
        <f t="shared" si="60"/>
        <v>0</v>
      </c>
      <c r="J122" s="110">
        <f t="shared" si="60"/>
        <v>0</v>
      </c>
      <c r="K122" s="110">
        <f t="shared" si="60"/>
        <v>0</v>
      </c>
      <c r="L122" s="110">
        <f t="shared" si="60"/>
        <v>0</v>
      </c>
      <c r="M122" s="110">
        <f t="shared" si="60"/>
        <v>0</v>
      </c>
      <c r="N122" s="110">
        <f>SUM(B122:M122)</f>
        <v>104811.32</v>
      </c>
      <c r="O122" s="111">
        <f>IFERROR(N122/N$16,"")</f>
        <v>1.4118019063627764E-2</v>
      </c>
      <c r="P122" s="84"/>
      <c r="Q122" s="84"/>
      <c r="R122" s="84"/>
      <c r="S122" s="84"/>
      <c r="T122" s="84"/>
      <c r="U122" s="110">
        <f t="shared" ref="U122:AF122" si="61">SUM(U120:U121)</f>
        <v>0</v>
      </c>
      <c r="V122" s="110">
        <f t="shared" si="61"/>
        <v>0</v>
      </c>
      <c r="W122" s="110">
        <f t="shared" si="61"/>
        <v>0</v>
      </c>
      <c r="X122" s="110">
        <f t="shared" si="61"/>
        <v>0</v>
      </c>
      <c r="Y122" s="110">
        <f t="shared" si="61"/>
        <v>0</v>
      </c>
      <c r="Z122" s="110">
        <f t="shared" si="61"/>
        <v>0</v>
      </c>
      <c r="AA122" s="110">
        <f t="shared" si="61"/>
        <v>0</v>
      </c>
      <c r="AB122" s="110">
        <f t="shared" si="61"/>
        <v>0</v>
      </c>
      <c r="AC122" s="110">
        <f t="shared" si="61"/>
        <v>0</v>
      </c>
      <c r="AD122" s="110">
        <f t="shared" si="61"/>
        <v>0</v>
      </c>
      <c r="AE122" s="110">
        <f t="shared" si="61"/>
        <v>0</v>
      </c>
      <c r="AF122" s="110">
        <f t="shared" si="61"/>
        <v>0</v>
      </c>
      <c r="AG122" s="110">
        <f>SUM(U122:AF122)</f>
        <v>0</v>
      </c>
      <c r="AH122" s="111" t="str">
        <f>IFERROR(AG122/AG$16,"")</f>
        <v/>
      </c>
      <c r="AJ122" s="110">
        <f>AG122-N122</f>
        <v>-104811.32</v>
      </c>
    </row>
    <row r="123" spans="1:36" x14ac:dyDescent="0.3">
      <c r="A123" s="101" t="s">
        <v>209</v>
      </c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105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105"/>
      <c r="AJ123" s="84"/>
    </row>
    <row r="124" spans="1:36" x14ac:dyDescent="0.3">
      <c r="A124" s="161" t="s">
        <v>210</v>
      </c>
      <c r="B124" s="84">
        <f>SUM(FO!B124,PO!B124,CO!B124,FE!B124,PE!B124)</f>
        <v>0</v>
      </c>
      <c r="C124" s="84">
        <f>SUM(FO!C124,PO!C124,CO!C124,FE!C124,PE!C124)</f>
        <v>0</v>
      </c>
      <c r="D124" s="84">
        <f>SUM(FO!D124,PO!D124,CO!D124,FE!D124,PE!D124)</f>
        <v>0</v>
      </c>
      <c r="E124" s="84">
        <f>SUM(FO!E124,PO!E124,CO!E124,FE!E124,PE!E124)</f>
        <v>0</v>
      </c>
      <c r="F124" s="84">
        <f>SUM(FO!F124,PO!F124,CO!F124,FE!F124,PE!F124)</f>
        <v>0</v>
      </c>
      <c r="G124" s="84">
        <f>SUM(FO!G124,PO!G124,CO!G124,FE!G124,PE!G124)</f>
        <v>0</v>
      </c>
      <c r="H124" s="84">
        <v>0</v>
      </c>
      <c r="I124" s="84">
        <v>0</v>
      </c>
      <c r="J124" s="84">
        <v>0</v>
      </c>
      <c r="K124" s="84">
        <v>0</v>
      </c>
      <c r="L124" s="84">
        <v>0</v>
      </c>
      <c r="M124" s="84">
        <v>0</v>
      </c>
      <c r="N124" s="84">
        <v>0</v>
      </c>
      <c r="O124" s="105">
        <f t="shared" ref="O124:O132" si="62">IFERROR(N124/N$16,"")</f>
        <v>0</v>
      </c>
      <c r="P124" s="84"/>
      <c r="Q124" s="84"/>
      <c r="R124" s="84"/>
      <c r="S124" s="84"/>
      <c r="T124" s="84"/>
      <c r="U124" s="84">
        <v>0</v>
      </c>
      <c r="V124" s="84">
        <v>0</v>
      </c>
      <c r="W124" s="84">
        <v>0</v>
      </c>
      <c r="X124" s="84">
        <v>0</v>
      </c>
      <c r="Y124" s="84">
        <v>0</v>
      </c>
      <c r="Z124" s="84">
        <v>0</v>
      </c>
      <c r="AA124" s="84">
        <v>0</v>
      </c>
      <c r="AB124" s="84">
        <v>0</v>
      </c>
      <c r="AC124" s="84">
        <v>0</v>
      </c>
      <c r="AD124" s="84">
        <v>0</v>
      </c>
      <c r="AE124" s="84">
        <v>0</v>
      </c>
      <c r="AF124" s="84">
        <v>0</v>
      </c>
      <c r="AG124" s="84">
        <f>SUM(U124:AF124)</f>
        <v>0</v>
      </c>
      <c r="AH124" s="105" t="str">
        <f>IFERROR(AG124/AG$16,"")</f>
        <v/>
      </c>
      <c r="AJ124" s="84">
        <f>N124-AG124</f>
        <v>0</v>
      </c>
    </row>
    <row r="125" spans="1:36" x14ac:dyDescent="0.3">
      <c r="A125" s="113" t="s">
        <v>211</v>
      </c>
      <c r="B125" s="84">
        <f>SUM(FO!B125,PO!B125,CO!B125,FE!B125,PE!B125)</f>
        <v>0</v>
      </c>
      <c r="C125" s="84">
        <f>SUM(FO!C125,PO!C125,CO!C125,FE!C125,PE!C125)</f>
        <v>0</v>
      </c>
      <c r="D125" s="84">
        <f>SUM(FO!D125,PO!D125,CO!D125,FE!D125,PE!D125)</f>
        <v>0</v>
      </c>
      <c r="E125" s="84">
        <f>SUM(FO!E125,PO!E125,CO!E125,FE!E125,PE!E125)</f>
        <v>0</v>
      </c>
      <c r="F125" s="84">
        <f>SUM(FO!F125,PO!F125,CO!F125,FE!F125,PE!F125)</f>
        <v>0</v>
      </c>
      <c r="G125" s="84">
        <f>SUM(FO!G125,PO!G125,CO!G125,FE!G125,PE!G125)</f>
        <v>0</v>
      </c>
      <c r="H125" s="84">
        <f>SUM(FO!H125,PO!H125,CO!H125,FE!H125,PE!H125)</f>
        <v>0</v>
      </c>
      <c r="I125" s="84">
        <f>SUM(FO!I125,PO!I125,CO!I125,FE!I125,PE!I125)</f>
        <v>0</v>
      </c>
      <c r="J125" s="84">
        <f>SUM(FO!J125,PO!J125,CO!J125,FE!J125,PE!J125)</f>
        <v>0</v>
      </c>
      <c r="K125" s="84">
        <f>SUM(FO!K125,PO!K125,CO!K125,FE!K125,PE!K125)</f>
        <v>0</v>
      </c>
      <c r="L125" s="84">
        <f>SUM(FO!L125,PO!L125,CO!L125,FE!L125,PE!L125)</f>
        <v>0</v>
      </c>
      <c r="M125" s="84">
        <f>SUM(FO!M125,PO!M125,CO!M125,FE!M125,PE!M125)</f>
        <v>0</v>
      </c>
      <c r="N125" s="84">
        <f t="shared" ref="N125:N132" si="63">SUM(B125:M125)</f>
        <v>0</v>
      </c>
      <c r="O125" s="105">
        <f t="shared" si="62"/>
        <v>0</v>
      </c>
      <c r="P125" s="84"/>
      <c r="Q125" s="84"/>
      <c r="R125" s="84"/>
      <c r="S125" s="84"/>
      <c r="T125" s="84"/>
      <c r="U125" s="84">
        <f>SUM(FO!U125,PO!U125,CO!U125,FE!U125,PE!U125)</f>
        <v>0</v>
      </c>
      <c r="V125" s="84">
        <f>SUM(FO!V125,PO!V125,CO!V125,FE!V125,PE!V125)</f>
        <v>0</v>
      </c>
      <c r="W125" s="84">
        <f>SUM(FO!W125,PO!W125,CO!W125,FE!W125,PE!W125)</f>
        <v>0</v>
      </c>
      <c r="X125" s="84">
        <f>SUM(FO!X125,PO!X125,CO!X125,FE!X125,PE!X125)</f>
        <v>0</v>
      </c>
      <c r="Y125" s="84">
        <f>SUM(FO!Y125,PO!Y125,CO!Y125,FE!Y125,PE!Y125)</f>
        <v>0</v>
      </c>
      <c r="Z125" s="84">
        <f>SUM(FO!Z125,PO!Z125,CO!Z125,FE!Z125,PE!Z125)</f>
        <v>0</v>
      </c>
      <c r="AA125" s="84">
        <f>SUM(FO!AA125,PO!AA125,CO!AA125,FE!AA125,PE!AA125)</f>
        <v>0</v>
      </c>
      <c r="AB125" s="84">
        <f>SUM(FO!AB125,PO!AB125,CO!AB125,FE!AB125,PE!AB125)</f>
        <v>0</v>
      </c>
      <c r="AC125" s="84">
        <f>SUM(FO!AC125,PO!AC125,CO!AC125,FE!AC125,PE!AC125)</f>
        <v>0</v>
      </c>
      <c r="AD125" s="84">
        <f>SUM(FO!AD125,PO!AD125,CO!AD125,FE!AD125,PE!AD125)</f>
        <v>0</v>
      </c>
      <c r="AE125" s="84">
        <f>SUM(FO!AE125,PO!AE125,CO!AE125,FE!AE125,PE!AE125)</f>
        <v>0</v>
      </c>
      <c r="AF125" s="84">
        <f>SUM(FO!AF125,PO!AF125,CO!AF125,FE!AF125,PE!AF125)</f>
        <v>0</v>
      </c>
      <c r="AG125" s="84">
        <f>SUM(U125:AF125)</f>
        <v>0</v>
      </c>
      <c r="AH125" s="105" t="str">
        <f>IFERROR(AG125/AG$16,"")</f>
        <v/>
      </c>
      <c r="AJ125" s="84">
        <f>N125-AG125</f>
        <v>0</v>
      </c>
    </row>
    <row r="126" spans="1:36" x14ac:dyDescent="0.3">
      <c r="A126" s="113" t="s">
        <v>212</v>
      </c>
      <c r="B126" s="84">
        <f>SUM(FO!B126,PO!B126,CO!B126,FE!B126,PE!B126)</f>
        <v>0</v>
      </c>
      <c r="C126" s="84">
        <f>SUM(FO!C126,PO!C126,CO!C126,FE!C126,PE!C126)</f>
        <v>0</v>
      </c>
      <c r="D126" s="84">
        <f>SUM(FO!D126,PO!D126,CO!D126,FE!D126,PE!D126)</f>
        <v>0</v>
      </c>
      <c r="E126" s="84">
        <f>SUM(FO!E126,PO!E126,CO!E126,FE!E126,PE!E126)</f>
        <v>0</v>
      </c>
      <c r="F126" s="84">
        <f>SUM(FO!F126,PO!F126,CO!F126,FE!F126,PE!F126)</f>
        <v>0</v>
      </c>
      <c r="G126" s="84">
        <f>SUM(FO!G126,PO!G126,CO!G126,FE!G126,PE!G126)</f>
        <v>0</v>
      </c>
      <c r="H126" s="84">
        <f>SUM(FO!H126,PO!H126,CO!H126,FE!H126,PE!H126)</f>
        <v>0</v>
      </c>
      <c r="I126" s="84">
        <f>SUM(FO!I126,PO!I126,CO!I126,FE!I126,PE!I126)</f>
        <v>0</v>
      </c>
      <c r="J126" s="84">
        <f>SUM(FO!J126,PO!J126,CO!J126,FE!J126,PE!J126)</f>
        <v>5000</v>
      </c>
      <c r="K126" s="84">
        <f>SUM(FO!K126,PO!K126,CO!K126,FE!K126,PE!K126)</f>
        <v>5000</v>
      </c>
      <c r="L126" s="84">
        <f>SUM(FO!L126,PO!L126,CO!L126,FE!L126,PE!L126)</f>
        <v>5000</v>
      </c>
      <c r="M126" s="84">
        <f>SUM(FO!M126,PO!M126,CO!M126,FE!M126,PE!M126)</f>
        <v>5000</v>
      </c>
      <c r="N126" s="84">
        <f t="shared" si="63"/>
        <v>20000</v>
      </c>
      <c r="O126" s="105">
        <f t="shared" si="62"/>
        <v>2.6939874554824353E-3</v>
      </c>
      <c r="P126" s="84"/>
      <c r="Q126" s="84"/>
      <c r="R126" s="84"/>
      <c r="S126" s="84"/>
      <c r="T126" s="84"/>
      <c r="U126" s="84">
        <f>SUM(FO!U126,PO!U126,CO!U126,FE!U126,PE!U126)</f>
        <v>0</v>
      </c>
      <c r="V126" s="84">
        <f>SUM(FO!V126,PO!V126,CO!V126,FE!V126,PE!V126)</f>
        <v>0</v>
      </c>
      <c r="W126" s="84">
        <f>SUM(FO!W126,PO!W126,CO!W126,FE!W126,PE!W126)</f>
        <v>0</v>
      </c>
      <c r="X126" s="84">
        <f>SUM(FO!X126,PO!X126,CO!X126,FE!X126,PE!X126)</f>
        <v>0</v>
      </c>
      <c r="Y126" s="84">
        <f>SUM(FO!Y126,PO!Y126,CO!Y126,FE!Y126,PE!Y126)</f>
        <v>0</v>
      </c>
      <c r="Z126" s="84">
        <f>SUM(FO!Z126,PO!Z126,CO!Z126,FE!Z126,PE!Z126)</f>
        <v>0</v>
      </c>
      <c r="AA126" s="84">
        <f>SUM(FO!AA126,PO!AA126,CO!AA126,FE!AA126,PE!AA126)</f>
        <v>0</v>
      </c>
      <c r="AB126" s="84">
        <f>SUM(FO!AB126,PO!AB126,CO!AB126,FE!AB126,PE!AB126)</f>
        <v>0</v>
      </c>
      <c r="AC126" s="84">
        <f>SUM(FO!AC126,PO!AC126,CO!AC126,FE!AC126,PE!AC126)</f>
        <v>0</v>
      </c>
      <c r="AD126" s="84">
        <f>SUM(FO!AD126,PO!AD126,CO!AD126,FE!AD126,PE!AD126)</f>
        <v>0</v>
      </c>
      <c r="AE126" s="84">
        <f>SUM(FO!AE126,PO!AE126,CO!AE126,FE!AE126,PE!AE126)</f>
        <v>0</v>
      </c>
      <c r="AF126" s="84">
        <f>SUM(FO!AF126,PO!AF126,CO!AF126,FE!AF126,PE!AF126)</f>
        <v>0</v>
      </c>
      <c r="AG126" s="84">
        <f>SUM(U126:AF126)</f>
        <v>0</v>
      </c>
      <c r="AH126" s="105" t="str">
        <f>IFERROR(AG126/AG$16,"")</f>
        <v/>
      </c>
      <c r="AJ126" s="84">
        <f>N126-AG126</f>
        <v>20000</v>
      </c>
    </row>
    <row r="127" spans="1:36" x14ac:dyDescent="0.3">
      <c r="A127" s="113" t="s">
        <v>213</v>
      </c>
      <c r="B127" s="84">
        <f>SUM(FO!B127,PO!B127,CO!B127,FE!B127,PE!B127)</f>
        <v>0</v>
      </c>
      <c r="C127" s="84">
        <f>SUM(FO!C127,PO!C127,CO!C127,FE!C127,PE!C127)</f>
        <v>0</v>
      </c>
      <c r="D127" s="84">
        <f>SUM(FO!D127,PO!D127,CO!D127,FE!D127,PE!D127)</f>
        <v>0</v>
      </c>
      <c r="E127" s="84">
        <f>SUM(FO!E127,PO!E127,CO!E127,FE!E127,PE!E127)</f>
        <v>0</v>
      </c>
      <c r="F127" s="84">
        <f>SUM(FO!F127,PO!F127,CO!F127,FE!F127,PE!F127)</f>
        <v>0</v>
      </c>
      <c r="G127" s="84">
        <f>SUM(FO!G127,PO!G127,CO!G127,FE!G127,PE!G127)</f>
        <v>0</v>
      </c>
      <c r="H127" s="84">
        <f>SUM(FO!H127,PO!H127,CO!H127,FE!H127,PE!H127)</f>
        <v>0</v>
      </c>
      <c r="I127" s="84">
        <f>SUM(FO!I127,PO!I127,CO!I127,FE!I127,PE!I127)</f>
        <v>0</v>
      </c>
      <c r="J127" s="84">
        <f>SUM(FO!J127,PO!J127,CO!J127,FE!J127,PE!J127)</f>
        <v>0</v>
      </c>
      <c r="K127" s="84">
        <f>SUM(FO!K127,PO!K127,CO!K127,FE!K127,PE!K127)</f>
        <v>0</v>
      </c>
      <c r="L127" s="84">
        <f>SUM(FO!L127,PO!L127,CO!L127,FE!L127,PE!L127)</f>
        <v>0</v>
      </c>
      <c r="M127" s="84">
        <f>SUM(FO!M127,PO!M127,CO!M127,FE!M127,PE!M127)</f>
        <v>0</v>
      </c>
      <c r="N127" s="84">
        <f t="shared" si="63"/>
        <v>0</v>
      </c>
      <c r="O127" s="105">
        <f t="shared" si="62"/>
        <v>0</v>
      </c>
      <c r="P127" s="84"/>
      <c r="Q127" s="84"/>
      <c r="R127" s="84"/>
      <c r="S127" s="84"/>
      <c r="T127" s="84"/>
      <c r="U127" s="84">
        <f>SUM(FO!U127,PO!U127,CO!U127,FE!U127,PE!U127)</f>
        <v>0</v>
      </c>
      <c r="V127" s="84">
        <f>SUM(FO!V127,PO!V127,CO!V127,FE!V127,PE!V127)</f>
        <v>0</v>
      </c>
      <c r="W127" s="84">
        <f>SUM(FO!W127,PO!W127,CO!W127,FE!W127,PE!W127)</f>
        <v>0</v>
      </c>
      <c r="X127" s="84">
        <f>SUM(FO!X127,PO!X127,CO!X127,FE!X127,PE!X127)</f>
        <v>0</v>
      </c>
      <c r="Y127" s="84">
        <f>SUM(FO!Y127,PO!Y127,CO!Y127,FE!Y127,PE!Y127)</f>
        <v>0</v>
      </c>
      <c r="Z127" s="84">
        <f>SUM(FO!Z127,PO!Z127,CO!Z127,FE!Z127,PE!Z127)</f>
        <v>0</v>
      </c>
      <c r="AA127" s="84">
        <f>SUM(FO!AA127,PO!AA127,CO!AA127,FE!AA127,PE!AA127)</f>
        <v>0</v>
      </c>
      <c r="AB127" s="84">
        <f>SUM(FO!AB127,PO!AB127,CO!AB127,FE!AB127,PE!AB127)</f>
        <v>0</v>
      </c>
      <c r="AC127" s="84">
        <f>SUM(FO!AC127,PO!AC127,CO!AC127,FE!AC127,PE!AC127)</f>
        <v>0</v>
      </c>
      <c r="AD127" s="84">
        <f>SUM(FO!AD127,PO!AD127,CO!AD127,FE!AD127,PE!AD127)</f>
        <v>0</v>
      </c>
      <c r="AE127" s="84">
        <f>SUM(FO!AE127,PO!AE127,CO!AE127,FE!AE127,PE!AE127)</f>
        <v>0</v>
      </c>
      <c r="AF127" s="84">
        <f>SUM(FO!AF127,PO!AF127,CO!AF127,FE!AF127,PE!AF127)</f>
        <v>0</v>
      </c>
      <c r="AG127" s="84"/>
      <c r="AH127" s="105"/>
      <c r="AJ127" s="84"/>
    </row>
    <row r="128" spans="1:36" x14ac:dyDescent="0.3">
      <c r="A128" s="113" t="s">
        <v>214</v>
      </c>
      <c r="B128" s="84">
        <f>SUM(FO!B128,PO!B128,CO!B128,FE!B128,PE!B128)</f>
        <v>0</v>
      </c>
      <c r="C128" s="84">
        <f>SUM(FO!C128,PO!C128,CO!C128,FE!C128,PE!C128)</f>
        <v>0</v>
      </c>
      <c r="D128" s="84">
        <f>SUM(FO!D128,PO!D128,CO!D128,FE!D128,PE!D128)</f>
        <v>0</v>
      </c>
      <c r="E128" s="84">
        <f>SUM(FO!E128,PO!E128,CO!E128,FE!E128,PE!E128)</f>
        <v>0</v>
      </c>
      <c r="F128" s="84">
        <f>SUM(FO!F128,PO!F128,CO!F128,FE!F128,PE!F128)</f>
        <v>0</v>
      </c>
      <c r="G128" s="84">
        <f>SUM(FO!G128,PO!G128,CO!G128,FE!G128,PE!G128)</f>
        <v>0</v>
      </c>
      <c r="H128" s="84">
        <f>SUM(FO!H128,PO!H128,CO!H128,FE!H128,PE!H128)</f>
        <v>0</v>
      </c>
      <c r="I128" s="84">
        <f>SUM(FO!I128,PO!I128,CO!I128,FE!I128,PE!I128)</f>
        <v>0</v>
      </c>
      <c r="J128" s="84">
        <f>SUM(FO!J128,PO!J128,CO!J128,FE!J128,PE!J128)</f>
        <v>0</v>
      </c>
      <c r="K128" s="84">
        <f>SUM(FO!K128,PO!K128,CO!K128,FE!K128,PE!K128)</f>
        <v>0</v>
      </c>
      <c r="L128" s="84">
        <f>SUM(FO!L128,PO!L128,CO!L128,FE!L128,PE!L128)</f>
        <v>0</v>
      </c>
      <c r="M128" s="84">
        <f>SUM(FO!M128,PO!M128,CO!M128,FE!M128,PE!M128)</f>
        <v>0</v>
      </c>
      <c r="N128" s="84">
        <f t="shared" si="63"/>
        <v>0</v>
      </c>
      <c r="O128" s="105">
        <f t="shared" si="62"/>
        <v>0</v>
      </c>
      <c r="P128" s="84"/>
      <c r="Q128" s="84"/>
      <c r="R128" s="84"/>
      <c r="S128" s="84"/>
      <c r="T128" s="84"/>
      <c r="U128" s="84">
        <f>SUM(FO!U128,PO!U128,CO!U128,FE!U128,PE!U128)</f>
        <v>0</v>
      </c>
      <c r="V128" s="84">
        <f>SUM(FO!V128,PO!V128,CO!V128,FE!V128,PE!V128)</f>
        <v>0</v>
      </c>
      <c r="W128" s="84">
        <f>SUM(FO!W128,PO!W128,CO!W128,FE!W128,PE!W128)</f>
        <v>0</v>
      </c>
      <c r="X128" s="84">
        <f>SUM(FO!X128,PO!X128,CO!X128,FE!X128,PE!X128)</f>
        <v>0</v>
      </c>
      <c r="Y128" s="84">
        <f>SUM(FO!Y128,PO!Y128,CO!Y128,FE!Y128,PE!Y128)</f>
        <v>0</v>
      </c>
      <c r="Z128" s="84">
        <f>SUM(FO!Z128,PO!Z128,CO!Z128,FE!Z128,PE!Z128)</f>
        <v>0</v>
      </c>
      <c r="AA128" s="84">
        <f>SUM(FO!AA128,PO!AA128,CO!AA128,FE!AA128,PE!AA128)</f>
        <v>0</v>
      </c>
      <c r="AB128" s="84">
        <f>SUM(FO!AB128,PO!AB128,CO!AB128,FE!AB128,PE!AB128)</f>
        <v>0</v>
      </c>
      <c r="AC128" s="84">
        <f>SUM(FO!AC128,PO!AC128,CO!AC128,FE!AC128,PE!AC128)</f>
        <v>0</v>
      </c>
      <c r="AD128" s="84">
        <f>SUM(FO!AD128,PO!AD128,CO!AD128,FE!AD128,PE!AD128)</f>
        <v>0</v>
      </c>
      <c r="AE128" s="84">
        <f>SUM(FO!AE128,PO!AE128,CO!AE128,FE!AE128,PE!AE128)</f>
        <v>0</v>
      </c>
      <c r="AF128" s="84">
        <f>SUM(FO!AF128,PO!AF128,CO!AF128,FE!AF128,PE!AF128)</f>
        <v>0</v>
      </c>
      <c r="AG128" s="84">
        <f>SUM(U128:AF128)</f>
        <v>0</v>
      </c>
      <c r="AH128" s="105" t="str">
        <f>IFERROR(AG128/AG$16,"")</f>
        <v/>
      </c>
      <c r="AJ128" s="84">
        <f>N128-AG128</f>
        <v>0</v>
      </c>
    </row>
    <row r="129" spans="1:37" x14ac:dyDescent="0.3">
      <c r="A129" s="113" t="s">
        <v>215</v>
      </c>
      <c r="B129" s="84">
        <f>SUM(FO!B129,PO!B129,CO!B129,FE!B129,PE!B129)</f>
        <v>0</v>
      </c>
      <c r="C129" s="84">
        <f>SUM(FO!C129,PO!C129,CO!C129,FE!C129,PE!C129)</f>
        <v>0</v>
      </c>
      <c r="D129" s="84">
        <f>SUM(FO!D129,PO!D129,CO!D129,FE!D129,PE!D129)</f>
        <v>0</v>
      </c>
      <c r="E129" s="84">
        <f>SUM(FO!E129,PO!E129,CO!E129,FE!E129,PE!E129)</f>
        <v>0</v>
      </c>
      <c r="F129" s="84">
        <f>SUM(FO!F129,PO!F129,CO!F129,FE!F129,PE!F129)</f>
        <v>0</v>
      </c>
      <c r="G129" s="84">
        <f>SUM(FO!G129,PO!G129,CO!G129,FE!G129,PE!G129)</f>
        <v>0</v>
      </c>
      <c r="H129" s="84">
        <f>SUM(FO!H129,PO!H129,CO!H129,FE!H129,PE!H129)</f>
        <v>0</v>
      </c>
      <c r="I129" s="84">
        <f>SUM(FO!I129,PO!I129,CO!I129,FE!I129,PE!I129)</f>
        <v>0</v>
      </c>
      <c r="J129" s="84">
        <f>SUM(FO!J129,PO!J129,CO!J129,FE!J129,PE!J129)</f>
        <v>0</v>
      </c>
      <c r="K129" s="84">
        <f>SUM(FO!K129,PO!K129,CO!K129,FE!K129,PE!K129)</f>
        <v>0</v>
      </c>
      <c r="L129" s="84">
        <f>SUM(FO!L129,PO!L129,CO!L129,FE!L129,PE!L129)</f>
        <v>0</v>
      </c>
      <c r="M129" s="84">
        <f>SUM(FO!M129,PO!M129,CO!M129,FE!M129,PE!M129)</f>
        <v>0</v>
      </c>
      <c r="N129" s="84">
        <f t="shared" si="63"/>
        <v>0</v>
      </c>
      <c r="O129" s="105">
        <f t="shared" si="62"/>
        <v>0</v>
      </c>
      <c r="P129" s="84"/>
      <c r="Q129" s="84"/>
      <c r="R129" s="84"/>
      <c r="S129" s="84"/>
      <c r="T129" s="84"/>
      <c r="U129" s="84">
        <f>SUM(FO!U129,PO!U129,CO!U129,FE!U129,PE!U129)</f>
        <v>0</v>
      </c>
      <c r="V129" s="84">
        <f>SUM(FO!V129,PO!V129,CO!V129,FE!V129,PE!V129)</f>
        <v>0</v>
      </c>
      <c r="W129" s="84">
        <f>SUM(FO!W129,PO!W129,CO!W129,FE!W129,PE!W129)</f>
        <v>0</v>
      </c>
      <c r="X129" s="84">
        <f>SUM(FO!X129,PO!X129,CO!X129,FE!X129,PE!X129)</f>
        <v>0</v>
      </c>
      <c r="Y129" s="84">
        <f>SUM(FO!Y129,PO!Y129,CO!Y129,FE!Y129,PE!Y129)</f>
        <v>0</v>
      </c>
      <c r="Z129" s="84">
        <f>SUM(FO!Z129,PO!Z129,CO!Z129,FE!Z129,PE!Z129)</f>
        <v>0</v>
      </c>
      <c r="AA129" s="84">
        <f>SUM(FO!AA129,PO!AA129,CO!AA129,FE!AA129,PE!AA129)</f>
        <v>0</v>
      </c>
      <c r="AB129" s="84">
        <f>SUM(FO!AB129,PO!AB129,CO!AB129,FE!AB129,PE!AB129)</f>
        <v>0</v>
      </c>
      <c r="AC129" s="84">
        <f>SUM(FO!AC129,PO!AC129,CO!AC129,FE!AC129,PE!AC129)</f>
        <v>0</v>
      </c>
      <c r="AD129" s="84">
        <f>SUM(FO!AD129,PO!AD129,CO!AD129,FE!AD129,PE!AD129)</f>
        <v>0</v>
      </c>
      <c r="AE129" s="84">
        <f>SUM(FO!AE129,PO!AE129,CO!AE129,FE!AE129,PE!AE129)</f>
        <v>0</v>
      </c>
      <c r="AF129" s="84">
        <f>SUM(FO!AF129,PO!AF129,CO!AF129,FE!AF129,PE!AF129)</f>
        <v>0</v>
      </c>
      <c r="AG129" s="84">
        <f>SUM(U129:AF129)</f>
        <v>0</v>
      </c>
      <c r="AH129" s="105" t="str">
        <f>IFERROR(AG129/AG$16,"")</f>
        <v/>
      </c>
      <c r="AJ129" s="84">
        <f>N129-AG129</f>
        <v>0</v>
      </c>
    </row>
    <row r="130" spans="1:37" x14ac:dyDescent="0.3">
      <c r="A130" s="114" t="s">
        <v>216</v>
      </c>
      <c r="B130" s="110">
        <f t="shared" ref="B130:M130" si="64">SUM(B124:B129)</f>
        <v>0</v>
      </c>
      <c r="C130" s="110">
        <f t="shared" si="64"/>
        <v>0</v>
      </c>
      <c r="D130" s="110">
        <f t="shared" si="64"/>
        <v>0</v>
      </c>
      <c r="E130" s="110">
        <f t="shared" si="64"/>
        <v>0</v>
      </c>
      <c r="F130" s="110">
        <f t="shared" si="64"/>
        <v>0</v>
      </c>
      <c r="G130" s="110">
        <f t="shared" si="64"/>
        <v>0</v>
      </c>
      <c r="H130" s="110">
        <f t="shared" si="64"/>
        <v>0</v>
      </c>
      <c r="I130" s="110">
        <f t="shared" si="64"/>
        <v>0</v>
      </c>
      <c r="J130" s="110">
        <f t="shared" si="64"/>
        <v>5000</v>
      </c>
      <c r="K130" s="110">
        <f t="shared" si="64"/>
        <v>5000</v>
      </c>
      <c r="L130" s="110">
        <f t="shared" si="64"/>
        <v>5000</v>
      </c>
      <c r="M130" s="110">
        <f t="shared" si="64"/>
        <v>5000</v>
      </c>
      <c r="N130" s="110">
        <f t="shared" si="63"/>
        <v>20000</v>
      </c>
      <c r="O130" s="111">
        <f t="shared" si="62"/>
        <v>2.6939874554824353E-3</v>
      </c>
      <c r="P130" s="84"/>
      <c r="Q130" s="84"/>
      <c r="R130" s="84"/>
      <c r="S130" s="84"/>
      <c r="T130" s="84"/>
      <c r="U130" s="110">
        <f t="shared" ref="U130:AF130" si="65">SUM(U124:U129)</f>
        <v>0</v>
      </c>
      <c r="V130" s="110">
        <f t="shared" si="65"/>
        <v>0</v>
      </c>
      <c r="W130" s="110">
        <f t="shared" si="65"/>
        <v>0</v>
      </c>
      <c r="X130" s="110">
        <f t="shared" si="65"/>
        <v>0</v>
      </c>
      <c r="Y130" s="110">
        <f t="shared" si="65"/>
        <v>0</v>
      </c>
      <c r="Z130" s="110">
        <f t="shared" si="65"/>
        <v>0</v>
      </c>
      <c r="AA130" s="110">
        <f t="shared" si="65"/>
        <v>0</v>
      </c>
      <c r="AB130" s="110">
        <f t="shared" si="65"/>
        <v>0</v>
      </c>
      <c r="AC130" s="110">
        <f t="shared" si="65"/>
        <v>0</v>
      </c>
      <c r="AD130" s="110">
        <f t="shared" si="65"/>
        <v>0</v>
      </c>
      <c r="AE130" s="110">
        <f t="shared" si="65"/>
        <v>0</v>
      </c>
      <c r="AF130" s="110">
        <f t="shared" si="65"/>
        <v>0</v>
      </c>
      <c r="AG130" s="110">
        <f>SUM(U130:AF130)</f>
        <v>0</v>
      </c>
      <c r="AH130" s="111" t="str">
        <f>IFERROR(AG130/AG$16,"")</f>
        <v/>
      </c>
      <c r="AJ130" s="110">
        <f>N130-AG130</f>
        <v>20000</v>
      </c>
    </row>
    <row r="131" spans="1:37" x14ac:dyDescent="0.3">
      <c r="A131" s="122" t="s">
        <v>217</v>
      </c>
      <c r="B131" s="110">
        <f t="shared" ref="B131:M131" si="66">B122-B130</f>
        <v>0</v>
      </c>
      <c r="C131" s="110">
        <f t="shared" si="66"/>
        <v>0</v>
      </c>
      <c r="D131" s="110">
        <f t="shared" si="66"/>
        <v>0</v>
      </c>
      <c r="E131" s="110">
        <f t="shared" si="66"/>
        <v>104811.32</v>
      </c>
      <c r="F131" s="110">
        <f t="shared" si="66"/>
        <v>0</v>
      </c>
      <c r="G131" s="110">
        <f t="shared" si="66"/>
        <v>0</v>
      </c>
      <c r="H131" s="110">
        <f t="shared" si="66"/>
        <v>0</v>
      </c>
      <c r="I131" s="110">
        <f t="shared" si="66"/>
        <v>0</v>
      </c>
      <c r="J131" s="110">
        <f t="shared" si="66"/>
        <v>-5000</v>
      </c>
      <c r="K131" s="110">
        <f t="shared" si="66"/>
        <v>-5000</v>
      </c>
      <c r="L131" s="110">
        <f t="shared" si="66"/>
        <v>-5000</v>
      </c>
      <c r="M131" s="110">
        <f t="shared" si="66"/>
        <v>-5000</v>
      </c>
      <c r="N131" s="110">
        <f t="shared" si="63"/>
        <v>84811.32</v>
      </c>
      <c r="O131" s="111">
        <f t="shared" si="62"/>
        <v>1.1424031608145329E-2</v>
      </c>
      <c r="P131" s="84"/>
      <c r="Q131" s="84"/>
      <c r="R131" s="84"/>
      <c r="S131" s="84"/>
      <c r="T131" s="84"/>
      <c r="U131" s="110">
        <f t="shared" ref="U131:AF131" si="67">U122-U130</f>
        <v>0</v>
      </c>
      <c r="V131" s="110">
        <f t="shared" si="67"/>
        <v>0</v>
      </c>
      <c r="W131" s="110">
        <f t="shared" si="67"/>
        <v>0</v>
      </c>
      <c r="X131" s="110">
        <f t="shared" si="67"/>
        <v>0</v>
      </c>
      <c r="Y131" s="110">
        <f t="shared" si="67"/>
        <v>0</v>
      </c>
      <c r="Z131" s="110">
        <f t="shared" si="67"/>
        <v>0</v>
      </c>
      <c r="AA131" s="110">
        <f t="shared" si="67"/>
        <v>0</v>
      </c>
      <c r="AB131" s="110">
        <f t="shared" si="67"/>
        <v>0</v>
      </c>
      <c r="AC131" s="110">
        <f t="shared" si="67"/>
        <v>0</v>
      </c>
      <c r="AD131" s="110">
        <f t="shared" si="67"/>
        <v>0</v>
      </c>
      <c r="AE131" s="110">
        <f t="shared" si="67"/>
        <v>0</v>
      </c>
      <c r="AF131" s="110">
        <f t="shared" si="67"/>
        <v>0</v>
      </c>
      <c r="AG131" s="110">
        <f>SUM(U131:AF131)</f>
        <v>0</v>
      </c>
      <c r="AH131" s="111" t="str">
        <f>IFERROR(AG131/AG$16,"")</f>
        <v/>
      </c>
      <c r="AJ131" s="110">
        <f>AG131-N131</f>
        <v>-84811.32</v>
      </c>
    </row>
    <row r="132" spans="1:37" x14ac:dyDescent="0.3">
      <c r="A132" s="130" t="s">
        <v>218</v>
      </c>
      <c r="B132" s="131">
        <f t="shared" ref="B132:M132" si="68">B117+B131</f>
        <v>114581.30000000005</v>
      </c>
      <c r="C132" s="131">
        <f t="shared" si="68"/>
        <v>186181.91000000006</v>
      </c>
      <c r="D132" s="131">
        <f t="shared" si="68"/>
        <v>-46641.990000000049</v>
      </c>
      <c r="E132" s="131">
        <f t="shared" si="68"/>
        <v>257469.24999999997</v>
      </c>
      <c r="F132" s="131">
        <f t="shared" si="68"/>
        <v>-164415.79000000004</v>
      </c>
      <c r="G132" s="131">
        <f t="shared" si="68"/>
        <v>-223479.01000000007</v>
      </c>
      <c r="H132" s="131">
        <f t="shared" si="68"/>
        <v>67487.729999999836</v>
      </c>
      <c r="I132" s="131">
        <f t="shared" si="68"/>
        <v>-246328.00000000009</v>
      </c>
      <c r="J132" s="131">
        <f t="shared" si="68"/>
        <v>-736743.57714285725</v>
      </c>
      <c r="K132" s="131">
        <f t="shared" si="68"/>
        <v>-51839.196190476243</v>
      </c>
      <c r="L132" s="131">
        <f t="shared" si="68"/>
        <v>-34368.624761904823</v>
      </c>
      <c r="M132" s="131">
        <f t="shared" si="68"/>
        <v>-21126.053333333344</v>
      </c>
      <c r="N132" s="131">
        <f t="shared" si="63"/>
        <v>-899222.05142857193</v>
      </c>
      <c r="O132" s="132">
        <f t="shared" si="62"/>
        <v>-0.12112464631208769</v>
      </c>
      <c r="P132" s="84"/>
      <c r="Q132" s="84"/>
      <c r="R132" s="84"/>
      <c r="S132" s="84"/>
      <c r="T132" s="84"/>
      <c r="U132" s="131">
        <f t="shared" ref="U132:AF132" si="69">U117+U131</f>
        <v>-391538.08974709205</v>
      </c>
      <c r="V132" s="131">
        <f t="shared" si="69"/>
        <v>-391538.08974709205</v>
      </c>
      <c r="W132" s="131">
        <f t="shared" si="69"/>
        <v>-391538.08974709205</v>
      </c>
      <c r="X132" s="131">
        <f t="shared" si="69"/>
        <v>-391538.08974709205</v>
      </c>
      <c r="Y132" s="131">
        <f t="shared" si="69"/>
        <v>-391538.08974709205</v>
      </c>
      <c r="Z132" s="131">
        <f t="shared" si="69"/>
        <v>-391538.08974709205</v>
      </c>
      <c r="AA132" s="131">
        <f t="shared" si="69"/>
        <v>-391538.08974709205</v>
      </c>
      <c r="AB132" s="131">
        <f t="shared" si="69"/>
        <v>-391538.08974709205</v>
      </c>
      <c r="AC132" s="131">
        <f t="shared" si="69"/>
        <v>-391538.08974709205</v>
      </c>
      <c r="AD132" s="131">
        <f t="shared" si="69"/>
        <v>-403284.23243950482</v>
      </c>
      <c r="AE132" s="131">
        <f t="shared" si="69"/>
        <v>-403284.23243950482</v>
      </c>
      <c r="AF132" s="131">
        <f t="shared" si="69"/>
        <v>-403284.23243950482</v>
      </c>
      <c r="AG132" s="131">
        <f>SUM(U132:AF132)</f>
        <v>-4733695.5050423434</v>
      </c>
      <c r="AH132" s="132" t="str">
        <f>IFERROR(AG132/AG$16,"")</f>
        <v/>
      </c>
      <c r="AJ132" s="131">
        <f>AG132-N132</f>
        <v>-3834473.4536137716</v>
      </c>
    </row>
    <row r="133" spans="1:37" ht="14.4" thickBot="1" x14ac:dyDescent="0.35">
      <c r="A133" s="139" t="s">
        <v>223</v>
      </c>
      <c r="B133" s="140">
        <f>B132-(CO!B132+FE!B132+FO!B132+PE!B132+PO!B132)</f>
        <v>0</v>
      </c>
      <c r="C133" s="140">
        <f>C132-(CO!C132+FE!C132+FO!C132+PE!C132+PO!C132)</f>
        <v>0</v>
      </c>
      <c r="D133" s="140">
        <f>D132-(CO!D132+FE!D132+FO!D132+PE!D132+PO!D132)</f>
        <v>-5.8207660913467407E-11</v>
      </c>
      <c r="E133" s="140">
        <f>E132-(CO!E132+FE!E132+FO!E132+PE!E132+PO!E132)</f>
        <v>0</v>
      </c>
      <c r="F133" s="140">
        <f>F132-(CO!F132+FE!F132+FO!F132+PE!F132+PO!F132)</f>
        <v>0</v>
      </c>
      <c r="G133" s="140">
        <f>G132-(CO!G132+FE!G132+FO!G132+PE!G132+PO!G132)</f>
        <v>0</v>
      </c>
      <c r="H133" s="140">
        <f>H132-(CO!H132+FE!H132+FO!H132+PE!H132+PO!H132)</f>
        <v>-2.0372681319713593E-10</v>
      </c>
      <c r="I133" s="140">
        <f>I132-(CO!I132+FE!I132+FO!I132+PE!I132+PO!I132)</f>
        <v>0</v>
      </c>
      <c r="J133" s="140">
        <f>J132-(CO!J132+FE!J132+FO!J132+PE!J132+PO!J132)</f>
        <v>0</v>
      </c>
      <c r="K133" s="140">
        <f>K132-(CO!K132+FE!K132+FO!K132+PE!K132+PO!K132)</f>
        <v>-5.8207660913467407E-11</v>
      </c>
      <c r="L133" s="140">
        <f>L132-(CO!L132+FE!L132+FO!L132+PE!L132+PO!L132)</f>
        <v>0</v>
      </c>
      <c r="M133" s="140">
        <f>M132-(CO!M132+FE!M132+FO!M132+PE!M132+PO!M132)</f>
        <v>0</v>
      </c>
      <c r="N133" s="140">
        <f>N132-(CO!N132+FE!N132+FO!N132+PE!N132+PO!N132)</f>
        <v>0</v>
      </c>
      <c r="O133" s="141"/>
      <c r="P133" s="142">
        <f>P132-(CO!P132+FE!P132+FO!P132+PE!P132+PO!P132)</f>
        <v>0</v>
      </c>
      <c r="Q133" s="142"/>
      <c r="R133" s="142"/>
      <c r="S133" s="142">
        <f>S132-(CO!S132+FE!S132+FO!S132+PE!S132+PO!S132)</f>
        <v>0</v>
      </c>
      <c r="T133" s="142">
        <f>T132-(CO!T132+FE!T132+FO!T132+PE!T132+PO!T132)</f>
        <v>0</v>
      </c>
      <c r="U133" s="140">
        <f>U132-(CO!U132+FE!U132+FO!U132+PE!U132+PO!U132)</f>
        <v>0</v>
      </c>
      <c r="V133" s="140">
        <f>V132-(CO!V132+FE!V132+FO!V132+PE!V132+PO!V132)</f>
        <v>0</v>
      </c>
      <c r="W133" s="140">
        <f>W132-(CO!W132+FE!W132+FO!W132+PE!W132+PO!W132)</f>
        <v>0</v>
      </c>
      <c r="X133" s="140">
        <f>X132-(CO!X132+FE!X132+FO!X132+PE!X132+PO!X132)</f>
        <v>0</v>
      </c>
      <c r="Y133" s="140">
        <f>Y132-(CO!Y132+FE!Y132+FO!Y132+PE!Y132+PO!Y132)</f>
        <v>0</v>
      </c>
      <c r="Z133" s="140">
        <f>Z132-(CO!Z132+FE!Z132+FO!Z132+PE!Z132+PO!Z132)</f>
        <v>0</v>
      </c>
      <c r="AA133" s="140">
        <f>AA132-(CO!AA132+FE!AA132+FO!AA132+PE!AA132+PO!AA132)</f>
        <v>0</v>
      </c>
      <c r="AB133" s="140">
        <f>AB132-(CO!AB132+FE!AB132+FO!AB132+PE!AB132+PO!AB132)</f>
        <v>0</v>
      </c>
      <c r="AC133" s="140">
        <f>AC132-(CO!AC132+FE!AC132+FO!AC132+PE!AC132+PO!AC132)</f>
        <v>0</v>
      </c>
      <c r="AD133" s="140">
        <f>AD132-(CO!AD132+FE!AD132+FO!AD132+PE!AD132+PO!AD132)</f>
        <v>0</v>
      </c>
      <c r="AE133" s="140">
        <f>AE132-(CO!AE132+FE!AE132+FO!AE132+PE!AE132+PO!AE132)</f>
        <v>0</v>
      </c>
      <c r="AF133" s="140">
        <f>AF132-(CO!AF132+FE!AF132+FO!AF132+PE!AF132+PO!AF132)</f>
        <v>0</v>
      </c>
      <c r="AG133" s="143"/>
      <c r="AH133" s="144"/>
      <c r="AI133" s="139"/>
      <c r="AJ133" s="139"/>
      <c r="AK133" s="139"/>
    </row>
    <row r="134" spans="1:37" x14ac:dyDescent="0.3">
      <c r="A134" s="145"/>
      <c r="B134" s="146"/>
      <c r="C134" s="146"/>
      <c r="D134" s="146"/>
      <c r="E134" s="146"/>
      <c r="F134" s="146"/>
      <c r="G134" s="146"/>
      <c r="H134" s="84"/>
      <c r="I134" s="84"/>
      <c r="J134" s="84"/>
      <c r="K134" s="84"/>
      <c r="L134" s="84"/>
      <c r="M134" s="84"/>
      <c r="N134" s="84"/>
      <c r="O134" s="105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</row>
    <row r="135" spans="1:37" x14ac:dyDescent="0.3">
      <c r="A135" s="145"/>
      <c r="B135" s="146"/>
      <c r="C135" s="146"/>
      <c r="D135" s="146"/>
      <c r="E135" s="146"/>
      <c r="F135" s="146"/>
      <c r="G135" s="146"/>
      <c r="H135" s="84"/>
      <c r="I135" s="84"/>
      <c r="J135" s="84"/>
      <c r="K135" s="84"/>
      <c r="L135" s="84"/>
      <c r="M135" s="84"/>
      <c r="N135" s="84"/>
      <c r="O135" s="105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</row>
    <row r="136" spans="1:37" x14ac:dyDescent="0.3">
      <c r="A136" s="145"/>
      <c r="B136" s="146"/>
      <c r="C136" s="146"/>
      <c r="D136" s="146"/>
      <c r="E136" s="146"/>
      <c r="F136" s="146"/>
      <c r="G136" s="146"/>
      <c r="H136" s="84"/>
      <c r="I136" s="84"/>
      <c r="J136" s="84"/>
      <c r="K136" s="84"/>
      <c r="L136" s="84"/>
      <c r="M136" s="84"/>
      <c r="N136" s="84"/>
      <c r="O136" s="105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</row>
    <row r="137" spans="1:37" x14ac:dyDescent="0.3">
      <c r="A137" s="83" t="s">
        <v>219</v>
      </c>
      <c r="B137" s="84">
        <f t="shared" ref="B137:N140" si="70">SUMIF($A$9:$A$132,"*"&amp;$A137&amp;"*",B$9:B$132)</f>
        <v>95947.69</v>
      </c>
      <c r="C137" s="84">
        <f t="shared" si="70"/>
        <v>-5713.6100000000006</v>
      </c>
      <c r="D137" s="84">
        <f t="shared" si="70"/>
        <v>208518.9</v>
      </c>
      <c r="E137" s="84">
        <f t="shared" si="70"/>
        <v>233047.33000000002</v>
      </c>
      <c r="F137" s="84">
        <f t="shared" si="70"/>
        <v>293194.88</v>
      </c>
      <c r="G137" s="84">
        <f t="shared" si="70"/>
        <v>272706.22000000003</v>
      </c>
      <c r="H137" s="84">
        <f t="shared" si="70"/>
        <v>286992.28000000003</v>
      </c>
      <c r="I137" s="84">
        <f t="shared" si="70"/>
        <v>291818.54000000004</v>
      </c>
      <c r="J137" s="84">
        <f t="shared" si="70"/>
        <v>373100</v>
      </c>
      <c r="K137" s="84">
        <f t="shared" si="70"/>
        <v>397900</v>
      </c>
      <c r="L137" s="84">
        <f t="shared" si="70"/>
        <v>403300</v>
      </c>
      <c r="M137" s="84">
        <f t="shared" si="70"/>
        <v>414000</v>
      </c>
      <c r="N137" s="84">
        <f t="shared" si="70"/>
        <v>3264812.2300000004</v>
      </c>
      <c r="O137" s="148"/>
      <c r="U137" s="84">
        <f t="shared" ref="U137:AG140" si="71">SUMIF($A$9:$A$132,"*"&amp;$A137&amp;"*",U$9:U$132)</f>
        <v>333894.58333333337</v>
      </c>
      <c r="V137" s="84">
        <f t="shared" si="71"/>
        <v>333894.58333333337</v>
      </c>
      <c r="W137" s="84">
        <f t="shared" si="71"/>
        <v>333894.58333333337</v>
      </c>
      <c r="X137" s="84">
        <f t="shared" si="71"/>
        <v>333894.58333333337</v>
      </c>
      <c r="Y137" s="84">
        <f t="shared" si="71"/>
        <v>333894.58333333337</v>
      </c>
      <c r="Z137" s="84">
        <f t="shared" si="71"/>
        <v>333894.58333333337</v>
      </c>
      <c r="AA137" s="84">
        <f t="shared" si="71"/>
        <v>333894.58333333337</v>
      </c>
      <c r="AB137" s="84">
        <f t="shared" si="71"/>
        <v>333894.58333333337</v>
      </c>
      <c r="AC137" s="84">
        <f t="shared" si="71"/>
        <v>333894.58333333337</v>
      </c>
      <c r="AD137" s="84">
        <f t="shared" si="71"/>
        <v>343911.4208333334</v>
      </c>
      <c r="AE137" s="84">
        <f t="shared" si="71"/>
        <v>343911.4208333334</v>
      </c>
      <c r="AF137" s="84">
        <f t="shared" si="71"/>
        <v>343911.4208333334</v>
      </c>
      <c r="AG137" s="84">
        <f t="shared" si="71"/>
        <v>4036785.5125000002</v>
      </c>
      <c r="AH137" s="148"/>
      <c r="AJ137" s="84"/>
    </row>
    <row r="138" spans="1:37" x14ac:dyDescent="0.3">
      <c r="A138" s="165" t="s">
        <v>220</v>
      </c>
      <c r="B138" s="150">
        <f t="shared" si="70"/>
        <v>0</v>
      </c>
      <c r="C138" s="150">
        <f t="shared" si="70"/>
        <v>0</v>
      </c>
      <c r="D138" s="150">
        <f t="shared" si="70"/>
        <v>0</v>
      </c>
      <c r="E138" s="150">
        <f t="shared" si="70"/>
        <v>0</v>
      </c>
      <c r="F138" s="150">
        <f t="shared" si="70"/>
        <v>0</v>
      </c>
      <c r="G138" s="150">
        <f t="shared" si="70"/>
        <v>0</v>
      </c>
      <c r="H138" s="150">
        <f t="shared" si="70"/>
        <v>0</v>
      </c>
      <c r="I138" s="150">
        <f t="shared" si="70"/>
        <v>0</v>
      </c>
      <c r="J138" s="150">
        <f t="shared" si="70"/>
        <v>0</v>
      </c>
      <c r="K138" s="150">
        <f t="shared" si="70"/>
        <v>0</v>
      </c>
      <c r="L138" s="150">
        <f t="shared" si="70"/>
        <v>0</v>
      </c>
      <c r="M138" s="150">
        <f t="shared" si="70"/>
        <v>0</v>
      </c>
      <c r="N138" s="150">
        <f t="shared" si="70"/>
        <v>0</v>
      </c>
      <c r="O138" s="84"/>
      <c r="P138" s="84"/>
      <c r="Q138" s="84"/>
      <c r="R138" s="84"/>
      <c r="S138" s="84"/>
      <c r="T138" s="84"/>
      <c r="U138" s="150">
        <f t="shared" si="71"/>
        <v>0</v>
      </c>
      <c r="V138" s="150">
        <f t="shared" si="71"/>
        <v>0</v>
      </c>
      <c r="W138" s="150">
        <f t="shared" si="71"/>
        <v>0</v>
      </c>
      <c r="X138" s="150">
        <f t="shared" si="71"/>
        <v>0</v>
      </c>
      <c r="Y138" s="150">
        <f t="shared" si="71"/>
        <v>0</v>
      </c>
      <c r="Z138" s="150">
        <f t="shared" si="71"/>
        <v>0</v>
      </c>
      <c r="AA138" s="150">
        <f t="shared" si="71"/>
        <v>0</v>
      </c>
      <c r="AB138" s="150">
        <f t="shared" si="71"/>
        <v>0</v>
      </c>
      <c r="AC138" s="150">
        <f t="shared" si="71"/>
        <v>0</v>
      </c>
      <c r="AD138" s="150">
        <f t="shared" si="71"/>
        <v>0</v>
      </c>
      <c r="AE138" s="150">
        <f t="shared" si="71"/>
        <v>0</v>
      </c>
      <c r="AF138" s="150">
        <f t="shared" si="71"/>
        <v>0</v>
      </c>
      <c r="AG138" s="150">
        <f t="shared" si="71"/>
        <v>0</v>
      </c>
      <c r="AH138" s="84"/>
    </row>
    <row r="139" spans="1:37" x14ac:dyDescent="0.3">
      <c r="A139" s="165" t="s">
        <v>21</v>
      </c>
      <c r="B139" s="150">
        <f t="shared" si="70"/>
        <v>17961.43</v>
      </c>
      <c r="C139" s="150">
        <f t="shared" si="70"/>
        <v>42525.990000000005</v>
      </c>
      <c r="D139" s="150">
        <f t="shared" si="70"/>
        <v>11358.86</v>
      </c>
      <c r="E139" s="150">
        <f t="shared" si="70"/>
        <v>11489.42</v>
      </c>
      <c r="F139" s="150">
        <f t="shared" si="70"/>
        <v>13198.83</v>
      </c>
      <c r="G139" s="150">
        <f t="shared" si="70"/>
        <v>12303.74</v>
      </c>
      <c r="H139" s="150">
        <f t="shared" si="70"/>
        <v>13522.939999999999</v>
      </c>
      <c r="I139" s="150">
        <f t="shared" si="70"/>
        <v>17042.650000000001</v>
      </c>
      <c r="J139" s="150">
        <f t="shared" si="70"/>
        <v>16631</v>
      </c>
      <c r="K139" s="150">
        <f t="shared" si="70"/>
        <v>17680</v>
      </c>
      <c r="L139" s="150">
        <f t="shared" si="70"/>
        <v>17973</v>
      </c>
      <c r="M139" s="150">
        <f t="shared" si="70"/>
        <v>18391</v>
      </c>
      <c r="N139" s="150">
        <f t="shared" si="70"/>
        <v>210078.86</v>
      </c>
      <c r="O139" s="84"/>
      <c r="P139" s="84"/>
      <c r="Q139" s="84"/>
      <c r="R139" s="84"/>
      <c r="S139" s="84"/>
      <c r="T139" s="84"/>
      <c r="U139" s="150">
        <f t="shared" si="71"/>
        <v>15959.29419244716</v>
      </c>
      <c r="V139" s="150">
        <f t="shared" si="71"/>
        <v>15959.29419244716</v>
      </c>
      <c r="W139" s="150">
        <f t="shared" si="71"/>
        <v>15959.29419244716</v>
      </c>
      <c r="X139" s="150">
        <f t="shared" si="71"/>
        <v>15959.29419244716</v>
      </c>
      <c r="Y139" s="150">
        <f t="shared" si="71"/>
        <v>15959.29419244716</v>
      </c>
      <c r="Z139" s="150">
        <f t="shared" si="71"/>
        <v>15959.29419244716</v>
      </c>
      <c r="AA139" s="150">
        <f t="shared" si="71"/>
        <v>15959.29419244716</v>
      </c>
      <c r="AB139" s="150">
        <f t="shared" si="71"/>
        <v>15959.29419244716</v>
      </c>
      <c r="AC139" s="150">
        <f t="shared" si="71"/>
        <v>15959.29419244716</v>
      </c>
      <c r="AD139" s="150">
        <f t="shared" si="71"/>
        <v>16438.073018220573</v>
      </c>
      <c r="AE139" s="150">
        <f t="shared" si="71"/>
        <v>16438.073018220573</v>
      </c>
      <c r="AF139" s="150">
        <f t="shared" si="71"/>
        <v>16438.073018220573</v>
      </c>
      <c r="AG139" s="150">
        <f t="shared" si="71"/>
        <v>192947.86678668618</v>
      </c>
      <c r="AH139" s="84"/>
      <c r="AJ139" s="84"/>
    </row>
    <row r="140" spans="1:37" x14ac:dyDescent="0.3">
      <c r="A140" s="165" t="s">
        <v>23</v>
      </c>
      <c r="B140" s="150">
        <f t="shared" si="70"/>
        <v>68737.22</v>
      </c>
      <c r="C140" s="150">
        <f t="shared" si="70"/>
        <v>39332.130000000005</v>
      </c>
      <c r="D140" s="150">
        <f t="shared" si="70"/>
        <v>31196.440000000002</v>
      </c>
      <c r="E140" s="150">
        <f t="shared" si="70"/>
        <v>37282.340000000004</v>
      </c>
      <c r="F140" s="150">
        <f t="shared" si="70"/>
        <v>31197.31</v>
      </c>
      <c r="G140" s="150">
        <f t="shared" si="70"/>
        <v>38500.71</v>
      </c>
      <c r="H140" s="150">
        <f t="shared" si="70"/>
        <v>19153.61</v>
      </c>
      <c r="I140" s="150">
        <f t="shared" si="70"/>
        <v>40999.660000000003</v>
      </c>
      <c r="J140" s="150">
        <f t="shared" si="70"/>
        <v>38705</v>
      </c>
      <c r="K140" s="150">
        <f t="shared" si="70"/>
        <v>41309</v>
      </c>
      <c r="L140" s="150">
        <f t="shared" si="70"/>
        <v>41929</v>
      </c>
      <c r="M140" s="150">
        <f t="shared" si="70"/>
        <v>42752</v>
      </c>
      <c r="N140" s="150">
        <f t="shared" si="70"/>
        <v>471094.42000000004</v>
      </c>
      <c r="O140" s="84"/>
      <c r="P140" s="84"/>
      <c r="Q140" s="84"/>
      <c r="R140" s="84"/>
      <c r="S140" s="84"/>
      <c r="T140" s="84"/>
      <c r="U140" s="150">
        <f t="shared" si="71"/>
        <v>41684.212221311522</v>
      </c>
      <c r="V140" s="150">
        <f t="shared" si="71"/>
        <v>41684.212221311522</v>
      </c>
      <c r="W140" s="150">
        <f t="shared" si="71"/>
        <v>41684.212221311522</v>
      </c>
      <c r="X140" s="150">
        <f t="shared" si="71"/>
        <v>41684.212221311522</v>
      </c>
      <c r="Y140" s="150">
        <f t="shared" si="71"/>
        <v>41684.212221311522</v>
      </c>
      <c r="Z140" s="150">
        <f t="shared" si="71"/>
        <v>41684.212221311522</v>
      </c>
      <c r="AA140" s="150">
        <f t="shared" si="71"/>
        <v>41684.212221311522</v>
      </c>
      <c r="AB140" s="150">
        <f t="shared" si="71"/>
        <v>41684.212221311522</v>
      </c>
      <c r="AC140" s="150">
        <f t="shared" si="71"/>
        <v>41684.212221311522</v>
      </c>
      <c r="AD140" s="150">
        <f t="shared" si="71"/>
        <v>42934.738587950866</v>
      </c>
      <c r="AE140" s="150">
        <f t="shared" si="71"/>
        <v>42934.738587950866</v>
      </c>
      <c r="AF140" s="150">
        <f t="shared" si="71"/>
        <v>42934.738587950866</v>
      </c>
      <c r="AG140" s="150">
        <f t="shared" si="71"/>
        <v>503962.12575565628</v>
      </c>
      <c r="AH140" s="84"/>
      <c r="AJ140" s="84"/>
    </row>
    <row r="141" spans="1:37" s="105" customFormat="1" x14ac:dyDescent="0.3">
      <c r="A141" s="166" t="s">
        <v>221</v>
      </c>
      <c r="B141" s="105">
        <f t="shared" ref="B141:N141" si="72">IFERROR(SUM(B139:B140)/SUM(B137:B138),"")</f>
        <v>0.90360330717706694</v>
      </c>
      <c r="C141" s="105">
        <f t="shared" si="72"/>
        <v>-14.326865151804201</v>
      </c>
      <c r="D141" s="105">
        <f t="shared" si="72"/>
        <v>0.20408365860360861</v>
      </c>
      <c r="E141" s="105">
        <f t="shared" si="72"/>
        <v>0.20927834702075324</v>
      </c>
      <c r="F141" s="105">
        <f t="shared" si="72"/>
        <v>0.15142194843238735</v>
      </c>
      <c r="G141" s="105">
        <f t="shared" si="72"/>
        <v>0.1862973642478708</v>
      </c>
      <c r="H141" s="105">
        <f t="shared" si="72"/>
        <v>0.11385863759122718</v>
      </c>
      <c r="I141" s="105">
        <f t="shared" si="72"/>
        <v>0.19889863748889977</v>
      </c>
      <c r="J141" s="105">
        <f t="shared" si="72"/>
        <v>0.14831412489949075</v>
      </c>
      <c r="K141" s="105">
        <f t="shared" si="72"/>
        <v>0.14825081678813773</v>
      </c>
      <c r="L141" s="105">
        <f t="shared" si="72"/>
        <v>0.14852963054797919</v>
      </c>
      <c r="M141" s="105">
        <f t="shared" si="72"/>
        <v>0.14768840579710146</v>
      </c>
      <c r="N141" s="105">
        <f t="shared" si="72"/>
        <v>0.2086408748842502</v>
      </c>
      <c r="U141" s="105">
        <f t="shared" ref="U141:AG141" si="73">IFERROR(SUM(U139:U140)/SUM(U137:U138),"")</f>
        <v>0.17263983691586893</v>
      </c>
      <c r="V141" s="105">
        <f t="shared" si="73"/>
        <v>0.17263983691586893</v>
      </c>
      <c r="W141" s="105">
        <f t="shared" si="73"/>
        <v>0.17263983691586893</v>
      </c>
      <c r="X141" s="105">
        <f t="shared" si="73"/>
        <v>0.17263983691586893</v>
      </c>
      <c r="Y141" s="105">
        <f t="shared" si="73"/>
        <v>0.17263983691586893</v>
      </c>
      <c r="Z141" s="105">
        <f t="shared" si="73"/>
        <v>0.17263983691586893</v>
      </c>
      <c r="AA141" s="105">
        <f t="shared" si="73"/>
        <v>0.17263983691586893</v>
      </c>
      <c r="AB141" s="105">
        <f t="shared" si="73"/>
        <v>0.17263983691586893</v>
      </c>
      <c r="AC141" s="105">
        <f t="shared" si="73"/>
        <v>0.17263983691586893</v>
      </c>
      <c r="AD141" s="105">
        <f t="shared" si="73"/>
        <v>0.1726398369158689</v>
      </c>
      <c r="AE141" s="105">
        <f t="shared" si="73"/>
        <v>0.1726398369158689</v>
      </c>
      <c r="AF141" s="105">
        <f t="shared" si="73"/>
        <v>0.1726398369158689</v>
      </c>
      <c r="AG141" s="105">
        <f t="shared" si="73"/>
        <v>0.17263983691586895</v>
      </c>
    </row>
    <row r="142" spans="1:37" x14ac:dyDescent="0.3">
      <c r="A142" s="151"/>
      <c r="B142" s="150"/>
      <c r="C142" s="150"/>
      <c r="D142" s="150"/>
      <c r="E142" s="150"/>
      <c r="F142" s="150"/>
      <c r="G142" s="150"/>
      <c r="H142" s="150"/>
      <c r="I142" s="150"/>
      <c r="J142" s="150"/>
      <c r="K142" s="150"/>
      <c r="L142" s="150"/>
      <c r="M142" s="150"/>
      <c r="N142" s="150"/>
      <c r="O142" s="84"/>
      <c r="P142" s="84"/>
      <c r="Q142" s="84"/>
      <c r="R142" s="84"/>
      <c r="S142" s="84"/>
      <c r="T142" s="84"/>
      <c r="U142" s="150"/>
      <c r="V142" s="150"/>
      <c r="W142" s="150"/>
      <c r="X142" s="150"/>
      <c r="Y142" s="150"/>
      <c r="Z142" s="150"/>
      <c r="AA142" s="150"/>
      <c r="AB142" s="150"/>
      <c r="AC142" s="150"/>
      <c r="AD142" s="150"/>
      <c r="AE142" s="150"/>
      <c r="AF142" s="150"/>
      <c r="AG142" s="150"/>
      <c r="AH142" s="84"/>
      <c r="AJ142" s="84"/>
    </row>
    <row r="143" spans="1:37" x14ac:dyDescent="0.3">
      <c r="A143" s="151"/>
      <c r="B143" s="152">
        <f t="shared" ref="B143:N143" si="74">B139/B137</f>
        <v>0.18720023379406006</v>
      </c>
      <c r="C143" s="152">
        <f t="shared" si="74"/>
        <v>-7.442928376280495</v>
      </c>
      <c r="D143" s="152">
        <f t="shared" si="74"/>
        <v>5.4474006912562843E-2</v>
      </c>
      <c r="E143" s="152">
        <f t="shared" si="74"/>
        <v>4.9300800828741526E-2</v>
      </c>
      <c r="F143" s="152">
        <f t="shared" si="74"/>
        <v>4.501725951012514E-2</v>
      </c>
      <c r="G143" s="152">
        <f t="shared" si="74"/>
        <v>4.5117196080089406E-2</v>
      </c>
      <c r="H143" s="152">
        <f t="shared" si="74"/>
        <v>4.7119525305698108E-2</v>
      </c>
      <c r="I143" s="152">
        <f t="shared" si="74"/>
        <v>5.8401532678492594E-2</v>
      </c>
      <c r="J143" s="152">
        <f t="shared" si="74"/>
        <v>4.4575180916644329E-2</v>
      </c>
      <c r="K143" s="152">
        <f t="shared" si="74"/>
        <v>4.4433274692133699E-2</v>
      </c>
      <c r="L143" s="152">
        <f t="shared" si="74"/>
        <v>4.4564840069427222E-2</v>
      </c>
      <c r="M143" s="152">
        <f t="shared" si="74"/>
        <v>4.4422705314009658E-2</v>
      </c>
      <c r="N143" s="152">
        <f t="shared" si="74"/>
        <v>6.4346383559093681E-2</v>
      </c>
      <c r="O143" s="84"/>
      <c r="P143" s="84"/>
      <c r="Q143" s="84"/>
      <c r="R143" s="84"/>
      <c r="S143" s="84"/>
      <c r="T143" s="84"/>
      <c r="U143" s="152"/>
      <c r="V143" s="152"/>
      <c r="W143" s="152"/>
      <c r="X143" s="152"/>
      <c r="Y143" s="152"/>
      <c r="Z143" s="152"/>
      <c r="AA143" s="152"/>
      <c r="AB143" s="152"/>
      <c r="AC143" s="152"/>
      <c r="AD143" s="152"/>
      <c r="AE143" s="152"/>
      <c r="AF143" s="152"/>
      <c r="AG143" s="152"/>
      <c r="AH143" s="84"/>
      <c r="AJ143" s="153"/>
    </row>
    <row r="144" spans="1:37" x14ac:dyDescent="0.3">
      <c r="A144" s="147"/>
      <c r="B144" s="150">
        <f t="shared" ref="B144:N144" si="75">B140/B137</f>
        <v>0.71640307338300691</v>
      </c>
      <c r="C144" s="150">
        <f t="shared" si="75"/>
        <v>-6.883936775523706</v>
      </c>
      <c r="D144" s="150">
        <f t="shared" si="75"/>
        <v>0.14960965169104576</v>
      </c>
      <c r="E144" s="150">
        <f t="shared" si="75"/>
        <v>0.15997754619201174</v>
      </c>
      <c r="F144" s="150">
        <f t="shared" si="75"/>
        <v>0.10640468892226222</v>
      </c>
      <c r="G144" s="150">
        <f t="shared" si="75"/>
        <v>0.14118016816778142</v>
      </c>
      <c r="H144" s="150">
        <f t="shared" si="75"/>
        <v>6.6739112285529076E-2</v>
      </c>
      <c r="I144" s="150">
        <f t="shared" si="75"/>
        <v>0.14049710481040717</v>
      </c>
      <c r="J144" s="150">
        <f t="shared" si="75"/>
        <v>0.10373894398284642</v>
      </c>
      <c r="K144" s="150">
        <f t="shared" si="75"/>
        <v>0.10381754209600402</v>
      </c>
      <c r="L144" s="150">
        <f t="shared" si="75"/>
        <v>0.10396479047855195</v>
      </c>
      <c r="M144" s="150">
        <f t="shared" si="75"/>
        <v>0.10326570048309179</v>
      </c>
      <c r="N144" s="150">
        <f t="shared" si="75"/>
        <v>0.14429449132515654</v>
      </c>
      <c r="O144" s="148"/>
      <c r="P144" s="84"/>
      <c r="Q144" s="84"/>
      <c r="R144" s="84"/>
      <c r="S144" s="84"/>
      <c r="T144" s="84"/>
      <c r="U144" s="150"/>
      <c r="V144" s="150"/>
      <c r="W144" s="150"/>
      <c r="X144" s="150"/>
      <c r="Y144" s="150"/>
      <c r="Z144" s="150"/>
      <c r="AA144" s="150"/>
      <c r="AB144" s="150"/>
      <c r="AC144" s="150"/>
      <c r="AD144" s="150"/>
      <c r="AE144" s="150"/>
      <c r="AF144" s="150"/>
      <c r="AG144" s="150"/>
      <c r="AH144" s="148"/>
      <c r="AJ144" s="84"/>
    </row>
    <row r="145" spans="1:36" x14ac:dyDescent="0.3">
      <c r="A145" s="149"/>
      <c r="O145" s="84"/>
      <c r="P145" s="84"/>
      <c r="Q145" s="84"/>
      <c r="R145" s="84"/>
      <c r="S145" s="84"/>
      <c r="T145" s="84"/>
      <c r="AH145" s="84"/>
    </row>
    <row r="146" spans="1:36" x14ac:dyDescent="0.3">
      <c r="A146" s="151"/>
      <c r="B146" s="150"/>
      <c r="C146" s="150"/>
      <c r="D146" s="150"/>
      <c r="E146" s="150"/>
      <c r="F146" s="150"/>
      <c r="G146" s="150"/>
      <c r="H146" s="150"/>
      <c r="I146" s="150"/>
      <c r="J146" s="150"/>
      <c r="K146" s="150"/>
      <c r="L146" s="150"/>
      <c r="M146" s="150"/>
      <c r="N146" s="150"/>
      <c r="O146" s="84"/>
      <c r="P146" s="84"/>
      <c r="Q146" s="84"/>
      <c r="R146" s="84"/>
      <c r="S146" s="84"/>
      <c r="T146" s="84"/>
      <c r="U146" s="150"/>
      <c r="V146" s="150"/>
      <c r="W146" s="150"/>
      <c r="X146" s="150"/>
      <c r="Y146" s="150"/>
      <c r="Z146" s="150"/>
      <c r="AA146" s="150"/>
      <c r="AB146" s="150"/>
      <c r="AC146" s="150"/>
      <c r="AD146" s="150"/>
      <c r="AE146" s="150"/>
      <c r="AF146" s="150"/>
      <c r="AG146" s="150"/>
      <c r="AH146" s="84"/>
      <c r="AJ146" s="84"/>
    </row>
    <row r="147" spans="1:36" x14ac:dyDescent="0.3">
      <c r="A147" s="151"/>
      <c r="B147" s="150"/>
      <c r="C147" s="150"/>
      <c r="D147" s="150"/>
      <c r="E147" s="150"/>
      <c r="F147" s="150"/>
      <c r="G147" s="150"/>
      <c r="H147" s="150"/>
      <c r="I147" s="150"/>
      <c r="J147" s="150"/>
      <c r="K147" s="150"/>
      <c r="L147" s="150"/>
      <c r="M147" s="150"/>
      <c r="N147" s="150"/>
      <c r="O147" s="84"/>
      <c r="P147" s="84"/>
      <c r="Q147" s="84"/>
      <c r="R147" s="84"/>
      <c r="S147" s="84"/>
      <c r="T147" s="84"/>
      <c r="U147" s="150"/>
      <c r="V147" s="150"/>
      <c r="W147" s="150"/>
      <c r="X147" s="150"/>
      <c r="Y147" s="150"/>
      <c r="Z147" s="150"/>
      <c r="AA147" s="150"/>
      <c r="AB147" s="150"/>
      <c r="AC147" s="150"/>
      <c r="AD147" s="150"/>
      <c r="AE147" s="150"/>
      <c r="AF147" s="150"/>
      <c r="AG147" s="150"/>
      <c r="AH147" s="84"/>
      <c r="AJ147" s="84"/>
    </row>
    <row r="148" spans="1:36" x14ac:dyDescent="0.3">
      <c r="A148" s="151"/>
      <c r="B148" s="150"/>
      <c r="C148" s="150"/>
      <c r="D148" s="150"/>
      <c r="E148" s="150"/>
      <c r="F148" s="150"/>
      <c r="G148" s="150"/>
      <c r="H148" s="150"/>
      <c r="I148" s="150"/>
      <c r="J148" s="150"/>
      <c r="K148" s="150"/>
      <c r="L148" s="150"/>
      <c r="M148" s="150"/>
      <c r="N148" s="150"/>
      <c r="O148" s="84"/>
      <c r="P148" s="84"/>
      <c r="Q148" s="84"/>
      <c r="R148" s="84"/>
      <c r="S148" s="84"/>
      <c r="T148" s="84"/>
      <c r="U148" s="150"/>
      <c r="V148" s="150"/>
      <c r="W148" s="150"/>
      <c r="X148" s="150"/>
      <c r="Y148" s="150"/>
      <c r="Z148" s="150"/>
      <c r="AA148" s="150"/>
      <c r="AB148" s="150"/>
      <c r="AC148" s="150"/>
      <c r="AD148" s="150"/>
      <c r="AE148" s="150"/>
      <c r="AF148" s="150"/>
      <c r="AG148" s="150"/>
      <c r="AH148" s="84"/>
      <c r="AJ148" s="84"/>
    </row>
    <row r="149" spans="1:36" x14ac:dyDescent="0.3">
      <c r="A149" s="151"/>
      <c r="B149" s="150"/>
      <c r="C149" s="150"/>
      <c r="D149" s="150"/>
      <c r="E149" s="150"/>
      <c r="F149" s="150"/>
      <c r="G149" s="150"/>
      <c r="H149" s="150"/>
      <c r="I149" s="150"/>
      <c r="J149" s="150"/>
      <c r="K149" s="150"/>
      <c r="L149" s="150"/>
      <c r="M149" s="150"/>
      <c r="N149" s="150"/>
      <c r="O149" s="84"/>
      <c r="P149" s="84"/>
      <c r="Q149" s="84"/>
      <c r="R149" s="84"/>
      <c r="S149" s="84"/>
      <c r="T149" s="84"/>
      <c r="U149" s="150"/>
      <c r="V149" s="150"/>
      <c r="W149" s="150"/>
      <c r="X149" s="150"/>
      <c r="Y149" s="150"/>
      <c r="Z149" s="150"/>
      <c r="AA149" s="150"/>
      <c r="AB149" s="150"/>
      <c r="AC149" s="150"/>
      <c r="AD149" s="150"/>
      <c r="AE149" s="150"/>
      <c r="AF149" s="150"/>
      <c r="AG149" s="150"/>
      <c r="AH149" s="84"/>
    </row>
    <row r="150" spans="1:36" x14ac:dyDescent="0.3">
      <c r="A150" s="147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48"/>
      <c r="P150" s="84"/>
      <c r="Q150" s="84"/>
      <c r="R150" s="84"/>
      <c r="S150" s="84"/>
      <c r="T150" s="84"/>
      <c r="U150" s="154"/>
      <c r="V150" s="154"/>
      <c r="W150" s="154"/>
      <c r="X150" s="154"/>
      <c r="Y150" s="154"/>
      <c r="Z150" s="154"/>
      <c r="AA150" s="154"/>
      <c r="AB150" s="154"/>
      <c r="AC150" s="154"/>
      <c r="AD150" s="154"/>
      <c r="AE150" s="154"/>
      <c r="AF150" s="154"/>
      <c r="AG150" s="154"/>
      <c r="AH150" s="148"/>
      <c r="AJ150" s="155"/>
    </row>
    <row r="151" spans="1:36" x14ac:dyDescent="0.3">
      <c r="B151" s="150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84"/>
      <c r="P151" s="84"/>
      <c r="Q151" s="84"/>
      <c r="R151" s="84"/>
      <c r="S151" s="84"/>
      <c r="T151" s="84"/>
      <c r="U151" s="105"/>
      <c r="V151" s="105"/>
      <c r="W151" s="105"/>
      <c r="X151" s="105"/>
      <c r="Y151" s="105"/>
      <c r="Z151" s="105"/>
      <c r="AA151" s="105"/>
      <c r="AB151" s="105"/>
      <c r="AC151" s="105"/>
      <c r="AD151" s="105"/>
      <c r="AE151" s="105"/>
      <c r="AF151" s="105"/>
      <c r="AG151" s="105"/>
      <c r="AH151" s="84"/>
    </row>
    <row r="152" spans="1:36" x14ac:dyDescent="0.3"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84"/>
      <c r="Q152" s="84"/>
      <c r="R152" s="84"/>
      <c r="S152" s="84"/>
      <c r="T152" s="84"/>
      <c r="U152" s="105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5"/>
      <c r="AG152" s="105"/>
      <c r="AH152" s="84"/>
    </row>
    <row r="153" spans="1:36" x14ac:dyDescent="0.3"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84"/>
      <c r="Q153" s="84"/>
      <c r="R153" s="84"/>
      <c r="S153" s="84"/>
      <c r="T153" s="84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  <c r="AG153" s="105"/>
      <c r="AH153" s="84"/>
    </row>
    <row r="154" spans="1:36" x14ac:dyDescent="0.3">
      <c r="A154" s="125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105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J154" s="84"/>
    </row>
    <row r="155" spans="1:36" x14ac:dyDescent="0.3">
      <c r="A155" s="125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105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J155" s="84"/>
    </row>
    <row r="156" spans="1:36" x14ac:dyDescent="0.3">
      <c r="A156" s="125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105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</row>
    <row r="157" spans="1:36" x14ac:dyDescent="0.3">
      <c r="A157" s="125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105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</row>
    <row r="158" spans="1:36" x14ac:dyDescent="0.3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105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</row>
    <row r="159" spans="1:36" x14ac:dyDescent="0.3"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84"/>
      <c r="Q159" s="84"/>
      <c r="R159" s="84"/>
      <c r="S159" s="84"/>
      <c r="T159" s="84"/>
      <c r="U159" s="105"/>
      <c r="V159" s="105"/>
      <c r="W159" s="105"/>
      <c r="X159" s="105"/>
      <c r="Y159" s="105"/>
      <c r="Z159" s="105"/>
      <c r="AA159" s="105"/>
      <c r="AB159" s="105"/>
      <c r="AC159" s="105"/>
      <c r="AD159" s="105"/>
      <c r="AE159" s="105"/>
      <c r="AF159" s="105"/>
      <c r="AG159" s="105"/>
      <c r="AH159" s="84"/>
    </row>
    <row r="160" spans="1:36" x14ac:dyDescent="0.3"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105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</row>
    <row r="161" spans="2:34" x14ac:dyDescent="0.3"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84"/>
      <c r="Q161" s="84"/>
      <c r="R161" s="84"/>
      <c r="S161" s="84"/>
      <c r="T161" s="84"/>
      <c r="U161" s="105"/>
      <c r="V161" s="105"/>
      <c r="W161" s="105"/>
      <c r="X161" s="105"/>
      <c r="Y161" s="105"/>
      <c r="Z161" s="105"/>
      <c r="AA161" s="105"/>
      <c r="AB161" s="105"/>
      <c r="AC161" s="105"/>
      <c r="AD161" s="105"/>
      <c r="AE161" s="105"/>
      <c r="AF161" s="105"/>
      <c r="AG161" s="105"/>
      <c r="AH161" s="84"/>
    </row>
    <row r="162" spans="2:34" x14ac:dyDescent="0.3"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U162" s="105"/>
      <c r="V162" s="105"/>
      <c r="W162" s="105"/>
      <c r="X162" s="105"/>
      <c r="Y162" s="105"/>
      <c r="Z162" s="105"/>
      <c r="AA162" s="105"/>
      <c r="AB162" s="105"/>
      <c r="AC162" s="105"/>
      <c r="AD162" s="105"/>
      <c r="AE162" s="105"/>
      <c r="AF162" s="105"/>
      <c r="AG162" s="105"/>
    </row>
    <row r="163" spans="2:34" x14ac:dyDescent="0.3">
      <c r="O163" s="105"/>
    </row>
    <row r="164" spans="2:34" x14ac:dyDescent="0.3">
      <c r="B164" s="105"/>
      <c r="C164" s="105"/>
      <c r="D164" s="105"/>
      <c r="E164" s="105"/>
      <c r="F164" s="105"/>
      <c r="G164" s="105"/>
      <c r="H164" s="105"/>
      <c r="I164" s="105"/>
      <c r="O164" s="105"/>
    </row>
    <row r="165" spans="2:34" x14ac:dyDescent="0.3">
      <c r="O165" s="105"/>
    </row>
    <row r="166" spans="2:34" x14ac:dyDescent="0.3">
      <c r="O166" s="105"/>
    </row>
    <row r="167" spans="2:34" x14ac:dyDescent="0.3">
      <c r="O167" s="105"/>
    </row>
    <row r="168" spans="2:34" x14ac:dyDescent="0.3">
      <c r="O168" s="105"/>
    </row>
    <row r="169" spans="2:34" x14ac:dyDescent="0.3">
      <c r="O169" s="105"/>
    </row>
    <row r="170" spans="2:34" x14ac:dyDescent="0.3">
      <c r="O170" s="105"/>
    </row>
    <row r="171" spans="2:34" x14ac:dyDescent="0.3">
      <c r="O171" s="105"/>
    </row>
    <row r="172" spans="2:34" x14ac:dyDescent="0.3">
      <c r="O172" s="105"/>
    </row>
    <row r="173" spans="2:34" x14ac:dyDescent="0.3">
      <c r="O173" s="105"/>
    </row>
    <row r="174" spans="2:34" x14ac:dyDescent="0.3">
      <c r="O174" s="105"/>
    </row>
    <row r="175" spans="2:34" x14ac:dyDescent="0.3">
      <c r="O175" s="105"/>
    </row>
    <row r="176" spans="2:34" x14ac:dyDescent="0.3">
      <c r="O176" s="105"/>
    </row>
    <row r="177" spans="15:15" x14ac:dyDescent="0.3">
      <c r="O177" s="105"/>
    </row>
    <row r="178" spans="15:15" x14ac:dyDescent="0.3">
      <c r="O178" s="105"/>
    </row>
    <row r="179" spans="15:15" x14ac:dyDescent="0.3">
      <c r="O179" s="105"/>
    </row>
    <row r="180" spans="15:15" x14ac:dyDescent="0.3">
      <c r="O180" s="105"/>
    </row>
    <row r="181" spans="15:15" x14ac:dyDescent="0.3">
      <c r="O181" s="105"/>
    </row>
    <row r="182" spans="15:15" x14ac:dyDescent="0.3">
      <c r="O182" s="105"/>
    </row>
    <row r="183" spans="15:15" x14ac:dyDescent="0.3">
      <c r="O183" s="105"/>
    </row>
    <row r="184" spans="15:15" x14ac:dyDescent="0.3">
      <c r="O184" s="105"/>
    </row>
    <row r="185" spans="15:15" x14ac:dyDescent="0.3">
      <c r="O185" s="105"/>
    </row>
    <row r="186" spans="15:15" x14ac:dyDescent="0.3">
      <c r="O186" s="105"/>
    </row>
    <row r="187" spans="15:15" x14ac:dyDescent="0.3">
      <c r="O187" s="105"/>
    </row>
    <row r="188" spans="15:15" x14ac:dyDescent="0.3">
      <c r="O188" s="105"/>
    </row>
    <row r="189" spans="15:15" x14ac:dyDescent="0.3">
      <c r="O189" s="105"/>
    </row>
    <row r="190" spans="15:15" x14ac:dyDescent="0.3">
      <c r="O190" s="105"/>
    </row>
    <row r="191" spans="15:15" x14ac:dyDescent="0.3">
      <c r="O191" s="105"/>
    </row>
    <row r="192" spans="15:15" x14ac:dyDescent="0.3">
      <c r="O192" s="105"/>
    </row>
    <row r="193" spans="15:15" x14ac:dyDescent="0.3">
      <c r="O193" s="105"/>
    </row>
    <row r="194" spans="15:15" x14ac:dyDescent="0.3">
      <c r="O194" s="105"/>
    </row>
    <row r="195" spans="15:15" x14ac:dyDescent="0.3">
      <c r="O195" s="105"/>
    </row>
    <row r="196" spans="15:15" x14ac:dyDescent="0.3">
      <c r="O196" s="105"/>
    </row>
    <row r="197" spans="15:15" x14ac:dyDescent="0.3">
      <c r="O197" s="105"/>
    </row>
    <row r="198" spans="15:15" x14ac:dyDescent="0.3">
      <c r="O198" s="105"/>
    </row>
    <row r="199" spans="15:15" x14ac:dyDescent="0.3">
      <c r="O199" s="105"/>
    </row>
    <row r="200" spans="15:15" x14ac:dyDescent="0.3">
      <c r="O200" s="105"/>
    </row>
    <row r="201" spans="15:15" x14ac:dyDescent="0.3">
      <c r="O201" s="105"/>
    </row>
    <row r="202" spans="15:15" x14ac:dyDescent="0.3">
      <c r="O202" s="105"/>
    </row>
    <row r="203" spans="15:15" x14ac:dyDescent="0.3">
      <c r="O203" s="105"/>
    </row>
    <row r="204" spans="15:15" x14ac:dyDescent="0.3">
      <c r="O204" s="105"/>
    </row>
    <row r="205" spans="15:15" x14ac:dyDescent="0.3">
      <c r="O205" s="105"/>
    </row>
    <row r="206" spans="15:15" x14ac:dyDescent="0.3">
      <c r="O206" s="105"/>
    </row>
    <row r="207" spans="15:15" x14ac:dyDescent="0.3">
      <c r="O207" s="105"/>
    </row>
    <row r="208" spans="15:15" x14ac:dyDescent="0.3">
      <c r="O208" s="105"/>
    </row>
    <row r="209" spans="15:15" x14ac:dyDescent="0.3">
      <c r="O209" s="105"/>
    </row>
    <row r="210" spans="15:15" x14ac:dyDescent="0.3">
      <c r="O210" s="105"/>
    </row>
    <row r="211" spans="15:15" x14ac:dyDescent="0.3">
      <c r="O211" s="105"/>
    </row>
    <row r="212" spans="15:15" x14ac:dyDescent="0.3">
      <c r="O212" s="105"/>
    </row>
    <row r="213" spans="15:15" x14ac:dyDescent="0.3">
      <c r="O213" s="105"/>
    </row>
    <row r="214" spans="15:15" x14ac:dyDescent="0.3">
      <c r="O214" s="105"/>
    </row>
    <row r="215" spans="15:15" x14ac:dyDescent="0.3">
      <c r="O215" s="105"/>
    </row>
    <row r="216" spans="15:15" x14ac:dyDescent="0.3">
      <c r="O216" s="105"/>
    </row>
    <row r="217" spans="15:15" x14ac:dyDescent="0.3">
      <c r="O217" s="10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CAA00-6FA0-4172-BDD8-9EB36B2F367F}">
  <sheetPr>
    <tabColor theme="9" tint="0.59999389629810485"/>
  </sheetPr>
  <dimension ref="A1:AJ199"/>
  <sheetViews>
    <sheetView zoomScale="80" zoomScaleNormal="80" workbookViewId="0">
      <pane xSplit="1" ySplit="8" topLeftCell="N36" activePane="bottomRight" state="frozen"/>
      <selection activeCell="B9" sqref="B9"/>
      <selection pane="topRight" activeCell="B9" sqref="B9"/>
      <selection pane="bottomLeft" activeCell="B9" sqref="B9"/>
      <selection pane="bottomRight" activeCell="B9" sqref="B9"/>
    </sheetView>
  </sheetViews>
  <sheetFormatPr defaultColWidth="7.44140625" defaultRowHeight="13.8" outlineLevelCol="1" x14ac:dyDescent="0.3"/>
  <cols>
    <col min="1" max="1" width="54.77734375" style="83" customWidth="1"/>
    <col min="2" max="13" width="11.33203125" style="83" customWidth="1" outlineLevel="1"/>
    <col min="14" max="14" width="14.21875" style="83" customWidth="1"/>
    <col min="15" max="15" width="12.77734375" style="83" customWidth="1"/>
    <col min="16" max="16" width="6.109375" style="83" customWidth="1"/>
    <col min="17" max="17" width="5.77734375" style="83" customWidth="1"/>
    <col min="18" max="18" width="15" style="83" customWidth="1"/>
    <col min="19" max="19" width="13.6640625" style="83" customWidth="1"/>
    <col min="20" max="20" width="12.77734375" style="83" customWidth="1"/>
    <col min="21" max="32" width="11.33203125" style="83" customWidth="1" outlineLevel="1"/>
    <col min="33" max="33" width="14.21875" style="83" customWidth="1"/>
    <col min="34" max="34" width="12.77734375" style="83" customWidth="1"/>
    <col min="35" max="35" width="7.44140625" style="83"/>
    <col min="36" max="36" width="13.109375" style="83" customWidth="1"/>
    <col min="37" max="16384" width="7.44140625" style="83"/>
  </cols>
  <sheetData>
    <row r="1" spans="1:36" ht="21" x14ac:dyDescent="0.4">
      <c r="A1" s="82" t="s">
        <v>12</v>
      </c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</row>
    <row r="2" spans="1:36" ht="15.6" x14ac:dyDescent="0.3">
      <c r="A2" s="86" t="s">
        <v>69</v>
      </c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</row>
    <row r="4" spans="1:36" ht="14.4" x14ac:dyDescent="0.3">
      <c r="A4" s="87" t="s">
        <v>70</v>
      </c>
    </row>
    <row r="5" spans="1:36" x14ac:dyDescent="0.3"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</row>
    <row r="7" spans="1:36" x14ac:dyDescent="0.3">
      <c r="A7" s="89"/>
      <c r="B7" s="90" t="s">
        <v>71</v>
      </c>
      <c r="C7" s="90" t="s">
        <v>71</v>
      </c>
      <c r="D7" s="90" t="s">
        <v>71</v>
      </c>
      <c r="E7" s="90" t="s">
        <v>71</v>
      </c>
      <c r="F7" s="90" t="s">
        <v>71</v>
      </c>
      <c r="G7" s="90" t="s">
        <v>71</v>
      </c>
      <c r="H7" s="90" t="s">
        <v>71</v>
      </c>
      <c r="I7" s="90" t="s">
        <v>71</v>
      </c>
      <c r="J7" s="91" t="s">
        <v>72</v>
      </c>
      <c r="K7" s="91" t="s">
        <v>72</v>
      </c>
      <c r="L7" s="91" t="s">
        <v>72</v>
      </c>
      <c r="M7" s="91" t="s">
        <v>72</v>
      </c>
      <c r="N7" s="91" t="s">
        <v>72</v>
      </c>
      <c r="O7" s="91" t="s">
        <v>72</v>
      </c>
      <c r="R7" s="92"/>
      <c r="S7" s="93" t="s">
        <v>73</v>
      </c>
      <c r="T7" s="93" t="s">
        <v>74</v>
      </c>
      <c r="U7" s="94" t="s">
        <v>75</v>
      </c>
      <c r="V7" s="94" t="s">
        <v>75</v>
      </c>
      <c r="W7" s="94" t="s">
        <v>75</v>
      </c>
      <c r="X7" s="94" t="s">
        <v>75</v>
      </c>
      <c r="Y7" s="94" t="s">
        <v>75</v>
      </c>
      <c r="Z7" s="94" t="s">
        <v>75</v>
      </c>
      <c r="AA7" s="94" t="s">
        <v>75</v>
      </c>
      <c r="AB7" s="94" t="s">
        <v>75</v>
      </c>
      <c r="AC7" s="94" t="s">
        <v>75</v>
      </c>
      <c r="AD7" s="94" t="s">
        <v>75</v>
      </c>
      <c r="AE7" s="94" t="s">
        <v>75</v>
      </c>
      <c r="AF7" s="94" t="s">
        <v>75</v>
      </c>
      <c r="AG7" s="94" t="s">
        <v>75</v>
      </c>
      <c r="AH7" s="94" t="s">
        <v>75</v>
      </c>
      <c r="AJ7" s="95" t="s">
        <v>74</v>
      </c>
    </row>
    <row r="8" spans="1:36" x14ac:dyDescent="0.3">
      <c r="A8" s="89" t="s">
        <v>76</v>
      </c>
      <c r="B8" s="96" t="s">
        <v>77</v>
      </c>
      <c r="C8" s="96" t="s">
        <v>78</v>
      </c>
      <c r="D8" s="96" t="s">
        <v>79</v>
      </c>
      <c r="E8" s="96" t="s">
        <v>80</v>
      </c>
      <c r="F8" s="96" t="s">
        <v>81</v>
      </c>
      <c r="G8" s="96" t="s">
        <v>82</v>
      </c>
      <c r="H8" s="96" t="s">
        <v>83</v>
      </c>
      <c r="I8" s="96" t="s">
        <v>84</v>
      </c>
      <c r="J8" s="96" t="s">
        <v>85</v>
      </c>
      <c r="K8" s="96" t="s">
        <v>86</v>
      </c>
      <c r="L8" s="96" t="s">
        <v>87</v>
      </c>
      <c r="M8" s="96" t="s">
        <v>88</v>
      </c>
      <c r="N8" s="90">
        <v>2026</v>
      </c>
      <c r="O8" s="90" t="s">
        <v>89</v>
      </c>
      <c r="R8" s="92" t="s">
        <v>90</v>
      </c>
      <c r="S8" s="93" t="s">
        <v>91</v>
      </c>
      <c r="T8" s="93" t="s">
        <v>92</v>
      </c>
      <c r="U8" s="97" t="s">
        <v>77</v>
      </c>
      <c r="V8" s="97" t="s">
        <v>78</v>
      </c>
      <c r="W8" s="97" t="s">
        <v>79</v>
      </c>
      <c r="X8" s="97" t="s">
        <v>80</v>
      </c>
      <c r="Y8" s="97" t="s">
        <v>81</v>
      </c>
      <c r="Z8" s="97" t="s">
        <v>82</v>
      </c>
      <c r="AA8" s="97" t="s">
        <v>83</v>
      </c>
      <c r="AB8" s="97" t="s">
        <v>84</v>
      </c>
      <c r="AC8" s="97" t="s">
        <v>85</v>
      </c>
      <c r="AD8" s="97" t="s">
        <v>86</v>
      </c>
      <c r="AE8" s="97" t="s">
        <v>87</v>
      </c>
      <c r="AF8" s="97" t="s">
        <v>88</v>
      </c>
      <c r="AG8" s="98" t="s">
        <v>93</v>
      </c>
      <c r="AH8" s="94" t="s">
        <v>89</v>
      </c>
      <c r="AJ8" s="99" t="s">
        <v>94</v>
      </c>
    </row>
    <row r="9" spans="1:36" x14ac:dyDescent="0.3">
      <c r="A9" s="100" t="s">
        <v>95</v>
      </c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6" x14ac:dyDescent="0.3">
      <c r="A10" s="101" t="s">
        <v>96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</row>
    <row r="11" spans="1:36" x14ac:dyDescent="0.3">
      <c r="A11" s="102" t="s">
        <v>97</v>
      </c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</row>
    <row r="12" spans="1:36" x14ac:dyDescent="0.3">
      <c r="A12" s="103" t="s">
        <v>98</v>
      </c>
      <c r="B12" s="84">
        <f>IFERROR(SUMIF([2]Jan26A!$A:$A,$A12,INDEX([2]Jan26A!$A:$N,0,MATCH($A$1,[2]Jan26A!$A$7:$N$7,0))),0)</f>
        <v>0</v>
      </c>
      <c r="C12" s="84">
        <f>IFERROR(SUMIF([2]Feb26A!$A:$A,$A12,INDEX([2]Feb26A!$A:$N,0,MATCH($A$1,[2]Feb26A!$A$7:$N$7,0))),0)</f>
        <v>0</v>
      </c>
      <c r="D12" s="84">
        <f>IFERROR(SUMIF([2]Mar26A!$A:$A,$A12,INDEX([2]Mar26A!$A:$N,0,MATCH($A$1,[2]Mar26A!$A$7:$N$7,0))),0)</f>
        <v>0</v>
      </c>
      <c r="E12" s="84">
        <f>IFERROR(SUMIF([2]Apr26A!$A:$A,$A12,INDEX([2]Apr26A!$A:$N,0,MATCH($A$1,[2]Apr26A!$A$7:$N$7,0))),0)</f>
        <v>0</v>
      </c>
      <c r="F12" s="84">
        <f>IFERROR(SUMIF([2]May26A!$A:$A,$A12,INDEX([2]May26A!$A:$N,0,MATCH($A$1,[2]May26A!$A$7:$N$7,0))),0)</f>
        <v>0</v>
      </c>
      <c r="G12" s="84">
        <f>IFERROR(SUMIF([2]Jun26A!$A:$A,$A12,INDEX([2]Jun26A!$A:$N,0,MATCH($A$1,[2]Jun26A!$A$7:$N$7,0))),0)</f>
        <v>0</v>
      </c>
      <c r="H12" s="84">
        <f>IFERROR(SUMIF([2]Jul26A!$A:$A,$A12,INDEX([2]Jul26A!$A:$N,0,MATCH($A$1,[2]Jul26A!$A$7:$N$7,0))),0)</f>
        <v>0</v>
      </c>
      <c r="I12" s="84">
        <f>IFERROR(SUMIF([2]Aug26A!$A:$A,$A12,INDEX([2]Aug26A!$A:$N,0,MATCH($A$1,[2]Aug26A!$A$7:$N$7,0))),0)</f>
        <v>0</v>
      </c>
      <c r="J12" s="104"/>
      <c r="K12" s="104"/>
      <c r="L12" s="104"/>
      <c r="M12" s="104"/>
      <c r="N12" s="84">
        <f>SUM(B12:M12)</f>
        <v>0</v>
      </c>
      <c r="O12" s="105" t="str">
        <f>IFERROR(N12/N$16,"")</f>
        <v/>
      </c>
      <c r="P12" s="84"/>
      <c r="Q12" s="84"/>
      <c r="R12" s="106" t="s">
        <v>99</v>
      </c>
      <c r="S12" s="107"/>
      <c r="T12" s="108">
        <v>0.05</v>
      </c>
      <c r="U12" s="104">
        <f t="shared" ref="U12:AF13" si="0">IF($R12="Manual","",IFERROR(IF($R12="YOY Growth",$N12*(1+$T12)/12,$S12/12),""))</f>
        <v>0</v>
      </c>
      <c r="V12" s="104">
        <f t="shared" si="0"/>
        <v>0</v>
      </c>
      <c r="W12" s="104">
        <f t="shared" si="0"/>
        <v>0</v>
      </c>
      <c r="X12" s="104">
        <f t="shared" si="0"/>
        <v>0</v>
      </c>
      <c r="Y12" s="104">
        <f t="shared" si="0"/>
        <v>0</v>
      </c>
      <c r="Z12" s="104">
        <f t="shared" si="0"/>
        <v>0</v>
      </c>
      <c r="AA12" s="104">
        <f t="shared" si="0"/>
        <v>0</v>
      </c>
      <c r="AB12" s="104">
        <f t="shared" si="0"/>
        <v>0</v>
      </c>
      <c r="AC12" s="104">
        <f t="shared" si="0"/>
        <v>0</v>
      </c>
      <c r="AD12" s="104">
        <f t="shared" si="0"/>
        <v>0</v>
      </c>
      <c r="AE12" s="104">
        <f t="shared" si="0"/>
        <v>0</v>
      </c>
      <c r="AF12" s="104">
        <f t="shared" si="0"/>
        <v>0</v>
      </c>
      <c r="AG12" s="84">
        <f>SUM(U12:AF12)</f>
        <v>0</v>
      </c>
      <c r="AH12" s="105" t="str">
        <f>IFERROR(AG12/AG$16,"")</f>
        <v/>
      </c>
      <c r="AJ12" s="84">
        <f>AG12-N12</f>
        <v>0</v>
      </c>
    </row>
    <row r="13" spans="1:36" x14ac:dyDescent="0.3">
      <c r="A13" s="103" t="s">
        <v>100</v>
      </c>
      <c r="B13" s="84">
        <f>IFERROR(SUMIF([2]Jan26A!$A:$A,$A13,INDEX([2]Jan26A!$A:$N,0,MATCH($A$1,[2]Jan26A!$A$7:$N$7,0))),0)</f>
        <v>0</v>
      </c>
      <c r="C13" s="84">
        <f>IFERROR(SUMIF([2]Feb26A!$A:$A,$A13,INDEX([2]Feb26A!$A:$N,0,MATCH($A$1,[2]Feb26A!$A$7:$N$7,0))),0)</f>
        <v>0</v>
      </c>
      <c r="D13" s="84">
        <f>IFERROR(SUMIF([2]Mar26A!$A:$A,$A13,INDEX([2]Mar26A!$A:$N,0,MATCH($A$1,[2]Mar26A!$A$7:$N$7,0))),0)</f>
        <v>0</v>
      </c>
      <c r="E13" s="84">
        <f>IFERROR(SUMIF([2]Apr26A!$A:$A,$A13,INDEX([2]Apr26A!$A:$N,0,MATCH($A$1,[2]Apr26A!$A$7:$N$7,0))),0)</f>
        <v>0</v>
      </c>
      <c r="F13" s="84">
        <f>IFERROR(SUMIF([2]May26A!$A:$A,$A13,INDEX([2]May26A!$A:$N,0,MATCH($A$1,[2]May26A!$A$7:$N$7,0))),0)</f>
        <v>0</v>
      </c>
      <c r="G13" s="84">
        <f>IFERROR(SUMIF([2]Jun26A!$A:$A,$A13,INDEX([2]Jun26A!$A:$N,0,MATCH($A$1,[2]Jun26A!$A$7:$N$7,0))),0)</f>
        <v>0</v>
      </c>
      <c r="H13" s="84">
        <f>IFERROR(SUMIF([2]Jul26A!$A:$A,$A13,INDEX([2]Jul26A!$A:$N,0,MATCH($A$1,[2]Jul26A!$A$7:$N$7,0))),0)</f>
        <v>0</v>
      </c>
      <c r="I13" s="84">
        <f>IFERROR(SUMIF([2]Aug26A!$A:$A,$A13,INDEX([2]Aug26A!$A:$N,0,MATCH($A$1,[2]Aug26A!$A$7:$N$7,0))),0)</f>
        <v>0</v>
      </c>
      <c r="J13" s="104"/>
      <c r="K13" s="104"/>
      <c r="L13" s="104"/>
      <c r="M13" s="104"/>
      <c r="N13" s="84">
        <f>SUM(B13:M13)</f>
        <v>0</v>
      </c>
      <c r="O13" s="105" t="str">
        <f>IFERROR(N13/N$16,"")</f>
        <v/>
      </c>
      <c r="P13" s="84"/>
      <c r="Q13" s="84"/>
      <c r="R13" s="106" t="s">
        <v>99</v>
      </c>
      <c r="S13" s="107">
        <v>0</v>
      </c>
      <c r="T13" s="108">
        <v>0.05</v>
      </c>
      <c r="U13" s="104">
        <f t="shared" si="0"/>
        <v>0</v>
      </c>
      <c r="V13" s="104">
        <f t="shared" si="0"/>
        <v>0</v>
      </c>
      <c r="W13" s="104">
        <f t="shared" si="0"/>
        <v>0</v>
      </c>
      <c r="X13" s="104">
        <f t="shared" si="0"/>
        <v>0</v>
      </c>
      <c r="Y13" s="104">
        <f t="shared" si="0"/>
        <v>0</v>
      </c>
      <c r="Z13" s="104">
        <f t="shared" si="0"/>
        <v>0</v>
      </c>
      <c r="AA13" s="104">
        <f t="shared" si="0"/>
        <v>0</v>
      </c>
      <c r="AB13" s="104">
        <f t="shared" si="0"/>
        <v>0</v>
      </c>
      <c r="AC13" s="104">
        <f t="shared" si="0"/>
        <v>0</v>
      </c>
      <c r="AD13" s="104">
        <f t="shared" si="0"/>
        <v>0</v>
      </c>
      <c r="AE13" s="104">
        <f t="shared" si="0"/>
        <v>0</v>
      </c>
      <c r="AF13" s="104">
        <f t="shared" si="0"/>
        <v>0</v>
      </c>
      <c r="AG13" s="84">
        <f>SUM(U13:AF13)</f>
        <v>0</v>
      </c>
      <c r="AH13" s="105" t="str">
        <f>IFERROR(AG13/AG$16,"")</f>
        <v/>
      </c>
      <c r="AJ13" s="84">
        <f>AG13-N13</f>
        <v>0</v>
      </c>
    </row>
    <row r="14" spans="1:36" x14ac:dyDescent="0.3">
      <c r="A14" s="109" t="s">
        <v>101</v>
      </c>
      <c r="B14" s="110">
        <f t="shared" ref="B14:M14" si="1">SUM(B12:B13)</f>
        <v>0</v>
      </c>
      <c r="C14" s="110">
        <f t="shared" si="1"/>
        <v>0</v>
      </c>
      <c r="D14" s="110">
        <f t="shared" si="1"/>
        <v>0</v>
      </c>
      <c r="E14" s="110">
        <f t="shared" si="1"/>
        <v>0</v>
      </c>
      <c r="F14" s="110">
        <f t="shared" si="1"/>
        <v>0</v>
      </c>
      <c r="G14" s="110">
        <f t="shared" si="1"/>
        <v>0</v>
      </c>
      <c r="H14" s="110">
        <f t="shared" si="1"/>
        <v>0</v>
      </c>
      <c r="I14" s="110">
        <f t="shared" si="1"/>
        <v>0</v>
      </c>
      <c r="J14" s="110">
        <f t="shared" si="1"/>
        <v>0</v>
      </c>
      <c r="K14" s="110">
        <f t="shared" si="1"/>
        <v>0</v>
      </c>
      <c r="L14" s="110">
        <f t="shared" si="1"/>
        <v>0</v>
      </c>
      <c r="M14" s="110">
        <f t="shared" si="1"/>
        <v>0</v>
      </c>
      <c r="N14" s="110">
        <f>SUM(B14:M14)</f>
        <v>0</v>
      </c>
      <c r="O14" s="111">
        <f>SUM(O12:O13)</f>
        <v>0</v>
      </c>
      <c r="P14" s="84"/>
      <c r="Q14" s="84"/>
      <c r="R14" s="112"/>
      <c r="S14" s="112"/>
      <c r="T14" s="112"/>
      <c r="U14" s="110">
        <f t="shared" ref="U14:AF14" si="2">SUM(U12:U13)</f>
        <v>0</v>
      </c>
      <c r="V14" s="110">
        <f t="shared" si="2"/>
        <v>0</v>
      </c>
      <c r="W14" s="110">
        <f t="shared" si="2"/>
        <v>0</v>
      </c>
      <c r="X14" s="110">
        <f t="shared" si="2"/>
        <v>0</v>
      </c>
      <c r="Y14" s="110">
        <f t="shared" si="2"/>
        <v>0</v>
      </c>
      <c r="Z14" s="110">
        <f t="shared" si="2"/>
        <v>0</v>
      </c>
      <c r="AA14" s="110">
        <f t="shared" si="2"/>
        <v>0</v>
      </c>
      <c r="AB14" s="110">
        <f t="shared" si="2"/>
        <v>0</v>
      </c>
      <c r="AC14" s="110">
        <f t="shared" si="2"/>
        <v>0</v>
      </c>
      <c r="AD14" s="110">
        <f t="shared" si="2"/>
        <v>0</v>
      </c>
      <c r="AE14" s="110">
        <f t="shared" si="2"/>
        <v>0</v>
      </c>
      <c r="AF14" s="110">
        <f t="shared" si="2"/>
        <v>0</v>
      </c>
      <c r="AG14" s="110">
        <f>SUM(U14:AF14)</f>
        <v>0</v>
      </c>
      <c r="AH14" s="111">
        <f>SUM(AH12:AH13)</f>
        <v>0</v>
      </c>
      <c r="AJ14" s="110">
        <f>AG14-N14</f>
        <v>0</v>
      </c>
    </row>
    <row r="15" spans="1:36" x14ac:dyDescent="0.3">
      <c r="A15" s="113" t="s">
        <v>102</v>
      </c>
      <c r="B15" s="84">
        <f>IFERROR(SUMIF([2]Jan26A!$A:$A,$A15,INDEX([2]Jan26A!$A:$N,0,MATCH($A$1,[2]Jan26A!$A$7:$N$7,0))),0)</f>
        <v>0</v>
      </c>
      <c r="C15" s="84">
        <f>IFERROR(SUMIF([2]Feb26A!$A:$A,$A15,INDEX([2]Feb26A!$A:$N,0,MATCH($A$1,[2]Feb26A!$A$7:$N$7,0))),0)</f>
        <v>0</v>
      </c>
      <c r="D15" s="84">
        <f>IFERROR(SUMIF([2]Mar26A!$A:$A,$A15,INDEX([2]Mar26A!$A:$N,0,MATCH($A$1,[2]Mar26A!$A$7:$N$7,0))),0)</f>
        <v>0</v>
      </c>
      <c r="E15" s="84">
        <f>IFERROR(SUMIF([2]Apr26A!$A:$A,$A15,INDEX([2]Apr26A!$A:$N,0,MATCH($A$1,[2]Apr26A!$A$7:$N$7,0))),0)</f>
        <v>0</v>
      </c>
      <c r="F15" s="84">
        <f>IFERROR(SUMIF([2]May26A!$A:$A,$A15,INDEX([2]May26A!$A:$N,0,MATCH($A$1,[2]May26A!$A$7:$N$7,0))),0)</f>
        <v>0</v>
      </c>
      <c r="G15" s="84">
        <f>IFERROR(SUMIF([2]Jun26A!$A:$A,$A15,INDEX([2]Jun26A!$A:$N,0,MATCH($A$1,[2]Jun26A!$A$7:$N$7,0))),0)</f>
        <v>0</v>
      </c>
      <c r="H15" s="84">
        <f>IFERROR(SUMIF([2]Jul26A!$A:$A,$A15,INDEX([2]Jul26A!$A:$N,0,MATCH($A$1,[2]Jul26A!$A$7:$N$7,0))),0)</f>
        <v>0</v>
      </c>
      <c r="I15" s="84">
        <f>IFERROR(SUMIF([2]Aug26A!$A:$A,$A15,INDEX([2]Aug26A!$A:$N,0,MATCH($A$1,[2]Aug26A!$A$7:$N$7,0))),0)</f>
        <v>0</v>
      </c>
      <c r="J15" s="104"/>
      <c r="K15" s="104"/>
      <c r="L15" s="104"/>
      <c r="M15" s="104"/>
      <c r="N15" s="84">
        <f>SUM(B15:M15)</f>
        <v>0</v>
      </c>
      <c r="O15" s="105" t="str">
        <f>IFERROR(N15/N$16,"")</f>
        <v/>
      </c>
      <c r="P15" s="84"/>
      <c r="Q15" s="84"/>
      <c r="R15" s="106" t="s">
        <v>99</v>
      </c>
      <c r="S15" s="107">
        <v>0</v>
      </c>
      <c r="T15" s="108">
        <v>0.05</v>
      </c>
      <c r="U15" s="104">
        <f t="shared" ref="U15:AF15" si="3">IF($R15="Manual","",IFERROR(IF($R15="YOY Growth",$N15*(1+$T15)/12,$S15/12),""))</f>
        <v>0</v>
      </c>
      <c r="V15" s="104">
        <f t="shared" si="3"/>
        <v>0</v>
      </c>
      <c r="W15" s="104">
        <f t="shared" si="3"/>
        <v>0</v>
      </c>
      <c r="X15" s="104">
        <f t="shared" si="3"/>
        <v>0</v>
      </c>
      <c r="Y15" s="104">
        <f t="shared" si="3"/>
        <v>0</v>
      </c>
      <c r="Z15" s="104">
        <f t="shared" si="3"/>
        <v>0</v>
      </c>
      <c r="AA15" s="104">
        <f t="shared" si="3"/>
        <v>0</v>
      </c>
      <c r="AB15" s="104">
        <f t="shared" si="3"/>
        <v>0</v>
      </c>
      <c r="AC15" s="104">
        <f t="shared" si="3"/>
        <v>0</v>
      </c>
      <c r="AD15" s="104">
        <f t="shared" si="3"/>
        <v>0</v>
      </c>
      <c r="AE15" s="104">
        <f t="shared" si="3"/>
        <v>0</v>
      </c>
      <c r="AF15" s="104">
        <f t="shared" si="3"/>
        <v>0</v>
      </c>
      <c r="AG15" s="84">
        <f>SUM(U15:AF15)</f>
        <v>0</v>
      </c>
      <c r="AH15" s="105" t="str">
        <f>IFERROR(AG15/AG$16,"")</f>
        <v/>
      </c>
      <c r="AJ15" s="84">
        <f>AG15-N15</f>
        <v>0</v>
      </c>
    </row>
    <row r="16" spans="1:36" x14ac:dyDescent="0.3">
      <c r="A16" s="114" t="s">
        <v>103</v>
      </c>
      <c r="B16" s="110">
        <f t="shared" ref="B16:M16" si="4">B14+B15</f>
        <v>0</v>
      </c>
      <c r="C16" s="110">
        <f t="shared" si="4"/>
        <v>0</v>
      </c>
      <c r="D16" s="110">
        <f t="shared" si="4"/>
        <v>0</v>
      </c>
      <c r="E16" s="110">
        <f t="shared" si="4"/>
        <v>0</v>
      </c>
      <c r="F16" s="110">
        <f t="shared" si="4"/>
        <v>0</v>
      </c>
      <c r="G16" s="110">
        <f t="shared" si="4"/>
        <v>0</v>
      </c>
      <c r="H16" s="110">
        <f t="shared" si="4"/>
        <v>0</v>
      </c>
      <c r="I16" s="110">
        <f t="shared" si="4"/>
        <v>0</v>
      </c>
      <c r="J16" s="110">
        <f t="shared" si="4"/>
        <v>0</v>
      </c>
      <c r="K16" s="110">
        <f t="shared" si="4"/>
        <v>0</v>
      </c>
      <c r="L16" s="110">
        <f t="shared" si="4"/>
        <v>0</v>
      </c>
      <c r="M16" s="110">
        <f t="shared" si="4"/>
        <v>0</v>
      </c>
      <c r="N16" s="110">
        <f>SUM(B16:M16)</f>
        <v>0</v>
      </c>
      <c r="O16" s="111">
        <f>SUM(O14:O15)</f>
        <v>0</v>
      </c>
      <c r="P16" s="84"/>
      <c r="Q16" s="84"/>
      <c r="R16" s="112"/>
      <c r="S16" s="112"/>
      <c r="T16" s="112"/>
      <c r="U16" s="110">
        <f t="shared" ref="U16:AF16" si="5">U14+U15</f>
        <v>0</v>
      </c>
      <c r="V16" s="110">
        <f t="shared" si="5"/>
        <v>0</v>
      </c>
      <c r="W16" s="110">
        <f t="shared" si="5"/>
        <v>0</v>
      </c>
      <c r="X16" s="110">
        <f t="shared" si="5"/>
        <v>0</v>
      </c>
      <c r="Y16" s="110">
        <f t="shared" si="5"/>
        <v>0</v>
      </c>
      <c r="Z16" s="110">
        <f t="shared" si="5"/>
        <v>0</v>
      </c>
      <c r="AA16" s="110">
        <f t="shared" si="5"/>
        <v>0</v>
      </c>
      <c r="AB16" s="110">
        <f t="shared" si="5"/>
        <v>0</v>
      </c>
      <c r="AC16" s="110">
        <f t="shared" si="5"/>
        <v>0</v>
      </c>
      <c r="AD16" s="110">
        <f t="shared" si="5"/>
        <v>0</v>
      </c>
      <c r="AE16" s="110">
        <f t="shared" si="5"/>
        <v>0</v>
      </c>
      <c r="AF16" s="110">
        <f t="shared" si="5"/>
        <v>0</v>
      </c>
      <c r="AG16" s="110">
        <f>SUM(U16:AF16)</f>
        <v>0</v>
      </c>
      <c r="AH16" s="111">
        <f>SUM(AH14:AH15)</f>
        <v>0</v>
      </c>
      <c r="AJ16" s="110">
        <f>AG16-N16</f>
        <v>0</v>
      </c>
    </row>
    <row r="17" spans="1:36" x14ac:dyDescent="0.3">
      <c r="A17" s="101" t="s">
        <v>104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105"/>
      <c r="P17" s="84"/>
      <c r="Q17" s="84"/>
      <c r="R17" s="112"/>
      <c r="S17" s="112"/>
      <c r="T17" s="112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105"/>
      <c r="AJ17" s="84"/>
    </row>
    <row r="18" spans="1:36" x14ac:dyDescent="0.3">
      <c r="A18" s="102" t="s">
        <v>105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105"/>
      <c r="P18" s="84"/>
      <c r="Q18" s="84"/>
      <c r="R18" s="112"/>
      <c r="S18" s="112"/>
      <c r="T18" s="112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105"/>
      <c r="AJ18" s="84"/>
    </row>
    <row r="19" spans="1:36" x14ac:dyDescent="0.3">
      <c r="A19" s="103" t="s">
        <v>106</v>
      </c>
      <c r="B19" s="84">
        <f>IFERROR(SUMIF([2]Jan26A!$A:$A,$A19,INDEX([2]Jan26A!$A:$N,0,MATCH($A$1,[2]Jan26A!$A$7:$N$7,0))),0)</f>
        <v>0</v>
      </c>
      <c r="C19" s="84">
        <f>IFERROR(SUMIF([2]Feb26A!$A:$A,$A19,INDEX([2]Feb26A!$A:$N,0,MATCH($A$1,[2]Feb26A!$A$7:$N$7,0))),0)</f>
        <v>0</v>
      </c>
      <c r="D19" s="84">
        <f>IFERROR(SUMIF([2]Mar26A!$A:$A,$A19,INDEX([2]Mar26A!$A:$N,0,MATCH($A$1,[2]Mar26A!$A$7:$N$7,0))),0)</f>
        <v>0</v>
      </c>
      <c r="E19" s="84">
        <f>IFERROR(SUMIF([2]Apr26A!$A:$A,$A19,INDEX([2]Apr26A!$A:$N,0,MATCH($A$1,[2]Apr26A!$A$7:$N$7,0))),0)</f>
        <v>0</v>
      </c>
      <c r="F19" s="84">
        <f>IFERROR(SUMIF([2]May26A!$A:$A,$A19,INDEX([2]May26A!$A:$N,0,MATCH($A$1,[2]May26A!$A$7:$N$7,0))),0)</f>
        <v>0</v>
      </c>
      <c r="G19" s="84">
        <f>IFERROR(SUMIF([2]Jun26A!$A:$A,$A19,INDEX([2]Jun26A!$A:$N,0,MATCH($A$1,[2]Jun26A!$A$7:$N$7,0))),0)</f>
        <v>0</v>
      </c>
      <c r="H19" s="84">
        <f>IFERROR(SUMIF([2]Jul26A!$A:$A,$A19,INDEX([2]Jul26A!$A:$N,0,MATCH($A$1,[2]Jul26A!$A$7:$N$7,0))),0)</f>
        <v>0</v>
      </c>
      <c r="I19" s="84">
        <f>IFERROR(SUMIF([2]Aug26A!$A:$A,$A19,INDEX([2]Aug26A!$A:$N,0,MATCH($A$1,[2]Aug26A!$A$7:$N$7,0))),0)</f>
        <v>0</v>
      </c>
      <c r="J19" s="104"/>
      <c r="K19" s="104"/>
      <c r="L19" s="104"/>
      <c r="M19" s="104"/>
      <c r="N19" s="84">
        <f>SUM(B19:M19)</f>
        <v>0</v>
      </c>
      <c r="O19" s="105" t="str">
        <f>IFERROR(N19/N$16,"")</f>
        <v/>
      </c>
      <c r="P19" s="84"/>
      <c r="Q19" s="84"/>
      <c r="R19" s="106" t="s">
        <v>99</v>
      </c>
      <c r="S19" s="107">
        <v>0</v>
      </c>
      <c r="T19" s="108">
        <v>0.05</v>
      </c>
      <c r="U19" s="104">
        <f t="shared" ref="U19:AF22" si="6">IF($R19="Manual","",IFERROR(IF($R19="YOY Growth",$N19*(1+$T19)/12,$S19/12),""))</f>
        <v>0</v>
      </c>
      <c r="V19" s="104">
        <f t="shared" si="6"/>
        <v>0</v>
      </c>
      <c r="W19" s="104">
        <f t="shared" si="6"/>
        <v>0</v>
      </c>
      <c r="X19" s="104">
        <f t="shared" si="6"/>
        <v>0</v>
      </c>
      <c r="Y19" s="104">
        <f t="shared" si="6"/>
        <v>0</v>
      </c>
      <c r="Z19" s="104">
        <f t="shared" si="6"/>
        <v>0</v>
      </c>
      <c r="AA19" s="104">
        <f t="shared" si="6"/>
        <v>0</v>
      </c>
      <c r="AB19" s="104">
        <f t="shared" si="6"/>
        <v>0</v>
      </c>
      <c r="AC19" s="104">
        <f t="shared" si="6"/>
        <v>0</v>
      </c>
      <c r="AD19" s="104">
        <f t="shared" si="6"/>
        <v>0</v>
      </c>
      <c r="AE19" s="104">
        <f t="shared" si="6"/>
        <v>0</v>
      </c>
      <c r="AF19" s="104">
        <f t="shared" si="6"/>
        <v>0</v>
      </c>
      <c r="AG19" s="84">
        <f>SUM(U19:AF19)</f>
        <v>0</v>
      </c>
      <c r="AH19" s="105" t="str">
        <f>IFERROR(AG19/AG$16,"")</f>
        <v/>
      </c>
      <c r="AJ19" s="84">
        <f>N19-AG19</f>
        <v>0</v>
      </c>
    </row>
    <row r="20" spans="1:36" x14ac:dyDescent="0.3">
      <c r="A20" s="103" t="s">
        <v>107</v>
      </c>
      <c r="B20" s="84">
        <f>IFERROR(SUMIF([2]Jan26A!$A:$A,$A20,INDEX([2]Jan26A!$A:$N,0,MATCH($A$1,[2]Jan26A!$A$7:$N$7,0))),0)</f>
        <v>0</v>
      </c>
      <c r="C20" s="84">
        <f>IFERROR(SUMIF([2]Feb26A!$A:$A,$A20,INDEX([2]Feb26A!$A:$N,0,MATCH($A$1,[2]Feb26A!$A$7:$N$7,0))),0)</f>
        <v>0</v>
      </c>
      <c r="D20" s="84">
        <f>IFERROR(SUMIF([2]Mar26A!$A:$A,$A20,INDEX([2]Mar26A!$A:$N,0,MATCH($A$1,[2]Mar26A!$A$7:$N$7,0))),0)</f>
        <v>0</v>
      </c>
      <c r="E20" s="84">
        <f>IFERROR(SUMIF([2]Apr26A!$A:$A,$A20,INDEX([2]Apr26A!$A:$N,0,MATCH($A$1,[2]Apr26A!$A$7:$N$7,0))),0)</f>
        <v>0</v>
      </c>
      <c r="F20" s="84">
        <f>IFERROR(SUMIF([2]May26A!$A:$A,$A20,INDEX([2]May26A!$A:$N,0,MATCH($A$1,[2]May26A!$A$7:$N$7,0))),0)</f>
        <v>0</v>
      </c>
      <c r="G20" s="84">
        <f>IFERROR(SUMIF([2]Jun26A!$A:$A,$A20,INDEX([2]Jun26A!$A:$N,0,MATCH($A$1,[2]Jun26A!$A$7:$N$7,0))),0)</f>
        <v>0</v>
      </c>
      <c r="H20" s="84">
        <f>IFERROR(SUMIF([2]Jul26A!$A:$A,$A20,INDEX([2]Jul26A!$A:$N,0,MATCH($A$1,[2]Jul26A!$A$7:$N$7,0))),0)</f>
        <v>0</v>
      </c>
      <c r="I20" s="84">
        <f>IFERROR(SUMIF([2]Aug26A!$A:$A,$A20,INDEX([2]Aug26A!$A:$N,0,MATCH($A$1,[2]Aug26A!$A$7:$N$7,0))),0)</f>
        <v>0</v>
      </c>
      <c r="J20" s="104"/>
      <c r="K20" s="104"/>
      <c r="L20" s="104"/>
      <c r="M20" s="104"/>
      <c r="N20" s="84">
        <f>SUM(B20:M20)</f>
        <v>0</v>
      </c>
      <c r="O20" s="105" t="str">
        <f>IFERROR(N20/N$16,"")</f>
        <v/>
      </c>
      <c r="P20" s="84"/>
      <c r="Q20" s="84"/>
      <c r="R20" s="106" t="s">
        <v>99</v>
      </c>
      <c r="S20" s="107">
        <v>0</v>
      </c>
      <c r="T20" s="108">
        <v>0.05</v>
      </c>
      <c r="U20" s="104">
        <f t="shared" si="6"/>
        <v>0</v>
      </c>
      <c r="V20" s="104">
        <f t="shared" si="6"/>
        <v>0</v>
      </c>
      <c r="W20" s="104">
        <f t="shared" si="6"/>
        <v>0</v>
      </c>
      <c r="X20" s="104">
        <f t="shared" si="6"/>
        <v>0</v>
      </c>
      <c r="Y20" s="104">
        <f t="shared" si="6"/>
        <v>0</v>
      </c>
      <c r="Z20" s="104">
        <f t="shared" si="6"/>
        <v>0</v>
      </c>
      <c r="AA20" s="104">
        <f t="shared" si="6"/>
        <v>0</v>
      </c>
      <c r="AB20" s="104">
        <f t="shared" si="6"/>
        <v>0</v>
      </c>
      <c r="AC20" s="104">
        <f t="shared" si="6"/>
        <v>0</v>
      </c>
      <c r="AD20" s="104">
        <f t="shared" si="6"/>
        <v>0</v>
      </c>
      <c r="AE20" s="104">
        <f t="shared" si="6"/>
        <v>0</v>
      </c>
      <c r="AF20" s="104">
        <f t="shared" si="6"/>
        <v>0</v>
      </c>
      <c r="AG20" s="84">
        <f>SUM(U20:AF20)</f>
        <v>0</v>
      </c>
      <c r="AH20" s="105" t="str">
        <f>IFERROR(AG20/AG$16,"")</f>
        <v/>
      </c>
      <c r="AJ20" s="84">
        <f>N20-AG20</f>
        <v>0</v>
      </c>
    </row>
    <row r="21" spans="1:36" x14ac:dyDescent="0.3">
      <c r="A21" s="103" t="s">
        <v>108</v>
      </c>
      <c r="B21" s="84">
        <f>IFERROR(SUMIF([2]Jan26A!$A:$A,$A21,INDEX([2]Jan26A!$A:$N,0,MATCH($A$1,[2]Jan26A!$A$7:$N$7,0))),0)</f>
        <v>0</v>
      </c>
      <c r="C21" s="84">
        <f>IFERROR(SUMIF([2]Feb26A!$A:$A,$A21,INDEX([2]Feb26A!$A:$N,0,MATCH($A$1,[2]Feb26A!$A$7:$N$7,0))),0)</f>
        <v>0</v>
      </c>
      <c r="D21" s="84">
        <f>IFERROR(SUMIF([2]Mar26A!$A:$A,$A21,INDEX([2]Mar26A!$A:$N,0,MATCH($A$1,[2]Mar26A!$A$7:$N$7,0))),0)</f>
        <v>0</v>
      </c>
      <c r="E21" s="84">
        <f>IFERROR(SUMIF([2]Apr26A!$A:$A,$A21,INDEX([2]Apr26A!$A:$N,0,MATCH($A$1,[2]Apr26A!$A$7:$N$7,0))),0)</f>
        <v>0</v>
      </c>
      <c r="F21" s="84">
        <f>IFERROR(SUMIF([2]May26A!$A:$A,$A21,INDEX([2]May26A!$A:$N,0,MATCH($A$1,[2]May26A!$A$7:$N$7,0))),0)</f>
        <v>0</v>
      </c>
      <c r="G21" s="84">
        <f>IFERROR(SUMIF([2]Jun26A!$A:$A,$A21,INDEX([2]Jun26A!$A:$N,0,MATCH($A$1,[2]Jun26A!$A$7:$N$7,0))),0)</f>
        <v>0</v>
      </c>
      <c r="H21" s="84">
        <f>IFERROR(SUMIF([2]Jul26A!$A:$A,$A21,INDEX([2]Jul26A!$A:$N,0,MATCH($A$1,[2]Jul26A!$A$7:$N$7,0))),0)</f>
        <v>0</v>
      </c>
      <c r="I21" s="84">
        <f>IFERROR(SUMIF([2]Aug26A!$A:$A,$A21,INDEX([2]Aug26A!$A:$N,0,MATCH($A$1,[2]Aug26A!$A$7:$N$7,0))),0)</f>
        <v>0</v>
      </c>
      <c r="J21" s="104"/>
      <c r="K21" s="104"/>
      <c r="L21" s="104"/>
      <c r="M21" s="104"/>
      <c r="N21" s="84">
        <f>SUM(B21:M21)</f>
        <v>0</v>
      </c>
      <c r="O21" s="105" t="str">
        <f>IFERROR(N21/N$16,"")</f>
        <v/>
      </c>
      <c r="P21" s="84"/>
      <c r="Q21" s="84"/>
      <c r="R21" s="106" t="s">
        <v>99</v>
      </c>
      <c r="S21" s="107">
        <v>0</v>
      </c>
      <c r="T21" s="108">
        <v>0.05</v>
      </c>
      <c r="U21" s="104">
        <f t="shared" si="6"/>
        <v>0</v>
      </c>
      <c r="V21" s="104">
        <f t="shared" si="6"/>
        <v>0</v>
      </c>
      <c r="W21" s="104">
        <f t="shared" si="6"/>
        <v>0</v>
      </c>
      <c r="X21" s="104">
        <f t="shared" si="6"/>
        <v>0</v>
      </c>
      <c r="Y21" s="104">
        <f t="shared" si="6"/>
        <v>0</v>
      </c>
      <c r="Z21" s="104">
        <f t="shared" si="6"/>
        <v>0</v>
      </c>
      <c r="AA21" s="104">
        <f t="shared" si="6"/>
        <v>0</v>
      </c>
      <c r="AB21" s="104">
        <f t="shared" si="6"/>
        <v>0</v>
      </c>
      <c r="AC21" s="104">
        <f t="shared" si="6"/>
        <v>0</v>
      </c>
      <c r="AD21" s="104">
        <f t="shared" si="6"/>
        <v>0</v>
      </c>
      <c r="AE21" s="104">
        <f t="shared" si="6"/>
        <v>0</v>
      </c>
      <c r="AF21" s="104">
        <f t="shared" si="6"/>
        <v>0</v>
      </c>
      <c r="AG21" s="84">
        <f>SUM(U21:AF21)</f>
        <v>0</v>
      </c>
      <c r="AH21" s="105" t="str">
        <f>IFERROR(AG21/AG$16,"")</f>
        <v/>
      </c>
      <c r="AJ21" s="84">
        <f>N21-AG21</f>
        <v>0</v>
      </c>
    </row>
    <row r="22" spans="1:36" x14ac:dyDescent="0.3">
      <c r="A22" s="103" t="s">
        <v>109</v>
      </c>
      <c r="B22" s="84">
        <f>IFERROR(SUMIF([2]Jan26A!$A:$A,$A22,INDEX([2]Jan26A!$A:$N,0,MATCH($A$1,[2]Jan26A!$A$7:$N$7,0))),0)</f>
        <v>0</v>
      </c>
      <c r="C22" s="84">
        <f>IFERROR(SUMIF([2]Feb26A!$A:$A,$A22,INDEX([2]Feb26A!$A:$N,0,MATCH($A$1,[2]Feb26A!$A$7:$N$7,0))),0)</f>
        <v>0</v>
      </c>
      <c r="D22" s="84">
        <f>IFERROR(SUMIF([2]Mar26A!$A:$A,$A22,INDEX([2]Mar26A!$A:$N,0,MATCH($A$1,[2]Mar26A!$A$7:$N$7,0))),0)</f>
        <v>0</v>
      </c>
      <c r="E22" s="84">
        <f>IFERROR(SUMIF([2]Apr26A!$A:$A,$A22,INDEX([2]Apr26A!$A:$N,0,MATCH($A$1,[2]Apr26A!$A$7:$N$7,0))),0)</f>
        <v>0</v>
      </c>
      <c r="F22" s="84">
        <f>IFERROR(SUMIF([2]May26A!$A:$A,$A22,INDEX([2]May26A!$A:$N,0,MATCH($A$1,[2]May26A!$A$7:$N$7,0))),0)</f>
        <v>0</v>
      </c>
      <c r="G22" s="84">
        <f>IFERROR(SUMIF([2]Jun26A!$A:$A,$A22,INDEX([2]Jun26A!$A:$N,0,MATCH($A$1,[2]Jun26A!$A$7:$N$7,0))),0)</f>
        <v>0</v>
      </c>
      <c r="H22" s="84">
        <f>IFERROR(SUMIF([2]Jul26A!$A:$A,$A22,INDEX([2]Jul26A!$A:$N,0,MATCH($A$1,[2]Jul26A!$A$7:$N$7,0))),0)</f>
        <v>0</v>
      </c>
      <c r="I22" s="84">
        <f>IFERROR(SUMIF([2]Aug26A!$A:$A,$A22,INDEX([2]Aug26A!$A:$N,0,MATCH($A$1,[2]Aug26A!$A$7:$N$7,0))),0)</f>
        <v>0</v>
      </c>
      <c r="J22" s="104"/>
      <c r="K22" s="104"/>
      <c r="L22" s="104"/>
      <c r="M22" s="104"/>
      <c r="N22" s="84">
        <f>SUM(B22:M22)</f>
        <v>0</v>
      </c>
      <c r="O22" s="105" t="str">
        <f>IFERROR(N22/N$16,"")</f>
        <v/>
      </c>
      <c r="P22" s="84"/>
      <c r="Q22" s="84"/>
      <c r="R22" s="106" t="s">
        <v>99</v>
      </c>
      <c r="S22" s="107">
        <v>0</v>
      </c>
      <c r="T22" s="108">
        <v>0.05</v>
      </c>
      <c r="U22" s="104">
        <f t="shared" si="6"/>
        <v>0</v>
      </c>
      <c r="V22" s="104">
        <f t="shared" si="6"/>
        <v>0</v>
      </c>
      <c r="W22" s="104">
        <f t="shared" si="6"/>
        <v>0</v>
      </c>
      <c r="X22" s="104">
        <f t="shared" si="6"/>
        <v>0</v>
      </c>
      <c r="Y22" s="104">
        <f t="shared" si="6"/>
        <v>0</v>
      </c>
      <c r="Z22" s="104">
        <f t="shared" si="6"/>
        <v>0</v>
      </c>
      <c r="AA22" s="104">
        <f t="shared" si="6"/>
        <v>0</v>
      </c>
      <c r="AB22" s="104">
        <f t="shared" si="6"/>
        <v>0</v>
      </c>
      <c r="AC22" s="104">
        <f t="shared" si="6"/>
        <v>0</v>
      </c>
      <c r="AD22" s="104">
        <f t="shared" si="6"/>
        <v>0</v>
      </c>
      <c r="AE22" s="104">
        <f t="shared" si="6"/>
        <v>0</v>
      </c>
      <c r="AF22" s="104">
        <f t="shared" si="6"/>
        <v>0</v>
      </c>
      <c r="AG22" s="84">
        <f>SUM(U22:AF22)</f>
        <v>0</v>
      </c>
      <c r="AH22" s="105" t="str">
        <f>IFERROR(AG22/AG$16,"")</f>
        <v/>
      </c>
      <c r="AJ22" s="84">
        <f>N22-AG22</f>
        <v>0</v>
      </c>
    </row>
    <row r="23" spans="1:36" x14ac:dyDescent="0.3">
      <c r="A23" s="115" t="s">
        <v>110</v>
      </c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105"/>
      <c r="P23" s="84"/>
      <c r="Q23" s="84"/>
      <c r="R23" s="112"/>
      <c r="S23" s="112"/>
      <c r="T23" s="112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105"/>
      <c r="AJ23" s="84"/>
    </row>
    <row r="24" spans="1:36" x14ac:dyDescent="0.3">
      <c r="A24" s="116" t="s">
        <v>110</v>
      </c>
      <c r="B24" s="84">
        <f>IFERROR(SUMIF([2]Jan26A!$A:$A,$A24,INDEX([2]Jan26A!$A:$N,0,MATCH($A$1,[2]Jan26A!$A$7:$N$7,0))),0)</f>
        <v>376</v>
      </c>
      <c r="C24" s="84">
        <f>IFERROR(SUMIF([2]Feb26A!$A:$A,$A24,INDEX([2]Feb26A!$A:$N,0,MATCH($A$1,[2]Feb26A!$A$7:$N$7,0))),0)</f>
        <v>850.7</v>
      </c>
      <c r="D24" s="84">
        <f>IFERROR(SUMIF([2]Mar26A!$A:$A,$A24,INDEX([2]Mar26A!$A:$N,0,MATCH($A$1,[2]Mar26A!$A$7:$N$7,0))),0)</f>
        <v>783.62</v>
      </c>
      <c r="E24" s="84">
        <f>IFERROR(SUMIF([2]Apr26A!$A:$A,$A24,INDEX([2]Apr26A!$A:$N,0,MATCH($A$1,[2]Apr26A!$A$7:$N$7,0))),0)</f>
        <v>1861.07</v>
      </c>
      <c r="F24" s="84">
        <f>IFERROR(SUMIF([2]May26A!$A:$A,$A24,INDEX([2]May26A!$A:$N,0,MATCH($A$1,[2]May26A!$A$7:$N$7,0))),0)</f>
        <v>0</v>
      </c>
      <c r="G24" s="84">
        <f>IFERROR(SUMIF([2]Jun26A!$A:$A,$A24,INDEX([2]Jun26A!$A:$N,0,MATCH($A$1,[2]Jun26A!$A$7:$N$7,0))),0)</f>
        <v>0</v>
      </c>
      <c r="H24" s="84">
        <f>IFERROR(SUMIF([2]Jul26A!$A:$A,$A24,INDEX([2]Jul26A!$A:$N,0,MATCH($A$1,[2]Jul26A!$A$7:$N$7,0))),0)</f>
        <v>0</v>
      </c>
      <c r="I24" s="84">
        <f>IFERROR(SUMIF([2]Aug26A!$A:$A,$A24,INDEX([2]Aug26A!$A:$N,0,MATCH($A$1,[2]Aug26A!$A$7:$N$7,0))),0)</f>
        <v>0</v>
      </c>
      <c r="J24" s="117">
        <v>0</v>
      </c>
      <c r="K24" s="117">
        <v>0</v>
      </c>
      <c r="L24" s="117">
        <v>0</v>
      </c>
      <c r="M24" s="117">
        <v>0</v>
      </c>
      <c r="N24" s="84">
        <f t="shared" ref="N24:N31" si="7">SUM(B24:M24)</f>
        <v>3871.3900000000003</v>
      </c>
      <c r="O24" s="105" t="str">
        <f t="shared" ref="O24:O31" si="8">IFERROR(N24/N$16,"")</f>
        <v/>
      </c>
      <c r="P24" s="84"/>
      <c r="Q24" s="84"/>
      <c r="R24" s="106" t="s">
        <v>99</v>
      </c>
      <c r="S24" s="107">
        <v>0</v>
      </c>
      <c r="T24" s="108">
        <v>0.05</v>
      </c>
      <c r="U24" s="104">
        <f t="shared" ref="U24:AF26" si="9">IF($R24="Manual","",IFERROR(IF($R24="YOY Growth",$N24*(1+$T24)/12,$S24/12),""))</f>
        <v>0</v>
      </c>
      <c r="V24" s="104">
        <f t="shared" si="9"/>
        <v>0</v>
      </c>
      <c r="W24" s="104">
        <f t="shared" si="9"/>
        <v>0</v>
      </c>
      <c r="X24" s="104">
        <f t="shared" si="9"/>
        <v>0</v>
      </c>
      <c r="Y24" s="104">
        <f t="shared" si="9"/>
        <v>0</v>
      </c>
      <c r="Z24" s="104">
        <f t="shared" si="9"/>
        <v>0</v>
      </c>
      <c r="AA24" s="104">
        <f t="shared" si="9"/>
        <v>0</v>
      </c>
      <c r="AB24" s="104">
        <f t="shared" si="9"/>
        <v>0</v>
      </c>
      <c r="AC24" s="104">
        <f t="shared" si="9"/>
        <v>0</v>
      </c>
      <c r="AD24" s="104">
        <f t="shared" si="9"/>
        <v>0</v>
      </c>
      <c r="AE24" s="104">
        <f t="shared" si="9"/>
        <v>0</v>
      </c>
      <c r="AF24" s="104">
        <f t="shared" si="9"/>
        <v>0</v>
      </c>
      <c r="AG24" s="84">
        <f t="shared" ref="AG24:AG31" si="10">SUM(U24:AF24)</f>
        <v>0</v>
      </c>
      <c r="AH24" s="105" t="str">
        <f t="shared" ref="AH24:AH31" si="11">IFERROR(AG24/AG$16,"")</f>
        <v/>
      </c>
      <c r="AJ24" s="84">
        <f t="shared" ref="AJ24:AJ31" si="12">N24-AG24</f>
        <v>3871.3900000000003</v>
      </c>
    </row>
    <row r="25" spans="1:36" x14ac:dyDescent="0.3">
      <c r="A25" s="116" t="s">
        <v>111</v>
      </c>
      <c r="B25" s="84">
        <f>IFERROR(SUMIF([2]Jan26A!$A:$A,$A25,INDEX([2]Jan26A!$A:$N,0,MATCH($A$1,[2]Jan26A!$A$7:$N$7,0))),0)</f>
        <v>0</v>
      </c>
      <c r="C25" s="84">
        <f>IFERROR(SUMIF([2]Feb26A!$A:$A,$A25,INDEX([2]Feb26A!$A:$N,0,MATCH($A$1,[2]Feb26A!$A$7:$N$7,0))),0)</f>
        <v>0</v>
      </c>
      <c r="D25" s="84">
        <f>IFERROR(SUMIF([2]Mar26A!$A:$A,$A25,INDEX([2]Mar26A!$A:$N,0,MATCH($A$1,[2]Mar26A!$A$7:$N$7,0))),0)</f>
        <v>0</v>
      </c>
      <c r="E25" s="84">
        <f>IFERROR(SUMIF([2]Apr26A!$A:$A,$A25,INDEX([2]Apr26A!$A:$N,0,MATCH($A$1,[2]Apr26A!$A$7:$N$7,0))),0)</f>
        <v>261.8</v>
      </c>
      <c r="F25" s="84">
        <f>IFERROR(SUMIF([2]May26A!$A:$A,$A25,INDEX([2]May26A!$A:$N,0,MATCH($A$1,[2]May26A!$A$7:$N$7,0))),0)</f>
        <v>0</v>
      </c>
      <c r="G25" s="84">
        <f>IFERROR(SUMIF([2]Jun26A!$A:$A,$A25,INDEX([2]Jun26A!$A:$N,0,MATCH($A$1,[2]Jun26A!$A$7:$N$7,0))),0)</f>
        <v>0</v>
      </c>
      <c r="H25" s="84">
        <f>IFERROR(SUMIF([2]Jul26A!$A:$A,$A25,INDEX([2]Jul26A!$A:$N,0,MATCH($A$1,[2]Jul26A!$A$7:$N$7,0))),0)</f>
        <v>0</v>
      </c>
      <c r="I25" s="84">
        <f>IFERROR(SUMIF([2]Aug26A!$A:$A,$A25,INDEX([2]Aug26A!$A:$N,0,MATCH($A$1,[2]Aug26A!$A$7:$N$7,0))),0)</f>
        <v>0</v>
      </c>
      <c r="J25" s="117">
        <v>0</v>
      </c>
      <c r="K25" s="117">
        <v>0</v>
      </c>
      <c r="L25" s="117">
        <v>0</v>
      </c>
      <c r="M25" s="117">
        <v>0</v>
      </c>
      <c r="N25" s="84">
        <f t="shared" si="7"/>
        <v>261.8</v>
      </c>
      <c r="O25" s="105" t="str">
        <f t="shared" si="8"/>
        <v/>
      </c>
      <c r="P25" s="84"/>
      <c r="Q25" s="84"/>
      <c r="R25" s="106" t="s">
        <v>99</v>
      </c>
      <c r="S25" s="107">
        <v>0</v>
      </c>
      <c r="T25" s="108">
        <v>0.05</v>
      </c>
      <c r="U25" s="104">
        <f t="shared" si="9"/>
        <v>0</v>
      </c>
      <c r="V25" s="104">
        <f t="shared" si="9"/>
        <v>0</v>
      </c>
      <c r="W25" s="104">
        <f t="shared" si="9"/>
        <v>0</v>
      </c>
      <c r="X25" s="104">
        <f t="shared" si="9"/>
        <v>0</v>
      </c>
      <c r="Y25" s="104">
        <f t="shared" si="9"/>
        <v>0</v>
      </c>
      <c r="Z25" s="104">
        <f t="shared" si="9"/>
        <v>0</v>
      </c>
      <c r="AA25" s="104">
        <f t="shared" si="9"/>
        <v>0</v>
      </c>
      <c r="AB25" s="104">
        <f t="shared" si="9"/>
        <v>0</v>
      </c>
      <c r="AC25" s="104">
        <f t="shared" si="9"/>
        <v>0</v>
      </c>
      <c r="AD25" s="104">
        <f t="shared" si="9"/>
        <v>0</v>
      </c>
      <c r="AE25" s="104">
        <f t="shared" si="9"/>
        <v>0</v>
      </c>
      <c r="AF25" s="104">
        <f t="shared" si="9"/>
        <v>0</v>
      </c>
      <c r="AG25" s="84">
        <f t="shared" si="10"/>
        <v>0</v>
      </c>
      <c r="AH25" s="105" t="str">
        <f t="shared" si="11"/>
        <v/>
      </c>
      <c r="AJ25" s="84">
        <f t="shared" si="12"/>
        <v>261.8</v>
      </c>
    </row>
    <row r="26" spans="1:36" x14ac:dyDescent="0.3">
      <c r="A26" s="116" t="s">
        <v>112</v>
      </c>
      <c r="B26" s="84">
        <f>IFERROR(SUMIF([2]Jan26A!$A:$A,$A26,INDEX([2]Jan26A!$A:$N,0,MATCH($A$1,[2]Jan26A!$A$7:$N$7,0))),0)</f>
        <v>0</v>
      </c>
      <c r="C26" s="84">
        <f>IFERROR(SUMIF([2]Feb26A!$A:$A,$A26,INDEX([2]Feb26A!$A:$N,0,MATCH($A$1,[2]Feb26A!$A$7:$N$7,0))),0)</f>
        <v>0</v>
      </c>
      <c r="D26" s="84">
        <f>IFERROR(SUMIF([2]Mar26A!$A:$A,$A26,INDEX([2]Mar26A!$A:$N,0,MATCH($A$1,[2]Mar26A!$A$7:$N$7,0))),0)</f>
        <v>0</v>
      </c>
      <c r="E26" s="84">
        <f>IFERROR(SUMIF([2]Apr26A!$A:$A,$A26,INDEX([2]Apr26A!$A:$N,0,MATCH($A$1,[2]Apr26A!$A$7:$N$7,0))),0)</f>
        <v>348.38</v>
      </c>
      <c r="F26" s="84">
        <f>IFERROR(SUMIF([2]May26A!$A:$A,$A26,INDEX([2]May26A!$A:$N,0,MATCH($A$1,[2]May26A!$A$7:$N$7,0))),0)</f>
        <v>79.47</v>
      </c>
      <c r="G26" s="84">
        <f>IFERROR(SUMIF([2]Jun26A!$A:$A,$A26,INDEX([2]Jun26A!$A:$N,0,MATCH($A$1,[2]Jun26A!$A$7:$N$7,0))),0)</f>
        <v>0</v>
      </c>
      <c r="H26" s="84">
        <f>IFERROR(SUMIF([2]Jul26A!$A:$A,$A26,INDEX([2]Jul26A!$A:$N,0,MATCH($A$1,[2]Jul26A!$A$7:$N$7,0))),0)</f>
        <v>0</v>
      </c>
      <c r="I26" s="84">
        <f>IFERROR(SUMIF([2]Aug26A!$A:$A,$A26,INDEX([2]Aug26A!$A:$N,0,MATCH($A$1,[2]Aug26A!$A$7:$N$7,0))),0)</f>
        <v>250</v>
      </c>
      <c r="J26" s="117">
        <v>0</v>
      </c>
      <c r="K26" s="117">
        <v>0</v>
      </c>
      <c r="L26" s="117">
        <v>0</v>
      </c>
      <c r="M26" s="117">
        <v>0</v>
      </c>
      <c r="N26" s="84">
        <f t="shared" si="7"/>
        <v>677.85</v>
      </c>
      <c r="O26" s="105" t="str">
        <f t="shared" si="8"/>
        <v/>
      </c>
      <c r="P26" s="84"/>
      <c r="Q26" s="84"/>
      <c r="R26" s="106" t="s">
        <v>99</v>
      </c>
      <c r="S26" s="107">
        <v>0</v>
      </c>
      <c r="T26" s="108">
        <v>0.05</v>
      </c>
      <c r="U26" s="104">
        <f t="shared" si="9"/>
        <v>0</v>
      </c>
      <c r="V26" s="104">
        <f t="shared" si="9"/>
        <v>0</v>
      </c>
      <c r="W26" s="104">
        <f t="shared" si="9"/>
        <v>0</v>
      </c>
      <c r="X26" s="104">
        <f t="shared" si="9"/>
        <v>0</v>
      </c>
      <c r="Y26" s="104">
        <f t="shared" si="9"/>
        <v>0</v>
      </c>
      <c r="Z26" s="104">
        <f t="shared" si="9"/>
        <v>0</v>
      </c>
      <c r="AA26" s="104">
        <f t="shared" si="9"/>
        <v>0</v>
      </c>
      <c r="AB26" s="104">
        <f t="shared" si="9"/>
        <v>0</v>
      </c>
      <c r="AC26" s="104">
        <f t="shared" si="9"/>
        <v>0</v>
      </c>
      <c r="AD26" s="104">
        <f t="shared" si="9"/>
        <v>0</v>
      </c>
      <c r="AE26" s="104">
        <f t="shared" si="9"/>
        <v>0</v>
      </c>
      <c r="AF26" s="104">
        <f t="shared" si="9"/>
        <v>0</v>
      </c>
      <c r="AG26" s="84">
        <f t="shared" si="10"/>
        <v>0</v>
      </c>
      <c r="AH26" s="105" t="str">
        <f t="shared" si="11"/>
        <v/>
      </c>
      <c r="AJ26" s="84">
        <f t="shared" si="12"/>
        <v>677.85</v>
      </c>
    </row>
    <row r="27" spans="1:36" x14ac:dyDescent="0.3">
      <c r="A27" s="118" t="s">
        <v>113</v>
      </c>
      <c r="B27" s="110">
        <f t="shared" ref="B27:M27" si="13">SUM(B24:B26)</f>
        <v>376</v>
      </c>
      <c r="C27" s="110">
        <f t="shared" si="13"/>
        <v>850.7</v>
      </c>
      <c r="D27" s="110">
        <f t="shared" si="13"/>
        <v>783.62</v>
      </c>
      <c r="E27" s="110">
        <f t="shared" si="13"/>
        <v>2471.25</v>
      </c>
      <c r="F27" s="110">
        <f t="shared" si="13"/>
        <v>79.47</v>
      </c>
      <c r="G27" s="110">
        <f t="shared" si="13"/>
        <v>0</v>
      </c>
      <c r="H27" s="110">
        <f t="shared" si="13"/>
        <v>0</v>
      </c>
      <c r="I27" s="110">
        <f t="shared" si="13"/>
        <v>250</v>
      </c>
      <c r="J27" s="110">
        <f t="shared" si="13"/>
        <v>0</v>
      </c>
      <c r="K27" s="110">
        <f t="shared" si="13"/>
        <v>0</v>
      </c>
      <c r="L27" s="110">
        <f t="shared" si="13"/>
        <v>0</v>
      </c>
      <c r="M27" s="110">
        <f t="shared" si="13"/>
        <v>0</v>
      </c>
      <c r="N27" s="110">
        <f t="shared" si="7"/>
        <v>4811.04</v>
      </c>
      <c r="O27" s="111" t="str">
        <f t="shared" si="8"/>
        <v/>
      </c>
      <c r="P27" s="84"/>
      <c r="Q27" s="84"/>
      <c r="R27" s="112"/>
      <c r="S27" s="112"/>
      <c r="T27" s="112"/>
      <c r="U27" s="110">
        <f t="shared" ref="U27:AF27" si="14">SUM(U24:U26)</f>
        <v>0</v>
      </c>
      <c r="V27" s="110">
        <f t="shared" si="14"/>
        <v>0</v>
      </c>
      <c r="W27" s="110">
        <f t="shared" si="14"/>
        <v>0</v>
      </c>
      <c r="X27" s="110">
        <f t="shared" si="14"/>
        <v>0</v>
      </c>
      <c r="Y27" s="110">
        <f t="shared" si="14"/>
        <v>0</v>
      </c>
      <c r="Z27" s="110">
        <f t="shared" si="14"/>
        <v>0</v>
      </c>
      <c r="AA27" s="110">
        <f t="shared" si="14"/>
        <v>0</v>
      </c>
      <c r="AB27" s="110">
        <f t="shared" si="14"/>
        <v>0</v>
      </c>
      <c r="AC27" s="110">
        <f t="shared" si="14"/>
        <v>0</v>
      </c>
      <c r="AD27" s="110">
        <f t="shared" si="14"/>
        <v>0</v>
      </c>
      <c r="AE27" s="110">
        <f t="shared" si="14"/>
        <v>0</v>
      </c>
      <c r="AF27" s="110">
        <f t="shared" si="14"/>
        <v>0</v>
      </c>
      <c r="AG27" s="110">
        <f t="shared" si="10"/>
        <v>0</v>
      </c>
      <c r="AH27" s="111" t="str">
        <f t="shared" si="11"/>
        <v/>
      </c>
      <c r="AJ27" s="110">
        <f t="shared" si="12"/>
        <v>4811.04</v>
      </c>
    </row>
    <row r="28" spans="1:36" x14ac:dyDescent="0.3">
      <c r="A28" s="103" t="s">
        <v>114</v>
      </c>
      <c r="B28" s="84">
        <f>IFERROR(SUMIF([2]Jan26A!$A:$A,$A28,INDEX([2]Jan26A!$A:$N,0,MATCH($A$1,[2]Jan26A!$A$7:$N$7,0))),0)</f>
        <v>0</v>
      </c>
      <c r="C28" s="84">
        <f>IFERROR(SUMIF([2]Feb26A!$A:$A,$A28,INDEX([2]Feb26A!$A:$N,0,MATCH($A$1,[2]Feb26A!$A$7:$N$7,0))),0)</f>
        <v>0</v>
      </c>
      <c r="D28" s="84">
        <f>IFERROR(SUMIF([2]Mar26A!$A:$A,$A28,INDEX([2]Mar26A!$A:$N,0,MATCH($A$1,[2]Mar26A!$A$7:$N$7,0))),0)</f>
        <v>0</v>
      </c>
      <c r="E28" s="84">
        <f>IFERROR(SUMIF([2]Apr26A!$A:$A,$A28,INDEX([2]Apr26A!$A:$N,0,MATCH($A$1,[2]Apr26A!$A$7:$N$7,0))),0)</f>
        <v>2186.1799999999998</v>
      </c>
      <c r="F28" s="84">
        <f>IFERROR(SUMIF([2]May26A!$A:$A,$A28,INDEX([2]May26A!$A:$N,0,MATCH($A$1,[2]May26A!$A$7:$N$7,0))),0)</f>
        <v>0</v>
      </c>
      <c r="G28" s="84">
        <f>IFERROR(SUMIF([2]Jun26A!$A:$A,$A28,INDEX([2]Jun26A!$A:$N,0,MATCH($A$1,[2]Jun26A!$A$7:$N$7,0))),0)</f>
        <v>0</v>
      </c>
      <c r="H28" s="84">
        <f>IFERROR(SUMIF([2]Jul26A!$A:$A,$A28,INDEX([2]Jul26A!$A:$N,0,MATCH($A$1,[2]Jul26A!$A$7:$N$7,0))),0)</f>
        <v>117.53</v>
      </c>
      <c r="I28" s="84">
        <f>IFERROR(SUMIF([2]Aug26A!$A:$A,$A28,INDEX([2]Aug26A!$A:$N,0,MATCH($A$1,[2]Aug26A!$A$7:$N$7,0))),0)</f>
        <v>0</v>
      </c>
      <c r="J28" s="117">
        <v>0</v>
      </c>
      <c r="K28" s="117">
        <v>0</v>
      </c>
      <c r="L28" s="117">
        <v>0</v>
      </c>
      <c r="M28" s="117">
        <v>0</v>
      </c>
      <c r="N28" s="84">
        <f t="shared" si="7"/>
        <v>2303.71</v>
      </c>
      <c r="O28" s="105" t="str">
        <f t="shared" si="8"/>
        <v/>
      </c>
      <c r="P28" s="84"/>
      <c r="Q28" s="84"/>
      <c r="R28" s="106" t="s">
        <v>99</v>
      </c>
      <c r="S28" s="107">
        <v>0</v>
      </c>
      <c r="T28" s="108">
        <v>0.05</v>
      </c>
      <c r="U28" s="104">
        <f t="shared" ref="U28:AF31" si="15">IF($R28="Manual","",IFERROR(IF($R28="YOY Growth",$N28*(1+$T28)/12,$S28/12),""))</f>
        <v>0</v>
      </c>
      <c r="V28" s="104">
        <f t="shared" si="15"/>
        <v>0</v>
      </c>
      <c r="W28" s="104">
        <f t="shared" si="15"/>
        <v>0</v>
      </c>
      <c r="X28" s="104">
        <f t="shared" si="15"/>
        <v>0</v>
      </c>
      <c r="Y28" s="104">
        <f t="shared" si="15"/>
        <v>0</v>
      </c>
      <c r="Z28" s="104">
        <f t="shared" si="15"/>
        <v>0</v>
      </c>
      <c r="AA28" s="104">
        <f t="shared" si="15"/>
        <v>0</v>
      </c>
      <c r="AB28" s="104">
        <f t="shared" si="15"/>
        <v>0</v>
      </c>
      <c r="AC28" s="104">
        <f t="shared" si="15"/>
        <v>0</v>
      </c>
      <c r="AD28" s="104">
        <f t="shared" si="15"/>
        <v>0</v>
      </c>
      <c r="AE28" s="104">
        <f t="shared" si="15"/>
        <v>0</v>
      </c>
      <c r="AF28" s="104">
        <f t="shared" si="15"/>
        <v>0</v>
      </c>
      <c r="AG28" s="84">
        <f t="shared" si="10"/>
        <v>0</v>
      </c>
      <c r="AH28" s="105" t="str">
        <f t="shared" si="11"/>
        <v/>
      </c>
      <c r="AJ28" s="84">
        <f t="shared" si="12"/>
        <v>2303.71</v>
      </c>
    </row>
    <row r="29" spans="1:36" x14ac:dyDescent="0.3">
      <c r="A29" s="103" t="s">
        <v>115</v>
      </c>
      <c r="B29" s="84">
        <f>IFERROR(SUMIF([2]Jan26A!$A:$A,$A29,INDEX([2]Jan26A!$A:$N,0,MATCH($A$1,[2]Jan26A!$A$7:$N$7,0))),0)</f>
        <v>7000</v>
      </c>
      <c r="C29" s="84">
        <f>IFERROR(SUMIF([2]Feb26A!$A:$A,$A29,INDEX([2]Feb26A!$A:$N,0,MATCH($A$1,[2]Feb26A!$A$7:$N$7,0))),0)</f>
        <v>5000.95</v>
      </c>
      <c r="D29" s="84">
        <f>IFERROR(SUMIF([2]Mar26A!$A:$A,$A29,INDEX([2]Mar26A!$A:$N,0,MATCH($A$1,[2]Mar26A!$A$7:$N$7,0))),0)</f>
        <v>3522.7</v>
      </c>
      <c r="E29" s="84">
        <f>IFERROR(SUMIF([2]Apr26A!$A:$A,$A29,INDEX([2]Apr26A!$A:$N,0,MATCH($A$1,[2]Apr26A!$A$7:$N$7,0))),0)</f>
        <v>3294.47</v>
      </c>
      <c r="F29" s="84">
        <f>IFERROR(SUMIF([2]May26A!$A:$A,$A29,INDEX([2]May26A!$A:$N,0,MATCH($A$1,[2]May26A!$A$7:$N$7,0))),0)</f>
        <v>0</v>
      </c>
      <c r="G29" s="84">
        <f>IFERROR(SUMIF([2]Jun26A!$A:$A,$A29,INDEX([2]Jun26A!$A:$N,0,MATCH($A$1,[2]Jun26A!$A$7:$N$7,0))),0)</f>
        <v>122.59</v>
      </c>
      <c r="H29" s="84">
        <f>IFERROR(SUMIF([2]Jul26A!$A:$A,$A29,INDEX([2]Jul26A!$A:$N,0,MATCH($A$1,[2]Jul26A!$A$7:$N$7,0))),0)</f>
        <v>0</v>
      </c>
      <c r="I29" s="84">
        <f>IFERROR(SUMIF([2]Aug26A!$A:$A,$A29,INDEX([2]Aug26A!$A:$N,0,MATCH($A$1,[2]Aug26A!$A$7:$N$7,0))),0)</f>
        <v>3240.99</v>
      </c>
      <c r="J29" s="117">
        <v>15000</v>
      </c>
      <c r="K29" s="117">
        <v>10000</v>
      </c>
      <c r="L29" s="117">
        <v>5000</v>
      </c>
      <c r="M29" s="117">
        <v>5000</v>
      </c>
      <c r="N29" s="84">
        <f t="shared" si="7"/>
        <v>57181.700000000004</v>
      </c>
      <c r="O29" s="105" t="str">
        <f t="shared" si="8"/>
        <v/>
      </c>
      <c r="P29" s="84"/>
      <c r="Q29" s="84"/>
      <c r="R29" s="106" t="s">
        <v>99</v>
      </c>
      <c r="S29" s="107">
        <v>0</v>
      </c>
      <c r="T29" s="108">
        <v>0.05</v>
      </c>
      <c r="U29" s="104">
        <f t="shared" si="15"/>
        <v>0</v>
      </c>
      <c r="V29" s="104">
        <f t="shared" si="15"/>
        <v>0</v>
      </c>
      <c r="W29" s="104">
        <f t="shared" si="15"/>
        <v>0</v>
      </c>
      <c r="X29" s="104">
        <f t="shared" si="15"/>
        <v>0</v>
      </c>
      <c r="Y29" s="104">
        <f t="shared" si="15"/>
        <v>0</v>
      </c>
      <c r="Z29" s="104">
        <f t="shared" si="15"/>
        <v>0</v>
      </c>
      <c r="AA29" s="104">
        <f t="shared" si="15"/>
        <v>0</v>
      </c>
      <c r="AB29" s="104">
        <f t="shared" si="15"/>
        <v>0</v>
      </c>
      <c r="AC29" s="104">
        <f t="shared" si="15"/>
        <v>0</v>
      </c>
      <c r="AD29" s="104">
        <f t="shared" si="15"/>
        <v>0</v>
      </c>
      <c r="AE29" s="104">
        <f t="shared" si="15"/>
        <v>0</v>
      </c>
      <c r="AF29" s="104">
        <f t="shared" si="15"/>
        <v>0</v>
      </c>
      <c r="AG29" s="84">
        <f t="shared" si="10"/>
        <v>0</v>
      </c>
      <c r="AH29" s="105" t="str">
        <f t="shared" si="11"/>
        <v/>
      </c>
      <c r="AJ29" s="84">
        <f t="shared" si="12"/>
        <v>57181.700000000004</v>
      </c>
    </row>
    <row r="30" spans="1:36" x14ac:dyDescent="0.3">
      <c r="A30" s="103" t="s">
        <v>116</v>
      </c>
      <c r="B30" s="84">
        <f>IFERROR(SUMIF([2]Jan26A!$A:$A,$A30,INDEX([2]Jan26A!$A:$N,0,MATCH($A$1,[2]Jan26A!$A$7:$N$7,0))),0)</f>
        <v>0</v>
      </c>
      <c r="C30" s="84">
        <f>IFERROR(SUMIF([2]Feb26A!$A:$A,$A30,INDEX([2]Feb26A!$A:$N,0,MATCH($A$1,[2]Feb26A!$A$7:$N$7,0))),0)</f>
        <v>0</v>
      </c>
      <c r="D30" s="84">
        <f>IFERROR(SUMIF([2]Mar26A!$A:$A,$A30,INDEX([2]Mar26A!$A:$N,0,MATCH($A$1,[2]Mar26A!$A$7:$N$7,0))),0)</f>
        <v>0</v>
      </c>
      <c r="E30" s="84">
        <f>IFERROR(SUMIF([2]Apr26A!$A:$A,$A30,INDEX([2]Apr26A!$A:$N,0,MATCH($A$1,[2]Apr26A!$A$7:$N$7,0))),0)</f>
        <v>0</v>
      </c>
      <c r="F30" s="84">
        <f>IFERROR(SUMIF([2]May26A!$A:$A,$A30,INDEX([2]May26A!$A:$N,0,MATCH($A$1,[2]May26A!$A$7:$N$7,0))),0)</f>
        <v>0</v>
      </c>
      <c r="G30" s="84">
        <f>IFERROR(SUMIF([2]Jun26A!$A:$A,$A30,INDEX([2]Jun26A!$A:$N,0,MATCH($A$1,[2]Jun26A!$A$7:$N$7,0))),0)</f>
        <v>0</v>
      </c>
      <c r="H30" s="84">
        <f>IFERROR(SUMIF([2]Jul26A!$A:$A,$A30,INDEX([2]Jul26A!$A:$N,0,MATCH($A$1,[2]Jul26A!$A$7:$N$7,0))),0)</f>
        <v>911.81</v>
      </c>
      <c r="I30" s="84">
        <f>IFERROR(SUMIF([2]Aug26A!$A:$A,$A30,INDEX([2]Aug26A!$A:$N,0,MATCH($A$1,[2]Aug26A!$A$7:$N$7,0))),0)</f>
        <v>1772.23</v>
      </c>
      <c r="J30" s="117">
        <v>0</v>
      </c>
      <c r="K30" s="117">
        <v>0</v>
      </c>
      <c r="L30" s="117">
        <v>0</v>
      </c>
      <c r="M30" s="117">
        <v>0</v>
      </c>
      <c r="N30" s="84">
        <f t="shared" si="7"/>
        <v>2684.04</v>
      </c>
      <c r="O30" s="105" t="str">
        <f t="shared" si="8"/>
        <v/>
      </c>
      <c r="P30" s="84"/>
      <c r="Q30" s="84"/>
      <c r="R30" s="106" t="s">
        <v>99</v>
      </c>
      <c r="S30" s="107">
        <v>0</v>
      </c>
      <c r="T30" s="108">
        <v>0.05</v>
      </c>
      <c r="U30" s="104">
        <f t="shared" si="15"/>
        <v>0</v>
      </c>
      <c r="V30" s="104">
        <f t="shared" si="15"/>
        <v>0</v>
      </c>
      <c r="W30" s="104">
        <f t="shared" si="15"/>
        <v>0</v>
      </c>
      <c r="X30" s="104">
        <f t="shared" si="15"/>
        <v>0</v>
      </c>
      <c r="Y30" s="104">
        <f t="shared" si="15"/>
        <v>0</v>
      </c>
      <c r="Z30" s="104">
        <f t="shared" si="15"/>
        <v>0</v>
      </c>
      <c r="AA30" s="104">
        <f t="shared" si="15"/>
        <v>0</v>
      </c>
      <c r="AB30" s="104">
        <f t="shared" si="15"/>
        <v>0</v>
      </c>
      <c r="AC30" s="104">
        <f t="shared" si="15"/>
        <v>0</v>
      </c>
      <c r="AD30" s="104">
        <f t="shared" si="15"/>
        <v>0</v>
      </c>
      <c r="AE30" s="104">
        <f t="shared" si="15"/>
        <v>0</v>
      </c>
      <c r="AF30" s="104">
        <f t="shared" si="15"/>
        <v>0</v>
      </c>
      <c r="AG30" s="84">
        <f t="shared" si="10"/>
        <v>0</v>
      </c>
      <c r="AH30" s="105" t="str">
        <f t="shared" si="11"/>
        <v/>
      </c>
      <c r="AJ30" s="84">
        <f t="shared" si="12"/>
        <v>2684.04</v>
      </c>
    </row>
    <row r="31" spans="1:36" x14ac:dyDescent="0.3">
      <c r="A31" s="103" t="s">
        <v>117</v>
      </c>
      <c r="B31" s="84">
        <f>IFERROR(SUMIF([2]Jan26A!$A:$A,$A31,INDEX([2]Jan26A!$A:$N,0,MATCH($A$1,[2]Jan26A!$A$7:$N$7,0))),0)</f>
        <v>0</v>
      </c>
      <c r="C31" s="84">
        <f>IFERROR(SUMIF([2]Feb26A!$A:$A,$A31,INDEX([2]Feb26A!$A:$N,0,MATCH($A$1,[2]Feb26A!$A$7:$N$7,0))),0)</f>
        <v>0</v>
      </c>
      <c r="D31" s="84">
        <f>IFERROR(SUMIF([2]Mar26A!$A:$A,$A31,INDEX([2]Mar26A!$A:$N,0,MATCH($A$1,[2]Mar26A!$A$7:$N$7,0))),0)</f>
        <v>0</v>
      </c>
      <c r="E31" s="84">
        <f>IFERROR(SUMIF([2]Apr26A!$A:$A,$A31,INDEX([2]Apr26A!$A:$N,0,MATCH($A$1,[2]Apr26A!$A$7:$N$7,0))),0)</f>
        <v>0</v>
      </c>
      <c r="F31" s="84">
        <f>IFERROR(SUMIF([2]May26A!$A:$A,$A31,INDEX([2]May26A!$A:$N,0,MATCH($A$1,[2]May26A!$A$7:$N$7,0))),0)</f>
        <v>0</v>
      </c>
      <c r="G31" s="84">
        <f>IFERROR(SUMIF([2]Jun26A!$A:$A,$A31,INDEX([2]Jun26A!$A:$N,0,MATCH($A$1,[2]Jun26A!$A$7:$N$7,0))),0)</f>
        <v>20.14</v>
      </c>
      <c r="H31" s="84">
        <f>IFERROR(SUMIF([2]Jul26A!$A:$A,$A31,INDEX([2]Jul26A!$A:$N,0,MATCH($A$1,[2]Jul26A!$A$7:$N$7,0))),0)</f>
        <v>0</v>
      </c>
      <c r="I31" s="84">
        <f>IFERROR(SUMIF([2]Aug26A!$A:$A,$A31,INDEX([2]Aug26A!$A:$N,0,MATCH($A$1,[2]Aug26A!$A$7:$N$7,0))),0)</f>
        <v>528.6</v>
      </c>
      <c r="J31" s="117">
        <v>0</v>
      </c>
      <c r="K31" s="117">
        <v>0</v>
      </c>
      <c r="L31" s="117">
        <v>0</v>
      </c>
      <c r="M31" s="117">
        <v>0</v>
      </c>
      <c r="N31" s="84">
        <f t="shared" si="7"/>
        <v>548.74</v>
      </c>
      <c r="O31" s="105" t="str">
        <f t="shared" si="8"/>
        <v/>
      </c>
      <c r="P31" s="84"/>
      <c r="Q31" s="84"/>
      <c r="R31" s="106" t="s">
        <v>99</v>
      </c>
      <c r="S31" s="107">
        <v>0</v>
      </c>
      <c r="T31" s="108">
        <v>0.05</v>
      </c>
      <c r="U31" s="104">
        <f t="shared" si="15"/>
        <v>0</v>
      </c>
      <c r="V31" s="104">
        <f t="shared" si="15"/>
        <v>0</v>
      </c>
      <c r="W31" s="104">
        <f t="shared" si="15"/>
        <v>0</v>
      </c>
      <c r="X31" s="104">
        <f t="shared" si="15"/>
        <v>0</v>
      </c>
      <c r="Y31" s="104">
        <f t="shared" si="15"/>
        <v>0</v>
      </c>
      <c r="Z31" s="104">
        <f t="shared" si="15"/>
        <v>0</v>
      </c>
      <c r="AA31" s="104">
        <f t="shared" si="15"/>
        <v>0</v>
      </c>
      <c r="AB31" s="104">
        <f t="shared" si="15"/>
        <v>0</v>
      </c>
      <c r="AC31" s="104">
        <f t="shared" si="15"/>
        <v>0</v>
      </c>
      <c r="AD31" s="104">
        <f t="shared" si="15"/>
        <v>0</v>
      </c>
      <c r="AE31" s="104">
        <f t="shared" si="15"/>
        <v>0</v>
      </c>
      <c r="AF31" s="104">
        <f t="shared" si="15"/>
        <v>0</v>
      </c>
      <c r="AG31" s="84">
        <f t="shared" si="10"/>
        <v>0</v>
      </c>
      <c r="AH31" s="105" t="str">
        <f t="shared" si="11"/>
        <v/>
      </c>
      <c r="AJ31" s="84">
        <f t="shared" si="12"/>
        <v>548.74</v>
      </c>
    </row>
    <row r="32" spans="1:36" x14ac:dyDescent="0.3">
      <c r="A32" s="115" t="s">
        <v>118</v>
      </c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105"/>
      <c r="P32" s="84"/>
      <c r="Q32" s="84"/>
      <c r="R32" s="112"/>
      <c r="S32" s="112"/>
      <c r="T32" s="112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105"/>
      <c r="AJ32" s="84"/>
    </row>
    <row r="33" spans="1:36" x14ac:dyDescent="0.3">
      <c r="A33" s="116" t="s">
        <v>119</v>
      </c>
      <c r="B33" s="84">
        <f>IFERROR(SUMIF([2]Jan26A!$A:$A,$A33,INDEX([2]Jan26A!$A:$N,0,MATCH($A$1,[2]Jan26A!$A$7:$N$7,0))),0)</f>
        <v>0</v>
      </c>
      <c r="C33" s="84">
        <f>IFERROR(SUMIF([2]Feb26A!$A:$A,$A33,INDEX([2]Feb26A!$A:$N,0,MATCH($A$1,[2]Feb26A!$A$7:$N$7,0))),0)</f>
        <v>0</v>
      </c>
      <c r="D33" s="84">
        <f>IFERROR(SUMIF([2]Mar26A!$A:$A,$A33,INDEX([2]Mar26A!$A:$N,0,MATCH($A$1,[2]Mar26A!$A$7:$N$7,0))),0)</f>
        <v>0</v>
      </c>
      <c r="E33" s="84">
        <f>IFERROR(SUMIF([2]Apr26A!$A:$A,$A33,INDEX([2]Apr26A!$A:$N,0,MATCH($A$1,[2]Apr26A!$A$7:$N$7,0))),0)</f>
        <v>0</v>
      </c>
      <c r="F33" s="84">
        <f>IFERROR(SUMIF([2]May26A!$A:$A,$A33,INDEX([2]May26A!$A:$N,0,MATCH($A$1,[2]May26A!$A$7:$N$7,0))),0)</f>
        <v>0</v>
      </c>
      <c r="G33" s="84">
        <f>IFERROR(SUMIF([2]Jun26A!$A:$A,$A33,INDEX([2]Jun26A!$A:$N,0,MATCH($A$1,[2]Jun26A!$A$7:$N$7,0))),0)</f>
        <v>0</v>
      </c>
      <c r="H33" s="84">
        <f>IFERROR(SUMIF([2]Jul26A!$A:$A,$A33,INDEX([2]Jul26A!$A:$N,0,MATCH($A$1,[2]Jul26A!$A$7:$N$7,0))),0)</f>
        <v>0</v>
      </c>
      <c r="I33" s="84">
        <f>IFERROR(SUMIF([2]Aug26A!$A:$A,$A33,INDEX([2]Aug26A!$A:$N,0,MATCH($A$1,[2]Aug26A!$A$7:$N$7,0))),0)</f>
        <v>0</v>
      </c>
      <c r="J33" s="117">
        <v>0</v>
      </c>
      <c r="K33" s="117">
        <v>0</v>
      </c>
      <c r="L33" s="117">
        <v>0</v>
      </c>
      <c r="M33" s="117">
        <v>0</v>
      </c>
      <c r="N33" s="84">
        <f t="shared" ref="N33:N42" si="16">SUM(B33:M33)</f>
        <v>0</v>
      </c>
      <c r="O33" s="105" t="str">
        <f t="shared" ref="O33:O42" si="17">IFERROR(N33/N$16,"")</f>
        <v/>
      </c>
      <c r="P33" s="84"/>
      <c r="Q33" s="84"/>
      <c r="R33" s="112"/>
      <c r="S33" s="112"/>
      <c r="T33" s="112"/>
      <c r="U33" s="168"/>
      <c r="V33" s="168"/>
      <c r="W33" s="168"/>
      <c r="X33" s="168"/>
      <c r="Y33" s="168"/>
      <c r="Z33" s="168"/>
      <c r="AA33" s="168"/>
      <c r="AB33" s="168"/>
      <c r="AC33" s="168"/>
      <c r="AD33" s="168"/>
      <c r="AE33" s="168"/>
      <c r="AF33" s="168"/>
      <c r="AG33" s="84">
        <f t="shared" ref="AG33:AG42" si="18">SUM(U33:AF33)</f>
        <v>0</v>
      </c>
      <c r="AH33" s="105" t="str">
        <f t="shared" ref="AH33:AH42" si="19">IFERROR(AG33/AG$16,"")</f>
        <v/>
      </c>
      <c r="AJ33" s="84">
        <f t="shared" ref="AJ33:AJ42" si="20">N33-AG33</f>
        <v>0</v>
      </c>
    </row>
    <row r="34" spans="1:36" x14ac:dyDescent="0.3">
      <c r="A34" s="116" t="s">
        <v>120</v>
      </c>
      <c r="B34" s="84">
        <f>IFERROR(SUMIF([2]Jan26A!$A:$A,$A34,INDEX([2]Jan26A!$A:$N,0,MATCH($A$1,[2]Jan26A!$A$7:$N$7,0))),0)</f>
        <v>0</v>
      </c>
      <c r="C34" s="84">
        <f>IFERROR(SUMIF([2]Feb26A!$A:$A,$A34,INDEX([2]Feb26A!$A:$N,0,MATCH($A$1,[2]Feb26A!$A$7:$N$7,0))),0)</f>
        <v>0</v>
      </c>
      <c r="D34" s="84">
        <f>IFERROR(SUMIF([2]Mar26A!$A:$A,$A34,INDEX([2]Mar26A!$A:$N,0,MATCH($A$1,[2]Mar26A!$A$7:$N$7,0))),0)</f>
        <v>0</v>
      </c>
      <c r="E34" s="84">
        <f>IFERROR(SUMIF([2]Apr26A!$A:$A,$A34,INDEX([2]Apr26A!$A:$N,0,MATCH($A$1,[2]Apr26A!$A$7:$N$7,0))),0)</f>
        <v>0</v>
      </c>
      <c r="F34" s="84">
        <f>IFERROR(SUMIF([2]May26A!$A:$A,$A34,INDEX([2]May26A!$A:$N,0,MATCH($A$1,[2]May26A!$A$7:$N$7,0))),0)</f>
        <v>0</v>
      </c>
      <c r="G34" s="84">
        <f>IFERROR(SUMIF([2]Jun26A!$A:$A,$A34,INDEX([2]Jun26A!$A:$N,0,MATCH($A$1,[2]Jun26A!$A$7:$N$7,0))),0)</f>
        <v>0</v>
      </c>
      <c r="H34" s="84">
        <f>IFERROR(SUMIF([2]Jul26A!$A:$A,$A34,INDEX([2]Jul26A!$A:$N,0,MATCH($A$1,[2]Jul26A!$A$7:$N$7,0))),0)</f>
        <v>0</v>
      </c>
      <c r="I34" s="84">
        <f>IFERROR(SUMIF([2]Aug26A!$A:$A,$A34,INDEX([2]Aug26A!$A:$N,0,MATCH($A$1,[2]Aug26A!$A$7:$N$7,0))),0)</f>
        <v>0</v>
      </c>
      <c r="J34" s="117">
        <v>0</v>
      </c>
      <c r="K34" s="117">
        <v>0</v>
      </c>
      <c r="L34" s="117">
        <v>0</v>
      </c>
      <c r="M34" s="117">
        <v>0</v>
      </c>
      <c r="N34" s="84">
        <f t="shared" si="16"/>
        <v>0</v>
      </c>
      <c r="O34" s="105" t="str">
        <f t="shared" si="17"/>
        <v/>
      </c>
      <c r="P34" s="84"/>
      <c r="Q34" s="84"/>
      <c r="R34" s="112"/>
      <c r="S34" s="112"/>
      <c r="T34" s="112"/>
      <c r="U34" s="168"/>
      <c r="V34" s="168"/>
      <c r="W34" s="168"/>
      <c r="X34" s="168"/>
      <c r="Y34" s="168"/>
      <c r="Z34" s="168"/>
      <c r="AA34" s="168"/>
      <c r="AB34" s="168"/>
      <c r="AC34" s="168"/>
      <c r="AD34" s="168"/>
      <c r="AE34" s="168"/>
      <c r="AF34" s="168"/>
      <c r="AG34" s="84">
        <f t="shared" si="18"/>
        <v>0</v>
      </c>
      <c r="AH34" s="105" t="str">
        <f t="shared" si="19"/>
        <v/>
      </c>
      <c r="AJ34" s="84">
        <f t="shared" si="20"/>
        <v>0</v>
      </c>
    </row>
    <row r="35" spans="1:36" x14ac:dyDescent="0.3">
      <c r="A35" s="116" t="s">
        <v>121</v>
      </c>
      <c r="B35" s="84">
        <f>IFERROR(SUMIF([2]Jan26A!$A:$A,$A35,INDEX([2]Jan26A!$A:$N,0,MATCH($A$1,[2]Jan26A!$A$7:$N$7,0))),0)</f>
        <v>0</v>
      </c>
      <c r="C35" s="84">
        <f>IFERROR(SUMIF([2]Feb26A!$A:$A,$A35,INDEX([2]Feb26A!$A:$N,0,MATCH($A$1,[2]Feb26A!$A$7:$N$7,0))),0)</f>
        <v>0</v>
      </c>
      <c r="D35" s="84">
        <f>IFERROR(SUMIF([2]Mar26A!$A:$A,$A35,INDEX([2]Mar26A!$A:$N,0,MATCH($A$1,[2]Mar26A!$A$7:$N$7,0))),0)</f>
        <v>0</v>
      </c>
      <c r="E35" s="84">
        <f>IFERROR(SUMIF([2]Apr26A!$A:$A,$A35,INDEX([2]Apr26A!$A:$N,0,MATCH($A$1,[2]Apr26A!$A$7:$N$7,0))),0)</f>
        <v>0</v>
      </c>
      <c r="F35" s="84">
        <f>IFERROR(SUMIF([2]May26A!$A:$A,$A35,INDEX([2]May26A!$A:$N,0,MATCH($A$1,[2]May26A!$A$7:$N$7,0))),0)</f>
        <v>0</v>
      </c>
      <c r="G35" s="84">
        <f>IFERROR(SUMIF([2]Jun26A!$A:$A,$A35,INDEX([2]Jun26A!$A:$N,0,MATCH($A$1,[2]Jun26A!$A$7:$N$7,0))),0)</f>
        <v>0</v>
      </c>
      <c r="H35" s="84">
        <f>IFERROR(SUMIF([2]Jul26A!$A:$A,$A35,INDEX([2]Jul26A!$A:$N,0,MATCH($A$1,[2]Jul26A!$A$7:$N$7,0))),0)</f>
        <v>0</v>
      </c>
      <c r="I35" s="84">
        <f>IFERROR(SUMIF([2]Aug26A!$A:$A,$A35,INDEX([2]Aug26A!$A:$N,0,MATCH($A$1,[2]Aug26A!$A$7:$N$7,0))),0)</f>
        <v>0</v>
      </c>
      <c r="J35" s="117">
        <v>0</v>
      </c>
      <c r="K35" s="117">
        <v>0</v>
      </c>
      <c r="L35" s="117">
        <v>0</v>
      </c>
      <c r="M35" s="117">
        <v>0</v>
      </c>
      <c r="N35" s="84">
        <f t="shared" si="16"/>
        <v>0</v>
      </c>
      <c r="O35" s="105" t="str">
        <f t="shared" si="17"/>
        <v/>
      </c>
      <c r="P35" s="84"/>
      <c r="Q35" s="84"/>
      <c r="R35" s="112"/>
      <c r="S35" s="112"/>
      <c r="T35" s="112"/>
      <c r="U35" s="168"/>
      <c r="V35" s="168"/>
      <c r="W35" s="168"/>
      <c r="X35" s="168"/>
      <c r="Y35" s="168"/>
      <c r="Z35" s="168"/>
      <c r="AA35" s="168"/>
      <c r="AB35" s="168"/>
      <c r="AC35" s="168"/>
      <c r="AD35" s="168"/>
      <c r="AE35" s="168"/>
      <c r="AF35" s="168"/>
      <c r="AG35" s="84">
        <f t="shared" si="18"/>
        <v>0</v>
      </c>
      <c r="AH35" s="105" t="str">
        <f t="shared" si="19"/>
        <v/>
      </c>
      <c r="AJ35" s="84">
        <f t="shared" si="20"/>
        <v>0</v>
      </c>
    </row>
    <row r="36" spans="1:36" x14ac:dyDescent="0.3">
      <c r="A36" s="118" t="s">
        <v>122</v>
      </c>
      <c r="B36" s="110">
        <f t="shared" ref="B36:M36" si="21">SUM(B33:B35)</f>
        <v>0</v>
      </c>
      <c r="C36" s="110">
        <f t="shared" si="21"/>
        <v>0</v>
      </c>
      <c r="D36" s="110">
        <f t="shared" si="21"/>
        <v>0</v>
      </c>
      <c r="E36" s="110">
        <f t="shared" si="21"/>
        <v>0</v>
      </c>
      <c r="F36" s="110">
        <f t="shared" si="21"/>
        <v>0</v>
      </c>
      <c r="G36" s="110">
        <f t="shared" si="21"/>
        <v>0</v>
      </c>
      <c r="H36" s="110">
        <f t="shared" si="21"/>
        <v>0</v>
      </c>
      <c r="I36" s="110">
        <f t="shared" si="21"/>
        <v>0</v>
      </c>
      <c r="J36" s="110">
        <f t="shared" si="21"/>
        <v>0</v>
      </c>
      <c r="K36" s="110">
        <f t="shared" si="21"/>
        <v>0</v>
      </c>
      <c r="L36" s="110">
        <f t="shared" si="21"/>
        <v>0</v>
      </c>
      <c r="M36" s="110">
        <f t="shared" si="21"/>
        <v>0</v>
      </c>
      <c r="N36" s="110">
        <f t="shared" si="16"/>
        <v>0</v>
      </c>
      <c r="O36" s="111" t="str">
        <f t="shared" si="17"/>
        <v/>
      </c>
      <c r="P36" s="84"/>
      <c r="Q36" s="84"/>
      <c r="R36" s="112"/>
      <c r="S36" s="112"/>
      <c r="T36" s="112"/>
      <c r="U36" s="110">
        <f t="shared" ref="U36:AF36" si="22">SUM(U33:U35)</f>
        <v>0</v>
      </c>
      <c r="V36" s="110">
        <f t="shared" si="22"/>
        <v>0</v>
      </c>
      <c r="W36" s="110">
        <f t="shared" si="22"/>
        <v>0</v>
      </c>
      <c r="X36" s="110">
        <f t="shared" si="22"/>
        <v>0</v>
      </c>
      <c r="Y36" s="110">
        <f t="shared" si="22"/>
        <v>0</v>
      </c>
      <c r="Z36" s="110">
        <f t="shared" si="22"/>
        <v>0</v>
      </c>
      <c r="AA36" s="110">
        <f t="shared" si="22"/>
        <v>0</v>
      </c>
      <c r="AB36" s="110">
        <f t="shared" si="22"/>
        <v>0</v>
      </c>
      <c r="AC36" s="110">
        <f t="shared" si="22"/>
        <v>0</v>
      </c>
      <c r="AD36" s="110">
        <f t="shared" si="22"/>
        <v>0</v>
      </c>
      <c r="AE36" s="110">
        <f t="shared" si="22"/>
        <v>0</v>
      </c>
      <c r="AF36" s="110">
        <f t="shared" si="22"/>
        <v>0</v>
      </c>
      <c r="AG36" s="110">
        <f t="shared" si="18"/>
        <v>0</v>
      </c>
      <c r="AH36" s="111" t="str">
        <f t="shared" si="19"/>
        <v/>
      </c>
      <c r="AJ36" s="110">
        <f t="shared" si="20"/>
        <v>0</v>
      </c>
    </row>
    <row r="37" spans="1:36" x14ac:dyDescent="0.3">
      <c r="A37" s="109" t="s">
        <v>123</v>
      </c>
      <c r="B37" s="110">
        <f t="shared" ref="B37:M37" si="23">B19+B22+B27+B28+B29+B30+B31+B36+B20+B21</f>
        <v>7376</v>
      </c>
      <c r="C37" s="110">
        <f t="shared" si="23"/>
        <v>5851.65</v>
      </c>
      <c r="D37" s="110">
        <f t="shared" si="23"/>
        <v>4306.32</v>
      </c>
      <c r="E37" s="110">
        <f t="shared" si="23"/>
        <v>7951.9</v>
      </c>
      <c r="F37" s="110">
        <f t="shared" si="23"/>
        <v>79.47</v>
      </c>
      <c r="G37" s="110">
        <f t="shared" si="23"/>
        <v>142.73000000000002</v>
      </c>
      <c r="H37" s="110">
        <f t="shared" si="23"/>
        <v>1029.3399999999999</v>
      </c>
      <c r="I37" s="110">
        <f t="shared" si="23"/>
        <v>5791.82</v>
      </c>
      <c r="J37" s="110">
        <f t="shared" si="23"/>
        <v>15000</v>
      </c>
      <c r="K37" s="110">
        <f t="shared" si="23"/>
        <v>10000</v>
      </c>
      <c r="L37" s="110">
        <f t="shared" si="23"/>
        <v>5000</v>
      </c>
      <c r="M37" s="110">
        <f t="shared" si="23"/>
        <v>5000</v>
      </c>
      <c r="N37" s="110">
        <f t="shared" si="16"/>
        <v>67529.23000000001</v>
      </c>
      <c r="O37" s="111" t="str">
        <f t="shared" si="17"/>
        <v/>
      </c>
      <c r="P37" s="84"/>
      <c r="Q37" s="84"/>
      <c r="R37" s="112"/>
      <c r="S37" s="112"/>
      <c r="T37" s="112"/>
      <c r="U37" s="110">
        <f t="shared" ref="U37:AF37" si="24">U19+U22+U27+U28+U29+U30+U31+U36+U20+U21</f>
        <v>0</v>
      </c>
      <c r="V37" s="110">
        <f t="shared" si="24"/>
        <v>0</v>
      </c>
      <c r="W37" s="110">
        <f t="shared" si="24"/>
        <v>0</v>
      </c>
      <c r="X37" s="110">
        <f t="shared" si="24"/>
        <v>0</v>
      </c>
      <c r="Y37" s="110">
        <f t="shared" si="24"/>
        <v>0</v>
      </c>
      <c r="Z37" s="110">
        <f t="shared" si="24"/>
        <v>0</v>
      </c>
      <c r="AA37" s="110">
        <f t="shared" si="24"/>
        <v>0</v>
      </c>
      <c r="AB37" s="110">
        <f t="shared" si="24"/>
        <v>0</v>
      </c>
      <c r="AC37" s="110">
        <f t="shared" si="24"/>
        <v>0</v>
      </c>
      <c r="AD37" s="110">
        <f t="shared" si="24"/>
        <v>0</v>
      </c>
      <c r="AE37" s="110">
        <f t="shared" si="24"/>
        <v>0</v>
      </c>
      <c r="AF37" s="110">
        <f t="shared" si="24"/>
        <v>0</v>
      </c>
      <c r="AG37" s="110">
        <f t="shared" si="18"/>
        <v>0</v>
      </c>
      <c r="AH37" s="111" t="str">
        <f t="shared" si="19"/>
        <v/>
      </c>
      <c r="AJ37" s="110">
        <f t="shared" si="20"/>
        <v>67529.23000000001</v>
      </c>
    </row>
    <row r="38" spans="1:36" x14ac:dyDescent="0.3">
      <c r="A38" s="113" t="s">
        <v>124</v>
      </c>
      <c r="B38" s="84">
        <f>IFERROR(SUMIF([2]Jan26A!$A:$A,$A38,INDEX([2]Jan26A!$A:$N,0,MATCH($A$1,[2]Jan26A!$A$7:$N$7,0))),0)</f>
        <v>0</v>
      </c>
      <c r="C38" s="84">
        <f>IFERROR(SUMIF([2]Feb26A!$A:$A,$A38,INDEX([2]Feb26A!$A:$N,0,MATCH($A$1,[2]Feb26A!$A$7:$N$7,0))),0)</f>
        <v>0</v>
      </c>
      <c r="D38" s="84">
        <f>IFERROR(SUMIF([2]Mar26A!$A:$A,$A38,INDEX([2]Mar26A!$A:$N,0,MATCH($A$1,[2]Mar26A!$A$7:$N$7,0))),0)</f>
        <v>0</v>
      </c>
      <c r="E38" s="84">
        <f>IFERROR(SUMIF([2]Apr26A!$A:$A,$A38,INDEX([2]Apr26A!$A:$N,0,MATCH($A$1,[2]Apr26A!$A$7:$N$7,0))),0)</f>
        <v>0</v>
      </c>
      <c r="F38" s="84">
        <f>IFERROR(SUMIF([2]May26A!$A:$A,$A38,INDEX([2]May26A!$A:$N,0,MATCH($A$1,[2]May26A!$A$7:$N$7,0))),0)</f>
        <v>0</v>
      </c>
      <c r="G38" s="84">
        <f>IFERROR(SUMIF([2]Jun26A!$A:$A,$A38,INDEX([2]Jun26A!$A:$N,0,MATCH($A$1,[2]Jun26A!$A$7:$N$7,0))),0)</f>
        <v>-352.47</v>
      </c>
      <c r="H38" s="84">
        <f>IFERROR(SUMIF([2]Jul26A!$A:$A,$A38,INDEX([2]Jul26A!$A:$N,0,MATCH($A$1,[2]Jul26A!$A$7:$N$7,0))),0)</f>
        <v>0</v>
      </c>
      <c r="I38" s="84">
        <f>IFERROR(SUMIF([2]Aug26A!$A:$A,$A38,INDEX([2]Aug26A!$A:$N,0,MATCH($A$1,[2]Aug26A!$A$7:$N$7,0))),0)</f>
        <v>0</v>
      </c>
      <c r="J38" s="117">
        <v>0</v>
      </c>
      <c r="K38" s="117">
        <v>0</v>
      </c>
      <c r="L38" s="117">
        <v>0</v>
      </c>
      <c r="M38" s="117">
        <v>0</v>
      </c>
      <c r="N38" s="84">
        <f t="shared" si="16"/>
        <v>-352.47</v>
      </c>
      <c r="O38" s="105" t="str">
        <f t="shared" si="17"/>
        <v/>
      </c>
      <c r="P38" s="84"/>
      <c r="Q38" s="84"/>
      <c r="R38" s="106" t="s">
        <v>99</v>
      </c>
      <c r="S38" s="107">
        <v>0</v>
      </c>
      <c r="T38" s="108">
        <v>0.05</v>
      </c>
      <c r="U38" s="104">
        <f t="shared" ref="U38:AF42" si="25">IF($R38="Manual","",IFERROR(IF($R38="YOY Growth",$N38*(1+$T38)/12,$S38/12),""))</f>
        <v>0</v>
      </c>
      <c r="V38" s="104">
        <f t="shared" si="25"/>
        <v>0</v>
      </c>
      <c r="W38" s="104">
        <f t="shared" si="25"/>
        <v>0</v>
      </c>
      <c r="X38" s="104">
        <f t="shared" si="25"/>
        <v>0</v>
      </c>
      <c r="Y38" s="104">
        <f t="shared" si="25"/>
        <v>0</v>
      </c>
      <c r="Z38" s="104">
        <f t="shared" si="25"/>
        <v>0</v>
      </c>
      <c r="AA38" s="104">
        <f t="shared" si="25"/>
        <v>0</v>
      </c>
      <c r="AB38" s="104">
        <f t="shared" si="25"/>
        <v>0</v>
      </c>
      <c r="AC38" s="104">
        <f t="shared" si="25"/>
        <v>0</v>
      </c>
      <c r="AD38" s="104">
        <f t="shared" si="25"/>
        <v>0</v>
      </c>
      <c r="AE38" s="104">
        <f t="shared" si="25"/>
        <v>0</v>
      </c>
      <c r="AF38" s="104">
        <f t="shared" si="25"/>
        <v>0</v>
      </c>
      <c r="AG38" s="84">
        <f t="shared" si="18"/>
        <v>0</v>
      </c>
      <c r="AH38" s="105" t="str">
        <f t="shared" si="19"/>
        <v/>
      </c>
      <c r="AJ38" s="84">
        <f t="shared" si="20"/>
        <v>-352.47</v>
      </c>
    </row>
    <row r="39" spans="1:36" x14ac:dyDescent="0.3">
      <c r="A39" s="113" t="s">
        <v>125</v>
      </c>
      <c r="B39" s="84">
        <f>IFERROR(SUMIF([2]Jan26A!$A:$A,$A39,INDEX([2]Jan26A!$A:$N,0,MATCH($A$1,[2]Jan26A!$A$7:$N$7,0))),0)</f>
        <v>0</v>
      </c>
      <c r="C39" s="84">
        <f>IFERROR(SUMIF([2]Feb26A!$A:$A,$A39,INDEX([2]Feb26A!$A:$N,0,MATCH($A$1,[2]Feb26A!$A$7:$N$7,0))),0)</f>
        <v>0</v>
      </c>
      <c r="D39" s="84">
        <f>IFERROR(SUMIF([2]Mar26A!$A:$A,$A39,INDEX([2]Mar26A!$A:$N,0,MATCH($A$1,[2]Mar26A!$A$7:$N$7,0))),0)</f>
        <v>0</v>
      </c>
      <c r="E39" s="84">
        <f>IFERROR(SUMIF([2]Apr26A!$A:$A,$A39,INDEX([2]Apr26A!$A:$N,0,MATCH($A$1,[2]Apr26A!$A$7:$N$7,0))),0)</f>
        <v>0</v>
      </c>
      <c r="F39" s="84">
        <f>IFERROR(SUMIF([2]May26A!$A:$A,$A39,INDEX([2]May26A!$A:$N,0,MATCH($A$1,[2]May26A!$A$7:$N$7,0))),0)</f>
        <v>0</v>
      </c>
      <c r="G39" s="84">
        <f>IFERROR(SUMIF([2]Jun26A!$A:$A,$A39,INDEX([2]Jun26A!$A:$N,0,MATCH($A$1,[2]Jun26A!$A$7:$N$7,0))),0)</f>
        <v>0</v>
      </c>
      <c r="H39" s="84">
        <f>IFERROR(SUMIF([2]Jul26A!$A:$A,$A39,INDEX([2]Jul26A!$A:$N,0,MATCH($A$1,[2]Jul26A!$A$7:$N$7,0))),0)</f>
        <v>0</v>
      </c>
      <c r="I39" s="84">
        <f>IFERROR(SUMIF([2]Aug26A!$A:$A,$A39,INDEX([2]Aug26A!$A:$N,0,MATCH($A$1,[2]Aug26A!$A$7:$N$7,0))),0)</f>
        <v>0</v>
      </c>
      <c r="J39" s="117">
        <v>0</v>
      </c>
      <c r="K39" s="117">
        <v>0</v>
      </c>
      <c r="L39" s="117">
        <v>0</v>
      </c>
      <c r="M39" s="117">
        <v>0</v>
      </c>
      <c r="N39" s="84">
        <f t="shared" si="16"/>
        <v>0</v>
      </c>
      <c r="O39" s="105" t="str">
        <f t="shared" si="17"/>
        <v/>
      </c>
      <c r="P39" s="84"/>
      <c r="Q39" s="84"/>
      <c r="R39" s="106" t="s">
        <v>99</v>
      </c>
      <c r="S39" s="107">
        <v>0</v>
      </c>
      <c r="T39" s="108">
        <v>0.05</v>
      </c>
      <c r="U39" s="104">
        <f t="shared" si="25"/>
        <v>0</v>
      </c>
      <c r="V39" s="104">
        <f t="shared" si="25"/>
        <v>0</v>
      </c>
      <c r="W39" s="104">
        <f t="shared" si="25"/>
        <v>0</v>
      </c>
      <c r="X39" s="104">
        <f t="shared" si="25"/>
        <v>0</v>
      </c>
      <c r="Y39" s="104">
        <f t="shared" si="25"/>
        <v>0</v>
      </c>
      <c r="Z39" s="104">
        <f t="shared" si="25"/>
        <v>0</v>
      </c>
      <c r="AA39" s="104">
        <f t="shared" si="25"/>
        <v>0</v>
      </c>
      <c r="AB39" s="104">
        <f t="shared" si="25"/>
        <v>0</v>
      </c>
      <c r="AC39" s="104">
        <f t="shared" si="25"/>
        <v>0</v>
      </c>
      <c r="AD39" s="104">
        <f t="shared" si="25"/>
        <v>0</v>
      </c>
      <c r="AE39" s="104">
        <f t="shared" si="25"/>
        <v>0</v>
      </c>
      <c r="AF39" s="104">
        <f t="shared" si="25"/>
        <v>0</v>
      </c>
      <c r="AG39" s="84">
        <f t="shared" si="18"/>
        <v>0</v>
      </c>
      <c r="AH39" s="105" t="str">
        <f t="shared" si="19"/>
        <v/>
      </c>
      <c r="AJ39" s="84">
        <f t="shared" si="20"/>
        <v>0</v>
      </c>
    </row>
    <row r="40" spans="1:36" x14ac:dyDescent="0.3">
      <c r="A40" s="113" t="s">
        <v>126</v>
      </c>
      <c r="B40" s="84">
        <f>IFERROR(SUMIF([2]Jan26A!$A:$A,$A40,INDEX([2]Jan26A!$A:$N,0,MATCH($A$1,[2]Jan26A!$A$7:$N$7,0))),0)</f>
        <v>0</v>
      </c>
      <c r="C40" s="84">
        <f>IFERROR(SUMIF([2]Feb26A!$A:$A,$A40,INDEX([2]Feb26A!$A:$N,0,MATCH($A$1,[2]Feb26A!$A$7:$N$7,0))),0)</f>
        <v>0</v>
      </c>
      <c r="D40" s="84">
        <f>IFERROR(SUMIF([2]Mar26A!$A:$A,$A40,INDEX([2]Mar26A!$A:$N,0,MATCH($A$1,[2]Mar26A!$A$7:$N$7,0))),0)</f>
        <v>0</v>
      </c>
      <c r="E40" s="84">
        <f>IFERROR(SUMIF([2]Apr26A!$A:$A,$A40,INDEX([2]Apr26A!$A:$N,0,MATCH($A$1,[2]Apr26A!$A$7:$N$7,0))),0)</f>
        <v>0</v>
      </c>
      <c r="F40" s="84">
        <f>IFERROR(SUMIF([2]May26A!$A:$A,$A40,INDEX([2]May26A!$A:$N,0,MATCH($A$1,[2]May26A!$A$7:$N$7,0))),0)</f>
        <v>0</v>
      </c>
      <c r="G40" s="84">
        <f>IFERROR(SUMIF([2]Jun26A!$A:$A,$A40,INDEX([2]Jun26A!$A:$N,0,MATCH($A$1,[2]Jun26A!$A$7:$N$7,0))),0)</f>
        <v>0</v>
      </c>
      <c r="H40" s="84">
        <f>IFERROR(SUMIF([2]Jul26A!$A:$A,$A40,INDEX([2]Jul26A!$A:$N,0,MATCH($A$1,[2]Jul26A!$A$7:$N$7,0))),0)</f>
        <v>0</v>
      </c>
      <c r="I40" s="84">
        <f>IFERROR(SUMIF([2]Aug26A!$A:$A,$A40,INDEX([2]Aug26A!$A:$N,0,MATCH($A$1,[2]Aug26A!$A$7:$N$7,0))),0)</f>
        <v>0</v>
      </c>
      <c r="J40" s="117">
        <v>0</v>
      </c>
      <c r="K40" s="117">
        <v>0</v>
      </c>
      <c r="L40" s="117">
        <v>0</v>
      </c>
      <c r="M40" s="117">
        <v>0</v>
      </c>
      <c r="N40" s="84">
        <f t="shared" si="16"/>
        <v>0</v>
      </c>
      <c r="O40" s="105" t="str">
        <f t="shared" si="17"/>
        <v/>
      </c>
      <c r="P40" s="84"/>
      <c r="Q40" s="84"/>
      <c r="R40" s="106" t="s">
        <v>99</v>
      </c>
      <c r="S40" s="107">
        <v>0</v>
      </c>
      <c r="T40" s="108">
        <v>0.05</v>
      </c>
      <c r="U40" s="104">
        <f t="shared" si="25"/>
        <v>0</v>
      </c>
      <c r="V40" s="104">
        <f t="shared" si="25"/>
        <v>0</v>
      </c>
      <c r="W40" s="104">
        <f t="shared" si="25"/>
        <v>0</v>
      </c>
      <c r="X40" s="104">
        <f t="shared" si="25"/>
        <v>0</v>
      </c>
      <c r="Y40" s="104">
        <f t="shared" si="25"/>
        <v>0</v>
      </c>
      <c r="Z40" s="104">
        <f t="shared" si="25"/>
        <v>0</v>
      </c>
      <c r="AA40" s="104">
        <f t="shared" si="25"/>
        <v>0</v>
      </c>
      <c r="AB40" s="104">
        <f t="shared" si="25"/>
        <v>0</v>
      </c>
      <c r="AC40" s="104">
        <f t="shared" si="25"/>
        <v>0</v>
      </c>
      <c r="AD40" s="104">
        <f t="shared" si="25"/>
        <v>0</v>
      </c>
      <c r="AE40" s="104">
        <f t="shared" si="25"/>
        <v>0</v>
      </c>
      <c r="AF40" s="104">
        <f t="shared" si="25"/>
        <v>0</v>
      </c>
      <c r="AG40" s="84">
        <f t="shared" si="18"/>
        <v>0</v>
      </c>
      <c r="AH40" s="105" t="str">
        <f t="shared" si="19"/>
        <v/>
      </c>
      <c r="AJ40" s="84">
        <f t="shared" si="20"/>
        <v>0</v>
      </c>
    </row>
    <row r="41" spans="1:36" x14ac:dyDescent="0.3">
      <c r="A41" s="113" t="s">
        <v>127</v>
      </c>
      <c r="B41" s="84">
        <f>IFERROR(SUMIF([2]Jan26A!$A:$A,$A41,INDEX([2]Jan26A!$A:$N,0,MATCH($A$1,[2]Jan26A!$A$7:$N$7,0))),0)</f>
        <v>0</v>
      </c>
      <c r="C41" s="84">
        <f>IFERROR(SUMIF([2]Feb26A!$A:$A,$A41,INDEX([2]Feb26A!$A:$N,0,MATCH($A$1,[2]Feb26A!$A$7:$N$7,0))),0)</f>
        <v>0</v>
      </c>
      <c r="D41" s="84">
        <f>IFERROR(SUMIF([2]Mar26A!$A:$A,$A41,INDEX([2]Mar26A!$A:$N,0,MATCH($A$1,[2]Mar26A!$A$7:$N$7,0))),0)</f>
        <v>0</v>
      </c>
      <c r="E41" s="84">
        <f>IFERROR(SUMIF([2]Apr26A!$A:$A,$A41,INDEX([2]Apr26A!$A:$N,0,MATCH($A$1,[2]Apr26A!$A$7:$N$7,0))),0)</f>
        <v>0</v>
      </c>
      <c r="F41" s="84">
        <f>IFERROR(SUMIF([2]May26A!$A:$A,$A41,INDEX([2]May26A!$A:$N,0,MATCH($A$1,[2]May26A!$A$7:$N$7,0))),0)</f>
        <v>0</v>
      </c>
      <c r="G41" s="84">
        <f>IFERROR(SUMIF([2]Jun26A!$A:$A,$A41,INDEX([2]Jun26A!$A:$N,0,MATCH($A$1,[2]Jun26A!$A$7:$N$7,0))),0)</f>
        <v>0</v>
      </c>
      <c r="H41" s="84">
        <f>IFERROR(SUMIF([2]Jul26A!$A:$A,$A41,INDEX([2]Jul26A!$A:$N,0,MATCH($A$1,[2]Jul26A!$A$7:$N$7,0))),0)</f>
        <v>0</v>
      </c>
      <c r="I41" s="84">
        <f>IFERROR(SUMIF([2]Aug26A!$A:$A,$A41,INDEX([2]Aug26A!$A:$N,0,MATCH($A$1,[2]Aug26A!$A$7:$N$7,0))),0)</f>
        <v>0</v>
      </c>
      <c r="J41" s="117"/>
      <c r="K41" s="117"/>
      <c r="L41" s="117"/>
      <c r="M41" s="117"/>
      <c r="N41" s="84">
        <f t="shared" si="16"/>
        <v>0</v>
      </c>
      <c r="O41" s="105" t="str">
        <f t="shared" si="17"/>
        <v/>
      </c>
      <c r="P41" s="84"/>
      <c r="Q41" s="84"/>
      <c r="R41" s="106" t="s">
        <v>99</v>
      </c>
      <c r="S41" s="107">
        <v>0</v>
      </c>
      <c r="T41" s="108">
        <v>0.05</v>
      </c>
      <c r="U41" s="104">
        <f t="shared" si="25"/>
        <v>0</v>
      </c>
      <c r="V41" s="104">
        <f t="shared" si="25"/>
        <v>0</v>
      </c>
      <c r="W41" s="104">
        <f t="shared" si="25"/>
        <v>0</v>
      </c>
      <c r="X41" s="104">
        <f t="shared" si="25"/>
        <v>0</v>
      </c>
      <c r="Y41" s="104">
        <f t="shared" si="25"/>
        <v>0</v>
      </c>
      <c r="Z41" s="104">
        <f t="shared" si="25"/>
        <v>0</v>
      </c>
      <c r="AA41" s="104">
        <f t="shared" si="25"/>
        <v>0</v>
      </c>
      <c r="AB41" s="104">
        <f t="shared" si="25"/>
        <v>0</v>
      </c>
      <c r="AC41" s="104">
        <f t="shared" si="25"/>
        <v>0</v>
      </c>
      <c r="AD41" s="104">
        <f t="shared" si="25"/>
        <v>0</v>
      </c>
      <c r="AE41" s="104">
        <f t="shared" si="25"/>
        <v>0</v>
      </c>
      <c r="AF41" s="104">
        <f t="shared" si="25"/>
        <v>0</v>
      </c>
      <c r="AG41" s="84">
        <f t="shared" si="18"/>
        <v>0</v>
      </c>
      <c r="AH41" s="105" t="str">
        <f t="shared" si="19"/>
        <v/>
      </c>
      <c r="AJ41" s="84">
        <f t="shared" si="20"/>
        <v>0</v>
      </c>
    </row>
    <row r="42" spans="1:36" x14ac:dyDescent="0.3">
      <c r="A42" s="113" t="s">
        <v>128</v>
      </c>
      <c r="B42" s="84">
        <f>IFERROR(SUMIF([2]Jan26A!$A:$A,$A42,INDEX([2]Jan26A!$A:$N,0,MATCH($A$1,[2]Jan26A!$A$7:$N$7,0))),0)</f>
        <v>0</v>
      </c>
      <c r="C42" s="84">
        <f>IFERROR(SUMIF([2]Feb26A!$A:$A,$A42,INDEX([2]Feb26A!$A:$N,0,MATCH($A$1,[2]Feb26A!$A$7:$N$7,0))),0)</f>
        <v>0</v>
      </c>
      <c r="D42" s="84">
        <f>IFERROR(SUMIF([2]Mar26A!$A:$A,$A42,INDEX([2]Mar26A!$A:$N,0,MATCH($A$1,[2]Mar26A!$A$7:$N$7,0))),0)</f>
        <v>0</v>
      </c>
      <c r="E42" s="84">
        <f>IFERROR(SUMIF([2]Apr26A!$A:$A,$A42,INDEX([2]Apr26A!$A:$N,0,MATCH($A$1,[2]Apr26A!$A$7:$N$7,0))),0)</f>
        <v>0</v>
      </c>
      <c r="F42" s="84">
        <f>IFERROR(SUMIF([2]May26A!$A:$A,$A42,INDEX([2]May26A!$A:$N,0,MATCH($A$1,[2]May26A!$A$7:$N$7,0))),0)</f>
        <v>0</v>
      </c>
      <c r="G42" s="84">
        <f>IFERROR(SUMIF([2]Jun26A!$A:$A,$A42,INDEX([2]Jun26A!$A:$N,0,MATCH($A$1,[2]Jun26A!$A$7:$N$7,0))),0)</f>
        <v>0</v>
      </c>
      <c r="H42" s="84">
        <f>IFERROR(SUMIF([2]Jul26A!$A:$A,$A42,INDEX([2]Jul26A!$A:$N,0,MATCH($A$1,[2]Jul26A!$A$7:$N$7,0))),0)</f>
        <v>0</v>
      </c>
      <c r="I42" s="84">
        <f>IFERROR(SUMIF([2]Aug26A!$A:$A,$A42,INDEX([2]Aug26A!$A:$N,0,MATCH($A$1,[2]Aug26A!$A$7:$N$7,0))),0)</f>
        <v>0</v>
      </c>
      <c r="J42" s="117">
        <v>0</v>
      </c>
      <c r="K42" s="117">
        <v>0</v>
      </c>
      <c r="L42" s="117">
        <v>0</v>
      </c>
      <c r="M42" s="117">
        <v>0</v>
      </c>
      <c r="N42" s="84">
        <f t="shared" si="16"/>
        <v>0</v>
      </c>
      <c r="O42" s="105" t="str">
        <f t="shared" si="17"/>
        <v/>
      </c>
      <c r="P42" s="84"/>
      <c r="Q42" s="84"/>
      <c r="R42" s="106" t="s">
        <v>99</v>
      </c>
      <c r="S42" s="107">
        <v>0</v>
      </c>
      <c r="T42" s="108">
        <v>0.05</v>
      </c>
      <c r="U42" s="104">
        <f t="shared" si="25"/>
        <v>0</v>
      </c>
      <c r="V42" s="104">
        <f t="shared" si="25"/>
        <v>0</v>
      </c>
      <c r="W42" s="104">
        <f t="shared" si="25"/>
        <v>0</v>
      </c>
      <c r="X42" s="104">
        <f t="shared" si="25"/>
        <v>0</v>
      </c>
      <c r="Y42" s="104">
        <f t="shared" si="25"/>
        <v>0</v>
      </c>
      <c r="Z42" s="104">
        <f t="shared" si="25"/>
        <v>0</v>
      </c>
      <c r="AA42" s="104">
        <f t="shared" si="25"/>
        <v>0</v>
      </c>
      <c r="AB42" s="104">
        <f t="shared" si="25"/>
        <v>0</v>
      </c>
      <c r="AC42" s="104">
        <f t="shared" si="25"/>
        <v>0</v>
      </c>
      <c r="AD42" s="104">
        <f t="shared" si="25"/>
        <v>0</v>
      </c>
      <c r="AE42" s="104">
        <f t="shared" si="25"/>
        <v>0</v>
      </c>
      <c r="AF42" s="104">
        <f t="shared" si="25"/>
        <v>0</v>
      </c>
      <c r="AG42" s="84">
        <f t="shared" si="18"/>
        <v>0</v>
      </c>
      <c r="AH42" s="105" t="str">
        <f t="shared" si="19"/>
        <v/>
      </c>
      <c r="AJ42" s="84">
        <f t="shared" si="20"/>
        <v>0</v>
      </c>
    </row>
    <row r="43" spans="1:36" x14ac:dyDescent="0.3">
      <c r="A43" s="102" t="s">
        <v>129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105"/>
      <c r="P43" s="84"/>
      <c r="Q43" s="84"/>
      <c r="R43" s="112"/>
      <c r="S43" s="112"/>
      <c r="T43" s="112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105"/>
      <c r="AJ43" s="84"/>
    </row>
    <row r="44" spans="1:36" x14ac:dyDescent="0.3">
      <c r="A44" s="103" t="s">
        <v>130</v>
      </c>
      <c r="B44" s="84">
        <f>IFERROR(SUMIF([2]Jan26A!$A:$A,$A44,INDEX([2]Jan26A!$A:$N,0,MATCH($A$1,[2]Jan26A!$A$7:$N$7,0))),0)</f>
        <v>0</v>
      </c>
      <c r="C44" s="84">
        <f>IFERROR(SUMIF([2]Feb26A!$A:$A,$A44,INDEX([2]Feb26A!$A:$N,0,MATCH($A$1,[2]Feb26A!$A$7:$N$7,0))),0)</f>
        <v>0</v>
      </c>
      <c r="D44" s="84">
        <f>IFERROR(SUMIF([2]Mar26A!$A:$A,$A44,INDEX([2]Mar26A!$A:$N,0,MATCH($A$1,[2]Mar26A!$A$7:$N$7,0))),0)</f>
        <v>0</v>
      </c>
      <c r="E44" s="84">
        <f>IFERROR(SUMIF([2]Apr26A!$A:$A,$A44,INDEX([2]Apr26A!$A:$N,0,MATCH($A$1,[2]Apr26A!$A$7:$N$7,0))),0)</f>
        <v>0</v>
      </c>
      <c r="F44" s="84">
        <f>IFERROR(SUMIF([2]May26A!$A:$A,$A44,INDEX([2]May26A!$A:$N,0,MATCH($A$1,[2]May26A!$A$7:$N$7,0))),0)</f>
        <v>19808</v>
      </c>
      <c r="G44" s="84">
        <f>IFERROR(SUMIF([2]Jun26A!$A:$A,$A44,INDEX([2]Jun26A!$A:$N,0,MATCH($A$1,[2]Jun26A!$A$7:$N$7,0))),0)</f>
        <v>10009</v>
      </c>
      <c r="H44" s="84">
        <f>IFERROR(SUMIF([2]Jul26A!$A:$A,$A44,INDEX([2]Jul26A!$A:$N,0,MATCH($A$1,[2]Jul26A!$A$7:$N$7,0))),0)</f>
        <v>10968.52</v>
      </c>
      <c r="I44" s="84">
        <f>IFERROR(SUMIF([2]Aug26A!$A:$A,$A44,INDEX([2]Aug26A!$A:$N,0,MATCH($A$1,[2]Aug26A!$A$7:$N$7,0))),0)</f>
        <v>6116.47</v>
      </c>
      <c r="J44" s="117">
        <v>40350</v>
      </c>
      <c r="K44" s="117">
        <v>44270</v>
      </c>
      <c r="L44" s="117">
        <v>48190</v>
      </c>
      <c r="M44" s="117">
        <v>52110</v>
      </c>
      <c r="N44" s="84">
        <f t="shared" ref="N44:N50" si="26">SUM(B44:M44)</f>
        <v>231821.99</v>
      </c>
      <c r="O44" s="105" t="str">
        <f t="shared" ref="O44:O50" si="27">IFERROR(N44/N$16,"")</f>
        <v/>
      </c>
      <c r="P44" s="84"/>
      <c r="Q44" s="84"/>
      <c r="R44" s="106" t="s">
        <v>99</v>
      </c>
      <c r="S44" s="107"/>
      <c r="T44" s="108">
        <v>0.05</v>
      </c>
      <c r="U44" s="104">
        <f t="shared" ref="U44:AF50" si="28">IF($R44="Manual","",IFERROR(IF($R44="YOY Growth",$N44*(1+$T44)/12,$S44/12),""))</f>
        <v>0</v>
      </c>
      <c r="V44" s="104">
        <f t="shared" si="28"/>
        <v>0</v>
      </c>
      <c r="W44" s="104">
        <f t="shared" si="28"/>
        <v>0</v>
      </c>
      <c r="X44" s="104">
        <f t="shared" si="28"/>
        <v>0</v>
      </c>
      <c r="Y44" s="104">
        <f t="shared" si="28"/>
        <v>0</v>
      </c>
      <c r="Z44" s="104">
        <f t="shared" si="28"/>
        <v>0</v>
      </c>
      <c r="AA44" s="104">
        <f t="shared" si="28"/>
        <v>0</v>
      </c>
      <c r="AB44" s="104">
        <f t="shared" si="28"/>
        <v>0</v>
      </c>
      <c r="AC44" s="104">
        <f t="shared" si="28"/>
        <v>0</v>
      </c>
      <c r="AD44" s="104">
        <f t="shared" si="28"/>
        <v>0</v>
      </c>
      <c r="AE44" s="104">
        <f t="shared" si="28"/>
        <v>0</v>
      </c>
      <c r="AF44" s="104">
        <f t="shared" si="28"/>
        <v>0</v>
      </c>
      <c r="AG44" s="84">
        <f t="shared" ref="AG44:AG50" si="29">SUM(U44:AF44)</f>
        <v>0</v>
      </c>
      <c r="AH44" s="105" t="str">
        <f t="shared" ref="AH44:AH50" si="30">IFERROR(AG44/AG$16,"")</f>
        <v/>
      </c>
      <c r="AJ44" s="84">
        <f t="shared" ref="AJ44:AJ50" si="31">N44-AG44</f>
        <v>231821.99</v>
      </c>
    </row>
    <row r="45" spans="1:36" x14ac:dyDescent="0.3">
      <c r="A45" s="103" t="s">
        <v>131</v>
      </c>
      <c r="B45" s="84">
        <f>IFERROR(SUMIF([2]Jan26A!$A:$A,$A45,INDEX([2]Jan26A!$A:$N,0,MATCH($A$1,[2]Jan26A!$A$7:$N$7,0))),0)</f>
        <v>5823.29</v>
      </c>
      <c r="C45" s="84">
        <f>IFERROR(SUMIF([2]Feb26A!$A:$A,$A45,INDEX([2]Feb26A!$A:$N,0,MATCH($A$1,[2]Feb26A!$A$7:$N$7,0))),0)</f>
        <v>256.47000000000003</v>
      </c>
      <c r="D45" s="84">
        <f>IFERROR(SUMIF([2]Mar26A!$A:$A,$A45,INDEX([2]Mar26A!$A:$N,0,MATCH($A$1,[2]Mar26A!$A$7:$N$7,0))),0)</f>
        <v>1327.17</v>
      </c>
      <c r="E45" s="84">
        <f>IFERROR(SUMIF([2]Apr26A!$A:$A,$A45,INDEX([2]Apr26A!$A:$N,0,MATCH($A$1,[2]Apr26A!$A$7:$N$7,0))),0)</f>
        <v>6164.18</v>
      </c>
      <c r="F45" s="84">
        <f>IFERROR(SUMIF([2]May26A!$A:$A,$A45,INDEX([2]May26A!$A:$N,0,MATCH($A$1,[2]May26A!$A$7:$N$7,0))),0)</f>
        <v>4983.8100000000004</v>
      </c>
      <c r="G45" s="84">
        <f>IFERROR(SUMIF([2]Jun26A!$A:$A,$A45,INDEX([2]Jun26A!$A:$N,0,MATCH($A$1,[2]Jun26A!$A$7:$N$7,0))),0)</f>
        <v>7888.65</v>
      </c>
      <c r="H45" s="84">
        <f>IFERROR(SUMIF([2]Jul26A!$A:$A,$A45,INDEX([2]Jul26A!$A:$N,0,MATCH($A$1,[2]Jul26A!$A$7:$N$7,0))),0)</f>
        <v>14179.16</v>
      </c>
      <c r="I45" s="84">
        <f>IFERROR(SUMIF([2]Aug26A!$A:$A,$A45,INDEX([2]Aug26A!$A:$N,0,MATCH($A$1,[2]Aug26A!$A$7:$N$7,0))),0)</f>
        <v>11260.12</v>
      </c>
      <c r="J45" s="117">
        <v>5750</v>
      </c>
      <c r="K45" s="117">
        <v>6000</v>
      </c>
      <c r="L45" s="117">
        <v>6250</v>
      </c>
      <c r="M45" s="117">
        <v>6500</v>
      </c>
      <c r="N45" s="84">
        <f t="shared" si="26"/>
        <v>76382.850000000006</v>
      </c>
      <c r="O45" s="105" t="str">
        <f t="shared" si="27"/>
        <v/>
      </c>
      <c r="P45" s="84"/>
      <c r="Q45" s="84"/>
      <c r="R45" s="106" t="s">
        <v>99</v>
      </c>
      <c r="S45" s="107">
        <v>0</v>
      </c>
      <c r="T45" s="108">
        <v>0.05</v>
      </c>
      <c r="U45" s="104">
        <f t="shared" si="28"/>
        <v>0</v>
      </c>
      <c r="V45" s="104">
        <f t="shared" si="28"/>
        <v>0</v>
      </c>
      <c r="W45" s="104">
        <f t="shared" si="28"/>
        <v>0</v>
      </c>
      <c r="X45" s="104">
        <f t="shared" si="28"/>
        <v>0</v>
      </c>
      <c r="Y45" s="104">
        <f t="shared" si="28"/>
        <v>0</v>
      </c>
      <c r="Z45" s="104">
        <f t="shared" si="28"/>
        <v>0</v>
      </c>
      <c r="AA45" s="104">
        <f t="shared" si="28"/>
        <v>0</v>
      </c>
      <c r="AB45" s="104">
        <f t="shared" si="28"/>
        <v>0</v>
      </c>
      <c r="AC45" s="104">
        <f t="shared" si="28"/>
        <v>0</v>
      </c>
      <c r="AD45" s="104">
        <f t="shared" si="28"/>
        <v>0</v>
      </c>
      <c r="AE45" s="104">
        <f t="shared" si="28"/>
        <v>0</v>
      </c>
      <c r="AF45" s="104">
        <f t="shared" si="28"/>
        <v>0</v>
      </c>
      <c r="AG45" s="84">
        <f t="shared" si="29"/>
        <v>0</v>
      </c>
      <c r="AH45" s="105" t="str">
        <f t="shared" si="30"/>
        <v/>
      </c>
      <c r="AJ45" s="84">
        <f t="shared" si="31"/>
        <v>76382.850000000006</v>
      </c>
    </row>
    <row r="46" spans="1:36" x14ac:dyDescent="0.3">
      <c r="A46" s="103" t="s">
        <v>132</v>
      </c>
      <c r="B46" s="84">
        <f>IFERROR(SUMIF([2]Jan26A!$A:$A,$A46,INDEX([2]Jan26A!$A:$N,0,MATCH($A$1,[2]Jan26A!$A$7:$N$7,0))),0)</f>
        <v>1378.29</v>
      </c>
      <c r="C46" s="84">
        <f>IFERROR(SUMIF([2]Feb26A!$A:$A,$A46,INDEX([2]Feb26A!$A:$N,0,MATCH($A$1,[2]Feb26A!$A$7:$N$7,0))),0)</f>
        <v>1054.5899999999999</v>
      </c>
      <c r="D46" s="84">
        <f>IFERROR(SUMIF([2]Mar26A!$A:$A,$A46,INDEX([2]Mar26A!$A:$N,0,MATCH($A$1,[2]Mar26A!$A$7:$N$7,0))),0)</f>
        <v>2655.82</v>
      </c>
      <c r="E46" s="84">
        <f>IFERROR(SUMIF([2]Apr26A!$A:$A,$A46,INDEX([2]Apr26A!$A:$N,0,MATCH($A$1,[2]Apr26A!$A$7:$N$7,0))),0)</f>
        <v>0</v>
      </c>
      <c r="F46" s="84">
        <f>IFERROR(SUMIF([2]May26A!$A:$A,$A46,INDEX([2]May26A!$A:$N,0,MATCH($A$1,[2]May26A!$A$7:$N$7,0))),0)</f>
        <v>1059.27</v>
      </c>
      <c r="G46" s="84">
        <f>IFERROR(SUMIF([2]Jun26A!$A:$A,$A46,INDEX([2]Jun26A!$A:$N,0,MATCH($A$1,[2]Jun26A!$A$7:$N$7,0))),0)</f>
        <v>334.92</v>
      </c>
      <c r="H46" s="84">
        <f>IFERROR(SUMIF([2]Jul26A!$A:$A,$A46,INDEX([2]Jul26A!$A:$N,0,MATCH($A$1,[2]Jul26A!$A$7:$N$7,0))),0)</f>
        <v>1237.1400000000001</v>
      </c>
      <c r="I46" s="84">
        <f>IFERROR(SUMIF([2]Aug26A!$A:$A,$A46,INDEX([2]Aug26A!$A:$N,0,MATCH($A$1,[2]Aug26A!$A$7:$N$7,0))),0)</f>
        <v>9400.74</v>
      </c>
      <c r="J46" s="117">
        <v>1500</v>
      </c>
      <c r="K46" s="117">
        <v>1500</v>
      </c>
      <c r="L46" s="117">
        <v>1500</v>
      </c>
      <c r="M46" s="117">
        <v>1500</v>
      </c>
      <c r="N46" s="84">
        <f t="shared" si="26"/>
        <v>23120.77</v>
      </c>
      <c r="O46" s="105" t="str">
        <f t="shared" si="27"/>
        <v/>
      </c>
      <c r="P46" s="84"/>
      <c r="Q46" s="84"/>
      <c r="R46" s="106" t="s">
        <v>99</v>
      </c>
      <c r="S46" s="107">
        <v>0</v>
      </c>
      <c r="T46" s="108">
        <v>0.05</v>
      </c>
      <c r="U46" s="104">
        <f t="shared" si="28"/>
        <v>0</v>
      </c>
      <c r="V46" s="104">
        <f t="shared" si="28"/>
        <v>0</v>
      </c>
      <c r="W46" s="104">
        <f t="shared" si="28"/>
        <v>0</v>
      </c>
      <c r="X46" s="104">
        <f t="shared" si="28"/>
        <v>0</v>
      </c>
      <c r="Y46" s="104">
        <f t="shared" si="28"/>
        <v>0</v>
      </c>
      <c r="Z46" s="104">
        <f t="shared" si="28"/>
        <v>0</v>
      </c>
      <c r="AA46" s="104">
        <f t="shared" si="28"/>
        <v>0</v>
      </c>
      <c r="AB46" s="104">
        <f t="shared" si="28"/>
        <v>0</v>
      </c>
      <c r="AC46" s="104">
        <f t="shared" si="28"/>
        <v>0</v>
      </c>
      <c r="AD46" s="104">
        <f t="shared" si="28"/>
        <v>0</v>
      </c>
      <c r="AE46" s="104">
        <f t="shared" si="28"/>
        <v>0</v>
      </c>
      <c r="AF46" s="104">
        <f t="shared" si="28"/>
        <v>0</v>
      </c>
      <c r="AG46" s="84">
        <f t="shared" si="29"/>
        <v>0</v>
      </c>
      <c r="AH46" s="105" t="str">
        <f t="shared" si="30"/>
        <v/>
      </c>
      <c r="AJ46" s="84">
        <f t="shared" si="31"/>
        <v>23120.77</v>
      </c>
    </row>
    <row r="47" spans="1:36" x14ac:dyDescent="0.3">
      <c r="A47" s="103" t="s">
        <v>133</v>
      </c>
      <c r="B47" s="84">
        <f>IFERROR(SUMIF([2]Jan26A!$A:$A,$A47,INDEX([2]Jan26A!$A:$N,0,MATCH($A$1,[2]Jan26A!$A$7:$N$7,0))),0)</f>
        <v>13329.1</v>
      </c>
      <c r="C47" s="84">
        <f>IFERROR(SUMIF([2]Feb26A!$A:$A,$A47,INDEX([2]Feb26A!$A:$N,0,MATCH($A$1,[2]Feb26A!$A$7:$N$7,0))),0)</f>
        <v>5064.2299999999996</v>
      </c>
      <c r="D47" s="84">
        <f>IFERROR(SUMIF([2]Mar26A!$A:$A,$A47,INDEX([2]Mar26A!$A:$N,0,MATCH($A$1,[2]Mar26A!$A$7:$N$7,0))),0)</f>
        <v>58626.27</v>
      </c>
      <c r="E47" s="84">
        <f>IFERROR(SUMIF([2]Apr26A!$A:$A,$A47,INDEX([2]Apr26A!$A:$N,0,MATCH($A$1,[2]Apr26A!$A$7:$N$7,0))),0)</f>
        <v>12810.6</v>
      </c>
      <c r="F47" s="84">
        <f>IFERROR(SUMIF([2]May26A!$A:$A,$A47,INDEX([2]May26A!$A:$N,0,MATCH($A$1,[2]May26A!$A$7:$N$7,0))),0)</f>
        <v>28158.41</v>
      </c>
      <c r="G47" s="84">
        <f>IFERROR(SUMIF([2]Jun26A!$A:$A,$A47,INDEX([2]Jun26A!$A:$N,0,MATCH($A$1,[2]Jun26A!$A$7:$N$7,0))),0)</f>
        <v>19000.310000000001</v>
      </c>
      <c r="H47" s="84">
        <f>IFERROR(SUMIF([2]Jul26A!$A:$A,$A47,INDEX([2]Jul26A!$A:$N,0,MATCH($A$1,[2]Jul26A!$A$7:$N$7,0))),0)</f>
        <v>10810.67</v>
      </c>
      <c r="I47" s="84">
        <f>IFERROR(SUMIF([2]Aug26A!$A:$A,$A47,INDEX([2]Aug26A!$A:$N,0,MATCH($A$1,[2]Aug26A!$A$7:$N$7,0))),0)</f>
        <v>-8095.66</v>
      </c>
      <c r="J47" s="117">
        <v>28000</v>
      </c>
      <c r="K47" s="117">
        <v>28000</v>
      </c>
      <c r="L47" s="117">
        <v>30000</v>
      </c>
      <c r="M47" s="117">
        <v>30000</v>
      </c>
      <c r="N47" s="84">
        <f t="shared" si="26"/>
        <v>255703.93000000002</v>
      </c>
      <c r="O47" s="105" t="str">
        <f t="shared" si="27"/>
        <v/>
      </c>
      <c r="P47" s="84"/>
      <c r="Q47" s="84"/>
      <c r="R47" s="106" t="s">
        <v>99</v>
      </c>
      <c r="S47" s="107">
        <v>0</v>
      </c>
      <c r="T47" s="108">
        <v>0.05</v>
      </c>
      <c r="U47" s="104">
        <f t="shared" si="28"/>
        <v>0</v>
      </c>
      <c r="V47" s="104">
        <f t="shared" si="28"/>
        <v>0</v>
      </c>
      <c r="W47" s="104">
        <f t="shared" si="28"/>
        <v>0</v>
      </c>
      <c r="X47" s="104">
        <f t="shared" si="28"/>
        <v>0</v>
      </c>
      <c r="Y47" s="104">
        <f t="shared" si="28"/>
        <v>0</v>
      </c>
      <c r="Z47" s="104">
        <f t="shared" si="28"/>
        <v>0</v>
      </c>
      <c r="AA47" s="104">
        <f t="shared" si="28"/>
        <v>0</v>
      </c>
      <c r="AB47" s="104">
        <f t="shared" si="28"/>
        <v>0</v>
      </c>
      <c r="AC47" s="104">
        <f t="shared" si="28"/>
        <v>0</v>
      </c>
      <c r="AD47" s="104">
        <f t="shared" si="28"/>
        <v>0</v>
      </c>
      <c r="AE47" s="104">
        <f t="shared" si="28"/>
        <v>0</v>
      </c>
      <c r="AF47" s="104">
        <f t="shared" si="28"/>
        <v>0</v>
      </c>
      <c r="AG47" s="84">
        <f t="shared" si="29"/>
        <v>0</v>
      </c>
      <c r="AH47" s="105" t="str">
        <f t="shared" si="30"/>
        <v/>
      </c>
      <c r="AJ47" s="84">
        <f t="shared" si="31"/>
        <v>255703.93000000002</v>
      </c>
    </row>
    <row r="48" spans="1:36" x14ac:dyDescent="0.3">
      <c r="A48" s="103" t="s">
        <v>134</v>
      </c>
      <c r="B48" s="84">
        <f>IFERROR(SUMIF([2]Jan26A!$A:$A,$A48,INDEX([2]Jan26A!$A:$N,0,MATCH($A$1,[2]Jan26A!$A$7:$N$7,0))),0)</f>
        <v>1000</v>
      </c>
      <c r="C48" s="84">
        <f>IFERROR(SUMIF([2]Feb26A!$A:$A,$A48,INDEX([2]Feb26A!$A:$N,0,MATCH($A$1,[2]Feb26A!$A$7:$N$7,0))),0)</f>
        <v>3800</v>
      </c>
      <c r="D48" s="84">
        <f>IFERROR(SUMIF([2]Mar26A!$A:$A,$A48,INDEX([2]Mar26A!$A:$N,0,MATCH($A$1,[2]Mar26A!$A$7:$N$7,0))),0)</f>
        <v>4120</v>
      </c>
      <c r="E48" s="84">
        <f>IFERROR(SUMIF([2]Apr26A!$A:$A,$A48,INDEX([2]Apr26A!$A:$N,0,MATCH($A$1,[2]Apr26A!$A$7:$N$7,0))),0)</f>
        <v>2500</v>
      </c>
      <c r="F48" s="84">
        <f>IFERROR(SUMIF([2]May26A!$A:$A,$A48,INDEX([2]May26A!$A:$N,0,MATCH($A$1,[2]May26A!$A$7:$N$7,0))),0)</f>
        <v>2680</v>
      </c>
      <c r="G48" s="84">
        <f>IFERROR(SUMIF([2]Jun26A!$A:$A,$A48,INDEX([2]Jun26A!$A:$N,0,MATCH($A$1,[2]Jun26A!$A$7:$N$7,0))),0)</f>
        <v>2560</v>
      </c>
      <c r="H48" s="84">
        <f>IFERROR(SUMIF([2]Jul26A!$A:$A,$A48,INDEX([2]Jul26A!$A:$N,0,MATCH($A$1,[2]Jul26A!$A$7:$N$7,0))),0)</f>
        <v>1240</v>
      </c>
      <c r="I48" s="84">
        <f>IFERROR(SUMIF([2]Aug26A!$A:$A,$A48,INDEX([2]Aug26A!$A:$N,0,MATCH($A$1,[2]Aug26A!$A$7:$N$7,0))),0)</f>
        <v>1060</v>
      </c>
      <c r="J48" s="117">
        <v>3000</v>
      </c>
      <c r="K48" s="117">
        <v>3000</v>
      </c>
      <c r="L48" s="117">
        <v>3000</v>
      </c>
      <c r="M48" s="117">
        <v>3000</v>
      </c>
      <c r="N48" s="84">
        <f t="shared" si="26"/>
        <v>30960</v>
      </c>
      <c r="O48" s="105" t="str">
        <f t="shared" si="27"/>
        <v/>
      </c>
      <c r="P48" s="84"/>
      <c r="Q48" s="84"/>
      <c r="R48" s="106" t="s">
        <v>99</v>
      </c>
      <c r="S48" s="107">
        <v>0</v>
      </c>
      <c r="T48" s="108">
        <v>0.05</v>
      </c>
      <c r="U48" s="104">
        <f t="shared" si="28"/>
        <v>0</v>
      </c>
      <c r="V48" s="104">
        <f t="shared" si="28"/>
        <v>0</v>
      </c>
      <c r="W48" s="104">
        <f t="shared" si="28"/>
        <v>0</v>
      </c>
      <c r="X48" s="104">
        <f t="shared" si="28"/>
        <v>0</v>
      </c>
      <c r="Y48" s="104">
        <f t="shared" si="28"/>
        <v>0</v>
      </c>
      <c r="Z48" s="104">
        <f t="shared" si="28"/>
        <v>0</v>
      </c>
      <c r="AA48" s="104">
        <f t="shared" si="28"/>
        <v>0</v>
      </c>
      <c r="AB48" s="104">
        <f t="shared" si="28"/>
        <v>0</v>
      </c>
      <c r="AC48" s="104">
        <f t="shared" si="28"/>
        <v>0</v>
      </c>
      <c r="AD48" s="104">
        <f t="shared" si="28"/>
        <v>0</v>
      </c>
      <c r="AE48" s="104">
        <f t="shared" si="28"/>
        <v>0</v>
      </c>
      <c r="AF48" s="104">
        <f t="shared" si="28"/>
        <v>0</v>
      </c>
      <c r="AG48" s="84">
        <f t="shared" si="29"/>
        <v>0</v>
      </c>
      <c r="AH48" s="105" t="str">
        <f t="shared" si="30"/>
        <v/>
      </c>
      <c r="AJ48" s="84">
        <f t="shared" si="31"/>
        <v>30960</v>
      </c>
    </row>
    <row r="49" spans="1:36" x14ac:dyDescent="0.3">
      <c r="A49" s="103" t="s">
        <v>135</v>
      </c>
      <c r="B49" s="84">
        <f>IFERROR(SUMIF([2]Jan26A!$A:$A,$A49,INDEX([2]Jan26A!$A:$N,0,MATCH($A$1,[2]Jan26A!$A$7:$N$7,0))),0)</f>
        <v>1900.25</v>
      </c>
      <c r="C49" s="84">
        <f>IFERROR(SUMIF([2]Feb26A!$A:$A,$A49,INDEX([2]Feb26A!$A:$N,0,MATCH($A$1,[2]Feb26A!$A$7:$N$7,0))),0)</f>
        <v>1371.12</v>
      </c>
      <c r="D49" s="84">
        <f>IFERROR(SUMIF([2]Mar26A!$A:$A,$A49,INDEX([2]Mar26A!$A:$N,0,MATCH($A$1,[2]Mar26A!$A$7:$N$7,0))),0)</f>
        <v>616.4</v>
      </c>
      <c r="E49" s="84">
        <f>IFERROR(SUMIF([2]Apr26A!$A:$A,$A49,INDEX([2]Apr26A!$A:$N,0,MATCH($A$1,[2]Apr26A!$A$7:$N$7,0))),0)</f>
        <v>579.5</v>
      </c>
      <c r="F49" s="84">
        <f>IFERROR(SUMIF([2]May26A!$A:$A,$A49,INDEX([2]May26A!$A:$N,0,MATCH($A$1,[2]May26A!$A$7:$N$7,0))),0)</f>
        <v>7011.68</v>
      </c>
      <c r="G49" s="84">
        <f>IFERROR(SUMIF([2]Jun26A!$A:$A,$A49,INDEX([2]Jun26A!$A:$N,0,MATCH($A$1,[2]Jun26A!$A$7:$N$7,0))),0)</f>
        <v>4314.54</v>
      </c>
      <c r="H49" s="84">
        <f>IFERROR(SUMIF([2]Jul26A!$A:$A,$A49,INDEX([2]Jul26A!$A:$N,0,MATCH($A$1,[2]Jul26A!$A$7:$N$7,0))),0)</f>
        <v>2792.06</v>
      </c>
      <c r="I49" s="84">
        <f>IFERROR(SUMIF([2]Aug26A!$A:$A,$A49,INDEX([2]Aug26A!$A:$N,0,MATCH($A$1,[2]Aug26A!$A$7:$N$7,0))),0)</f>
        <v>8642.3799999999992</v>
      </c>
      <c r="J49" s="117">
        <v>5000</v>
      </c>
      <c r="K49" s="117">
        <v>5000</v>
      </c>
      <c r="L49" s="117">
        <v>4000</v>
      </c>
      <c r="M49" s="117">
        <v>4000</v>
      </c>
      <c r="N49" s="84">
        <f t="shared" si="26"/>
        <v>45227.93</v>
      </c>
      <c r="O49" s="105" t="str">
        <f t="shared" si="27"/>
        <v/>
      </c>
      <c r="P49" s="84"/>
      <c r="Q49" s="84"/>
      <c r="R49" s="106" t="s">
        <v>99</v>
      </c>
      <c r="S49" s="107">
        <v>0</v>
      </c>
      <c r="T49" s="108">
        <v>0.05</v>
      </c>
      <c r="U49" s="104">
        <f t="shared" si="28"/>
        <v>0</v>
      </c>
      <c r="V49" s="104">
        <f t="shared" si="28"/>
        <v>0</v>
      </c>
      <c r="W49" s="104">
        <f t="shared" si="28"/>
        <v>0</v>
      </c>
      <c r="X49" s="104">
        <f t="shared" si="28"/>
        <v>0</v>
      </c>
      <c r="Y49" s="104">
        <f t="shared" si="28"/>
        <v>0</v>
      </c>
      <c r="Z49" s="104">
        <f t="shared" si="28"/>
        <v>0</v>
      </c>
      <c r="AA49" s="104">
        <f t="shared" si="28"/>
        <v>0</v>
      </c>
      <c r="AB49" s="104">
        <f t="shared" si="28"/>
        <v>0</v>
      </c>
      <c r="AC49" s="104">
        <f t="shared" si="28"/>
        <v>0</v>
      </c>
      <c r="AD49" s="104">
        <f t="shared" si="28"/>
        <v>0</v>
      </c>
      <c r="AE49" s="104">
        <f t="shared" si="28"/>
        <v>0</v>
      </c>
      <c r="AF49" s="104">
        <f t="shared" si="28"/>
        <v>0</v>
      </c>
      <c r="AG49" s="84">
        <f t="shared" si="29"/>
        <v>0</v>
      </c>
      <c r="AH49" s="105" t="str">
        <f t="shared" si="30"/>
        <v/>
      </c>
      <c r="AJ49" s="84">
        <f t="shared" si="31"/>
        <v>45227.93</v>
      </c>
    </row>
    <row r="50" spans="1:36" x14ac:dyDescent="0.3">
      <c r="A50" s="103" t="s">
        <v>136</v>
      </c>
      <c r="B50" s="84">
        <f>IFERROR(SUMIF([2]Jan26A!$A:$A,$A50,INDEX([2]Jan26A!$A:$N,0,MATCH($A$1,[2]Jan26A!$A$7:$N$7,0))),0)</f>
        <v>0</v>
      </c>
      <c r="C50" s="84">
        <f>IFERROR(SUMIF([2]Feb26A!$A:$A,$A50,INDEX([2]Feb26A!$A:$N,0,MATCH($A$1,[2]Feb26A!$A$7:$N$7,0))),0)</f>
        <v>121.5</v>
      </c>
      <c r="D50" s="84">
        <f>IFERROR(SUMIF([2]Mar26A!$A:$A,$A50,INDEX([2]Mar26A!$A:$N,0,MATCH($A$1,[2]Mar26A!$A$7:$N$7,0))),0)</f>
        <v>0</v>
      </c>
      <c r="E50" s="84">
        <f>IFERROR(SUMIF([2]Apr26A!$A:$A,$A50,INDEX([2]Apr26A!$A:$N,0,MATCH($A$1,[2]Apr26A!$A$7:$N$7,0))),0)</f>
        <v>0</v>
      </c>
      <c r="F50" s="84">
        <f>IFERROR(SUMIF([2]May26A!$A:$A,$A50,INDEX([2]May26A!$A:$N,0,MATCH($A$1,[2]May26A!$A$7:$N$7,0))),0)</f>
        <v>18.64</v>
      </c>
      <c r="G50" s="84">
        <f>IFERROR(SUMIF([2]Jun26A!$A:$A,$A50,INDEX([2]Jun26A!$A:$N,0,MATCH($A$1,[2]Jun26A!$A$7:$N$7,0))),0)</f>
        <v>0</v>
      </c>
      <c r="H50" s="84">
        <f>IFERROR(SUMIF([2]Jul26A!$A:$A,$A50,INDEX([2]Jul26A!$A:$N,0,MATCH($A$1,[2]Jul26A!$A$7:$N$7,0))),0)</f>
        <v>0</v>
      </c>
      <c r="I50" s="84">
        <f>IFERROR(SUMIF([2]Aug26A!$A:$A,$A50,INDEX([2]Aug26A!$A:$N,0,MATCH($A$1,[2]Aug26A!$A$7:$N$7,0))),0)</f>
        <v>0</v>
      </c>
      <c r="J50" s="117">
        <v>150</v>
      </c>
      <c r="K50" s="117">
        <v>150</v>
      </c>
      <c r="L50" s="117">
        <v>150</v>
      </c>
      <c r="M50" s="117">
        <v>150</v>
      </c>
      <c r="N50" s="84">
        <f t="shared" si="26"/>
        <v>740.14</v>
      </c>
      <c r="O50" s="105" t="str">
        <f t="shared" si="27"/>
        <v/>
      </c>
      <c r="P50" s="84"/>
      <c r="Q50" s="84"/>
      <c r="R50" s="106" t="s">
        <v>99</v>
      </c>
      <c r="S50" s="107">
        <v>0</v>
      </c>
      <c r="T50" s="108">
        <v>0.05</v>
      </c>
      <c r="U50" s="104">
        <f t="shared" si="28"/>
        <v>0</v>
      </c>
      <c r="V50" s="104">
        <f t="shared" si="28"/>
        <v>0</v>
      </c>
      <c r="W50" s="104">
        <f t="shared" si="28"/>
        <v>0</v>
      </c>
      <c r="X50" s="104">
        <f t="shared" si="28"/>
        <v>0</v>
      </c>
      <c r="Y50" s="104">
        <f t="shared" si="28"/>
        <v>0</v>
      </c>
      <c r="Z50" s="104">
        <f t="shared" si="28"/>
        <v>0</v>
      </c>
      <c r="AA50" s="104">
        <f t="shared" si="28"/>
        <v>0</v>
      </c>
      <c r="AB50" s="104">
        <f t="shared" si="28"/>
        <v>0</v>
      </c>
      <c r="AC50" s="104">
        <f t="shared" si="28"/>
        <v>0</v>
      </c>
      <c r="AD50" s="104">
        <f t="shared" si="28"/>
        <v>0</v>
      </c>
      <c r="AE50" s="104">
        <f t="shared" si="28"/>
        <v>0</v>
      </c>
      <c r="AF50" s="104">
        <f t="shared" si="28"/>
        <v>0</v>
      </c>
      <c r="AG50" s="84">
        <f t="shared" si="29"/>
        <v>0</v>
      </c>
      <c r="AH50" s="105" t="str">
        <f t="shared" si="30"/>
        <v/>
      </c>
      <c r="AJ50" s="84">
        <f t="shared" si="31"/>
        <v>740.14</v>
      </c>
    </row>
    <row r="51" spans="1:36" x14ac:dyDescent="0.3">
      <c r="A51" s="115" t="s">
        <v>137</v>
      </c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105"/>
      <c r="P51" s="84"/>
      <c r="Q51" s="84"/>
      <c r="R51" s="112"/>
      <c r="S51" s="112"/>
      <c r="T51" s="112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105"/>
      <c r="AJ51" s="84"/>
    </row>
    <row r="52" spans="1:36" x14ac:dyDescent="0.3">
      <c r="A52" s="116" t="s">
        <v>138</v>
      </c>
      <c r="B52" s="84">
        <f>IFERROR(SUMIF([2]Jan26A!$A:$A,$A52,INDEX([2]Jan26A!$A:$N,0,MATCH($A$1,[2]Jan26A!$A$7:$N$7,0))),0)</f>
        <v>41771.03</v>
      </c>
      <c r="C52" s="84">
        <f>IFERROR(SUMIF([2]Feb26A!$A:$A,$A52,INDEX([2]Feb26A!$A:$N,0,MATCH($A$1,[2]Feb26A!$A$7:$N$7,0))),0)</f>
        <v>27453.8</v>
      </c>
      <c r="D52" s="84">
        <f>IFERROR(SUMIF([2]Mar26A!$A:$A,$A52,INDEX([2]Mar26A!$A:$N,0,MATCH($A$1,[2]Mar26A!$A$7:$N$7,0))),0)</f>
        <v>55703.48</v>
      </c>
      <c r="E52" s="84">
        <f>IFERROR(SUMIF([2]Apr26A!$A:$A,$A52,INDEX([2]Apr26A!$A:$N,0,MATCH($A$1,[2]Apr26A!$A$7:$N$7,0))),0)</f>
        <v>77202.080000000002</v>
      </c>
      <c r="F52" s="84">
        <f>IFERROR(SUMIF([2]May26A!$A:$A,$A52,INDEX([2]May26A!$A:$N,0,MATCH($A$1,[2]May26A!$A$7:$N$7,0))),0)</f>
        <v>72865.8</v>
      </c>
      <c r="G52" s="84">
        <f>IFERROR(SUMIF([2]Jun26A!$A:$A,$A52,INDEX([2]Jun26A!$A:$N,0,MATCH($A$1,[2]Jun26A!$A$7:$N$7,0))),0)</f>
        <v>64701.68</v>
      </c>
      <c r="H52" s="84">
        <f>IFERROR(SUMIF([2]Jul26A!$A:$A,$A52,INDEX([2]Jul26A!$A:$N,0,MATCH($A$1,[2]Jul26A!$A$7:$N$7,0))),0)</f>
        <v>82139.240000000005</v>
      </c>
      <c r="I52" s="84">
        <f>IFERROR(SUMIF([2]Aug26A!$A:$A,$A52,INDEX([2]Aug26A!$A:$N,0,MATCH($A$1,[2]Aug26A!$A$7:$N$7,0))),0)</f>
        <v>79454.55</v>
      </c>
      <c r="J52" s="117">
        <v>90000</v>
      </c>
      <c r="K52" s="117">
        <v>92700</v>
      </c>
      <c r="L52" s="117">
        <v>95800</v>
      </c>
      <c r="M52" s="117">
        <v>96900</v>
      </c>
      <c r="N52" s="84">
        <f>SUM(B52:M52)</f>
        <v>876691.65999999992</v>
      </c>
      <c r="O52" s="105" t="str">
        <f>IFERROR(N52/N$16,"")</f>
        <v/>
      </c>
      <c r="P52" s="84"/>
      <c r="Q52" s="84"/>
      <c r="R52" s="156"/>
      <c r="S52" s="156"/>
      <c r="T52" s="156"/>
      <c r="U52" s="156">
        <f>'FO HC'!M67</f>
        <v>90012.583333333343</v>
      </c>
      <c r="V52" s="156">
        <f>'FO HC'!N67</f>
        <v>90012.583333333343</v>
      </c>
      <c r="W52" s="156">
        <f>'FO HC'!O67</f>
        <v>90012.583333333343</v>
      </c>
      <c r="X52" s="156">
        <f>'FO HC'!P67</f>
        <v>90012.583333333343</v>
      </c>
      <c r="Y52" s="156">
        <f>'FO HC'!Q67</f>
        <v>90012.583333333343</v>
      </c>
      <c r="Z52" s="156">
        <f>'FO HC'!R67</f>
        <v>90012.583333333343</v>
      </c>
      <c r="AA52" s="156">
        <f>'FO HC'!S67</f>
        <v>90012.583333333343</v>
      </c>
      <c r="AB52" s="156">
        <f>'FO HC'!T67</f>
        <v>90012.583333333343</v>
      </c>
      <c r="AC52" s="156">
        <f>'FO HC'!U67</f>
        <v>90012.583333333343</v>
      </c>
      <c r="AD52" s="156">
        <f>'FO HC'!V67</f>
        <v>92712.960833333345</v>
      </c>
      <c r="AE52" s="156">
        <f>'FO HC'!W67</f>
        <v>92712.960833333345</v>
      </c>
      <c r="AF52" s="156">
        <f>'FO HC'!X67</f>
        <v>92712.960833333345</v>
      </c>
      <c r="AG52" s="84">
        <f>SUM(U52:AF52)</f>
        <v>1088252.1325000003</v>
      </c>
      <c r="AH52" s="105" t="str">
        <f>IFERROR(AG52/AG$16,"")</f>
        <v/>
      </c>
      <c r="AJ52" s="84">
        <f>N52-AG52</f>
        <v>-211560.47250000038</v>
      </c>
    </row>
    <row r="53" spans="1:36" x14ac:dyDescent="0.3">
      <c r="A53" s="116" t="s">
        <v>139</v>
      </c>
      <c r="B53" s="84">
        <f>IFERROR(SUMIF([2]Jan26A!$A:$A,$A53,INDEX([2]Jan26A!$A:$N,0,MATCH($A$1,[2]Jan26A!$A$7:$N$7,0))),0)</f>
        <v>3714.57</v>
      </c>
      <c r="C53" s="84">
        <f>IFERROR(SUMIF([2]Feb26A!$A:$A,$A53,INDEX([2]Feb26A!$A:$N,0,MATCH($A$1,[2]Feb26A!$A$7:$N$7,0))),0)</f>
        <v>3251.23</v>
      </c>
      <c r="D53" s="84">
        <f>IFERROR(SUMIF([2]Mar26A!$A:$A,$A53,INDEX([2]Mar26A!$A:$N,0,MATCH($A$1,[2]Mar26A!$A$7:$N$7,0))),0)</f>
        <v>3711.25</v>
      </c>
      <c r="E53" s="84">
        <f>IFERROR(SUMIF([2]Apr26A!$A:$A,$A53,INDEX([2]Apr26A!$A:$N,0,MATCH($A$1,[2]Apr26A!$A$7:$N$7,0))),0)</f>
        <v>5152.42</v>
      </c>
      <c r="F53" s="84">
        <f>IFERROR(SUMIF([2]May26A!$A:$A,$A53,INDEX([2]May26A!$A:$N,0,MATCH($A$1,[2]May26A!$A$7:$N$7,0))),0)</f>
        <v>4827.71</v>
      </c>
      <c r="G53" s="84">
        <f>IFERROR(SUMIF([2]Jun26A!$A:$A,$A53,INDEX([2]Jun26A!$A:$N,0,MATCH($A$1,[2]Jun26A!$A$7:$N$7,0))),0)</f>
        <v>4403.72</v>
      </c>
      <c r="H53" s="84">
        <f>IFERROR(SUMIF([2]Jul26A!$A:$A,$A53,INDEX([2]Jul26A!$A:$N,0,MATCH($A$1,[2]Jul26A!$A$7:$N$7,0))),0)</f>
        <v>5573.24</v>
      </c>
      <c r="I53" s="84">
        <f>IFERROR(SUMIF([2]Aug26A!$A:$A,$A53,INDEX([2]Aug26A!$A:$N,0,MATCH($A$1,[2]Aug26A!$A$7:$N$7,0))),0)</f>
        <v>5853.77</v>
      </c>
      <c r="J53" s="117">
        <v>5850</v>
      </c>
      <c r="K53" s="117">
        <v>6026</v>
      </c>
      <c r="L53" s="117">
        <v>6227</v>
      </c>
      <c r="M53" s="117">
        <v>6299</v>
      </c>
      <c r="N53" s="84">
        <f>SUM(B53:M53)</f>
        <v>60889.91</v>
      </c>
      <c r="O53" s="105" t="str">
        <f>IFERROR(N53/N$16,"")</f>
        <v/>
      </c>
      <c r="P53" s="84"/>
      <c r="Q53" s="84"/>
      <c r="R53" s="156"/>
      <c r="S53" s="156"/>
      <c r="T53" s="156"/>
      <c r="U53" s="156">
        <f>'FO HC'!M68</f>
        <v>6163.2433510037235</v>
      </c>
      <c r="V53" s="156">
        <f>'FO HC'!N68</f>
        <v>6163.2433510037235</v>
      </c>
      <c r="W53" s="156">
        <f>'FO HC'!O68</f>
        <v>6163.2433510037235</v>
      </c>
      <c r="X53" s="156">
        <f>'FO HC'!P68</f>
        <v>6163.2433510037235</v>
      </c>
      <c r="Y53" s="156">
        <f>'FO HC'!Q68</f>
        <v>6163.2433510037235</v>
      </c>
      <c r="Z53" s="156">
        <f>'FO HC'!R68</f>
        <v>6163.2433510037235</v>
      </c>
      <c r="AA53" s="156">
        <f>'FO HC'!S68</f>
        <v>6163.2433510037235</v>
      </c>
      <c r="AB53" s="156">
        <f>'FO HC'!T68</f>
        <v>6163.2433510037235</v>
      </c>
      <c r="AC53" s="156">
        <f>'FO HC'!U68</f>
        <v>6163.2433510037235</v>
      </c>
      <c r="AD53" s="156">
        <f>'FO HC'!V68</f>
        <v>6348.1406515338349</v>
      </c>
      <c r="AE53" s="156">
        <f>'FO HC'!W68</f>
        <v>6348.1406515338349</v>
      </c>
      <c r="AF53" s="156">
        <f>'FO HC'!X68</f>
        <v>6348.1406515338349</v>
      </c>
      <c r="AG53" s="84">
        <f>SUM(U53:AF53)</f>
        <v>74513.612113635012</v>
      </c>
      <c r="AH53" s="105" t="str">
        <f>IFERROR(AG53/AG$16,"")</f>
        <v/>
      </c>
      <c r="AJ53" s="84">
        <f>N53-AG53</f>
        <v>-13623.702113635009</v>
      </c>
    </row>
    <row r="54" spans="1:36" x14ac:dyDescent="0.3">
      <c r="A54" s="116" t="s">
        <v>140</v>
      </c>
      <c r="B54" s="84">
        <f>IFERROR(SUMIF([2]Jan26A!$A:$A,$A54,INDEX([2]Jan26A!$A:$N,0,MATCH($A$1,[2]Jan26A!$A$7:$N$7,0))),0)</f>
        <v>30690.720000000001</v>
      </c>
      <c r="C54" s="84">
        <f>IFERROR(SUMIF([2]Feb26A!$A:$A,$A54,INDEX([2]Feb26A!$A:$N,0,MATCH($A$1,[2]Feb26A!$A$7:$N$7,0))),0)</f>
        <v>21236.59</v>
      </c>
      <c r="D54" s="84">
        <f>IFERROR(SUMIF([2]Mar26A!$A:$A,$A54,INDEX([2]Mar26A!$A:$N,0,MATCH($A$1,[2]Mar26A!$A$7:$N$7,0))),0)</f>
        <v>9448.65</v>
      </c>
      <c r="E54" s="84">
        <f>IFERROR(SUMIF([2]Apr26A!$A:$A,$A54,INDEX([2]Apr26A!$A:$N,0,MATCH($A$1,[2]Apr26A!$A$7:$N$7,0))),0)</f>
        <v>12493.8</v>
      </c>
      <c r="F54" s="84">
        <f>IFERROR(SUMIF([2]May26A!$A:$A,$A54,INDEX([2]May26A!$A:$N,0,MATCH($A$1,[2]May26A!$A$7:$N$7,0))),0)</f>
        <v>12115.76</v>
      </c>
      <c r="G54" s="84">
        <f>IFERROR(SUMIF([2]Jun26A!$A:$A,$A54,INDEX([2]Jun26A!$A:$N,0,MATCH($A$1,[2]Jun26A!$A$7:$N$7,0))),0)</f>
        <v>16324.25</v>
      </c>
      <c r="H54" s="84">
        <f>IFERROR(SUMIF([2]Jul26A!$A:$A,$A54,INDEX([2]Jul26A!$A:$N,0,MATCH($A$1,[2]Jul26A!$A$7:$N$7,0))),0)</f>
        <v>13014.13</v>
      </c>
      <c r="I54" s="84">
        <f>IFERROR(SUMIF([2]Aug26A!$A:$A,$A54,INDEX([2]Aug26A!$A:$N,0,MATCH($A$1,[2]Aug26A!$A$7:$N$7,0))),0)</f>
        <v>17324.259999999998</v>
      </c>
      <c r="J54" s="117">
        <v>10800</v>
      </c>
      <c r="K54" s="117">
        <v>11124</v>
      </c>
      <c r="L54" s="117">
        <v>11496</v>
      </c>
      <c r="M54" s="117">
        <v>11628</v>
      </c>
      <c r="N54" s="84">
        <f>SUM(B54:M54)</f>
        <v>177696.16</v>
      </c>
      <c r="O54" s="105" t="str">
        <f>IFERROR(N54/N$16,"")</f>
        <v/>
      </c>
      <c r="P54" s="84"/>
      <c r="Q54" s="84"/>
      <c r="R54" s="156"/>
      <c r="S54" s="156"/>
      <c r="T54" s="156"/>
      <c r="U54" s="156">
        <f>'FO HC'!M69</f>
        <v>14766.898018835556</v>
      </c>
      <c r="V54" s="156">
        <f>'FO HC'!N69</f>
        <v>14766.898018835556</v>
      </c>
      <c r="W54" s="156">
        <f>'FO HC'!O69</f>
        <v>14766.898018835556</v>
      </c>
      <c r="X54" s="156">
        <f>'FO HC'!P69</f>
        <v>14766.898018835556</v>
      </c>
      <c r="Y54" s="156">
        <f>'FO HC'!Q69</f>
        <v>14766.898018835556</v>
      </c>
      <c r="Z54" s="156">
        <f>'FO HC'!R69</f>
        <v>14766.898018835556</v>
      </c>
      <c r="AA54" s="156">
        <f>'FO HC'!S69</f>
        <v>14766.898018835556</v>
      </c>
      <c r="AB54" s="156">
        <f>'FO HC'!T69</f>
        <v>14766.898018835556</v>
      </c>
      <c r="AC54" s="156">
        <f>'FO HC'!U69</f>
        <v>14766.898018835556</v>
      </c>
      <c r="AD54" s="156">
        <f>'FO HC'!V69</f>
        <v>15209.904959400623</v>
      </c>
      <c r="AE54" s="156">
        <f>'FO HC'!W69</f>
        <v>15209.904959400623</v>
      </c>
      <c r="AF54" s="156">
        <f>'FO HC'!X69</f>
        <v>15209.904959400623</v>
      </c>
      <c r="AG54" s="84">
        <f>SUM(U54:AF54)</f>
        <v>178531.79704772183</v>
      </c>
      <c r="AH54" s="105" t="str">
        <f>IFERROR(AG54/AG$16,"")</f>
        <v/>
      </c>
      <c r="AJ54" s="84">
        <f>N54-AG54</f>
        <v>-835.63704772182973</v>
      </c>
    </row>
    <row r="55" spans="1:36" x14ac:dyDescent="0.3">
      <c r="A55" s="118" t="s">
        <v>141</v>
      </c>
      <c r="B55" s="110">
        <f t="shared" ref="B55:M55" si="32">SUM(B52:B54)</f>
        <v>76176.320000000007</v>
      </c>
      <c r="C55" s="110">
        <f t="shared" si="32"/>
        <v>51941.619999999995</v>
      </c>
      <c r="D55" s="110">
        <f t="shared" si="32"/>
        <v>68863.38</v>
      </c>
      <c r="E55" s="110">
        <f t="shared" si="32"/>
        <v>94848.3</v>
      </c>
      <c r="F55" s="110">
        <f t="shared" si="32"/>
        <v>89809.27</v>
      </c>
      <c r="G55" s="110">
        <f t="shared" si="32"/>
        <v>85429.65</v>
      </c>
      <c r="H55" s="110">
        <f t="shared" si="32"/>
        <v>100726.61000000002</v>
      </c>
      <c r="I55" s="110">
        <f t="shared" si="32"/>
        <v>102632.58</v>
      </c>
      <c r="J55" s="110">
        <f t="shared" si="32"/>
        <v>106650</v>
      </c>
      <c r="K55" s="110">
        <f t="shared" si="32"/>
        <v>109850</v>
      </c>
      <c r="L55" s="110">
        <f t="shared" si="32"/>
        <v>113523</v>
      </c>
      <c r="M55" s="110">
        <f t="shared" si="32"/>
        <v>114827</v>
      </c>
      <c r="N55" s="110">
        <f>SUM(B55:M55)</f>
        <v>1115277.73</v>
      </c>
      <c r="O55" s="111" t="str">
        <f>IFERROR(N55/N$16,"")</f>
        <v/>
      </c>
      <c r="P55" s="84"/>
      <c r="Q55" s="84"/>
      <c r="R55" s="180"/>
      <c r="S55" s="180"/>
      <c r="T55" s="180"/>
      <c r="U55" s="110">
        <f t="shared" ref="U55:AF55" si="33">SUM(U52:U54)</f>
        <v>110942.72470317263</v>
      </c>
      <c r="V55" s="110">
        <f t="shared" si="33"/>
        <v>110942.72470317263</v>
      </c>
      <c r="W55" s="110">
        <f t="shared" si="33"/>
        <v>110942.72470317263</v>
      </c>
      <c r="X55" s="110">
        <f t="shared" si="33"/>
        <v>110942.72470317263</v>
      </c>
      <c r="Y55" s="110">
        <f t="shared" si="33"/>
        <v>110942.72470317263</v>
      </c>
      <c r="Z55" s="110">
        <f t="shared" si="33"/>
        <v>110942.72470317263</v>
      </c>
      <c r="AA55" s="110">
        <f t="shared" si="33"/>
        <v>110942.72470317263</v>
      </c>
      <c r="AB55" s="110">
        <f t="shared" si="33"/>
        <v>110942.72470317263</v>
      </c>
      <c r="AC55" s="110">
        <f t="shared" si="33"/>
        <v>110942.72470317263</v>
      </c>
      <c r="AD55" s="110">
        <f t="shared" si="33"/>
        <v>114271.0064442678</v>
      </c>
      <c r="AE55" s="110">
        <f t="shared" si="33"/>
        <v>114271.0064442678</v>
      </c>
      <c r="AF55" s="110">
        <f t="shared" si="33"/>
        <v>114271.0064442678</v>
      </c>
      <c r="AG55" s="110">
        <f>SUM(U55:AF55)</f>
        <v>1341297.541661357</v>
      </c>
      <c r="AH55" s="111" t="str">
        <f>IFERROR(AG55/AG$16,"")</f>
        <v/>
      </c>
      <c r="AJ55" s="110">
        <f>N55-AG55</f>
        <v>-226019.81166135706</v>
      </c>
    </row>
    <row r="56" spans="1:36" x14ac:dyDescent="0.3">
      <c r="A56" s="109" t="s">
        <v>142</v>
      </c>
      <c r="B56" s="110">
        <f t="shared" ref="B56:M56" si="34">B44+B45+B46+B47+B48+B49+B50+B55</f>
        <v>99607.25</v>
      </c>
      <c r="C56" s="110">
        <f t="shared" si="34"/>
        <v>63609.53</v>
      </c>
      <c r="D56" s="110">
        <f t="shared" si="34"/>
        <v>136209.03999999998</v>
      </c>
      <c r="E56" s="110">
        <f t="shared" si="34"/>
        <v>116902.58</v>
      </c>
      <c r="F56" s="110">
        <f t="shared" si="34"/>
        <v>153529.08000000002</v>
      </c>
      <c r="G56" s="110">
        <f t="shared" si="34"/>
        <v>129537.07</v>
      </c>
      <c r="H56" s="110">
        <f t="shared" si="34"/>
        <v>141954.16</v>
      </c>
      <c r="I56" s="110">
        <f t="shared" si="34"/>
        <v>131016.63</v>
      </c>
      <c r="J56" s="110">
        <f t="shared" si="34"/>
        <v>190400</v>
      </c>
      <c r="K56" s="110">
        <f t="shared" si="34"/>
        <v>197770</v>
      </c>
      <c r="L56" s="110">
        <f t="shared" si="34"/>
        <v>206613</v>
      </c>
      <c r="M56" s="110">
        <f t="shared" si="34"/>
        <v>212087</v>
      </c>
      <c r="N56" s="110">
        <f>SUM(B56:M56)</f>
        <v>1779235.34</v>
      </c>
      <c r="O56" s="111" t="str">
        <f>IFERROR(N56/N$16,"")</f>
        <v/>
      </c>
      <c r="P56" s="84"/>
      <c r="Q56" s="84"/>
      <c r="R56" s="112"/>
      <c r="S56" s="112"/>
      <c r="T56" s="112"/>
      <c r="U56" s="110">
        <f t="shared" ref="U56:AF56" si="35">U44+U45+U46+U47+U48+U49+U50+U55</f>
        <v>110942.72470317263</v>
      </c>
      <c r="V56" s="110">
        <f t="shared" si="35"/>
        <v>110942.72470317263</v>
      </c>
      <c r="W56" s="110">
        <f t="shared" si="35"/>
        <v>110942.72470317263</v>
      </c>
      <c r="X56" s="110">
        <f t="shared" si="35"/>
        <v>110942.72470317263</v>
      </c>
      <c r="Y56" s="110">
        <f t="shared" si="35"/>
        <v>110942.72470317263</v>
      </c>
      <c r="Z56" s="110">
        <f t="shared" si="35"/>
        <v>110942.72470317263</v>
      </c>
      <c r="AA56" s="110">
        <f t="shared" si="35"/>
        <v>110942.72470317263</v>
      </c>
      <c r="AB56" s="110">
        <f t="shared" si="35"/>
        <v>110942.72470317263</v>
      </c>
      <c r="AC56" s="110">
        <f t="shared" si="35"/>
        <v>110942.72470317263</v>
      </c>
      <c r="AD56" s="110">
        <f t="shared" si="35"/>
        <v>114271.0064442678</v>
      </c>
      <c r="AE56" s="110">
        <f t="shared" si="35"/>
        <v>114271.0064442678</v>
      </c>
      <c r="AF56" s="110">
        <f t="shared" si="35"/>
        <v>114271.0064442678</v>
      </c>
      <c r="AG56" s="110">
        <f>SUM(U56:AF56)</f>
        <v>1341297.541661357</v>
      </c>
      <c r="AH56" s="111" t="str">
        <f>IFERROR(AG56/AG$16,"")</f>
        <v/>
      </c>
      <c r="AJ56" s="110">
        <f>N56-AG56</f>
        <v>437937.79833864304</v>
      </c>
    </row>
    <row r="57" spans="1:36" x14ac:dyDescent="0.3">
      <c r="A57" s="102" t="s">
        <v>143</v>
      </c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105"/>
      <c r="P57" s="84"/>
      <c r="Q57" s="84"/>
      <c r="R57" s="112"/>
      <c r="S57" s="112"/>
      <c r="T57" s="112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105"/>
      <c r="AJ57" s="84"/>
    </row>
    <row r="58" spans="1:36" x14ac:dyDescent="0.3">
      <c r="A58" s="103" t="s">
        <v>144</v>
      </c>
      <c r="B58" s="84">
        <f>IFERROR(SUMIF([2]Jan26A!$A:$A,$A58,INDEX([2]Jan26A!$A:$N,0,MATCH($A$1,[2]Jan26A!$A$7:$N$7,0))),0)</f>
        <v>10955.85</v>
      </c>
      <c r="C58" s="84">
        <f>IFERROR(SUMIF([2]Feb26A!$A:$A,$A58,INDEX([2]Feb26A!$A:$N,0,MATCH($A$1,[2]Feb26A!$A$7:$N$7,0))),0)</f>
        <v>11156.17</v>
      </c>
      <c r="D58" s="84">
        <f>IFERROR(SUMIF([2]Mar26A!$A:$A,$A58,INDEX([2]Mar26A!$A:$N,0,MATCH($A$1,[2]Mar26A!$A$7:$N$7,0))),0)</f>
        <v>11961.24</v>
      </c>
      <c r="E58" s="84">
        <f>IFERROR(SUMIF([2]Apr26A!$A:$A,$A58,INDEX([2]Apr26A!$A:$N,0,MATCH($A$1,[2]Apr26A!$A$7:$N$7,0))),0)</f>
        <v>7055.46</v>
      </c>
      <c r="F58" s="84">
        <f>IFERROR(SUMIF([2]May26A!$A:$A,$A58,INDEX([2]May26A!$A:$N,0,MATCH($A$1,[2]May26A!$A$7:$N$7,0))),0)</f>
        <v>12334.88</v>
      </c>
      <c r="G58" s="84">
        <f>IFERROR(SUMIF([2]Jun26A!$A:$A,$A58,INDEX([2]Jun26A!$A:$N,0,MATCH($A$1,[2]Jun26A!$A$7:$N$7,0))),0)</f>
        <v>13838.18</v>
      </c>
      <c r="H58" s="84">
        <f>IFERROR(SUMIF([2]Jul26A!$A:$A,$A58,INDEX([2]Jul26A!$A:$N,0,MATCH($A$1,[2]Jul26A!$A$7:$N$7,0))),0)</f>
        <v>17445.88</v>
      </c>
      <c r="I58" s="84">
        <f>IFERROR(SUMIF([2]Aug26A!$A:$A,$A58,INDEX([2]Aug26A!$A:$N,0,MATCH($A$1,[2]Aug26A!$A$7:$N$7,0))),0)</f>
        <v>13679.97</v>
      </c>
      <c r="J58" s="117">
        <v>5208</v>
      </c>
      <c r="K58" s="117">
        <v>5208</v>
      </c>
      <c r="L58" s="117">
        <v>5208</v>
      </c>
      <c r="M58" s="117">
        <v>5208</v>
      </c>
      <c r="N58" s="84">
        <f t="shared" ref="N58:N64" si="36">SUM(B58:M58)</f>
        <v>119259.63</v>
      </c>
      <c r="O58" s="105" t="str">
        <f t="shared" ref="O58:O64" si="37">IFERROR(N58/N$16,"")</f>
        <v/>
      </c>
      <c r="P58" s="84"/>
      <c r="Q58" s="84"/>
      <c r="R58" s="106" t="s">
        <v>99</v>
      </c>
      <c r="S58" s="107">
        <v>0</v>
      </c>
      <c r="T58" s="108">
        <v>0.05</v>
      </c>
      <c r="U58" s="104">
        <f t="shared" ref="U58:AF60" si="38">IF($R58="Manual","",IFERROR(IF($R58="YOY Growth",$N58*(1+$T58)/12,$S58/12),""))</f>
        <v>0</v>
      </c>
      <c r="V58" s="104">
        <f t="shared" si="38"/>
        <v>0</v>
      </c>
      <c r="W58" s="104">
        <f t="shared" si="38"/>
        <v>0</v>
      </c>
      <c r="X58" s="104">
        <f t="shared" si="38"/>
        <v>0</v>
      </c>
      <c r="Y58" s="104">
        <f t="shared" si="38"/>
        <v>0</v>
      </c>
      <c r="Z58" s="104">
        <f t="shared" si="38"/>
        <v>0</v>
      </c>
      <c r="AA58" s="104">
        <f t="shared" si="38"/>
        <v>0</v>
      </c>
      <c r="AB58" s="104">
        <f t="shared" si="38"/>
        <v>0</v>
      </c>
      <c r="AC58" s="104">
        <f t="shared" si="38"/>
        <v>0</v>
      </c>
      <c r="AD58" s="104">
        <f t="shared" si="38"/>
        <v>0</v>
      </c>
      <c r="AE58" s="104">
        <f t="shared" si="38"/>
        <v>0</v>
      </c>
      <c r="AF58" s="104">
        <f t="shared" si="38"/>
        <v>0</v>
      </c>
      <c r="AG58" s="84">
        <f t="shared" ref="AG58:AG64" si="39">SUM(U58:AF58)</f>
        <v>0</v>
      </c>
      <c r="AH58" s="105" t="str">
        <f t="shared" ref="AH58:AH64" si="40">IFERROR(AG58/AG$16,"")</f>
        <v/>
      </c>
      <c r="AJ58" s="84">
        <f t="shared" ref="AJ58:AJ63" si="41">N58-AG58</f>
        <v>119259.63</v>
      </c>
    </row>
    <row r="59" spans="1:36" x14ac:dyDescent="0.3">
      <c r="A59" s="103" t="s">
        <v>145</v>
      </c>
      <c r="B59" s="84">
        <f>IFERROR(SUMIF([2]Jan26A!$A:$A,$A59,INDEX([2]Jan26A!$A:$N,0,MATCH($A$1,[2]Jan26A!$A$7:$N$7,0))),0)</f>
        <v>0</v>
      </c>
      <c r="C59" s="84">
        <f>IFERROR(SUMIF([2]Feb26A!$A:$A,$A59,INDEX([2]Feb26A!$A:$N,0,MATCH($A$1,[2]Feb26A!$A$7:$N$7,0))),0)</f>
        <v>0</v>
      </c>
      <c r="D59" s="84">
        <f>IFERROR(SUMIF([2]Mar26A!$A:$A,$A59,INDEX([2]Mar26A!$A:$N,0,MATCH($A$1,[2]Mar26A!$A$7:$N$7,0))),0)</f>
        <v>0</v>
      </c>
      <c r="E59" s="84">
        <f>IFERROR(SUMIF([2]Apr26A!$A:$A,$A59,INDEX([2]Apr26A!$A:$N,0,MATCH($A$1,[2]Apr26A!$A$7:$N$7,0))),0)</f>
        <v>0</v>
      </c>
      <c r="F59" s="84">
        <f>IFERROR(SUMIF([2]May26A!$A:$A,$A59,INDEX([2]May26A!$A:$N,0,MATCH($A$1,[2]May26A!$A$7:$N$7,0))),0)</f>
        <v>0</v>
      </c>
      <c r="G59" s="84">
        <f>IFERROR(SUMIF([2]Jun26A!$A:$A,$A59,INDEX([2]Jun26A!$A:$N,0,MATCH($A$1,[2]Jun26A!$A$7:$N$7,0))),0)</f>
        <v>0</v>
      </c>
      <c r="H59" s="84">
        <f>IFERROR(SUMIF([2]Jul26A!$A:$A,$A59,INDEX([2]Jul26A!$A:$N,0,MATCH($A$1,[2]Jul26A!$A$7:$N$7,0))),0)</f>
        <v>1861.34</v>
      </c>
      <c r="I59" s="84">
        <f>IFERROR(SUMIF([2]Aug26A!$A:$A,$A59,INDEX([2]Aug26A!$A:$N,0,MATCH($A$1,[2]Aug26A!$A$7:$N$7,0))),0)</f>
        <v>0</v>
      </c>
      <c r="J59" s="117">
        <v>0</v>
      </c>
      <c r="K59" s="117">
        <v>0</v>
      </c>
      <c r="L59" s="117">
        <v>0</v>
      </c>
      <c r="M59" s="117">
        <v>0</v>
      </c>
      <c r="N59" s="84">
        <f t="shared" si="36"/>
        <v>1861.34</v>
      </c>
      <c r="O59" s="105" t="str">
        <f t="shared" si="37"/>
        <v/>
      </c>
      <c r="P59" s="84"/>
      <c r="Q59" s="84"/>
      <c r="R59" s="106" t="s">
        <v>99</v>
      </c>
      <c r="S59" s="107">
        <v>0</v>
      </c>
      <c r="T59" s="108">
        <v>0.05</v>
      </c>
      <c r="U59" s="104">
        <f t="shared" si="38"/>
        <v>0</v>
      </c>
      <c r="V59" s="104">
        <f t="shared" si="38"/>
        <v>0</v>
      </c>
      <c r="W59" s="104">
        <f t="shared" si="38"/>
        <v>0</v>
      </c>
      <c r="X59" s="104">
        <f t="shared" si="38"/>
        <v>0</v>
      </c>
      <c r="Y59" s="104">
        <f t="shared" si="38"/>
        <v>0</v>
      </c>
      <c r="Z59" s="104">
        <f t="shared" si="38"/>
        <v>0</v>
      </c>
      <c r="AA59" s="104">
        <f t="shared" si="38"/>
        <v>0</v>
      </c>
      <c r="AB59" s="104">
        <f t="shared" si="38"/>
        <v>0</v>
      </c>
      <c r="AC59" s="104">
        <f t="shared" si="38"/>
        <v>0</v>
      </c>
      <c r="AD59" s="104">
        <f t="shared" si="38"/>
        <v>0</v>
      </c>
      <c r="AE59" s="104">
        <f t="shared" si="38"/>
        <v>0</v>
      </c>
      <c r="AF59" s="104">
        <f t="shared" si="38"/>
        <v>0</v>
      </c>
      <c r="AG59" s="84">
        <f t="shared" si="39"/>
        <v>0</v>
      </c>
      <c r="AH59" s="105" t="str">
        <f t="shared" si="40"/>
        <v/>
      </c>
      <c r="AJ59" s="84">
        <f t="shared" si="41"/>
        <v>1861.34</v>
      </c>
    </row>
    <row r="60" spans="1:36" x14ac:dyDescent="0.3">
      <c r="A60" s="103" t="s">
        <v>146</v>
      </c>
      <c r="B60" s="84">
        <f>IFERROR(SUMIF([2]Jan26A!$A:$A,$A60,INDEX([2]Jan26A!$A:$N,0,MATCH($A$1,[2]Jan26A!$A$7:$N$7,0))),0)</f>
        <v>0</v>
      </c>
      <c r="C60" s="84">
        <f>IFERROR(SUMIF([2]Feb26A!$A:$A,$A60,INDEX([2]Feb26A!$A:$N,0,MATCH($A$1,[2]Feb26A!$A$7:$N$7,0))),0)</f>
        <v>47.22</v>
      </c>
      <c r="D60" s="84">
        <f>IFERROR(SUMIF([2]Mar26A!$A:$A,$A60,INDEX([2]Mar26A!$A:$N,0,MATCH($A$1,[2]Mar26A!$A$7:$N$7,0))),0)</f>
        <v>0</v>
      </c>
      <c r="E60" s="84">
        <f>IFERROR(SUMIF([2]Apr26A!$A:$A,$A60,INDEX([2]Apr26A!$A:$N,0,MATCH($A$1,[2]Apr26A!$A$7:$N$7,0))),0)</f>
        <v>0</v>
      </c>
      <c r="F60" s="84">
        <f>IFERROR(SUMIF([2]May26A!$A:$A,$A60,INDEX([2]May26A!$A:$N,0,MATCH($A$1,[2]May26A!$A$7:$N$7,0))),0)</f>
        <v>0</v>
      </c>
      <c r="G60" s="84">
        <f>IFERROR(SUMIF([2]Jun26A!$A:$A,$A60,INDEX([2]Jun26A!$A:$N,0,MATCH($A$1,[2]Jun26A!$A$7:$N$7,0))),0)</f>
        <v>0</v>
      </c>
      <c r="H60" s="84">
        <f>IFERROR(SUMIF([2]Jul26A!$A:$A,$A60,INDEX([2]Jul26A!$A:$N,0,MATCH($A$1,[2]Jul26A!$A$7:$N$7,0))),0)</f>
        <v>0</v>
      </c>
      <c r="I60" s="84">
        <f>IFERROR(SUMIF([2]Aug26A!$A:$A,$A60,INDEX([2]Aug26A!$A:$N,0,MATCH($A$1,[2]Aug26A!$A$7:$N$7,0))),0)</f>
        <v>0</v>
      </c>
      <c r="J60" s="117">
        <v>0</v>
      </c>
      <c r="K60" s="117">
        <v>0</v>
      </c>
      <c r="L60" s="117">
        <v>0</v>
      </c>
      <c r="M60" s="117">
        <v>0</v>
      </c>
      <c r="N60" s="84">
        <f t="shared" si="36"/>
        <v>47.22</v>
      </c>
      <c r="O60" s="105" t="str">
        <f t="shared" si="37"/>
        <v/>
      </c>
      <c r="P60" s="84"/>
      <c r="Q60" s="84"/>
      <c r="R60" s="106" t="s">
        <v>99</v>
      </c>
      <c r="S60" s="107">
        <v>0</v>
      </c>
      <c r="T60" s="108">
        <v>0.05</v>
      </c>
      <c r="U60" s="104">
        <f t="shared" si="38"/>
        <v>0</v>
      </c>
      <c r="V60" s="104">
        <f t="shared" si="38"/>
        <v>0</v>
      </c>
      <c r="W60" s="104">
        <f t="shared" si="38"/>
        <v>0</v>
      </c>
      <c r="X60" s="104">
        <f t="shared" si="38"/>
        <v>0</v>
      </c>
      <c r="Y60" s="104">
        <f t="shared" si="38"/>
        <v>0</v>
      </c>
      <c r="Z60" s="104">
        <f t="shared" si="38"/>
        <v>0</v>
      </c>
      <c r="AA60" s="104">
        <f t="shared" si="38"/>
        <v>0</v>
      </c>
      <c r="AB60" s="104">
        <f t="shared" si="38"/>
        <v>0</v>
      </c>
      <c r="AC60" s="104">
        <f t="shared" si="38"/>
        <v>0</v>
      </c>
      <c r="AD60" s="104">
        <f t="shared" si="38"/>
        <v>0</v>
      </c>
      <c r="AE60" s="104">
        <f t="shared" si="38"/>
        <v>0</v>
      </c>
      <c r="AF60" s="104">
        <f t="shared" si="38"/>
        <v>0</v>
      </c>
      <c r="AG60" s="84">
        <f t="shared" si="39"/>
        <v>0</v>
      </c>
      <c r="AH60" s="105" t="str">
        <f t="shared" si="40"/>
        <v/>
      </c>
      <c r="AJ60" s="84">
        <f t="shared" si="41"/>
        <v>47.22</v>
      </c>
    </row>
    <row r="61" spans="1:36" x14ac:dyDescent="0.3">
      <c r="A61" s="109" t="s">
        <v>147</v>
      </c>
      <c r="B61" s="119">
        <f t="shared" ref="B61:M61" si="42">SUM(B58:B60)</f>
        <v>10955.85</v>
      </c>
      <c r="C61" s="119">
        <f t="shared" si="42"/>
        <v>11203.39</v>
      </c>
      <c r="D61" s="119">
        <f t="shared" si="42"/>
        <v>11961.24</v>
      </c>
      <c r="E61" s="119">
        <f t="shared" si="42"/>
        <v>7055.46</v>
      </c>
      <c r="F61" s="119">
        <f t="shared" si="42"/>
        <v>12334.88</v>
      </c>
      <c r="G61" s="119">
        <f t="shared" si="42"/>
        <v>13838.18</v>
      </c>
      <c r="H61" s="119">
        <f t="shared" si="42"/>
        <v>19307.22</v>
      </c>
      <c r="I61" s="119">
        <f t="shared" si="42"/>
        <v>13679.97</v>
      </c>
      <c r="J61" s="119">
        <f t="shared" si="42"/>
        <v>5208</v>
      </c>
      <c r="K61" s="119">
        <f t="shared" si="42"/>
        <v>5208</v>
      </c>
      <c r="L61" s="119">
        <f t="shared" si="42"/>
        <v>5208</v>
      </c>
      <c r="M61" s="119">
        <f t="shared" si="42"/>
        <v>5208</v>
      </c>
      <c r="N61" s="119">
        <f t="shared" si="36"/>
        <v>121168.19</v>
      </c>
      <c r="O61" s="120" t="str">
        <f t="shared" si="37"/>
        <v/>
      </c>
      <c r="P61" s="84"/>
      <c r="Q61" s="84"/>
      <c r="R61" s="112"/>
      <c r="S61" s="112"/>
      <c r="T61" s="112"/>
      <c r="U61" s="119">
        <f t="shared" ref="U61:AF61" si="43">SUM(U58:U60)</f>
        <v>0</v>
      </c>
      <c r="V61" s="119">
        <f t="shared" si="43"/>
        <v>0</v>
      </c>
      <c r="W61" s="119">
        <f t="shared" si="43"/>
        <v>0</v>
      </c>
      <c r="X61" s="119">
        <f t="shared" si="43"/>
        <v>0</v>
      </c>
      <c r="Y61" s="119">
        <f t="shared" si="43"/>
        <v>0</v>
      </c>
      <c r="Z61" s="119">
        <f t="shared" si="43"/>
        <v>0</v>
      </c>
      <c r="AA61" s="119">
        <f t="shared" si="43"/>
        <v>0</v>
      </c>
      <c r="AB61" s="119">
        <f t="shared" si="43"/>
        <v>0</v>
      </c>
      <c r="AC61" s="119">
        <f t="shared" si="43"/>
        <v>0</v>
      </c>
      <c r="AD61" s="119">
        <f t="shared" si="43"/>
        <v>0</v>
      </c>
      <c r="AE61" s="119">
        <f t="shared" si="43"/>
        <v>0</v>
      </c>
      <c r="AF61" s="119">
        <f t="shared" si="43"/>
        <v>0</v>
      </c>
      <c r="AG61" s="119">
        <f t="shared" si="39"/>
        <v>0</v>
      </c>
      <c r="AH61" s="120" t="str">
        <f t="shared" si="40"/>
        <v/>
      </c>
      <c r="AJ61" s="110">
        <f t="shared" si="41"/>
        <v>121168.19</v>
      </c>
    </row>
    <row r="62" spans="1:36" x14ac:dyDescent="0.3">
      <c r="A62" s="161" t="s">
        <v>148</v>
      </c>
      <c r="B62" s="84">
        <f>IFERROR(SUMIF([2]Jan26A!$A:$A,$A62,INDEX([2]Jan26A!$A:$N,0,MATCH($A$1,[2]Jan26A!$A$7:$N$7,0))),0)</f>
        <v>0</v>
      </c>
      <c r="C62" s="84">
        <f>IFERROR(SUMIF([2]Feb26A!$A:$A,$A62,INDEX([2]Feb26A!$A:$N,0,MATCH($A$1,[2]Feb26A!$A$7:$N$7,0))),0)</f>
        <v>0</v>
      </c>
      <c r="D62" s="84">
        <f>IFERROR(SUMIF([2]Mar26A!$A:$A,$A62,INDEX([2]Mar26A!$A:$N,0,MATCH($A$1,[2]Mar26A!$A$7:$N$7,0))),0)</f>
        <v>0</v>
      </c>
      <c r="E62" s="84">
        <f>IFERROR(SUMIF([2]Apr26A!$A:$A,$A62,INDEX([2]Apr26A!$A:$N,0,MATCH($A$1,[2]Apr26A!$A$7:$N$7,0))),0)</f>
        <v>0</v>
      </c>
      <c r="F62" s="84">
        <f>IFERROR(SUMIF([2]May26A!$A:$A,$A62,INDEX([2]May26A!$A:$N,0,MATCH($A$1,[2]May26A!$A$7:$N$7,0))),0)</f>
        <v>0</v>
      </c>
      <c r="G62" s="84">
        <f>IFERROR(SUMIF([2]Jun26A!$A:$A,$A62,INDEX([2]Jun26A!$A:$N,0,MATCH($A$1,[2]Jun26A!$A$7:$N$7,0))),0)</f>
        <v>0</v>
      </c>
      <c r="H62" s="84">
        <f>IFERROR(SUMIF([2]Jul26A!$A:$A,$A62,INDEX([2]Jul26A!$A:$N,0,MATCH($A$1,[2]Jul26A!$A$7:$N$7,0))),0)</f>
        <v>0</v>
      </c>
      <c r="I62" s="84">
        <f>IFERROR(SUMIF([2]Aug26A!$A:$A,$A62,INDEX([2]Aug26A!$A:$N,0,MATCH($A$1,[2]Aug26A!$A$7:$N$7,0))),0)</f>
        <v>0</v>
      </c>
      <c r="J62" s="117">
        <v>0</v>
      </c>
      <c r="K62" s="117">
        <v>0</v>
      </c>
      <c r="L62" s="117">
        <v>0</v>
      </c>
      <c r="M62" s="117">
        <v>0</v>
      </c>
      <c r="N62" s="84">
        <f t="shared" si="36"/>
        <v>0</v>
      </c>
      <c r="O62" s="105" t="str">
        <f t="shared" si="37"/>
        <v/>
      </c>
      <c r="P62" s="84"/>
      <c r="Q62" s="84"/>
      <c r="R62" s="106" t="s">
        <v>99</v>
      </c>
      <c r="S62" s="107">
        <v>0</v>
      </c>
      <c r="T62" s="108">
        <v>0.05</v>
      </c>
      <c r="U62" s="104">
        <f t="shared" ref="U62:AF62" si="44">IF($R62="Manual","",IFERROR(IF($R62="YOY Growth",$N62*(1+$T62)/12,$S62/12),""))</f>
        <v>0</v>
      </c>
      <c r="V62" s="104">
        <f t="shared" si="44"/>
        <v>0</v>
      </c>
      <c r="W62" s="104">
        <f t="shared" si="44"/>
        <v>0</v>
      </c>
      <c r="X62" s="104">
        <f t="shared" si="44"/>
        <v>0</v>
      </c>
      <c r="Y62" s="104">
        <f t="shared" si="44"/>
        <v>0</v>
      </c>
      <c r="Z62" s="104">
        <f t="shared" si="44"/>
        <v>0</v>
      </c>
      <c r="AA62" s="104">
        <f t="shared" si="44"/>
        <v>0</v>
      </c>
      <c r="AB62" s="104">
        <f t="shared" si="44"/>
        <v>0</v>
      </c>
      <c r="AC62" s="104">
        <f t="shared" si="44"/>
        <v>0</v>
      </c>
      <c r="AD62" s="104">
        <f t="shared" si="44"/>
        <v>0</v>
      </c>
      <c r="AE62" s="104">
        <f t="shared" si="44"/>
        <v>0</v>
      </c>
      <c r="AF62" s="104">
        <f t="shared" si="44"/>
        <v>0</v>
      </c>
      <c r="AG62" s="84">
        <f t="shared" si="39"/>
        <v>0</v>
      </c>
      <c r="AH62" s="105" t="str">
        <f t="shared" si="40"/>
        <v/>
      </c>
      <c r="AJ62" s="84">
        <f t="shared" si="41"/>
        <v>0</v>
      </c>
    </row>
    <row r="63" spans="1:36" x14ac:dyDescent="0.3">
      <c r="A63" s="114" t="s">
        <v>149</v>
      </c>
      <c r="B63" s="110">
        <f>B37+B38+B39+B40+B41+B42+B56+B61+B62</f>
        <v>117939.1</v>
      </c>
      <c r="C63" s="110">
        <f t="shared" ref="C63:M63" si="45">C37+C38+C39+C40+C41+C42+C56+C61+C62</f>
        <v>80664.569999999992</v>
      </c>
      <c r="D63" s="110">
        <f t="shared" si="45"/>
        <v>152476.59999999998</v>
      </c>
      <c r="E63" s="110">
        <f t="shared" si="45"/>
        <v>131909.94</v>
      </c>
      <c r="F63" s="110">
        <f t="shared" si="45"/>
        <v>165943.43000000002</v>
      </c>
      <c r="G63" s="110">
        <f t="shared" si="45"/>
        <v>143165.51</v>
      </c>
      <c r="H63" s="110">
        <f t="shared" si="45"/>
        <v>162290.72</v>
      </c>
      <c r="I63" s="110">
        <f t="shared" si="45"/>
        <v>150488.42000000001</v>
      </c>
      <c r="J63" s="110">
        <f t="shared" si="45"/>
        <v>210608</v>
      </c>
      <c r="K63" s="110">
        <f t="shared" si="45"/>
        <v>212978</v>
      </c>
      <c r="L63" s="110">
        <f t="shared" si="45"/>
        <v>216821</v>
      </c>
      <c r="M63" s="110">
        <f t="shared" si="45"/>
        <v>222295</v>
      </c>
      <c r="N63" s="110">
        <f>SUM(B63:M63)</f>
        <v>1967580.29</v>
      </c>
      <c r="O63" s="111" t="str">
        <f>IFERROR(N63/N$16,"")</f>
        <v/>
      </c>
      <c r="P63" s="84"/>
      <c r="Q63" s="84"/>
      <c r="R63" s="112"/>
      <c r="S63" s="112"/>
      <c r="T63" s="112"/>
      <c r="U63" s="110">
        <f>U37+U38+U39+U40+U41+U42+U56+U61+U62</f>
        <v>110942.72470317263</v>
      </c>
      <c r="V63" s="110">
        <f t="shared" ref="V63:AF63" si="46">V37+V38+V39+V40+V41+V42+V56+V61+V62</f>
        <v>110942.72470317263</v>
      </c>
      <c r="W63" s="110">
        <f t="shared" si="46"/>
        <v>110942.72470317263</v>
      </c>
      <c r="X63" s="110">
        <f t="shared" si="46"/>
        <v>110942.72470317263</v>
      </c>
      <c r="Y63" s="110">
        <f t="shared" si="46"/>
        <v>110942.72470317263</v>
      </c>
      <c r="Z63" s="110">
        <f t="shared" si="46"/>
        <v>110942.72470317263</v>
      </c>
      <c r="AA63" s="110">
        <f t="shared" si="46"/>
        <v>110942.72470317263</v>
      </c>
      <c r="AB63" s="110">
        <f t="shared" si="46"/>
        <v>110942.72470317263</v>
      </c>
      <c r="AC63" s="110">
        <f t="shared" si="46"/>
        <v>110942.72470317263</v>
      </c>
      <c r="AD63" s="110">
        <f t="shared" si="46"/>
        <v>114271.0064442678</v>
      </c>
      <c r="AE63" s="110">
        <f t="shared" si="46"/>
        <v>114271.0064442678</v>
      </c>
      <c r="AF63" s="110">
        <f t="shared" si="46"/>
        <v>114271.0064442678</v>
      </c>
      <c r="AG63" s="110">
        <f>SUM(U63:AF63)</f>
        <v>1341297.541661357</v>
      </c>
      <c r="AH63" s="111" t="str">
        <f>IFERROR(AG63/AG$16,"")</f>
        <v/>
      </c>
      <c r="AJ63" s="110">
        <f t="shared" si="41"/>
        <v>626282.748338643</v>
      </c>
    </row>
    <row r="64" spans="1:36" x14ac:dyDescent="0.3">
      <c r="A64" s="121" t="s">
        <v>150</v>
      </c>
      <c r="B64" s="110">
        <f t="shared" ref="B64:M64" si="47">B16-B63</f>
        <v>-117939.1</v>
      </c>
      <c r="C64" s="110">
        <f t="shared" si="47"/>
        <v>-80664.569999999992</v>
      </c>
      <c r="D64" s="110">
        <f t="shared" si="47"/>
        <v>-152476.59999999998</v>
      </c>
      <c r="E64" s="110">
        <f t="shared" si="47"/>
        <v>-131909.94</v>
      </c>
      <c r="F64" s="110">
        <f t="shared" si="47"/>
        <v>-165943.43000000002</v>
      </c>
      <c r="G64" s="110">
        <f t="shared" si="47"/>
        <v>-143165.51</v>
      </c>
      <c r="H64" s="110">
        <f t="shared" si="47"/>
        <v>-162290.72</v>
      </c>
      <c r="I64" s="110">
        <f t="shared" si="47"/>
        <v>-150488.42000000001</v>
      </c>
      <c r="J64" s="110">
        <f t="shared" si="47"/>
        <v>-210608</v>
      </c>
      <c r="K64" s="110">
        <f t="shared" si="47"/>
        <v>-212978</v>
      </c>
      <c r="L64" s="110">
        <f t="shared" si="47"/>
        <v>-216821</v>
      </c>
      <c r="M64" s="110">
        <f t="shared" si="47"/>
        <v>-222295</v>
      </c>
      <c r="N64" s="110">
        <f t="shared" si="36"/>
        <v>-1967580.29</v>
      </c>
      <c r="O64" s="111" t="str">
        <f t="shared" si="37"/>
        <v/>
      </c>
      <c r="P64" s="84"/>
      <c r="Q64" s="84"/>
      <c r="R64" s="112"/>
      <c r="S64" s="112"/>
      <c r="T64" s="112"/>
      <c r="U64" s="110">
        <f t="shared" ref="U64:AF64" si="48">U16-U63</f>
        <v>-110942.72470317263</v>
      </c>
      <c r="V64" s="110">
        <f t="shared" si="48"/>
        <v>-110942.72470317263</v>
      </c>
      <c r="W64" s="110">
        <f t="shared" si="48"/>
        <v>-110942.72470317263</v>
      </c>
      <c r="X64" s="110">
        <f t="shared" si="48"/>
        <v>-110942.72470317263</v>
      </c>
      <c r="Y64" s="110">
        <f t="shared" si="48"/>
        <v>-110942.72470317263</v>
      </c>
      <c r="Z64" s="110">
        <f t="shared" si="48"/>
        <v>-110942.72470317263</v>
      </c>
      <c r="AA64" s="110">
        <f t="shared" si="48"/>
        <v>-110942.72470317263</v>
      </c>
      <c r="AB64" s="110">
        <f t="shared" si="48"/>
        <v>-110942.72470317263</v>
      </c>
      <c r="AC64" s="110">
        <f t="shared" si="48"/>
        <v>-110942.72470317263</v>
      </c>
      <c r="AD64" s="110">
        <f t="shared" si="48"/>
        <v>-114271.0064442678</v>
      </c>
      <c r="AE64" s="110">
        <f t="shared" si="48"/>
        <v>-114271.0064442678</v>
      </c>
      <c r="AF64" s="110">
        <f t="shared" si="48"/>
        <v>-114271.0064442678</v>
      </c>
      <c r="AG64" s="110">
        <f t="shared" si="39"/>
        <v>-1341297.541661357</v>
      </c>
      <c r="AH64" s="111" t="str">
        <f t="shared" si="40"/>
        <v/>
      </c>
      <c r="AJ64" s="110">
        <f>AG64-N64</f>
        <v>626282.748338643</v>
      </c>
    </row>
    <row r="65" spans="1:36" x14ac:dyDescent="0.3">
      <c r="A65" s="101" t="s">
        <v>151</v>
      </c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05"/>
      <c r="P65" s="84"/>
      <c r="Q65" s="84"/>
      <c r="R65" s="112"/>
      <c r="S65" s="112"/>
      <c r="T65" s="11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05"/>
      <c r="AJ65" s="105"/>
    </row>
    <row r="66" spans="1:36" x14ac:dyDescent="0.3">
      <c r="A66" s="102" t="s">
        <v>152</v>
      </c>
      <c r="B66" s="84"/>
      <c r="C66" s="84"/>
      <c r="D66" s="84"/>
      <c r="E66" s="84"/>
      <c r="F66" s="84"/>
      <c r="G66" s="84"/>
      <c r="H66" s="84"/>
      <c r="I66" s="84"/>
      <c r="J66" s="167"/>
      <c r="K66" s="167"/>
      <c r="L66" s="167"/>
      <c r="M66" s="167"/>
      <c r="N66" s="84"/>
      <c r="O66" s="105"/>
      <c r="P66" s="84"/>
      <c r="Q66" s="84"/>
      <c r="R66" s="112"/>
      <c r="S66" s="112"/>
      <c r="T66" s="112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105"/>
      <c r="AJ66" s="84"/>
    </row>
    <row r="67" spans="1:36" x14ac:dyDescent="0.3">
      <c r="A67" s="103" t="s">
        <v>153</v>
      </c>
      <c r="B67" s="84">
        <f>IFERROR(SUMIF([2]Jan26A!$A:$A,$A67,INDEX([2]Jan26A!$A:$N,0,MATCH($A$1,[2]Jan26A!$A$7:$N$7,0))),0)</f>
        <v>28787.31</v>
      </c>
      <c r="C67" s="84">
        <f>IFERROR(SUMIF([2]Feb26A!$A:$A,$A67,INDEX([2]Feb26A!$A:$N,0,MATCH($A$1,[2]Feb26A!$A$7:$N$7,0))),0)</f>
        <v>8716.01</v>
      </c>
      <c r="D67" s="84">
        <f>IFERROR(SUMIF([2]Mar26A!$A:$A,$A67,INDEX([2]Mar26A!$A:$N,0,MATCH($A$1,[2]Mar26A!$A$7:$N$7,0))),0)</f>
        <v>13071.44</v>
      </c>
      <c r="E67" s="84">
        <f>IFERROR(SUMIF([2]Apr26A!$A:$A,$A67,INDEX([2]Apr26A!$A:$N,0,MATCH($A$1,[2]Apr26A!$A$7:$N$7,0))),0)</f>
        <v>0</v>
      </c>
      <c r="F67" s="84">
        <f>IFERROR(SUMIF([2]May26A!$A:$A,$A67,INDEX([2]May26A!$A:$N,0,MATCH($A$1,[2]May26A!$A$7:$N$7,0))),0)</f>
        <v>0</v>
      </c>
      <c r="G67" s="84">
        <f>IFERROR(SUMIF([2]Jun26A!$A:$A,$A67,INDEX([2]Jun26A!$A:$N,0,MATCH($A$1,[2]Jun26A!$A$7:$N$7,0))),0)</f>
        <v>0</v>
      </c>
      <c r="H67" s="84">
        <f>IFERROR(SUMIF([2]Jul26A!$A:$A,$A67,INDEX([2]Jul26A!$A:$N,0,MATCH($A$1,[2]Jul26A!$A$7:$N$7,0))),0)</f>
        <v>0</v>
      </c>
      <c r="I67" s="84">
        <f>IFERROR(SUMIF([2]Aug26A!$A:$A,$A67,INDEX([2]Aug26A!$A:$N,0,MATCH($A$1,[2]Aug26A!$A$7:$N$7,0))),0)</f>
        <v>0</v>
      </c>
      <c r="J67" s="117">
        <v>0</v>
      </c>
      <c r="K67" s="117">
        <v>0</v>
      </c>
      <c r="L67" s="117">
        <v>0</v>
      </c>
      <c r="M67" s="117">
        <v>0</v>
      </c>
      <c r="N67" s="84">
        <f t="shared" ref="N67:N80" si="49">SUM(B67:M67)</f>
        <v>50574.76</v>
      </c>
      <c r="O67" s="105" t="str">
        <f t="shared" ref="O67:O80" si="50">IFERROR(N67/N$16,"")</f>
        <v/>
      </c>
      <c r="P67" s="84"/>
      <c r="Q67" s="84"/>
      <c r="R67" s="112"/>
      <c r="S67" s="112"/>
      <c r="T67" s="112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84">
        <f t="shared" ref="AG67:AG80" si="51">SUM(U67:AF67)</f>
        <v>0</v>
      </c>
      <c r="AH67" s="105" t="str">
        <f t="shared" ref="AH67:AH80" si="52">IFERROR(AG67/AG$16,"")</f>
        <v/>
      </c>
      <c r="AJ67" s="84">
        <f t="shared" ref="AJ67:AJ80" si="53">N67-AG67</f>
        <v>50574.76</v>
      </c>
    </row>
    <row r="68" spans="1:36" x14ac:dyDescent="0.3">
      <c r="A68" s="103" t="s">
        <v>154</v>
      </c>
      <c r="B68" s="84">
        <f>IFERROR(SUMIF([2]Jan26A!$A:$A,$A68,INDEX([2]Jan26A!$A:$N,0,MATCH($A$1,[2]Jan26A!$A$7:$N$7,0))),0)</f>
        <v>2063.17</v>
      </c>
      <c r="C68" s="84">
        <f>IFERROR(SUMIF([2]Feb26A!$A:$A,$A68,INDEX([2]Feb26A!$A:$N,0,MATCH($A$1,[2]Feb26A!$A$7:$N$7,0))),0)</f>
        <v>0</v>
      </c>
      <c r="D68" s="84">
        <f>IFERROR(SUMIF([2]Mar26A!$A:$A,$A68,INDEX([2]Mar26A!$A:$N,0,MATCH($A$1,[2]Mar26A!$A$7:$N$7,0))),0)</f>
        <v>1025.96</v>
      </c>
      <c r="E68" s="84">
        <f>IFERROR(SUMIF([2]Apr26A!$A:$A,$A68,INDEX([2]Apr26A!$A:$N,0,MATCH($A$1,[2]Apr26A!$A$7:$N$7,0))),0)</f>
        <v>0</v>
      </c>
      <c r="F68" s="84">
        <f>IFERROR(SUMIF([2]May26A!$A:$A,$A68,INDEX([2]May26A!$A:$N,0,MATCH($A$1,[2]May26A!$A$7:$N$7,0))),0)</f>
        <v>0</v>
      </c>
      <c r="G68" s="84">
        <f>IFERROR(SUMIF([2]Jun26A!$A:$A,$A68,INDEX([2]Jun26A!$A:$N,0,MATCH($A$1,[2]Jun26A!$A$7:$N$7,0))),0)</f>
        <v>0</v>
      </c>
      <c r="H68" s="84">
        <f>IFERROR(SUMIF([2]Jul26A!$A:$A,$A68,INDEX([2]Jul26A!$A:$N,0,MATCH($A$1,[2]Jul26A!$A$7:$N$7,0))),0)</f>
        <v>0</v>
      </c>
      <c r="I68" s="84">
        <f>IFERROR(SUMIF([2]Aug26A!$A:$A,$A68,INDEX([2]Aug26A!$A:$N,0,MATCH($A$1,[2]Aug26A!$A$7:$N$7,0))),0)</f>
        <v>0</v>
      </c>
      <c r="J68" s="117">
        <v>0</v>
      </c>
      <c r="K68" s="117">
        <v>0</v>
      </c>
      <c r="L68" s="117">
        <v>0</v>
      </c>
      <c r="M68" s="117">
        <v>0</v>
      </c>
      <c r="N68" s="84">
        <f t="shared" si="49"/>
        <v>3089.13</v>
      </c>
      <c r="O68" s="105" t="str">
        <f t="shared" si="50"/>
        <v/>
      </c>
      <c r="P68" s="84"/>
      <c r="Q68" s="84"/>
      <c r="R68" s="112"/>
      <c r="S68" s="112"/>
      <c r="T68" s="112"/>
      <c r="U68" s="168"/>
      <c r="V68" s="168"/>
      <c r="W68" s="168"/>
      <c r="X68" s="168"/>
      <c r="Y68" s="168"/>
      <c r="Z68" s="168"/>
      <c r="AA68" s="168"/>
      <c r="AB68" s="168"/>
      <c r="AC68" s="168"/>
      <c r="AD68" s="168"/>
      <c r="AE68" s="168"/>
      <c r="AF68" s="168"/>
      <c r="AG68" s="84">
        <f t="shared" si="51"/>
        <v>0</v>
      </c>
      <c r="AH68" s="105" t="str">
        <f t="shared" si="52"/>
        <v/>
      </c>
      <c r="AJ68" s="84">
        <f t="shared" si="53"/>
        <v>3089.13</v>
      </c>
    </row>
    <row r="69" spans="1:36" x14ac:dyDescent="0.3">
      <c r="A69" s="103" t="s">
        <v>155</v>
      </c>
      <c r="B69" s="84">
        <f>IFERROR(SUMIF([2]Jan26A!$A:$A,$A69,INDEX([2]Jan26A!$A:$N,0,MATCH($A$1,[2]Jan26A!$A$7:$N$7,0))),0)</f>
        <v>167.72</v>
      </c>
      <c r="C69" s="84">
        <f>IFERROR(SUMIF([2]Feb26A!$A:$A,$A69,INDEX([2]Feb26A!$A:$N,0,MATCH($A$1,[2]Feb26A!$A$7:$N$7,0))),0)</f>
        <v>413.16</v>
      </c>
      <c r="D69" s="84">
        <f>IFERROR(SUMIF([2]Mar26A!$A:$A,$A69,INDEX([2]Mar26A!$A:$N,0,MATCH($A$1,[2]Mar26A!$A$7:$N$7,0))),0)</f>
        <v>-353.62</v>
      </c>
      <c r="E69" s="84">
        <f>IFERROR(SUMIF([2]Apr26A!$A:$A,$A69,INDEX([2]Apr26A!$A:$N,0,MATCH($A$1,[2]Apr26A!$A$7:$N$7,0))),0)</f>
        <v>0</v>
      </c>
      <c r="F69" s="84">
        <f>IFERROR(SUMIF([2]May26A!$A:$A,$A69,INDEX([2]May26A!$A:$N,0,MATCH($A$1,[2]May26A!$A$7:$N$7,0))),0)</f>
        <v>0</v>
      </c>
      <c r="G69" s="84">
        <f>IFERROR(SUMIF([2]Jun26A!$A:$A,$A69,INDEX([2]Jun26A!$A:$N,0,MATCH($A$1,[2]Jun26A!$A$7:$N$7,0))),0)</f>
        <v>0</v>
      </c>
      <c r="H69" s="84">
        <f>IFERROR(SUMIF([2]Jul26A!$A:$A,$A69,INDEX([2]Jul26A!$A:$N,0,MATCH($A$1,[2]Jul26A!$A$7:$N$7,0))),0)</f>
        <v>0</v>
      </c>
      <c r="I69" s="84">
        <f>IFERROR(SUMIF([2]Aug26A!$A:$A,$A69,INDEX([2]Aug26A!$A:$N,0,MATCH($A$1,[2]Aug26A!$A$7:$N$7,0))),0)</f>
        <v>0</v>
      </c>
      <c r="J69" s="117">
        <v>0</v>
      </c>
      <c r="K69" s="117">
        <v>0</v>
      </c>
      <c r="L69" s="117">
        <v>0</v>
      </c>
      <c r="M69" s="117">
        <v>0</v>
      </c>
      <c r="N69" s="84">
        <f t="shared" si="49"/>
        <v>227.26</v>
      </c>
      <c r="O69" s="105" t="str">
        <f t="shared" si="50"/>
        <v/>
      </c>
      <c r="P69" s="84"/>
      <c r="Q69" s="84"/>
      <c r="R69" s="112"/>
      <c r="S69" s="112"/>
      <c r="T69" s="112"/>
      <c r="U69" s="168"/>
      <c r="V69" s="168"/>
      <c r="W69" s="168"/>
      <c r="X69" s="168"/>
      <c r="Y69" s="168"/>
      <c r="Z69" s="168"/>
      <c r="AA69" s="168"/>
      <c r="AB69" s="168"/>
      <c r="AC69" s="168"/>
      <c r="AD69" s="168"/>
      <c r="AE69" s="168"/>
      <c r="AF69" s="168"/>
      <c r="AG69" s="84">
        <f t="shared" si="51"/>
        <v>0</v>
      </c>
      <c r="AH69" s="105" t="str">
        <f t="shared" si="52"/>
        <v/>
      </c>
      <c r="AJ69" s="84">
        <f t="shared" si="53"/>
        <v>227.26</v>
      </c>
    </row>
    <row r="70" spans="1:36" x14ac:dyDescent="0.3">
      <c r="A70" s="103" t="s">
        <v>156</v>
      </c>
      <c r="B70" s="84">
        <f>IFERROR(SUMIF([2]Jan26A!$A:$A,$A70,INDEX([2]Jan26A!$A:$N,0,MATCH($A$1,[2]Jan26A!$A$7:$N$7,0))),0)</f>
        <v>0</v>
      </c>
      <c r="C70" s="84">
        <f>IFERROR(SUMIF([2]Feb26A!$A:$A,$A70,INDEX([2]Feb26A!$A:$N,0,MATCH($A$1,[2]Feb26A!$A$7:$N$7,0))),0)</f>
        <v>0</v>
      </c>
      <c r="D70" s="84">
        <f>IFERROR(SUMIF([2]Mar26A!$A:$A,$A70,INDEX([2]Mar26A!$A:$N,0,MATCH($A$1,[2]Mar26A!$A$7:$N$7,0))),0)</f>
        <v>0</v>
      </c>
      <c r="E70" s="84">
        <f>IFERROR(SUMIF([2]Apr26A!$A:$A,$A70,INDEX([2]Apr26A!$A:$N,0,MATCH($A$1,[2]Apr26A!$A$7:$N$7,0))),0)</f>
        <v>0</v>
      </c>
      <c r="F70" s="84">
        <f>IFERROR(SUMIF([2]May26A!$A:$A,$A70,INDEX([2]May26A!$A:$N,0,MATCH($A$1,[2]May26A!$A$7:$N$7,0))),0)</f>
        <v>0</v>
      </c>
      <c r="G70" s="84">
        <f>IFERROR(SUMIF([2]Jun26A!$A:$A,$A70,INDEX([2]Jun26A!$A:$N,0,MATCH($A$1,[2]Jun26A!$A$7:$N$7,0))),0)</f>
        <v>0</v>
      </c>
      <c r="H70" s="84">
        <f>IFERROR(SUMIF([2]Jul26A!$A:$A,$A70,INDEX([2]Jul26A!$A:$N,0,MATCH($A$1,[2]Jul26A!$A$7:$N$7,0))),0)</f>
        <v>0</v>
      </c>
      <c r="I70" s="84">
        <f>IFERROR(SUMIF([2]Aug26A!$A:$A,$A70,INDEX([2]Aug26A!$A:$N,0,MATCH($A$1,[2]Aug26A!$A$7:$N$7,0))),0)</f>
        <v>0</v>
      </c>
      <c r="J70" s="117">
        <v>0</v>
      </c>
      <c r="K70" s="117">
        <v>0</v>
      </c>
      <c r="L70" s="117">
        <v>0</v>
      </c>
      <c r="M70" s="117">
        <v>0</v>
      </c>
      <c r="N70" s="84">
        <f t="shared" si="49"/>
        <v>0</v>
      </c>
      <c r="O70" s="105" t="str">
        <f t="shared" si="50"/>
        <v/>
      </c>
      <c r="P70" s="84"/>
      <c r="Q70" s="84"/>
      <c r="R70" s="106" t="s">
        <v>99</v>
      </c>
      <c r="S70" s="107">
        <v>0</v>
      </c>
      <c r="T70" s="108">
        <v>0.05</v>
      </c>
      <c r="U70" s="104">
        <f t="shared" ref="U70:AF72" si="54">IF($R70="Manual","",IFERROR(IF($R70="YOY Growth",$N70*(1+$T70)/12,$S70/12),""))</f>
        <v>0</v>
      </c>
      <c r="V70" s="104">
        <f t="shared" si="54"/>
        <v>0</v>
      </c>
      <c r="W70" s="104">
        <f t="shared" si="54"/>
        <v>0</v>
      </c>
      <c r="X70" s="104">
        <f t="shared" si="54"/>
        <v>0</v>
      </c>
      <c r="Y70" s="104">
        <f t="shared" si="54"/>
        <v>0</v>
      </c>
      <c r="Z70" s="104">
        <f t="shared" si="54"/>
        <v>0</v>
      </c>
      <c r="AA70" s="104">
        <f t="shared" si="54"/>
        <v>0</v>
      </c>
      <c r="AB70" s="104">
        <f t="shared" si="54"/>
        <v>0</v>
      </c>
      <c r="AC70" s="104">
        <f t="shared" si="54"/>
        <v>0</v>
      </c>
      <c r="AD70" s="104">
        <f t="shared" si="54"/>
        <v>0</v>
      </c>
      <c r="AE70" s="104">
        <f t="shared" si="54"/>
        <v>0</v>
      </c>
      <c r="AF70" s="104">
        <f t="shared" si="54"/>
        <v>0</v>
      </c>
      <c r="AG70" s="84">
        <f t="shared" si="51"/>
        <v>0</v>
      </c>
      <c r="AH70" s="105" t="str">
        <f t="shared" si="52"/>
        <v/>
      </c>
      <c r="AJ70" s="84">
        <f t="shared" si="53"/>
        <v>0</v>
      </c>
    </row>
    <row r="71" spans="1:36" x14ac:dyDescent="0.3">
      <c r="A71" s="103" t="s">
        <v>157</v>
      </c>
      <c r="B71" s="84">
        <f>IFERROR(SUMIF([2]Jan26A!$A:$A,$A71,INDEX([2]Jan26A!$A:$N,0,MATCH($A$1,[2]Jan26A!$A$7:$N$7,0))),0)</f>
        <v>0</v>
      </c>
      <c r="C71" s="84">
        <f>IFERROR(SUMIF([2]Feb26A!$A:$A,$A71,INDEX([2]Feb26A!$A:$N,0,MATCH($A$1,[2]Feb26A!$A$7:$N$7,0))),0)</f>
        <v>0</v>
      </c>
      <c r="D71" s="84">
        <f>IFERROR(SUMIF([2]Mar26A!$A:$A,$A71,INDEX([2]Mar26A!$A:$N,0,MATCH($A$1,[2]Mar26A!$A$7:$N$7,0))),0)</f>
        <v>0</v>
      </c>
      <c r="E71" s="84">
        <f>IFERROR(SUMIF([2]Apr26A!$A:$A,$A71,INDEX([2]Apr26A!$A:$N,0,MATCH($A$1,[2]Apr26A!$A$7:$N$7,0))),0)</f>
        <v>0</v>
      </c>
      <c r="F71" s="84">
        <f>IFERROR(SUMIF([2]May26A!$A:$A,$A71,INDEX([2]May26A!$A:$N,0,MATCH($A$1,[2]May26A!$A$7:$N$7,0))),0)</f>
        <v>0</v>
      </c>
      <c r="G71" s="84">
        <f>IFERROR(SUMIF([2]Jun26A!$A:$A,$A71,INDEX([2]Jun26A!$A:$N,0,MATCH($A$1,[2]Jun26A!$A$7:$N$7,0))),0)</f>
        <v>0</v>
      </c>
      <c r="H71" s="84">
        <f>IFERROR(SUMIF([2]Jul26A!$A:$A,$A71,INDEX([2]Jul26A!$A:$N,0,MATCH($A$1,[2]Jul26A!$A$7:$N$7,0))),0)</f>
        <v>0</v>
      </c>
      <c r="I71" s="84">
        <f>IFERROR(SUMIF([2]Aug26A!$A:$A,$A71,INDEX([2]Aug26A!$A:$N,0,MATCH($A$1,[2]Aug26A!$A$7:$N$7,0))),0)</f>
        <v>0</v>
      </c>
      <c r="J71" s="117">
        <v>0</v>
      </c>
      <c r="K71" s="117">
        <v>0</v>
      </c>
      <c r="L71" s="117">
        <v>0</v>
      </c>
      <c r="M71" s="117">
        <v>0</v>
      </c>
      <c r="N71" s="84">
        <f t="shared" si="49"/>
        <v>0</v>
      </c>
      <c r="O71" s="105" t="str">
        <f t="shared" si="50"/>
        <v/>
      </c>
      <c r="P71" s="84"/>
      <c r="Q71" s="84"/>
      <c r="R71" s="106" t="s">
        <v>99</v>
      </c>
      <c r="S71" s="107">
        <v>0</v>
      </c>
      <c r="T71" s="108">
        <v>0.05</v>
      </c>
      <c r="U71" s="104">
        <f t="shared" si="54"/>
        <v>0</v>
      </c>
      <c r="V71" s="104">
        <f t="shared" si="54"/>
        <v>0</v>
      </c>
      <c r="W71" s="104">
        <f t="shared" si="54"/>
        <v>0</v>
      </c>
      <c r="X71" s="104">
        <f t="shared" si="54"/>
        <v>0</v>
      </c>
      <c r="Y71" s="104">
        <f t="shared" si="54"/>
        <v>0</v>
      </c>
      <c r="Z71" s="104">
        <f t="shared" si="54"/>
        <v>0</v>
      </c>
      <c r="AA71" s="104">
        <f t="shared" si="54"/>
        <v>0</v>
      </c>
      <c r="AB71" s="104">
        <f t="shared" si="54"/>
        <v>0</v>
      </c>
      <c r="AC71" s="104">
        <f t="shared" si="54"/>
        <v>0</v>
      </c>
      <c r="AD71" s="104">
        <f t="shared" si="54"/>
        <v>0</v>
      </c>
      <c r="AE71" s="104">
        <f t="shared" si="54"/>
        <v>0</v>
      </c>
      <c r="AF71" s="104">
        <f t="shared" si="54"/>
        <v>0</v>
      </c>
      <c r="AG71" s="84">
        <f t="shared" si="51"/>
        <v>0</v>
      </c>
      <c r="AH71" s="105" t="str">
        <f t="shared" si="52"/>
        <v/>
      </c>
      <c r="AJ71" s="84">
        <f t="shared" si="53"/>
        <v>0</v>
      </c>
    </row>
    <row r="72" spans="1:36" x14ac:dyDescent="0.3">
      <c r="A72" s="103" t="s">
        <v>158</v>
      </c>
      <c r="B72" s="84">
        <f>IFERROR(SUMIF([2]Jan26A!$A:$A,$A72,INDEX([2]Jan26A!$A:$N,0,MATCH($A$1,[2]Jan26A!$A$7:$N$7,0))),0)</f>
        <v>0</v>
      </c>
      <c r="C72" s="84">
        <f>IFERROR(SUMIF([2]Feb26A!$A:$A,$A72,INDEX([2]Feb26A!$A:$N,0,MATCH($A$1,[2]Feb26A!$A$7:$N$7,0))),0)</f>
        <v>0</v>
      </c>
      <c r="D72" s="84">
        <f>IFERROR(SUMIF([2]Mar26A!$A:$A,$A72,INDEX([2]Mar26A!$A:$N,0,MATCH($A$1,[2]Mar26A!$A$7:$N$7,0))),0)</f>
        <v>0</v>
      </c>
      <c r="E72" s="84">
        <f>IFERROR(SUMIF([2]Apr26A!$A:$A,$A72,INDEX([2]Apr26A!$A:$N,0,MATCH($A$1,[2]Apr26A!$A$7:$N$7,0))),0)</f>
        <v>0</v>
      </c>
      <c r="F72" s="84">
        <f>IFERROR(SUMIF([2]May26A!$A:$A,$A72,INDEX([2]May26A!$A:$N,0,MATCH($A$1,[2]May26A!$A$7:$N$7,0))),0)</f>
        <v>0</v>
      </c>
      <c r="G72" s="84">
        <f>IFERROR(SUMIF([2]Jun26A!$A:$A,$A72,INDEX([2]Jun26A!$A:$N,0,MATCH($A$1,[2]Jun26A!$A$7:$N$7,0))),0)</f>
        <v>0</v>
      </c>
      <c r="H72" s="84">
        <f>IFERROR(SUMIF([2]Jul26A!$A:$A,$A72,INDEX([2]Jul26A!$A:$N,0,MATCH($A$1,[2]Jul26A!$A$7:$N$7,0))),0)</f>
        <v>0</v>
      </c>
      <c r="I72" s="84">
        <f>IFERROR(SUMIF([2]Aug26A!$A:$A,$A72,INDEX([2]Aug26A!$A:$N,0,MATCH($A$1,[2]Aug26A!$A$7:$N$7,0))),0)</f>
        <v>0</v>
      </c>
      <c r="J72" s="117">
        <v>0</v>
      </c>
      <c r="K72" s="117">
        <v>0</v>
      </c>
      <c r="L72" s="117">
        <v>0</v>
      </c>
      <c r="M72" s="117">
        <v>0</v>
      </c>
      <c r="N72" s="84">
        <f t="shared" si="49"/>
        <v>0</v>
      </c>
      <c r="O72" s="105" t="str">
        <f t="shared" si="50"/>
        <v/>
      </c>
      <c r="P72" s="84"/>
      <c r="Q72" s="84"/>
      <c r="R72" s="106" t="s">
        <v>99</v>
      </c>
      <c r="S72" s="107">
        <v>0</v>
      </c>
      <c r="T72" s="108">
        <v>0.05</v>
      </c>
      <c r="U72" s="104">
        <f t="shared" si="54"/>
        <v>0</v>
      </c>
      <c r="V72" s="104">
        <f t="shared" si="54"/>
        <v>0</v>
      </c>
      <c r="W72" s="104">
        <f t="shared" si="54"/>
        <v>0</v>
      </c>
      <c r="X72" s="104">
        <f t="shared" si="54"/>
        <v>0</v>
      </c>
      <c r="Y72" s="104">
        <f t="shared" si="54"/>
        <v>0</v>
      </c>
      <c r="Z72" s="104">
        <f t="shared" si="54"/>
        <v>0</v>
      </c>
      <c r="AA72" s="104">
        <f t="shared" si="54"/>
        <v>0</v>
      </c>
      <c r="AB72" s="104">
        <f t="shared" si="54"/>
        <v>0</v>
      </c>
      <c r="AC72" s="104">
        <f t="shared" si="54"/>
        <v>0</v>
      </c>
      <c r="AD72" s="104">
        <f t="shared" si="54"/>
        <v>0</v>
      </c>
      <c r="AE72" s="104">
        <f t="shared" si="54"/>
        <v>0</v>
      </c>
      <c r="AF72" s="104">
        <f t="shared" si="54"/>
        <v>0</v>
      </c>
      <c r="AG72" s="84">
        <f t="shared" si="51"/>
        <v>0</v>
      </c>
      <c r="AH72" s="105" t="str">
        <f t="shared" si="52"/>
        <v/>
      </c>
      <c r="AJ72" s="84">
        <f t="shared" si="53"/>
        <v>0</v>
      </c>
    </row>
    <row r="73" spans="1:36" x14ac:dyDescent="0.3">
      <c r="A73" s="109" t="s">
        <v>159</v>
      </c>
      <c r="B73" s="110">
        <f t="shared" ref="B73:M73" si="55">SUM(B67:B72)</f>
        <v>31018.200000000004</v>
      </c>
      <c r="C73" s="110">
        <f t="shared" si="55"/>
        <v>9129.17</v>
      </c>
      <c r="D73" s="110">
        <f t="shared" si="55"/>
        <v>13743.78</v>
      </c>
      <c r="E73" s="110">
        <f t="shared" si="55"/>
        <v>0</v>
      </c>
      <c r="F73" s="110">
        <f t="shared" si="55"/>
        <v>0</v>
      </c>
      <c r="G73" s="110">
        <f t="shared" si="55"/>
        <v>0</v>
      </c>
      <c r="H73" s="110">
        <f t="shared" si="55"/>
        <v>0</v>
      </c>
      <c r="I73" s="110">
        <f t="shared" si="55"/>
        <v>0</v>
      </c>
      <c r="J73" s="110">
        <f t="shared" si="55"/>
        <v>0</v>
      </c>
      <c r="K73" s="110">
        <f t="shared" si="55"/>
        <v>0</v>
      </c>
      <c r="L73" s="110">
        <f t="shared" si="55"/>
        <v>0</v>
      </c>
      <c r="M73" s="110">
        <f t="shared" si="55"/>
        <v>0</v>
      </c>
      <c r="N73" s="110">
        <f t="shared" si="49"/>
        <v>53891.15</v>
      </c>
      <c r="O73" s="111" t="str">
        <f t="shared" si="50"/>
        <v/>
      </c>
      <c r="P73" s="84"/>
      <c r="Q73" s="84"/>
      <c r="R73" s="112"/>
      <c r="S73" s="112"/>
      <c r="T73" s="112"/>
      <c r="U73" s="110">
        <f t="shared" ref="U73:AF73" si="56">SUM(U67:U72)</f>
        <v>0</v>
      </c>
      <c r="V73" s="110">
        <f t="shared" si="56"/>
        <v>0</v>
      </c>
      <c r="W73" s="110">
        <f t="shared" si="56"/>
        <v>0</v>
      </c>
      <c r="X73" s="110">
        <f t="shared" si="56"/>
        <v>0</v>
      </c>
      <c r="Y73" s="110">
        <f t="shared" si="56"/>
        <v>0</v>
      </c>
      <c r="Z73" s="110">
        <f t="shared" si="56"/>
        <v>0</v>
      </c>
      <c r="AA73" s="110">
        <f t="shared" si="56"/>
        <v>0</v>
      </c>
      <c r="AB73" s="110">
        <f t="shared" si="56"/>
        <v>0</v>
      </c>
      <c r="AC73" s="110">
        <f t="shared" si="56"/>
        <v>0</v>
      </c>
      <c r="AD73" s="110">
        <f t="shared" si="56"/>
        <v>0</v>
      </c>
      <c r="AE73" s="110">
        <f t="shared" si="56"/>
        <v>0</v>
      </c>
      <c r="AF73" s="110">
        <f t="shared" si="56"/>
        <v>0</v>
      </c>
      <c r="AG73" s="110">
        <f t="shared" si="51"/>
        <v>0</v>
      </c>
      <c r="AH73" s="111" t="str">
        <f t="shared" si="52"/>
        <v/>
      </c>
      <c r="AJ73" s="110">
        <f t="shared" si="53"/>
        <v>53891.15</v>
      </c>
    </row>
    <row r="74" spans="1:36" x14ac:dyDescent="0.3">
      <c r="A74" s="113" t="s">
        <v>160</v>
      </c>
      <c r="B74" s="84">
        <f>IFERROR(SUMIF([2]Jan26A!$A:$A,$A74,INDEX([2]Jan26A!$A:$N,0,MATCH($A$1,[2]Jan26A!$A$7:$N$7,0))),0)</f>
        <v>11.96</v>
      </c>
      <c r="C74" s="84">
        <f>IFERROR(SUMIF([2]Feb26A!$A:$A,$A74,INDEX([2]Feb26A!$A:$N,0,MATCH($A$1,[2]Feb26A!$A$7:$N$7,0))),0)</f>
        <v>9.99</v>
      </c>
      <c r="D74" s="84">
        <f>IFERROR(SUMIF([2]Mar26A!$A:$A,$A74,INDEX([2]Mar26A!$A:$N,0,MATCH($A$1,[2]Mar26A!$A$7:$N$7,0))),0)</f>
        <v>960.43</v>
      </c>
      <c r="E74" s="84">
        <f>IFERROR(SUMIF([2]Apr26A!$A:$A,$A74,INDEX([2]Apr26A!$A:$N,0,MATCH($A$1,[2]Apr26A!$A$7:$N$7,0))),0)</f>
        <v>1228.8599999999999</v>
      </c>
      <c r="F74" s="84">
        <f>IFERROR(SUMIF([2]May26A!$A:$A,$A74,INDEX([2]May26A!$A:$N,0,MATCH($A$1,[2]May26A!$A$7:$N$7,0))),0)</f>
        <v>2504.31</v>
      </c>
      <c r="G74" s="84">
        <f>IFERROR(SUMIF([2]Jun26A!$A:$A,$A74,INDEX([2]Jun26A!$A:$N,0,MATCH($A$1,[2]Jun26A!$A$7:$N$7,0))),0)</f>
        <v>3441.65</v>
      </c>
      <c r="H74" s="84">
        <f>IFERROR(SUMIF([2]Jul26A!$A:$A,$A74,INDEX([2]Jul26A!$A:$N,0,MATCH($A$1,[2]Jul26A!$A$7:$N$7,0))),0)</f>
        <v>8082.14</v>
      </c>
      <c r="I74" s="84">
        <f>IFERROR(SUMIF([2]Aug26A!$A:$A,$A74,INDEX([2]Aug26A!$A:$N,0,MATCH($A$1,[2]Aug26A!$A$7:$N$7,0))),0)</f>
        <v>666.92</v>
      </c>
      <c r="J74" s="117">
        <v>2500</v>
      </c>
      <c r="K74" s="117">
        <v>2500</v>
      </c>
      <c r="L74" s="117">
        <v>2500</v>
      </c>
      <c r="M74" s="117">
        <v>2500</v>
      </c>
      <c r="N74" s="84">
        <f t="shared" si="49"/>
        <v>26906.26</v>
      </c>
      <c r="O74" s="105" t="str">
        <f t="shared" si="50"/>
        <v/>
      </c>
      <c r="P74" s="84"/>
      <c r="Q74" s="84"/>
      <c r="R74" s="106" t="s">
        <v>99</v>
      </c>
      <c r="S74" s="107">
        <v>0</v>
      </c>
      <c r="T74" s="108">
        <v>0.05</v>
      </c>
      <c r="U74" s="104">
        <f t="shared" ref="U74:AF80" si="57">IF($R74="Manual","",IFERROR(IF($R74="YOY Growth",$N74*(1+$T74)/12,$S74/12),""))</f>
        <v>0</v>
      </c>
      <c r="V74" s="104">
        <f t="shared" si="57"/>
        <v>0</v>
      </c>
      <c r="W74" s="104">
        <f t="shared" si="57"/>
        <v>0</v>
      </c>
      <c r="X74" s="104">
        <f t="shared" si="57"/>
        <v>0</v>
      </c>
      <c r="Y74" s="104">
        <f t="shared" si="57"/>
        <v>0</v>
      </c>
      <c r="Z74" s="104">
        <f t="shared" si="57"/>
        <v>0</v>
      </c>
      <c r="AA74" s="104">
        <f t="shared" si="57"/>
        <v>0</v>
      </c>
      <c r="AB74" s="104">
        <f t="shared" si="57"/>
        <v>0</v>
      </c>
      <c r="AC74" s="104">
        <f t="shared" si="57"/>
        <v>0</v>
      </c>
      <c r="AD74" s="104">
        <f t="shared" si="57"/>
        <v>0</v>
      </c>
      <c r="AE74" s="104">
        <f t="shared" si="57"/>
        <v>0</v>
      </c>
      <c r="AF74" s="104">
        <f t="shared" si="57"/>
        <v>0</v>
      </c>
      <c r="AG74" s="84">
        <f t="shared" si="51"/>
        <v>0</v>
      </c>
      <c r="AH74" s="105" t="str">
        <f t="shared" si="52"/>
        <v/>
      </c>
      <c r="AJ74" s="84">
        <f t="shared" si="53"/>
        <v>26906.26</v>
      </c>
    </row>
    <row r="75" spans="1:36" x14ac:dyDescent="0.3">
      <c r="A75" s="113" t="s">
        <v>161</v>
      </c>
      <c r="B75" s="84">
        <f>IFERROR(SUMIF([2]Jan26A!$A:$A,$A75,INDEX([2]Jan26A!$A:$N,0,MATCH($A$1,[2]Jan26A!$A$7:$N$7,0))),0)</f>
        <v>0</v>
      </c>
      <c r="C75" s="84">
        <f>IFERROR(SUMIF([2]Feb26A!$A:$A,$A75,INDEX([2]Feb26A!$A:$N,0,MATCH($A$1,[2]Feb26A!$A$7:$N$7,0))),0)</f>
        <v>0</v>
      </c>
      <c r="D75" s="84">
        <f>IFERROR(SUMIF([2]Mar26A!$A:$A,$A75,INDEX([2]Mar26A!$A:$N,0,MATCH($A$1,[2]Mar26A!$A$7:$N$7,0))),0)</f>
        <v>0</v>
      </c>
      <c r="E75" s="84">
        <f>IFERROR(SUMIF([2]Apr26A!$A:$A,$A75,INDEX([2]Apr26A!$A:$N,0,MATCH($A$1,[2]Apr26A!$A$7:$N$7,0))),0)</f>
        <v>139.29</v>
      </c>
      <c r="F75" s="84">
        <f>IFERROR(SUMIF([2]May26A!$A:$A,$A75,INDEX([2]May26A!$A:$N,0,MATCH($A$1,[2]May26A!$A$7:$N$7,0))),0)</f>
        <v>0</v>
      </c>
      <c r="G75" s="84">
        <f>IFERROR(SUMIF([2]Jun26A!$A:$A,$A75,INDEX([2]Jun26A!$A:$N,0,MATCH($A$1,[2]Jun26A!$A$7:$N$7,0))),0)</f>
        <v>-147.88999999999999</v>
      </c>
      <c r="H75" s="84">
        <f>IFERROR(SUMIF([2]Jul26A!$A:$A,$A75,INDEX([2]Jul26A!$A:$N,0,MATCH($A$1,[2]Jul26A!$A$7:$N$7,0))),0)</f>
        <v>0</v>
      </c>
      <c r="I75" s="84">
        <f>IFERROR(SUMIF([2]Aug26A!$A:$A,$A75,INDEX([2]Aug26A!$A:$N,0,MATCH($A$1,[2]Aug26A!$A$7:$N$7,0))),0)</f>
        <v>0</v>
      </c>
      <c r="J75" s="117">
        <v>150</v>
      </c>
      <c r="K75" s="117">
        <v>150</v>
      </c>
      <c r="L75" s="117">
        <v>150</v>
      </c>
      <c r="M75" s="117">
        <v>150</v>
      </c>
      <c r="N75" s="84">
        <f t="shared" si="49"/>
        <v>591.4</v>
      </c>
      <c r="O75" s="105" t="str">
        <f t="shared" si="50"/>
        <v/>
      </c>
      <c r="P75" s="84"/>
      <c r="Q75" s="84"/>
      <c r="R75" s="106" t="s">
        <v>99</v>
      </c>
      <c r="S75" s="107">
        <v>0</v>
      </c>
      <c r="T75" s="108">
        <v>0.05</v>
      </c>
      <c r="U75" s="104">
        <f t="shared" si="57"/>
        <v>0</v>
      </c>
      <c r="V75" s="104">
        <f t="shared" si="57"/>
        <v>0</v>
      </c>
      <c r="W75" s="104">
        <f t="shared" si="57"/>
        <v>0</v>
      </c>
      <c r="X75" s="104">
        <f t="shared" si="57"/>
        <v>0</v>
      </c>
      <c r="Y75" s="104">
        <f t="shared" si="57"/>
        <v>0</v>
      </c>
      <c r="Z75" s="104">
        <f t="shared" si="57"/>
        <v>0</v>
      </c>
      <c r="AA75" s="104">
        <f t="shared" si="57"/>
        <v>0</v>
      </c>
      <c r="AB75" s="104">
        <f t="shared" si="57"/>
        <v>0</v>
      </c>
      <c r="AC75" s="104">
        <f t="shared" si="57"/>
        <v>0</v>
      </c>
      <c r="AD75" s="104">
        <f t="shared" si="57"/>
        <v>0</v>
      </c>
      <c r="AE75" s="104">
        <f t="shared" si="57"/>
        <v>0</v>
      </c>
      <c r="AF75" s="104">
        <f t="shared" si="57"/>
        <v>0</v>
      </c>
      <c r="AG75" s="84">
        <f t="shared" si="51"/>
        <v>0</v>
      </c>
      <c r="AH75" s="105" t="str">
        <f t="shared" si="52"/>
        <v/>
      </c>
      <c r="AJ75" s="84">
        <f t="shared" si="53"/>
        <v>591.4</v>
      </c>
    </row>
    <row r="76" spans="1:36" x14ac:dyDescent="0.3">
      <c r="A76" s="113" t="s">
        <v>162</v>
      </c>
      <c r="B76" s="84">
        <f>IFERROR(SUMIF([2]Jan26A!$A:$A,$A76,INDEX([2]Jan26A!$A:$N,0,MATCH($A$1,[2]Jan26A!$A$7:$N$7,0))),0)</f>
        <v>0</v>
      </c>
      <c r="C76" s="84">
        <f>IFERROR(SUMIF([2]Feb26A!$A:$A,$A76,INDEX([2]Feb26A!$A:$N,0,MATCH($A$1,[2]Feb26A!$A$7:$N$7,0))),0)</f>
        <v>0</v>
      </c>
      <c r="D76" s="84">
        <f>IFERROR(SUMIF([2]Mar26A!$A:$A,$A76,INDEX([2]Mar26A!$A:$N,0,MATCH($A$1,[2]Mar26A!$A$7:$N$7,0))),0)</f>
        <v>256.68</v>
      </c>
      <c r="E76" s="84">
        <f>IFERROR(SUMIF([2]Apr26A!$A:$A,$A76,INDEX([2]Apr26A!$A:$N,0,MATCH($A$1,[2]Apr26A!$A$7:$N$7,0))),0)</f>
        <v>655.57</v>
      </c>
      <c r="F76" s="84">
        <f>IFERROR(SUMIF([2]May26A!$A:$A,$A76,INDEX([2]May26A!$A:$N,0,MATCH($A$1,[2]May26A!$A$7:$N$7,0))),0)</f>
        <v>0</v>
      </c>
      <c r="G76" s="84">
        <f>IFERROR(SUMIF([2]Jun26A!$A:$A,$A76,INDEX([2]Jun26A!$A:$N,0,MATCH($A$1,[2]Jun26A!$A$7:$N$7,0))),0)</f>
        <v>0</v>
      </c>
      <c r="H76" s="84">
        <f>IFERROR(SUMIF([2]Jul26A!$A:$A,$A76,INDEX([2]Jul26A!$A:$N,0,MATCH($A$1,[2]Jul26A!$A$7:$N$7,0))),0)</f>
        <v>0</v>
      </c>
      <c r="I76" s="84">
        <f>IFERROR(SUMIF([2]Aug26A!$A:$A,$A76,INDEX([2]Aug26A!$A:$N,0,MATCH($A$1,[2]Aug26A!$A$7:$N$7,0))),0)</f>
        <v>0</v>
      </c>
      <c r="J76" s="117">
        <v>200</v>
      </c>
      <c r="K76" s="117">
        <v>200</v>
      </c>
      <c r="L76" s="117">
        <v>200</v>
      </c>
      <c r="M76" s="117">
        <v>200</v>
      </c>
      <c r="N76" s="84">
        <f t="shared" si="49"/>
        <v>1712.25</v>
      </c>
      <c r="O76" s="105" t="str">
        <f t="shared" si="50"/>
        <v/>
      </c>
      <c r="P76" s="84"/>
      <c r="Q76" s="84"/>
      <c r="R76" s="106" t="s">
        <v>99</v>
      </c>
      <c r="S76" s="107">
        <v>0</v>
      </c>
      <c r="T76" s="108">
        <v>0.05</v>
      </c>
      <c r="U76" s="104">
        <f t="shared" si="57"/>
        <v>0</v>
      </c>
      <c r="V76" s="104">
        <f t="shared" si="57"/>
        <v>0</v>
      </c>
      <c r="W76" s="104">
        <f t="shared" si="57"/>
        <v>0</v>
      </c>
      <c r="X76" s="104">
        <f t="shared" si="57"/>
        <v>0</v>
      </c>
      <c r="Y76" s="104">
        <f t="shared" si="57"/>
        <v>0</v>
      </c>
      <c r="Z76" s="104">
        <f t="shared" si="57"/>
        <v>0</v>
      </c>
      <c r="AA76" s="104">
        <f t="shared" si="57"/>
        <v>0</v>
      </c>
      <c r="AB76" s="104">
        <f t="shared" si="57"/>
        <v>0</v>
      </c>
      <c r="AC76" s="104">
        <f t="shared" si="57"/>
        <v>0</v>
      </c>
      <c r="AD76" s="104">
        <f t="shared" si="57"/>
        <v>0</v>
      </c>
      <c r="AE76" s="104">
        <f t="shared" si="57"/>
        <v>0</v>
      </c>
      <c r="AF76" s="104">
        <f t="shared" si="57"/>
        <v>0</v>
      </c>
      <c r="AG76" s="84">
        <f t="shared" si="51"/>
        <v>0</v>
      </c>
      <c r="AH76" s="105" t="str">
        <f t="shared" si="52"/>
        <v/>
      </c>
      <c r="AJ76" s="84">
        <f t="shared" si="53"/>
        <v>1712.25</v>
      </c>
    </row>
    <row r="77" spans="1:36" x14ac:dyDescent="0.3">
      <c r="A77" s="113" t="s">
        <v>163</v>
      </c>
      <c r="B77" s="84">
        <f>IFERROR(SUMIF([2]Jan26A!$A:$A,$A77,INDEX([2]Jan26A!$A:$N,0,MATCH($A$1,[2]Jan26A!$A$7:$N$7,0))),0)</f>
        <v>0</v>
      </c>
      <c r="C77" s="84">
        <f>IFERROR(SUMIF([2]Feb26A!$A:$A,$A77,INDEX([2]Feb26A!$A:$N,0,MATCH($A$1,[2]Feb26A!$A$7:$N$7,0))),0)</f>
        <v>0</v>
      </c>
      <c r="D77" s="84">
        <f>IFERROR(SUMIF([2]Mar26A!$A:$A,$A77,INDEX([2]Mar26A!$A:$N,0,MATCH($A$1,[2]Mar26A!$A$7:$N$7,0))),0)</f>
        <v>0</v>
      </c>
      <c r="E77" s="84">
        <f>IFERROR(SUMIF([2]Apr26A!$A:$A,$A77,INDEX([2]Apr26A!$A:$N,0,MATCH($A$1,[2]Apr26A!$A$7:$N$7,0))),0)</f>
        <v>0</v>
      </c>
      <c r="F77" s="84">
        <f>IFERROR(SUMIF([2]May26A!$A:$A,$A77,INDEX([2]May26A!$A:$N,0,MATCH($A$1,[2]May26A!$A$7:$N$7,0))),0)</f>
        <v>0</v>
      </c>
      <c r="G77" s="84">
        <f>IFERROR(SUMIF([2]Jun26A!$A:$A,$A77,INDEX([2]Jun26A!$A:$N,0,MATCH($A$1,[2]Jun26A!$A$7:$N$7,0))),0)</f>
        <v>0</v>
      </c>
      <c r="H77" s="84">
        <f>IFERROR(SUMIF([2]Jul26A!$A:$A,$A77,INDEX([2]Jul26A!$A:$N,0,MATCH($A$1,[2]Jul26A!$A$7:$N$7,0))),0)</f>
        <v>0</v>
      </c>
      <c r="I77" s="84">
        <f>IFERROR(SUMIF([2]Aug26A!$A:$A,$A77,INDEX([2]Aug26A!$A:$N,0,MATCH($A$1,[2]Aug26A!$A$7:$N$7,0))),0)</f>
        <v>0</v>
      </c>
      <c r="J77" s="117">
        <v>0</v>
      </c>
      <c r="K77" s="117">
        <v>0</v>
      </c>
      <c r="L77" s="117">
        <v>0</v>
      </c>
      <c r="M77" s="117">
        <v>0</v>
      </c>
      <c r="N77" s="84">
        <f t="shared" si="49"/>
        <v>0</v>
      </c>
      <c r="O77" s="105" t="str">
        <f t="shared" si="50"/>
        <v/>
      </c>
      <c r="P77" s="84"/>
      <c r="Q77" s="84"/>
      <c r="R77" s="106" t="s">
        <v>99</v>
      </c>
      <c r="S77" s="107">
        <v>0</v>
      </c>
      <c r="T77" s="108">
        <v>0.05</v>
      </c>
      <c r="U77" s="104">
        <f t="shared" si="57"/>
        <v>0</v>
      </c>
      <c r="V77" s="104">
        <f t="shared" si="57"/>
        <v>0</v>
      </c>
      <c r="W77" s="104">
        <f t="shared" si="57"/>
        <v>0</v>
      </c>
      <c r="X77" s="104">
        <f t="shared" si="57"/>
        <v>0</v>
      </c>
      <c r="Y77" s="104">
        <f t="shared" si="57"/>
        <v>0</v>
      </c>
      <c r="Z77" s="104">
        <f t="shared" si="57"/>
        <v>0</v>
      </c>
      <c r="AA77" s="104">
        <f t="shared" si="57"/>
        <v>0</v>
      </c>
      <c r="AB77" s="104">
        <f t="shared" si="57"/>
        <v>0</v>
      </c>
      <c r="AC77" s="104">
        <f t="shared" si="57"/>
        <v>0</v>
      </c>
      <c r="AD77" s="104">
        <f t="shared" si="57"/>
        <v>0</v>
      </c>
      <c r="AE77" s="104">
        <f t="shared" si="57"/>
        <v>0</v>
      </c>
      <c r="AF77" s="104">
        <f t="shared" si="57"/>
        <v>0</v>
      </c>
      <c r="AG77" s="84">
        <f t="shared" si="51"/>
        <v>0</v>
      </c>
      <c r="AH77" s="105" t="str">
        <f t="shared" si="52"/>
        <v/>
      </c>
      <c r="AJ77" s="84">
        <f t="shared" si="53"/>
        <v>0</v>
      </c>
    </row>
    <row r="78" spans="1:36" x14ac:dyDescent="0.3">
      <c r="A78" s="113" t="s">
        <v>164</v>
      </c>
      <c r="B78" s="84">
        <f>IFERROR(SUMIF([2]Jan26A!$A:$A,$A78,INDEX([2]Jan26A!$A:$N,0,MATCH($A$1,[2]Jan26A!$A$7:$N$7,0))),0)</f>
        <v>0</v>
      </c>
      <c r="C78" s="84">
        <f>IFERROR(SUMIF([2]Feb26A!$A:$A,$A78,INDEX([2]Feb26A!$A:$N,0,MATCH($A$1,[2]Feb26A!$A$7:$N$7,0))),0)</f>
        <v>0</v>
      </c>
      <c r="D78" s="84">
        <f>IFERROR(SUMIF([2]Mar26A!$A:$A,$A78,INDEX([2]Mar26A!$A:$N,0,MATCH($A$1,[2]Mar26A!$A$7:$N$7,0))),0)</f>
        <v>0</v>
      </c>
      <c r="E78" s="84">
        <f>IFERROR(SUMIF([2]Apr26A!$A:$A,$A78,INDEX([2]Apr26A!$A:$N,0,MATCH($A$1,[2]Apr26A!$A$7:$N$7,0))),0)</f>
        <v>0</v>
      </c>
      <c r="F78" s="84">
        <f>IFERROR(SUMIF([2]May26A!$A:$A,$A78,INDEX([2]May26A!$A:$N,0,MATCH($A$1,[2]May26A!$A$7:$N$7,0))),0)</f>
        <v>0</v>
      </c>
      <c r="G78" s="84">
        <f>IFERROR(SUMIF([2]Jun26A!$A:$A,$A78,INDEX([2]Jun26A!$A:$N,0,MATCH($A$1,[2]Jun26A!$A$7:$N$7,0))),0)</f>
        <v>0</v>
      </c>
      <c r="H78" s="84">
        <f>IFERROR(SUMIF([2]Jul26A!$A:$A,$A78,INDEX([2]Jul26A!$A:$N,0,MATCH($A$1,[2]Jul26A!$A$7:$N$7,0))),0)</f>
        <v>0</v>
      </c>
      <c r="I78" s="84">
        <f>IFERROR(SUMIF([2]Aug26A!$A:$A,$A78,INDEX([2]Aug26A!$A:$N,0,MATCH($A$1,[2]Aug26A!$A$7:$N$7,0))),0)</f>
        <v>0</v>
      </c>
      <c r="J78" s="117">
        <v>0</v>
      </c>
      <c r="K78" s="117">
        <v>0</v>
      </c>
      <c r="L78" s="117">
        <v>0</v>
      </c>
      <c r="M78" s="117">
        <v>0</v>
      </c>
      <c r="N78" s="84">
        <f t="shared" si="49"/>
        <v>0</v>
      </c>
      <c r="O78" s="105" t="str">
        <f t="shared" si="50"/>
        <v/>
      </c>
      <c r="P78" s="84"/>
      <c r="Q78" s="84"/>
      <c r="R78" s="106" t="s">
        <v>99</v>
      </c>
      <c r="S78" s="107">
        <v>0</v>
      </c>
      <c r="T78" s="108">
        <v>0.05</v>
      </c>
      <c r="U78" s="104">
        <f t="shared" si="57"/>
        <v>0</v>
      </c>
      <c r="V78" s="104">
        <f t="shared" si="57"/>
        <v>0</v>
      </c>
      <c r="W78" s="104">
        <f t="shared" si="57"/>
        <v>0</v>
      </c>
      <c r="X78" s="104">
        <f t="shared" si="57"/>
        <v>0</v>
      </c>
      <c r="Y78" s="104">
        <f t="shared" si="57"/>
        <v>0</v>
      </c>
      <c r="Z78" s="104">
        <f t="shared" si="57"/>
        <v>0</v>
      </c>
      <c r="AA78" s="104">
        <f t="shared" si="57"/>
        <v>0</v>
      </c>
      <c r="AB78" s="104">
        <f t="shared" si="57"/>
        <v>0</v>
      </c>
      <c r="AC78" s="104">
        <f t="shared" si="57"/>
        <v>0</v>
      </c>
      <c r="AD78" s="104">
        <f t="shared" si="57"/>
        <v>0</v>
      </c>
      <c r="AE78" s="104">
        <f t="shared" si="57"/>
        <v>0</v>
      </c>
      <c r="AF78" s="104">
        <f t="shared" si="57"/>
        <v>0</v>
      </c>
      <c r="AG78" s="84">
        <f t="shared" si="51"/>
        <v>0</v>
      </c>
      <c r="AH78" s="105" t="str">
        <f t="shared" si="52"/>
        <v/>
      </c>
      <c r="AJ78" s="84">
        <f t="shared" si="53"/>
        <v>0</v>
      </c>
    </row>
    <row r="79" spans="1:36" x14ac:dyDescent="0.3">
      <c r="A79" s="113" t="s">
        <v>165</v>
      </c>
      <c r="B79" s="84">
        <f>IFERROR(SUMIF([2]Jan26A!$A:$A,$A79,INDEX([2]Jan26A!$A:$N,0,MATCH($A$1,[2]Jan26A!$A$7:$N$7,0))),0)</f>
        <v>0</v>
      </c>
      <c r="C79" s="84">
        <f>IFERROR(SUMIF([2]Feb26A!$A:$A,$A79,INDEX([2]Feb26A!$A:$N,0,MATCH($A$1,[2]Feb26A!$A$7:$N$7,0))),0)</f>
        <v>0</v>
      </c>
      <c r="D79" s="84">
        <f>IFERROR(SUMIF([2]Mar26A!$A:$A,$A79,INDEX([2]Mar26A!$A:$N,0,MATCH($A$1,[2]Mar26A!$A$7:$N$7,0))),0)</f>
        <v>0</v>
      </c>
      <c r="E79" s="84">
        <f>IFERROR(SUMIF([2]Apr26A!$A:$A,$A79,INDEX([2]Apr26A!$A:$N,0,MATCH($A$1,[2]Apr26A!$A$7:$N$7,0))),0)</f>
        <v>0</v>
      </c>
      <c r="F79" s="84">
        <f>IFERROR(SUMIF([2]May26A!$A:$A,$A79,INDEX([2]May26A!$A:$N,0,MATCH($A$1,[2]May26A!$A$7:$N$7,0))),0)</f>
        <v>0</v>
      </c>
      <c r="G79" s="84">
        <f>IFERROR(SUMIF([2]Jun26A!$A:$A,$A79,INDEX([2]Jun26A!$A:$N,0,MATCH($A$1,[2]Jun26A!$A$7:$N$7,0))),0)</f>
        <v>2900</v>
      </c>
      <c r="H79" s="84">
        <f>IFERROR(SUMIF([2]Jul26A!$A:$A,$A79,INDEX([2]Jul26A!$A:$N,0,MATCH($A$1,[2]Jul26A!$A$7:$N$7,0))),0)</f>
        <v>0</v>
      </c>
      <c r="I79" s="84">
        <f>IFERROR(SUMIF([2]Aug26A!$A:$A,$A79,INDEX([2]Aug26A!$A:$N,0,MATCH($A$1,[2]Aug26A!$A$7:$N$7,0))),0)</f>
        <v>0</v>
      </c>
      <c r="J79" s="117">
        <v>0</v>
      </c>
      <c r="K79" s="117">
        <v>0</v>
      </c>
      <c r="L79" s="117">
        <v>0</v>
      </c>
      <c r="M79" s="117">
        <v>0</v>
      </c>
      <c r="N79" s="84">
        <f t="shared" si="49"/>
        <v>2900</v>
      </c>
      <c r="O79" s="105" t="str">
        <f t="shared" si="50"/>
        <v/>
      </c>
      <c r="P79" s="84"/>
      <c r="Q79" s="84"/>
      <c r="R79" s="106" t="s">
        <v>99</v>
      </c>
      <c r="S79" s="107">
        <v>0</v>
      </c>
      <c r="T79" s="108">
        <v>0.05</v>
      </c>
      <c r="U79" s="104">
        <f t="shared" si="57"/>
        <v>0</v>
      </c>
      <c r="V79" s="104">
        <f t="shared" si="57"/>
        <v>0</v>
      </c>
      <c r="W79" s="104">
        <f t="shared" si="57"/>
        <v>0</v>
      </c>
      <c r="X79" s="104">
        <f t="shared" si="57"/>
        <v>0</v>
      </c>
      <c r="Y79" s="104">
        <f t="shared" si="57"/>
        <v>0</v>
      </c>
      <c r="Z79" s="104">
        <f t="shared" si="57"/>
        <v>0</v>
      </c>
      <c r="AA79" s="104">
        <f t="shared" si="57"/>
        <v>0</v>
      </c>
      <c r="AB79" s="104">
        <f t="shared" si="57"/>
        <v>0</v>
      </c>
      <c r="AC79" s="104">
        <f t="shared" si="57"/>
        <v>0</v>
      </c>
      <c r="AD79" s="104">
        <f t="shared" si="57"/>
        <v>0</v>
      </c>
      <c r="AE79" s="104">
        <f t="shared" si="57"/>
        <v>0</v>
      </c>
      <c r="AF79" s="104">
        <f t="shared" si="57"/>
        <v>0</v>
      </c>
      <c r="AG79" s="84">
        <f t="shared" si="51"/>
        <v>0</v>
      </c>
      <c r="AH79" s="105" t="str">
        <f t="shared" si="52"/>
        <v/>
      </c>
      <c r="AJ79" s="84">
        <f t="shared" si="53"/>
        <v>2900</v>
      </c>
    </row>
    <row r="80" spans="1:36" x14ac:dyDescent="0.3">
      <c r="A80" s="113" t="s">
        <v>166</v>
      </c>
      <c r="B80" s="84">
        <f>IFERROR(SUMIF([2]Jan26A!$A:$A,$A80,INDEX([2]Jan26A!$A:$N,0,MATCH($A$1,[2]Jan26A!$A$7:$N$7,0))),0)</f>
        <v>0</v>
      </c>
      <c r="C80" s="84">
        <f>IFERROR(SUMIF([2]Feb26A!$A:$A,$A80,INDEX([2]Feb26A!$A:$N,0,MATCH($A$1,[2]Feb26A!$A$7:$N$7,0))),0)</f>
        <v>0</v>
      </c>
      <c r="D80" s="84">
        <f>IFERROR(SUMIF([2]Mar26A!$A:$A,$A80,INDEX([2]Mar26A!$A:$N,0,MATCH($A$1,[2]Mar26A!$A$7:$N$7,0))),0)</f>
        <v>0</v>
      </c>
      <c r="E80" s="84">
        <f>IFERROR(SUMIF([2]Apr26A!$A:$A,$A80,INDEX([2]Apr26A!$A:$N,0,MATCH($A$1,[2]Apr26A!$A$7:$N$7,0))),0)</f>
        <v>0</v>
      </c>
      <c r="F80" s="84">
        <f>IFERROR(SUMIF([2]May26A!$A:$A,$A80,INDEX([2]May26A!$A:$N,0,MATCH($A$1,[2]May26A!$A$7:$N$7,0))),0)</f>
        <v>0</v>
      </c>
      <c r="G80" s="84">
        <f>IFERROR(SUMIF([2]Jun26A!$A:$A,$A80,INDEX([2]Jun26A!$A:$N,0,MATCH($A$1,[2]Jun26A!$A$7:$N$7,0))),0)</f>
        <v>0</v>
      </c>
      <c r="H80" s="84">
        <f>IFERROR(SUMIF([2]Jul26A!$A:$A,$A80,INDEX([2]Jul26A!$A:$N,0,MATCH($A$1,[2]Jul26A!$A$7:$N$7,0))),0)</f>
        <v>0</v>
      </c>
      <c r="I80" s="84">
        <f>IFERROR(SUMIF([2]Aug26A!$A:$A,$A80,INDEX([2]Aug26A!$A:$N,0,MATCH($A$1,[2]Aug26A!$A$7:$N$7,0))),0)</f>
        <v>0</v>
      </c>
      <c r="J80" s="117">
        <v>0</v>
      </c>
      <c r="K80" s="117">
        <v>0</v>
      </c>
      <c r="L80" s="117">
        <v>0</v>
      </c>
      <c r="M80" s="117">
        <v>0</v>
      </c>
      <c r="N80" s="84">
        <f t="shared" si="49"/>
        <v>0</v>
      </c>
      <c r="O80" s="105" t="str">
        <f t="shared" si="50"/>
        <v/>
      </c>
      <c r="P80" s="84"/>
      <c r="Q80" s="84"/>
      <c r="R80" s="106" t="s">
        <v>99</v>
      </c>
      <c r="S80" s="107">
        <v>0</v>
      </c>
      <c r="T80" s="108">
        <v>0.05</v>
      </c>
      <c r="U80" s="104">
        <f t="shared" si="57"/>
        <v>0</v>
      </c>
      <c r="V80" s="104">
        <f t="shared" si="57"/>
        <v>0</v>
      </c>
      <c r="W80" s="104">
        <f t="shared" si="57"/>
        <v>0</v>
      </c>
      <c r="X80" s="104">
        <f t="shared" si="57"/>
        <v>0</v>
      </c>
      <c r="Y80" s="104">
        <f t="shared" si="57"/>
        <v>0</v>
      </c>
      <c r="Z80" s="104">
        <f t="shared" si="57"/>
        <v>0</v>
      </c>
      <c r="AA80" s="104">
        <f t="shared" si="57"/>
        <v>0</v>
      </c>
      <c r="AB80" s="104">
        <f t="shared" si="57"/>
        <v>0</v>
      </c>
      <c r="AC80" s="104">
        <f t="shared" si="57"/>
        <v>0</v>
      </c>
      <c r="AD80" s="104">
        <f t="shared" si="57"/>
        <v>0</v>
      </c>
      <c r="AE80" s="104">
        <f t="shared" si="57"/>
        <v>0</v>
      </c>
      <c r="AF80" s="104">
        <f t="shared" si="57"/>
        <v>0</v>
      </c>
      <c r="AG80" s="84">
        <f t="shared" si="51"/>
        <v>0</v>
      </c>
      <c r="AH80" s="105" t="str">
        <f t="shared" si="52"/>
        <v/>
      </c>
      <c r="AJ80" s="84">
        <f t="shared" si="53"/>
        <v>0</v>
      </c>
    </row>
    <row r="81" spans="1:36" x14ac:dyDescent="0.3">
      <c r="A81" s="102" t="s">
        <v>167</v>
      </c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105"/>
      <c r="P81" s="84"/>
      <c r="Q81" s="84"/>
      <c r="R81" s="112"/>
      <c r="S81" s="112"/>
      <c r="T81" s="112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105"/>
      <c r="AJ81" s="84"/>
    </row>
    <row r="82" spans="1:36" x14ac:dyDescent="0.3">
      <c r="A82" s="103" t="s">
        <v>168</v>
      </c>
      <c r="B82" s="84">
        <f>IFERROR(SUMIF([2]Jan26A!$A:$A,$A82,INDEX([2]Jan26A!$A:$N,0,MATCH($A$1,[2]Jan26A!$A$7:$N$7,0))),0)</f>
        <v>0</v>
      </c>
      <c r="C82" s="84">
        <f>IFERROR(SUMIF([2]Feb26A!$A:$A,$A82,INDEX([2]Feb26A!$A:$N,0,MATCH($A$1,[2]Feb26A!$A$7:$N$7,0))),0)</f>
        <v>0</v>
      </c>
      <c r="D82" s="84">
        <f>IFERROR(SUMIF([2]Mar26A!$A:$A,$A82,INDEX([2]Mar26A!$A:$N,0,MATCH($A$1,[2]Mar26A!$A$7:$N$7,0))),0)</f>
        <v>0</v>
      </c>
      <c r="E82" s="84">
        <f>IFERROR(SUMIF([2]Apr26A!$A:$A,$A82,INDEX([2]Apr26A!$A:$N,0,MATCH($A$1,[2]Apr26A!$A$7:$N$7,0))),0)</f>
        <v>0</v>
      </c>
      <c r="F82" s="84">
        <f>IFERROR(SUMIF([2]May26A!$A:$A,$A82,INDEX([2]May26A!$A:$N,0,MATCH($A$1,[2]May26A!$A$7:$N$7,0))),0)</f>
        <v>0</v>
      </c>
      <c r="G82" s="84">
        <f>IFERROR(SUMIF([2]Jun26A!$A:$A,$A82,INDEX([2]Jun26A!$A:$N,0,MATCH($A$1,[2]Jun26A!$A$7:$N$7,0))),0)</f>
        <v>0</v>
      </c>
      <c r="H82" s="84">
        <f>IFERROR(SUMIF([2]Jul26A!$A:$A,$A82,INDEX([2]Jul26A!$A:$N,0,MATCH($A$1,[2]Jul26A!$A$7:$N$7,0))),0)</f>
        <v>0</v>
      </c>
      <c r="I82" s="84">
        <f>IFERROR(SUMIF([2]Aug26A!$A:$A,$A82,INDEX([2]Aug26A!$A:$N,0,MATCH($A$1,[2]Aug26A!$A$7:$N$7,0))),0)</f>
        <v>0</v>
      </c>
      <c r="J82" s="117">
        <v>0</v>
      </c>
      <c r="K82" s="117">
        <v>0</v>
      </c>
      <c r="L82" s="117">
        <v>0</v>
      </c>
      <c r="M82" s="117">
        <v>0</v>
      </c>
      <c r="N82" s="84">
        <f t="shared" ref="N82:N117" si="58">SUM(B82:M82)</f>
        <v>0</v>
      </c>
      <c r="O82" s="105" t="str">
        <f t="shared" ref="O82:O116" si="59">IFERROR(N82/N$16,"")</f>
        <v/>
      </c>
      <c r="P82" s="84"/>
      <c r="Q82" s="84"/>
      <c r="R82" s="106" t="s">
        <v>99</v>
      </c>
      <c r="S82" s="107">
        <v>0</v>
      </c>
      <c r="T82" s="108">
        <v>0.05</v>
      </c>
      <c r="U82" s="104">
        <f t="shared" ref="U82:AF86" si="60">IF($R82="Manual","",IFERROR(IF($R82="YOY Growth",$N82*(1+$T82)/12,$S82/12),""))</f>
        <v>0</v>
      </c>
      <c r="V82" s="104">
        <f t="shared" si="60"/>
        <v>0</v>
      </c>
      <c r="W82" s="104">
        <f t="shared" si="60"/>
        <v>0</v>
      </c>
      <c r="X82" s="104">
        <f t="shared" si="60"/>
        <v>0</v>
      </c>
      <c r="Y82" s="104">
        <f t="shared" si="60"/>
        <v>0</v>
      </c>
      <c r="Z82" s="104">
        <f t="shared" si="60"/>
        <v>0</v>
      </c>
      <c r="AA82" s="104">
        <f t="shared" si="60"/>
        <v>0</v>
      </c>
      <c r="AB82" s="104">
        <f t="shared" si="60"/>
        <v>0</v>
      </c>
      <c r="AC82" s="104">
        <f t="shared" si="60"/>
        <v>0</v>
      </c>
      <c r="AD82" s="104">
        <f t="shared" si="60"/>
        <v>0</v>
      </c>
      <c r="AE82" s="104">
        <f t="shared" si="60"/>
        <v>0</v>
      </c>
      <c r="AF82" s="104">
        <f t="shared" si="60"/>
        <v>0</v>
      </c>
      <c r="AG82" s="84">
        <f t="shared" ref="AG82:AG117" si="61">SUM(U82:AF82)</f>
        <v>0</v>
      </c>
      <c r="AH82" s="105" t="str">
        <f t="shared" ref="AH82:AH116" si="62">IFERROR(AG82/AG$16,"")</f>
        <v/>
      </c>
      <c r="AJ82" s="84">
        <f t="shared" ref="AJ82:AJ116" si="63">N82-AG82</f>
        <v>0</v>
      </c>
    </row>
    <row r="83" spans="1:36" x14ac:dyDescent="0.3">
      <c r="A83" s="103" t="s">
        <v>169</v>
      </c>
      <c r="B83" s="84">
        <f>IFERROR(SUMIF([2]Jan26A!$A:$A,$A83,INDEX([2]Jan26A!$A:$N,0,MATCH($A$1,[2]Jan26A!$A$7:$N$7,0))),0)</f>
        <v>0</v>
      </c>
      <c r="C83" s="84">
        <f>IFERROR(SUMIF([2]Feb26A!$A:$A,$A83,INDEX([2]Feb26A!$A:$N,0,MATCH($A$1,[2]Feb26A!$A$7:$N$7,0))),0)</f>
        <v>0</v>
      </c>
      <c r="D83" s="84">
        <f>IFERROR(SUMIF([2]Mar26A!$A:$A,$A83,INDEX([2]Mar26A!$A:$N,0,MATCH($A$1,[2]Mar26A!$A$7:$N$7,0))),0)</f>
        <v>0</v>
      </c>
      <c r="E83" s="84">
        <f>IFERROR(SUMIF([2]Apr26A!$A:$A,$A83,INDEX([2]Apr26A!$A:$N,0,MATCH($A$1,[2]Apr26A!$A$7:$N$7,0))),0)</f>
        <v>0</v>
      </c>
      <c r="F83" s="84">
        <f>IFERROR(SUMIF([2]May26A!$A:$A,$A83,INDEX([2]May26A!$A:$N,0,MATCH($A$1,[2]May26A!$A$7:$N$7,0))),0)</f>
        <v>0</v>
      </c>
      <c r="G83" s="84">
        <f>IFERROR(SUMIF([2]Jun26A!$A:$A,$A83,INDEX([2]Jun26A!$A:$N,0,MATCH($A$1,[2]Jun26A!$A$7:$N$7,0))),0)</f>
        <v>0</v>
      </c>
      <c r="H83" s="84">
        <f>IFERROR(SUMIF([2]Jul26A!$A:$A,$A83,INDEX([2]Jul26A!$A:$N,0,MATCH($A$1,[2]Jul26A!$A$7:$N$7,0))),0)</f>
        <v>0</v>
      </c>
      <c r="I83" s="84">
        <f>IFERROR(SUMIF([2]Aug26A!$A:$A,$A83,INDEX([2]Aug26A!$A:$N,0,MATCH($A$1,[2]Aug26A!$A$7:$N$7,0))),0)</f>
        <v>0</v>
      </c>
      <c r="J83" s="117">
        <v>0</v>
      </c>
      <c r="K83" s="117">
        <v>0</v>
      </c>
      <c r="L83" s="117">
        <v>0</v>
      </c>
      <c r="M83" s="117">
        <v>0</v>
      </c>
      <c r="N83" s="84">
        <f t="shared" si="58"/>
        <v>0</v>
      </c>
      <c r="O83" s="105" t="str">
        <f t="shared" si="59"/>
        <v/>
      </c>
      <c r="P83" s="84"/>
      <c r="Q83" s="84"/>
      <c r="R83" s="106" t="s">
        <v>99</v>
      </c>
      <c r="S83" s="107">
        <v>0</v>
      </c>
      <c r="T83" s="108">
        <v>0.05</v>
      </c>
      <c r="U83" s="104">
        <f t="shared" si="60"/>
        <v>0</v>
      </c>
      <c r="V83" s="104">
        <f t="shared" si="60"/>
        <v>0</v>
      </c>
      <c r="W83" s="104">
        <f t="shared" si="60"/>
        <v>0</v>
      </c>
      <c r="X83" s="104">
        <f t="shared" si="60"/>
        <v>0</v>
      </c>
      <c r="Y83" s="104">
        <f t="shared" si="60"/>
        <v>0</v>
      </c>
      <c r="Z83" s="104">
        <f t="shared" si="60"/>
        <v>0</v>
      </c>
      <c r="AA83" s="104">
        <f t="shared" si="60"/>
        <v>0</v>
      </c>
      <c r="AB83" s="104">
        <f t="shared" si="60"/>
        <v>0</v>
      </c>
      <c r="AC83" s="104">
        <f t="shared" si="60"/>
        <v>0</v>
      </c>
      <c r="AD83" s="104">
        <f t="shared" si="60"/>
        <v>0</v>
      </c>
      <c r="AE83" s="104">
        <f t="shared" si="60"/>
        <v>0</v>
      </c>
      <c r="AF83" s="104">
        <f t="shared" si="60"/>
        <v>0</v>
      </c>
      <c r="AG83" s="84">
        <f t="shared" si="61"/>
        <v>0</v>
      </c>
      <c r="AH83" s="105" t="str">
        <f t="shared" si="62"/>
        <v/>
      </c>
      <c r="AJ83" s="84">
        <f t="shared" si="63"/>
        <v>0</v>
      </c>
    </row>
    <row r="84" spans="1:36" x14ac:dyDescent="0.3">
      <c r="A84" s="103" t="s">
        <v>170</v>
      </c>
      <c r="B84" s="84">
        <f>IFERROR(SUMIF([2]Jan26A!$A:$A,$A84,INDEX([2]Jan26A!$A:$N,0,MATCH($A$1,[2]Jan26A!$A$7:$N$7,0))),0)</f>
        <v>0</v>
      </c>
      <c r="C84" s="84">
        <f>IFERROR(SUMIF([2]Feb26A!$A:$A,$A84,INDEX([2]Feb26A!$A:$N,0,MATCH($A$1,[2]Feb26A!$A$7:$N$7,0))),0)</f>
        <v>0</v>
      </c>
      <c r="D84" s="84">
        <f>IFERROR(SUMIF([2]Mar26A!$A:$A,$A84,INDEX([2]Mar26A!$A:$N,0,MATCH($A$1,[2]Mar26A!$A$7:$N$7,0))),0)</f>
        <v>0</v>
      </c>
      <c r="E84" s="84">
        <f>IFERROR(SUMIF([2]Apr26A!$A:$A,$A84,INDEX([2]Apr26A!$A:$N,0,MATCH($A$1,[2]Apr26A!$A$7:$N$7,0))),0)</f>
        <v>0</v>
      </c>
      <c r="F84" s="84">
        <f>IFERROR(SUMIF([2]May26A!$A:$A,$A84,INDEX([2]May26A!$A:$N,0,MATCH($A$1,[2]May26A!$A$7:$N$7,0))),0)</f>
        <v>0</v>
      </c>
      <c r="G84" s="84">
        <f>IFERROR(SUMIF([2]Jun26A!$A:$A,$A84,INDEX([2]Jun26A!$A:$N,0,MATCH($A$1,[2]Jun26A!$A$7:$N$7,0))),0)</f>
        <v>0</v>
      </c>
      <c r="H84" s="84">
        <f>IFERROR(SUMIF([2]Jul26A!$A:$A,$A84,INDEX([2]Jul26A!$A:$N,0,MATCH($A$1,[2]Jul26A!$A$7:$N$7,0))),0)</f>
        <v>0</v>
      </c>
      <c r="I84" s="84">
        <f>IFERROR(SUMIF([2]Aug26A!$A:$A,$A84,INDEX([2]Aug26A!$A:$N,0,MATCH($A$1,[2]Aug26A!$A$7:$N$7,0))),0)</f>
        <v>0</v>
      </c>
      <c r="J84" s="117">
        <v>0</v>
      </c>
      <c r="K84" s="117">
        <v>0</v>
      </c>
      <c r="L84" s="117">
        <v>0</v>
      </c>
      <c r="M84" s="117">
        <v>0</v>
      </c>
      <c r="N84" s="84">
        <f t="shared" si="58"/>
        <v>0</v>
      </c>
      <c r="O84" s="105" t="str">
        <f t="shared" si="59"/>
        <v/>
      </c>
      <c r="P84" s="84"/>
      <c r="Q84" s="84"/>
      <c r="R84" s="106" t="s">
        <v>99</v>
      </c>
      <c r="S84" s="107">
        <v>0</v>
      </c>
      <c r="T84" s="108">
        <v>0.05</v>
      </c>
      <c r="U84" s="104">
        <f t="shared" si="60"/>
        <v>0</v>
      </c>
      <c r="V84" s="104">
        <f t="shared" si="60"/>
        <v>0</v>
      </c>
      <c r="W84" s="104">
        <f t="shared" si="60"/>
        <v>0</v>
      </c>
      <c r="X84" s="104">
        <f t="shared" si="60"/>
        <v>0</v>
      </c>
      <c r="Y84" s="104">
        <f t="shared" si="60"/>
        <v>0</v>
      </c>
      <c r="Z84" s="104">
        <f t="shared" si="60"/>
        <v>0</v>
      </c>
      <c r="AA84" s="104">
        <f t="shared" si="60"/>
        <v>0</v>
      </c>
      <c r="AB84" s="104">
        <f t="shared" si="60"/>
        <v>0</v>
      </c>
      <c r="AC84" s="104">
        <f t="shared" si="60"/>
        <v>0</v>
      </c>
      <c r="AD84" s="104">
        <f t="shared" si="60"/>
        <v>0</v>
      </c>
      <c r="AE84" s="104">
        <f t="shared" si="60"/>
        <v>0</v>
      </c>
      <c r="AF84" s="104">
        <f t="shared" si="60"/>
        <v>0</v>
      </c>
      <c r="AG84" s="84">
        <f t="shared" si="61"/>
        <v>0</v>
      </c>
      <c r="AH84" s="105" t="str">
        <f t="shared" si="62"/>
        <v/>
      </c>
      <c r="AJ84" s="84">
        <f t="shared" si="63"/>
        <v>0</v>
      </c>
    </row>
    <row r="85" spans="1:36" x14ac:dyDescent="0.3">
      <c r="A85" s="103" t="s">
        <v>171</v>
      </c>
      <c r="B85" s="84">
        <f>IFERROR(SUMIF([2]Jan26A!$A:$A,$A85,INDEX([2]Jan26A!$A:$N,0,MATCH($A$1,[2]Jan26A!$A$7:$N$7,0))),0)</f>
        <v>0</v>
      </c>
      <c r="C85" s="84">
        <f>IFERROR(SUMIF([2]Feb26A!$A:$A,$A85,INDEX([2]Feb26A!$A:$N,0,MATCH($A$1,[2]Feb26A!$A$7:$N$7,0))),0)</f>
        <v>0</v>
      </c>
      <c r="D85" s="84">
        <f>IFERROR(SUMIF([2]Mar26A!$A:$A,$A85,INDEX([2]Mar26A!$A:$N,0,MATCH($A$1,[2]Mar26A!$A$7:$N$7,0))),0)</f>
        <v>0</v>
      </c>
      <c r="E85" s="84">
        <f>IFERROR(SUMIF([2]Apr26A!$A:$A,$A85,INDEX([2]Apr26A!$A:$N,0,MATCH($A$1,[2]Apr26A!$A$7:$N$7,0))),0)</f>
        <v>0</v>
      </c>
      <c r="F85" s="84">
        <f>IFERROR(SUMIF([2]May26A!$A:$A,$A85,INDEX([2]May26A!$A:$N,0,MATCH($A$1,[2]May26A!$A$7:$N$7,0))),0)</f>
        <v>0</v>
      </c>
      <c r="G85" s="84">
        <f>IFERROR(SUMIF([2]Jun26A!$A:$A,$A85,INDEX([2]Jun26A!$A:$N,0,MATCH($A$1,[2]Jun26A!$A$7:$N$7,0))),0)</f>
        <v>0</v>
      </c>
      <c r="H85" s="84">
        <f>IFERROR(SUMIF([2]Jul26A!$A:$A,$A85,INDEX([2]Jul26A!$A:$N,0,MATCH($A$1,[2]Jul26A!$A$7:$N$7,0))),0)</f>
        <v>0</v>
      </c>
      <c r="I85" s="84">
        <f>IFERROR(SUMIF([2]Aug26A!$A:$A,$A85,INDEX([2]Aug26A!$A:$N,0,MATCH($A$1,[2]Aug26A!$A$7:$N$7,0))),0)</f>
        <v>0</v>
      </c>
      <c r="J85" s="117">
        <v>0</v>
      </c>
      <c r="K85" s="117">
        <v>0</v>
      </c>
      <c r="L85" s="117">
        <v>0</v>
      </c>
      <c r="M85" s="117">
        <v>0</v>
      </c>
      <c r="N85" s="84">
        <f t="shared" si="58"/>
        <v>0</v>
      </c>
      <c r="O85" s="105" t="str">
        <f t="shared" si="59"/>
        <v/>
      </c>
      <c r="P85" s="84"/>
      <c r="Q85" s="84"/>
      <c r="R85" s="106" t="s">
        <v>99</v>
      </c>
      <c r="S85" s="107">
        <v>0</v>
      </c>
      <c r="T85" s="108">
        <v>0.05</v>
      </c>
      <c r="U85" s="104">
        <f t="shared" si="60"/>
        <v>0</v>
      </c>
      <c r="V85" s="104">
        <f t="shared" si="60"/>
        <v>0</v>
      </c>
      <c r="W85" s="104">
        <f t="shared" si="60"/>
        <v>0</v>
      </c>
      <c r="X85" s="104">
        <f t="shared" si="60"/>
        <v>0</v>
      </c>
      <c r="Y85" s="104">
        <f t="shared" si="60"/>
        <v>0</v>
      </c>
      <c r="Z85" s="104">
        <f t="shared" si="60"/>
        <v>0</v>
      </c>
      <c r="AA85" s="104">
        <f t="shared" si="60"/>
        <v>0</v>
      </c>
      <c r="AB85" s="104">
        <f t="shared" si="60"/>
        <v>0</v>
      </c>
      <c r="AC85" s="104">
        <f t="shared" si="60"/>
        <v>0</v>
      </c>
      <c r="AD85" s="104">
        <f t="shared" si="60"/>
        <v>0</v>
      </c>
      <c r="AE85" s="104">
        <f t="shared" si="60"/>
        <v>0</v>
      </c>
      <c r="AF85" s="104">
        <f t="shared" si="60"/>
        <v>0</v>
      </c>
      <c r="AG85" s="84">
        <f t="shared" si="61"/>
        <v>0</v>
      </c>
      <c r="AH85" s="105" t="str">
        <f t="shared" si="62"/>
        <v/>
      </c>
      <c r="AJ85" s="84">
        <f t="shared" si="63"/>
        <v>0</v>
      </c>
    </row>
    <row r="86" spans="1:36" x14ac:dyDescent="0.3">
      <c r="A86" s="103" t="s">
        <v>172</v>
      </c>
      <c r="B86" s="84">
        <f>IFERROR(SUMIF([2]Jan26A!$A:$A,$A86,INDEX([2]Jan26A!$A:$N,0,MATCH($A$1,[2]Jan26A!$A$7:$N$7,0))),0)</f>
        <v>0</v>
      </c>
      <c r="C86" s="84">
        <f>IFERROR(SUMIF([2]Feb26A!$A:$A,$A86,INDEX([2]Feb26A!$A:$N,0,MATCH($A$1,[2]Feb26A!$A$7:$N$7,0))),0)</f>
        <v>0</v>
      </c>
      <c r="D86" s="84">
        <f>IFERROR(SUMIF([2]Mar26A!$A:$A,$A86,INDEX([2]Mar26A!$A:$N,0,MATCH($A$1,[2]Mar26A!$A$7:$N$7,0))),0)</f>
        <v>0</v>
      </c>
      <c r="E86" s="84">
        <f>IFERROR(SUMIF([2]Apr26A!$A:$A,$A86,INDEX([2]Apr26A!$A:$N,0,MATCH($A$1,[2]Apr26A!$A$7:$N$7,0))),0)</f>
        <v>0</v>
      </c>
      <c r="F86" s="84">
        <f>IFERROR(SUMIF([2]May26A!$A:$A,$A86,INDEX([2]May26A!$A:$N,0,MATCH($A$1,[2]May26A!$A$7:$N$7,0))),0)</f>
        <v>0</v>
      </c>
      <c r="G86" s="84">
        <f>IFERROR(SUMIF([2]Jun26A!$A:$A,$A86,INDEX([2]Jun26A!$A:$N,0,MATCH($A$1,[2]Jun26A!$A$7:$N$7,0))),0)</f>
        <v>0</v>
      </c>
      <c r="H86" s="84">
        <f>IFERROR(SUMIF([2]Jul26A!$A:$A,$A86,INDEX([2]Jul26A!$A:$N,0,MATCH($A$1,[2]Jul26A!$A$7:$N$7,0))),0)</f>
        <v>0</v>
      </c>
      <c r="I86" s="84">
        <f>IFERROR(SUMIF([2]Aug26A!$A:$A,$A86,INDEX([2]Aug26A!$A:$N,0,MATCH($A$1,[2]Aug26A!$A$7:$N$7,0))),0)</f>
        <v>0</v>
      </c>
      <c r="J86" s="117">
        <v>0</v>
      </c>
      <c r="K86" s="117">
        <v>0</v>
      </c>
      <c r="L86" s="117">
        <v>0</v>
      </c>
      <c r="M86" s="117">
        <v>0</v>
      </c>
      <c r="N86" s="84">
        <f t="shared" si="58"/>
        <v>0</v>
      </c>
      <c r="O86" s="105" t="str">
        <f t="shared" si="59"/>
        <v/>
      </c>
      <c r="P86" s="84"/>
      <c r="Q86" s="84"/>
      <c r="R86" s="106" t="s">
        <v>99</v>
      </c>
      <c r="S86" s="107">
        <v>0</v>
      </c>
      <c r="T86" s="108">
        <v>0.05</v>
      </c>
      <c r="U86" s="104">
        <f t="shared" si="60"/>
        <v>0</v>
      </c>
      <c r="V86" s="104">
        <f t="shared" si="60"/>
        <v>0</v>
      </c>
      <c r="W86" s="104">
        <f t="shared" si="60"/>
        <v>0</v>
      </c>
      <c r="X86" s="104">
        <f t="shared" si="60"/>
        <v>0</v>
      </c>
      <c r="Y86" s="104">
        <f t="shared" si="60"/>
        <v>0</v>
      </c>
      <c r="Z86" s="104">
        <f t="shared" si="60"/>
        <v>0</v>
      </c>
      <c r="AA86" s="104">
        <f t="shared" si="60"/>
        <v>0</v>
      </c>
      <c r="AB86" s="104">
        <f t="shared" si="60"/>
        <v>0</v>
      </c>
      <c r="AC86" s="104">
        <f t="shared" si="60"/>
        <v>0</v>
      </c>
      <c r="AD86" s="104">
        <f t="shared" si="60"/>
        <v>0</v>
      </c>
      <c r="AE86" s="104">
        <f t="shared" si="60"/>
        <v>0</v>
      </c>
      <c r="AF86" s="104">
        <f t="shared" si="60"/>
        <v>0</v>
      </c>
      <c r="AG86" s="84">
        <f t="shared" si="61"/>
        <v>0</v>
      </c>
      <c r="AH86" s="105" t="str">
        <f t="shared" si="62"/>
        <v/>
      </c>
      <c r="AJ86" s="84">
        <f t="shared" si="63"/>
        <v>0</v>
      </c>
    </row>
    <row r="87" spans="1:36" x14ac:dyDescent="0.3">
      <c r="A87" s="109" t="s">
        <v>173</v>
      </c>
      <c r="B87" s="110">
        <f t="shared" ref="B87:M87" si="64">SUM(B82:B86)</f>
        <v>0</v>
      </c>
      <c r="C87" s="110">
        <f t="shared" si="64"/>
        <v>0</v>
      </c>
      <c r="D87" s="110">
        <f t="shared" si="64"/>
        <v>0</v>
      </c>
      <c r="E87" s="110">
        <f t="shared" si="64"/>
        <v>0</v>
      </c>
      <c r="F87" s="110">
        <f t="shared" si="64"/>
        <v>0</v>
      </c>
      <c r="G87" s="110">
        <f t="shared" si="64"/>
        <v>0</v>
      </c>
      <c r="H87" s="110">
        <f t="shared" si="64"/>
        <v>0</v>
      </c>
      <c r="I87" s="110">
        <f t="shared" si="64"/>
        <v>0</v>
      </c>
      <c r="J87" s="110">
        <f t="shared" si="64"/>
        <v>0</v>
      </c>
      <c r="K87" s="110">
        <f t="shared" si="64"/>
        <v>0</v>
      </c>
      <c r="L87" s="110">
        <f t="shared" si="64"/>
        <v>0</v>
      </c>
      <c r="M87" s="110">
        <f t="shared" si="64"/>
        <v>0</v>
      </c>
      <c r="N87" s="110">
        <f t="shared" si="58"/>
        <v>0</v>
      </c>
      <c r="O87" s="111" t="str">
        <f t="shared" si="59"/>
        <v/>
      </c>
      <c r="P87" s="84"/>
      <c r="Q87" s="84"/>
      <c r="R87" s="112"/>
      <c r="S87" s="112"/>
      <c r="T87" s="112"/>
      <c r="U87" s="110">
        <f t="shared" ref="U87:AF87" si="65">SUM(U82:U86)</f>
        <v>0</v>
      </c>
      <c r="V87" s="110">
        <f t="shared" si="65"/>
        <v>0</v>
      </c>
      <c r="W87" s="110">
        <f t="shared" si="65"/>
        <v>0</v>
      </c>
      <c r="X87" s="110">
        <f t="shared" si="65"/>
        <v>0</v>
      </c>
      <c r="Y87" s="110">
        <f t="shared" si="65"/>
        <v>0</v>
      </c>
      <c r="Z87" s="110">
        <f t="shared" si="65"/>
        <v>0</v>
      </c>
      <c r="AA87" s="110">
        <f t="shared" si="65"/>
        <v>0</v>
      </c>
      <c r="AB87" s="110">
        <f t="shared" si="65"/>
        <v>0</v>
      </c>
      <c r="AC87" s="110">
        <f t="shared" si="65"/>
        <v>0</v>
      </c>
      <c r="AD87" s="110">
        <f t="shared" si="65"/>
        <v>0</v>
      </c>
      <c r="AE87" s="110">
        <f t="shared" si="65"/>
        <v>0</v>
      </c>
      <c r="AF87" s="110">
        <f t="shared" si="65"/>
        <v>0</v>
      </c>
      <c r="AG87" s="110">
        <f t="shared" si="61"/>
        <v>0</v>
      </c>
      <c r="AH87" s="111" t="str">
        <f t="shared" si="62"/>
        <v/>
      </c>
      <c r="AJ87" s="110">
        <f t="shared" si="63"/>
        <v>0</v>
      </c>
    </row>
    <row r="88" spans="1:36" x14ac:dyDescent="0.3">
      <c r="A88" s="113" t="s">
        <v>174</v>
      </c>
      <c r="B88" s="84">
        <f>IFERROR(SUMIF([2]Jan26A!$A:$A,$A88,INDEX([2]Jan26A!$A:$N,0,MATCH($A$1,[2]Jan26A!$A$7:$N$7,0))),0)</f>
        <v>0</v>
      </c>
      <c r="C88" s="84">
        <f>IFERROR(SUMIF([2]Feb26A!$A:$A,$A88,INDEX([2]Feb26A!$A:$N,0,MATCH($A$1,[2]Feb26A!$A$7:$N$7,0))),0)</f>
        <v>0</v>
      </c>
      <c r="D88" s="84">
        <f>IFERROR(SUMIF([2]Mar26A!$A:$A,$A88,INDEX([2]Mar26A!$A:$N,0,MATCH($A$1,[2]Mar26A!$A$7:$N$7,0))),0)</f>
        <v>0</v>
      </c>
      <c r="E88" s="84">
        <f>IFERROR(SUMIF([2]Apr26A!$A:$A,$A88,INDEX([2]Apr26A!$A:$N,0,MATCH($A$1,[2]Apr26A!$A$7:$N$7,0))),0)</f>
        <v>0</v>
      </c>
      <c r="F88" s="84">
        <f>IFERROR(SUMIF([2]May26A!$A:$A,$A88,INDEX([2]May26A!$A:$N,0,MATCH($A$1,[2]May26A!$A$7:$N$7,0))),0)</f>
        <v>0</v>
      </c>
      <c r="G88" s="84">
        <f>IFERROR(SUMIF([2]Jun26A!$A:$A,$A88,INDEX([2]Jun26A!$A:$N,0,MATCH($A$1,[2]Jun26A!$A$7:$N$7,0))),0)</f>
        <v>0</v>
      </c>
      <c r="H88" s="84">
        <f>IFERROR(SUMIF([2]Jul26A!$A:$A,$A88,INDEX([2]Jul26A!$A:$N,0,MATCH($A$1,[2]Jul26A!$A$7:$N$7,0))),0)</f>
        <v>0</v>
      </c>
      <c r="I88" s="84">
        <f>IFERROR(SUMIF([2]Aug26A!$A:$A,$A88,INDEX([2]Aug26A!$A:$N,0,MATCH($A$1,[2]Aug26A!$A$7:$N$7,0))),0)</f>
        <v>0</v>
      </c>
      <c r="J88" s="117">
        <v>0</v>
      </c>
      <c r="K88" s="117">
        <v>0</v>
      </c>
      <c r="L88" s="117">
        <v>0</v>
      </c>
      <c r="M88" s="117">
        <v>0</v>
      </c>
      <c r="N88" s="84">
        <f t="shared" si="58"/>
        <v>0</v>
      </c>
      <c r="O88" s="105" t="str">
        <f t="shared" si="59"/>
        <v/>
      </c>
      <c r="P88" s="84"/>
      <c r="Q88" s="84"/>
      <c r="R88" s="106" t="s">
        <v>99</v>
      </c>
      <c r="S88" s="107">
        <v>0</v>
      </c>
      <c r="T88" s="108">
        <v>0.05</v>
      </c>
      <c r="U88" s="104">
        <f t="shared" ref="U88:AF97" si="66">IF($R88="Manual","",IFERROR(IF($R88="YOY Growth",$N88*(1+$T88)/12,$S88/12),""))</f>
        <v>0</v>
      </c>
      <c r="V88" s="104">
        <f t="shared" si="66"/>
        <v>0</v>
      </c>
      <c r="W88" s="104">
        <f t="shared" si="66"/>
        <v>0</v>
      </c>
      <c r="X88" s="104">
        <f t="shared" si="66"/>
        <v>0</v>
      </c>
      <c r="Y88" s="104">
        <f t="shared" si="66"/>
        <v>0</v>
      </c>
      <c r="Z88" s="104">
        <f t="shared" si="66"/>
        <v>0</v>
      </c>
      <c r="AA88" s="104">
        <f t="shared" si="66"/>
        <v>0</v>
      </c>
      <c r="AB88" s="104">
        <f t="shared" si="66"/>
        <v>0</v>
      </c>
      <c r="AC88" s="104">
        <f t="shared" si="66"/>
        <v>0</v>
      </c>
      <c r="AD88" s="104">
        <f t="shared" si="66"/>
        <v>0</v>
      </c>
      <c r="AE88" s="104">
        <f t="shared" si="66"/>
        <v>0</v>
      </c>
      <c r="AF88" s="104">
        <f t="shared" si="66"/>
        <v>0</v>
      </c>
      <c r="AG88" s="84">
        <f t="shared" si="61"/>
        <v>0</v>
      </c>
      <c r="AH88" s="105" t="str">
        <f t="shared" si="62"/>
        <v/>
      </c>
      <c r="AJ88" s="84">
        <f t="shared" si="63"/>
        <v>0</v>
      </c>
    </row>
    <row r="89" spans="1:36" x14ac:dyDescent="0.3">
      <c r="A89" s="113" t="s">
        <v>175</v>
      </c>
      <c r="B89" s="84">
        <f>IFERROR(SUMIF([2]Jan26A!$A:$A,$A89,INDEX([2]Jan26A!$A:$N,0,MATCH($A$1,[2]Jan26A!$A$7:$N$7,0))),0)</f>
        <v>0</v>
      </c>
      <c r="C89" s="84">
        <f>IFERROR(SUMIF([2]Feb26A!$A:$A,$A89,INDEX([2]Feb26A!$A:$N,0,MATCH($A$1,[2]Feb26A!$A$7:$N$7,0))),0)</f>
        <v>0</v>
      </c>
      <c r="D89" s="84">
        <f>IFERROR(SUMIF([2]Mar26A!$A:$A,$A89,INDEX([2]Mar26A!$A:$N,0,MATCH($A$1,[2]Mar26A!$A$7:$N$7,0))),0)</f>
        <v>0</v>
      </c>
      <c r="E89" s="84">
        <f>IFERROR(SUMIF([2]Apr26A!$A:$A,$A89,INDEX([2]Apr26A!$A:$N,0,MATCH($A$1,[2]Apr26A!$A$7:$N$7,0))),0)</f>
        <v>0</v>
      </c>
      <c r="F89" s="84">
        <f>IFERROR(SUMIF([2]May26A!$A:$A,$A89,INDEX([2]May26A!$A:$N,0,MATCH($A$1,[2]May26A!$A$7:$N$7,0))),0)</f>
        <v>0</v>
      </c>
      <c r="G89" s="84">
        <f>IFERROR(SUMIF([2]Jun26A!$A:$A,$A89,INDEX([2]Jun26A!$A:$N,0,MATCH($A$1,[2]Jun26A!$A$7:$N$7,0))),0)</f>
        <v>31320</v>
      </c>
      <c r="H89" s="84">
        <f>IFERROR(SUMIF([2]Jul26A!$A:$A,$A89,INDEX([2]Jul26A!$A:$N,0,MATCH($A$1,[2]Jul26A!$A$7:$N$7,0))),0)</f>
        <v>-8375</v>
      </c>
      <c r="I89" s="84">
        <f>IFERROR(SUMIF([2]Aug26A!$A:$A,$A89,INDEX([2]Aug26A!$A:$N,0,MATCH($A$1,[2]Aug26A!$A$7:$N$7,0))),0)</f>
        <v>-8375</v>
      </c>
      <c r="J89" s="117">
        <v>0</v>
      </c>
      <c r="K89" s="117">
        <v>0</v>
      </c>
      <c r="L89" s="117">
        <v>0</v>
      </c>
      <c r="M89" s="117">
        <v>0</v>
      </c>
      <c r="N89" s="84">
        <f t="shared" si="58"/>
        <v>14570</v>
      </c>
      <c r="O89" s="105" t="str">
        <f t="shared" si="59"/>
        <v/>
      </c>
      <c r="P89" s="84"/>
      <c r="Q89" s="84"/>
      <c r="R89" s="106" t="s">
        <v>99</v>
      </c>
      <c r="S89" s="107">
        <v>0</v>
      </c>
      <c r="T89" s="108">
        <v>0.05</v>
      </c>
      <c r="U89" s="104">
        <f t="shared" si="66"/>
        <v>0</v>
      </c>
      <c r="V89" s="104">
        <f t="shared" si="66"/>
        <v>0</v>
      </c>
      <c r="W89" s="104">
        <f t="shared" si="66"/>
        <v>0</v>
      </c>
      <c r="X89" s="104">
        <f t="shared" si="66"/>
        <v>0</v>
      </c>
      <c r="Y89" s="104">
        <f t="shared" si="66"/>
        <v>0</v>
      </c>
      <c r="Z89" s="104">
        <f t="shared" si="66"/>
        <v>0</v>
      </c>
      <c r="AA89" s="104">
        <f t="shared" si="66"/>
        <v>0</v>
      </c>
      <c r="AB89" s="104">
        <f t="shared" si="66"/>
        <v>0</v>
      </c>
      <c r="AC89" s="104">
        <f t="shared" si="66"/>
        <v>0</v>
      </c>
      <c r="AD89" s="104">
        <f t="shared" si="66"/>
        <v>0</v>
      </c>
      <c r="AE89" s="104">
        <f t="shared" si="66"/>
        <v>0</v>
      </c>
      <c r="AF89" s="104">
        <f t="shared" si="66"/>
        <v>0</v>
      </c>
      <c r="AG89" s="84">
        <f t="shared" si="61"/>
        <v>0</v>
      </c>
      <c r="AH89" s="105" t="str">
        <f t="shared" si="62"/>
        <v/>
      </c>
      <c r="AJ89" s="84">
        <f t="shared" si="63"/>
        <v>14570</v>
      </c>
    </row>
    <row r="90" spans="1:36" x14ac:dyDescent="0.3">
      <c r="A90" s="113" t="s">
        <v>176</v>
      </c>
      <c r="B90" s="84">
        <f>IFERROR(SUMIF([2]Jan26A!$A:$A,$A90,INDEX([2]Jan26A!$A:$N,0,MATCH($A$1,[2]Jan26A!$A$7:$N$7,0))),0)</f>
        <v>0</v>
      </c>
      <c r="C90" s="84">
        <f>IFERROR(SUMIF([2]Feb26A!$A:$A,$A90,INDEX([2]Feb26A!$A:$N,0,MATCH($A$1,[2]Feb26A!$A$7:$N$7,0))),0)</f>
        <v>0</v>
      </c>
      <c r="D90" s="84">
        <f>IFERROR(SUMIF([2]Mar26A!$A:$A,$A90,INDEX([2]Mar26A!$A:$N,0,MATCH($A$1,[2]Mar26A!$A$7:$N$7,0))),0)</f>
        <v>0</v>
      </c>
      <c r="E90" s="84">
        <f>IFERROR(SUMIF([2]Apr26A!$A:$A,$A90,INDEX([2]Apr26A!$A:$N,0,MATCH($A$1,[2]Apr26A!$A$7:$N$7,0))),0)</f>
        <v>0</v>
      </c>
      <c r="F90" s="84">
        <f>IFERROR(SUMIF([2]May26A!$A:$A,$A90,INDEX([2]May26A!$A:$N,0,MATCH($A$1,[2]May26A!$A$7:$N$7,0))),0)</f>
        <v>0</v>
      </c>
      <c r="G90" s="84">
        <f>IFERROR(SUMIF([2]Jun26A!$A:$A,$A90,INDEX([2]Jun26A!$A:$N,0,MATCH($A$1,[2]Jun26A!$A$7:$N$7,0))),0)</f>
        <v>0</v>
      </c>
      <c r="H90" s="84">
        <f>IFERROR(SUMIF([2]Jul26A!$A:$A,$A90,INDEX([2]Jul26A!$A:$N,0,MATCH($A$1,[2]Jul26A!$A$7:$N$7,0))),0)</f>
        <v>0</v>
      </c>
      <c r="I90" s="84">
        <f>IFERROR(SUMIF([2]Aug26A!$A:$A,$A90,INDEX([2]Aug26A!$A:$N,0,MATCH($A$1,[2]Aug26A!$A$7:$N$7,0))),0)</f>
        <v>0</v>
      </c>
      <c r="J90" s="117">
        <v>0</v>
      </c>
      <c r="K90" s="117">
        <v>0</v>
      </c>
      <c r="L90" s="117">
        <v>0</v>
      </c>
      <c r="M90" s="117">
        <v>0</v>
      </c>
      <c r="N90" s="84">
        <f t="shared" si="58"/>
        <v>0</v>
      </c>
      <c r="O90" s="105" t="str">
        <f t="shared" si="59"/>
        <v/>
      </c>
      <c r="P90" s="84"/>
      <c r="Q90" s="84"/>
      <c r="R90" s="106" t="s">
        <v>99</v>
      </c>
      <c r="S90" s="107">
        <v>0</v>
      </c>
      <c r="T90" s="108">
        <v>0.05</v>
      </c>
      <c r="U90" s="104">
        <f t="shared" si="66"/>
        <v>0</v>
      </c>
      <c r="V90" s="104">
        <f t="shared" si="66"/>
        <v>0</v>
      </c>
      <c r="W90" s="104">
        <f t="shared" si="66"/>
        <v>0</v>
      </c>
      <c r="X90" s="104">
        <f t="shared" si="66"/>
        <v>0</v>
      </c>
      <c r="Y90" s="104">
        <f t="shared" si="66"/>
        <v>0</v>
      </c>
      <c r="Z90" s="104">
        <f t="shared" si="66"/>
        <v>0</v>
      </c>
      <c r="AA90" s="104">
        <f t="shared" si="66"/>
        <v>0</v>
      </c>
      <c r="AB90" s="104">
        <f t="shared" si="66"/>
        <v>0</v>
      </c>
      <c r="AC90" s="104">
        <f t="shared" si="66"/>
        <v>0</v>
      </c>
      <c r="AD90" s="104">
        <f t="shared" si="66"/>
        <v>0</v>
      </c>
      <c r="AE90" s="104">
        <f t="shared" si="66"/>
        <v>0</v>
      </c>
      <c r="AF90" s="104">
        <f t="shared" si="66"/>
        <v>0</v>
      </c>
      <c r="AG90" s="84">
        <f t="shared" si="61"/>
        <v>0</v>
      </c>
      <c r="AH90" s="105" t="str">
        <f t="shared" si="62"/>
        <v/>
      </c>
      <c r="AJ90" s="84">
        <f t="shared" si="63"/>
        <v>0</v>
      </c>
    </row>
    <row r="91" spans="1:36" x14ac:dyDescent="0.3">
      <c r="A91" s="113" t="s">
        <v>177</v>
      </c>
      <c r="B91" s="84">
        <f>IFERROR(SUMIF([2]Jan26A!$A:$A,$A91,INDEX([2]Jan26A!$A:$N,0,MATCH($A$1,[2]Jan26A!$A$7:$N$7,0))),0)</f>
        <v>0</v>
      </c>
      <c r="C91" s="84">
        <f>IFERROR(SUMIF([2]Feb26A!$A:$A,$A91,INDEX([2]Feb26A!$A:$N,0,MATCH($A$1,[2]Feb26A!$A$7:$N$7,0))),0)</f>
        <v>11217.74</v>
      </c>
      <c r="D91" s="84">
        <f>IFERROR(SUMIF([2]Mar26A!$A:$A,$A91,INDEX([2]Mar26A!$A:$N,0,MATCH($A$1,[2]Mar26A!$A$7:$N$7,0))),0)</f>
        <v>22578.69</v>
      </c>
      <c r="E91" s="84">
        <f>IFERROR(SUMIF([2]Apr26A!$A:$A,$A91,INDEX([2]Apr26A!$A:$N,0,MATCH($A$1,[2]Apr26A!$A$7:$N$7,0))),0)</f>
        <v>2247.84</v>
      </c>
      <c r="F91" s="84">
        <f>IFERROR(SUMIF([2]May26A!$A:$A,$A91,INDEX([2]May26A!$A:$N,0,MATCH($A$1,[2]May26A!$A$7:$N$7,0))),0)</f>
        <v>0</v>
      </c>
      <c r="G91" s="84">
        <f>IFERROR(SUMIF([2]Jun26A!$A:$A,$A91,INDEX([2]Jun26A!$A:$N,0,MATCH($A$1,[2]Jun26A!$A$7:$N$7,0))),0)</f>
        <v>0</v>
      </c>
      <c r="H91" s="84">
        <f>IFERROR(SUMIF([2]Jul26A!$A:$A,$A91,INDEX([2]Jul26A!$A:$N,0,MATCH($A$1,[2]Jul26A!$A$7:$N$7,0))),0)</f>
        <v>8883.7099999999991</v>
      </c>
      <c r="I91" s="84">
        <f>IFERROR(SUMIF([2]Aug26A!$A:$A,$A91,INDEX([2]Aug26A!$A:$N,0,MATCH($A$1,[2]Aug26A!$A$7:$N$7,0))),0)</f>
        <v>14805.67</v>
      </c>
      <c r="J91" s="117">
        <v>0</v>
      </c>
      <c r="K91" s="117">
        <v>0</v>
      </c>
      <c r="L91" s="117">
        <v>0</v>
      </c>
      <c r="M91" s="117">
        <v>0</v>
      </c>
      <c r="N91" s="84">
        <f t="shared" si="58"/>
        <v>59733.65</v>
      </c>
      <c r="O91" s="105" t="str">
        <f t="shared" si="59"/>
        <v/>
      </c>
      <c r="P91" s="84"/>
      <c r="Q91" s="84"/>
      <c r="R91" s="106" t="s">
        <v>99</v>
      </c>
      <c r="S91" s="107">
        <v>0</v>
      </c>
      <c r="T91" s="108">
        <v>0.05</v>
      </c>
      <c r="U91" s="104">
        <f t="shared" si="66"/>
        <v>0</v>
      </c>
      <c r="V91" s="104">
        <f t="shared" si="66"/>
        <v>0</v>
      </c>
      <c r="W91" s="104">
        <f t="shared" si="66"/>
        <v>0</v>
      </c>
      <c r="X91" s="104">
        <f t="shared" si="66"/>
        <v>0</v>
      </c>
      <c r="Y91" s="104">
        <f t="shared" si="66"/>
        <v>0</v>
      </c>
      <c r="Z91" s="104">
        <f t="shared" si="66"/>
        <v>0</v>
      </c>
      <c r="AA91" s="104">
        <f t="shared" si="66"/>
        <v>0</v>
      </c>
      <c r="AB91" s="104">
        <f t="shared" si="66"/>
        <v>0</v>
      </c>
      <c r="AC91" s="104">
        <f t="shared" si="66"/>
        <v>0</v>
      </c>
      <c r="AD91" s="104">
        <f t="shared" si="66"/>
        <v>0</v>
      </c>
      <c r="AE91" s="104">
        <f t="shared" si="66"/>
        <v>0</v>
      </c>
      <c r="AF91" s="104">
        <f t="shared" si="66"/>
        <v>0</v>
      </c>
      <c r="AG91" s="84">
        <f t="shared" si="61"/>
        <v>0</v>
      </c>
      <c r="AH91" s="105" t="str">
        <f t="shared" si="62"/>
        <v/>
      </c>
      <c r="AJ91" s="84">
        <f t="shared" si="63"/>
        <v>59733.65</v>
      </c>
    </row>
    <row r="92" spans="1:36" x14ac:dyDescent="0.3">
      <c r="A92" s="113" t="s">
        <v>178</v>
      </c>
      <c r="B92" s="84">
        <f>IFERROR(SUMIF([2]Jan26A!$A:$A,$A92,INDEX([2]Jan26A!$A:$N,0,MATCH($A$1,[2]Jan26A!$A$7:$N$7,0))),0)</f>
        <v>0</v>
      </c>
      <c r="C92" s="84">
        <f>IFERROR(SUMIF([2]Feb26A!$A:$A,$A92,INDEX([2]Feb26A!$A:$N,0,MATCH($A$1,[2]Feb26A!$A$7:$N$7,0))),0)</f>
        <v>1173.3900000000001</v>
      </c>
      <c r="D92" s="84">
        <f>IFERROR(SUMIF([2]Mar26A!$A:$A,$A92,INDEX([2]Mar26A!$A:$N,0,MATCH($A$1,[2]Mar26A!$A$7:$N$7,0))),0)</f>
        <v>-83.85</v>
      </c>
      <c r="E92" s="84">
        <f>IFERROR(SUMIF([2]Apr26A!$A:$A,$A92,INDEX([2]Apr26A!$A:$N,0,MATCH($A$1,[2]Apr26A!$A$7:$N$7,0))),0)</f>
        <v>0</v>
      </c>
      <c r="F92" s="84">
        <f>IFERROR(SUMIF([2]May26A!$A:$A,$A92,INDEX([2]May26A!$A:$N,0,MATCH($A$1,[2]May26A!$A$7:$N$7,0))),0)</f>
        <v>0</v>
      </c>
      <c r="G92" s="84">
        <f>IFERROR(SUMIF([2]Jun26A!$A:$A,$A92,INDEX([2]Jun26A!$A:$N,0,MATCH($A$1,[2]Jun26A!$A$7:$N$7,0))),0)</f>
        <v>0</v>
      </c>
      <c r="H92" s="84">
        <f>IFERROR(SUMIF([2]Jul26A!$A:$A,$A92,INDEX([2]Jul26A!$A:$N,0,MATCH($A$1,[2]Jul26A!$A$7:$N$7,0))),0)</f>
        <v>0</v>
      </c>
      <c r="I92" s="84">
        <f>IFERROR(SUMIF([2]Aug26A!$A:$A,$A92,INDEX([2]Aug26A!$A:$N,0,MATCH($A$1,[2]Aug26A!$A$7:$N$7,0))),0)</f>
        <v>0</v>
      </c>
      <c r="J92" s="117">
        <v>0</v>
      </c>
      <c r="K92" s="117">
        <v>0</v>
      </c>
      <c r="L92" s="117">
        <v>0</v>
      </c>
      <c r="M92" s="117">
        <v>0</v>
      </c>
      <c r="N92" s="84">
        <f t="shared" si="58"/>
        <v>1089.5400000000002</v>
      </c>
      <c r="O92" s="105" t="str">
        <f t="shared" si="59"/>
        <v/>
      </c>
      <c r="P92" s="84"/>
      <c r="Q92" s="84"/>
      <c r="R92" s="106" t="s">
        <v>99</v>
      </c>
      <c r="S92" s="107">
        <v>0</v>
      </c>
      <c r="T92" s="108">
        <v>0.05</v>
      </c>
      <c r="U92" s="104">
        <f t="shared" si="66"/>
        <v>0</v>
      </c>
      <c r="V92" s="104">
        <f t="shared" si="66"/>
        <v>0</v>
      </c>
      <c r="W92" s="104">
        <f t="shared" si="66"/>
        <v>0</v>
      </c>
      <c r="X92" s="104">
        <f t="shared" si="66"/>
        <v>0</v>
      </c>
      <c r="Y92" s="104">
        <f t="shared" si="66"/>
        <v>0</v>
      </c>
      <c r="Z92" s="104">
        <f t="shared" si="66"/>
        <v>0</v>
      </c>
      <c r="AA92" s="104">
        <f t="shared" si="66"/>
        <v>0</v>
      </c>
      <c r="AB92" s="104">
        <f t="shared" si="66"/>
        <v>0</v>
      </c>
      <c r="AC92" s="104">
        <f t="shared" si="66"/>
        <v>0</v>
      </c>
      <c r="AD92" s="104">
        <f t="shared" si="66"/>
        <v>0</v>
      </c>
      <c r="AE92" s="104">
        <f t="shared" si="66"/>
        <v>0</v>
      </c>
      <c r="AF92" s="104">
        <f t="shared" si="66"/>
        <v>0</v>
      </c>
      <c r="AG92" s="84">
        <f t="shared" si="61"/>
        <v>0</v>
      </c>
      <c r="AH92" s="105" t="str">
        <f t="shared" si="62"/>
        <v/>
      </c>
      <c r="AJ92" s="84">
        <f t="shared" si="63"/>
        <v>1089.5400000000002</v>
      </c>
    </row>
    <row r="93" spans="1:36" x14ac:dyDescent="0.3">
      <c r="A93" s="113" t="s">
        <v>179</v>
      </c>
      <c r="B93" s="84">
        <f>IFERROR(SUMIF([2]Jan26A!$A:$A,$A93,INDEX([2]Jan26A!$A:$N,0,MATCH($A$1,[2]Jan26A!$A$7:$N$7,0))),0)</f>
        <v>0</v>
      </c>
      <c r="C93" s="84">
        <f>IFERROR(SUMIF([2]Feb26A!$A:$A,$A93,INDEX([2]Feb26A!$A:$N,0,MATCH($A$1,[2]Feb26A!$A$7:$N$7,0))),0)</f>
        <v>0</v>
      </c>
      <c r="D93" s="84">
        <f>IFERROR(SUMIF([2]Mar26A!$A:$A,$A93,INDEX([2]Mar26A!$A:$N,0,MATCH($A$1,[2]Mar26A!$A$7:$N$7,0))),0)</f>
        <v>0</v>
      </c>
      <c r="E93" s="84">
        <f>IFERROR(SUMIF([2]Apr26A!$A:$A,$A93,INDEX([2]Apr26A!$A:$N,0,MATCH($A$1,[2]Apr26A!$A$7:$N$7,0))),0)</f>
        <v>0</v>
      </c>
      <c r="F93" s="84">
        <f>IFERROR(SUMIF([2]May26A!$A:$A,$A93,INDEX([2]May26A!$A:$N,0,MATCH($A$1,[2]May26A!$A$7:$N$7,0))),0)</f>
        <v>0</v>
      </c>
      <c r="G93" s="84">
        <f>IFERROR(SUMIF([2]Jun26A!$A:$A,$A93,INDEX([2]Jun26A!$A:$N,0,MATCH($A$1,[2]Jun26A!$A$7:$N$7,0))),0)</f>
        <v>0</v>
      </c>
      <c r="H93" s="84">
        <f>IFERROR(SUMIF([2]Jul26A!$A:$A,$A93,INDEX([2]Jul26A!$A:$N,0,MATCH($A$1,[2]Jul26A!$A$7:$N$7,0))),0)</f>
        <v>0</v>
      </c>
      <c r="I93" s="84">
        <f>IFERROR(SUMIF([2]Aug26A!$A:$A,$A93,INDEX([2]Aug26A!$A:$N,0,MATCH($A$1,[2]Aug26A!$A$7:$N$7,0))),0)</f>
        <v>0</v>
      </c>
      <c r="J93" s="117">
        <v>0</v>
      </c>
      <c r="K93" s="117">
        <v>0</v>
      </c>
      <c r="L93" s="117">
        <v>0</v>
      </c>
      <c r="M93" s="117">
        <v>0</v>
      </c>
      <c r="N93" s="84">
        <f t="shared" si="58"/>
        <v>0</v>
      </c>
      <c r="O93" s="105" t="str">
        <f t="shared" si="59"/>
        <v/>
      </c>
      <c r="P93" s="84"/>
      <c r="Q93" s="84"/>
      <c r="R93" s="106" t="s">
        <v>99</v>
      </c>
      <c r="S93" s="107">
        <v>0</v>
      </c>
      <c r="T93" s="108">
        <v>0.05</v>
      </c>
      <c r="U93" s="104">
        <f t="shared" si="66"/>
        <v>0</v>
      </c>
      <c r="V93" s="104">
        <f t="shared" si="66"/>
        <v>0</v>
      </c>
      <c r="W93" s="104">
        <f t="shared" si="66"/>
        <v>0</v>
      </c>
      <c r="X93" s="104">
        <f t="shared" si="66"/>
        <v>0</v>
      </c>
      <c r="Y93" s="104">
        <f t="shared" si="66"/>
        <v>0</v>
      </c>
      <c r="Z93" s="104">
        <f t="shared" si="66"/>
        <v>0</v>
      </c>
      <c r="AA93" s="104">
        <f t="shared" si="66"/>
        <v>0</v>
      </c>
      <c r="AB93" s="104">
        <f t="shared" si="66"/>
        <v>0</v>
      </c>
      <c r="AC93" s="104">
        <f t="shared" si="66"/>
        <v>0</v>
      </c>
      <c r="AD93" s="104">
        <f t="shared" si="66"/>
        <v>0</v>
      </c>
      <c r="AE93" s="104">
        <f t="shared" si="66"/>
        <v>0</v>
      </c>
      <c r="AF93" s="104">
        <f t="shared" si="66"/>
        <v>0</v>
      </c>
      <c r="AG93" s="84">
        <f t="shared" si="61"/>
        <v>0</v>
      </c>
      <c r="AH93" s="105" t="str">
        <f t="shared" si="62"/>
        <v/>
      </c>
      <c r="AJ93" s="84">
        <f t="shared" si="63"/>
        <v>0</v>
      </c>
    </row>
    <row r="94" spans="1:36" x14ac:dyDescent="0.3">
      <c r="A94" s="113" t="s">
        <v>180</v>
      </c>
      <c r="B94" s="84">
        <f>IFERROR(SUMIF([2]Jan26A!$A:$A,$A94,INDEX([2]Jan26A!$A:$N,0,MATCH($A$1,[2]Jan26A!$A$7:$N$7,0))),0)</f>
        <v>0</v>
      </c>
      <c r="C94" s="84">
        <f>IFERROR(SUMIF([2]Feb26A!$A:$A,$A94,INDEX([2]Feb26A!$A:$N,0,MATCH($A$1,[2]Feb26A!$A$7:$N$7,0))),0)</f>
        <v>0</v>
      </c>
      <c r="D94" s="84">
        <f>IFERROR(SUMIF([2]Mar26A!$A:$A,$A94,INDEX([2]Mar26A!$A:$N,0,MATCH($A$1,[2]Mar26A!$A$7:$N$7,0))),0)</f>
        <v>0</v>
      </c>
      <c r="E94" s="84">
        <f>IFERROR(SUMIF([2]Apr26A!$A:$A,$A94,INDEX([2]Apr26A!$A:$N,0,MATCH($A$1,[2]Apr26A!$A$7:$N$7,0))),0)</f>
        <v>0</v>
      </c>
      <c r="F94" s="84">
        <f>IFERROR(SUMIF([2]May26A!$A:$A,$A94,INDEX([2]May26A!$A:$N,0,MATCH($A$1,[2]May26A!$A$7:$N$7,0))),0)</f>
        <v>0</v>
      </c>
      <c r="G94" s="84">
        <f>IFERROR(SUMIF([2]Jun26A!$A:$A,$A94,INDEX([2]Jun26A!$A:$N,0,MATCH($A$1,[2]Jun26A!$A$7:$N$7,0))),0)</f>
        <v>0</v>
      </c>
      <c r="H94" s="84">
        <f>IFERROR(SUMIF([2]Jul26A!$A:$A,$A94,INDEX([2]Jul26A!$A:$N,0,MATCH($A$1,[2]Jul26A!$A$7:$N$7,0))),0)</f>
        <v>0</v>
      </c>
      <c r="I94" s="84">
        <f>IFERROR(SUMIF([2]Aug26A!$A:$A,$A94,INDEX([2]Aug26A!$A:$N,0,MATCH($A$1,[2]Aug26A!$A$7:$N$7,0))),0)</f>
        <v>0</v>
      </c>
      <c r="J94" s="117">
        <v>0</v>
      </c>
      <c r="K94" s="117">
        <v>0</v>
      </c>
      <c r="L94" s="117">
        <v>0</v>
      </c>
      <c r="M94" s="117">
        <v>0</v>
      </c>
      <c r="N94" s="84">
        <f t="shared" si="58"/>
        <v>0</v>
      </c>
      <c r="O94" s="105" t="str">
        <f t="shared" si="59"/>
        <v/>
      </c>
      <c r="P94" s="84"/>
      <c r="Q94" s="84"/>
      <c r="R94" s="106" t="s">
        <v>99</v>
      </c>
      <c r="S94" s="107">
        <v>0</v>
      </c>
      <c r="T94" s="108">
        <v>0.05</v>
      </c>
      <c r="U94" s="104">
        <f t="shared" si="66"/>
        <v>0</v>
      </c>
      <c r="V94" s="104">
        <f t="shared" si="66"/>
        <v>0</v>
      </c>
      <c r="W94" s="104">
        <f t="shared" si="66"/>
        <v>0</v>
      </c>
      <c r="X94" s="104">
        <f t="shared" si="66"/>
        <v>0</v>
      </c>
      <c r="Y94" s="104">
        <f t="shared" si="66"/>
        <v>0</v>
      </c>
      <c r="Z94" s="104">
        <f t="shared" si="66"/>
        <v>0</v>
      </c>
      <c r="AA94" s="104">
        <f t="shared" si="66"/>
        <v>0</v>
      </c>
      <c r="AB94" s="104">
        <f t="shared" si="66"/>
        <v>0</v>
      </c>
      <c r="AC94" s="104">
        <f t="shared" si="66"/>
        <v>0</v>
      </c>
      <c r="AD94" s="104">
        <f t="shared" si="66"/>
        <v>0</v>
      </c>
      <c r="AE94" s="104">
        <f t="shared" si="66"/>
        <v>0</v>
      </c>
      <c r="AF94" s="104">
        <f t="shared" si="66"/>
        <v>0</v>
      </c>
      <c r="AG94" s="84">
        <f t="shared" si="61"/>
        <v>0</v>
      </c>
      <c r="AH94" s="105" t="str">
        <f t="shared" si="62"/>
        <v/>
      </c>
      <c r="AJ94" s="84">
        <f t="shared" si="63"/>
        <v>0</v>
      </c>
    </row>
    <row r="95" spans="1:36" x14ac:dyDescent="0.3">
      <c r="A95" s="113" t="s">
        <v>181</v>
      </c>
      <c r="B95" s="84">
        <f>IFERROR(SUMIF([2]Jan26A!$A:$A,$A95,INDEX([2]Jan26A!$A:$N,0,MATCH($A$1,[2]Jan26A!$A$7:$N$7,0))),0)</f>
        <v>0</v>
      </c>
      <c r="C95" s="84">
        <f>IFERROR(SUMIF([2]Feb26A!$A:$A,$A95,INDEX([2]Feb26A!$A:$N,0,MATCH($A$1,[2]Feb26A!$A$7:$N$7,0))),0)</f>
        <v>0</v>
      </c>
      <c r="D95" s="84">
        <f>IFERROR(SUMIF([2]Mar26A!$A:$A,$A95,INDEX([2]Mar26A!$A:$N,0,MATCH($A$1,[2]Mar26A!$A$7:$N$7,0))),0)</f>
        <v>0</v>
      </c>
      <c r="E95" s="84">
        <f>IFERROR(SUMIF([2]Apr26A!$A:$A,$A95,INDEX([2]Apr26A!$A:$N,0,MATCH($A$1,[2]Apr26A!$A$7:$N$7,0))),0)</f>
        <v>1515.48</v>
      </c>
      <c r="F95" s="84">
        <f>IFERROR(SUMIF([2]May26A!$A:$A,$A95,INDEX([2]May26A!$A:$N,0,MATCH($A$1,[2]May26A!$A$7:$N$7,0))),0)</f>
        <v>0</v>
      </c>
      <c r="G95" s="84">
        <f>IFERROR(SUMIF([2]Jun26A!$A:$A,$A95,INDEX([2]Jun26A!$A:$N,0,MATCH($A$1,[2]Jun26A!$A$7:$N$7,0))),0)</f>
        <v>2962.39</v>
      </c>
      <c r="H95" s="84">
        <f>IFERROR(SUMIF([2]Jul26A!$A:$A,$A95,INDEX([2]Jul26A!$A:$N,0,MATCH($A$1,[2]Jul26A!$A$7:$N$7,0))),0)</f>
        <v>3138.29</v>
      </c>
      <c r="I95" s="84">
        <f>IFERROR(SUMIF([2]Aug26A!$A:$A,$A95,INDEX([2]Aug26A!$A:$N,0,MATCH($A$1,[2]Aug26A!$A$7:$N$7,0))),0)</f>
        <v>2047.26</v>
      </c>
      <c r="J95" s="117">
        <v>500</v>
      </c>
      <c r="K95" s="117">
        <v>500</v>
      </c>
      <c r="L95" s="117">
        <v>500</v>
      </c>
      <c r="M95" s="117">
        <v>500</v>
      </c>
      <c r="N95" s="84">
        <f t="shared" si="58"/>
        <v>11663.42</v>
      </c>
      <c r="O95" s="105" t="str">
        <f t="shared" si="59"/>
        <v/>
      </c>
      <c r="P95" s="84"/>
      <c r="Q95" s="84"/>
      <c r="R95" s="106" t="s">
        <v>99</v>
      </c>
      <c r="S95" s="107">
        <v>0</v>
      </c>
      <c r="T95" s="108">
        <v>0.05</v>
      </c>
      <c r="U95" s="104">
        <f t="shared" si="66"/>
        <v>0</v>
      </c>
      <c r="V95" s="104">
        <f t="shared" si="66"/>
        <v>0</v>
      </c>
      <c r="W95" s="104">
        <f t="shared" si="66"/>
        <v>0</v>
      </c>
      <c r="X95" s="104">
        <f t="shared" si="66"/>
        <v>0</v>
      </c>
      <c r="Y95" s="104">
        <f t="shared" si="66"/>
        <v>0</v>
      </c>
      <c r="Z95" s="104">
        <f t="shared" si="66"/>
        <v>0</v>
      </c>
      <c r="AA95" s="104">
        <f t="shared" si="66"/>
        <v>0</v>
      </c>
      <c r="AB95" s="104">
        <f t="shared" si="66"/>
        <v>0</v>
      </c>
      <c r="AC95" s="104">
        <f t="shared" si="66"/>
        <v>0</v>
      </c>
      <c r="AD95" s="104">
        <f t="shared" si="66"/>
        <v>0</v>
      </c>
      <c r="AE95" s="104">
        <f t="shared" si="66"/>
        <v>0</v>
      </c>
      <c r="AF95" s="104">
        <f t="shared" si="66"/>
        <v>0</v>
      </c>
      <c r="AG95" s="84">
        <f t="shared" si="61"/>
        <v>0</v>
      </c>
      <c r="AH95" s="105" t="str">
        <f t="shared" si="62"/>
        <v/>
      </c>
      <c r="AJ95" s="84">
        <f t="shared" si="63"/>
        <v>11663.42</v>
      </c>
    </row>
    <row r="96" spans="1:36" x14ac:dyDescent="0.3">
      <c r="A96" s="113" t="s">
        <v>182</v>
      </c>
      <c r="B96" s="84">
        <f>IFERROR(SUMIF([2]Jan26A!$A:$A,$A96,INDEX([2]Jan26A!$A:$N,0,MATCH($A$1,[2]Jan26A!$A$7:$N$7,0))),0)</f>
        <v>4965.6899999999996</v>
      </c>
      <c r="C96" s="84">
        <f>IFERROR(SUMIF([2]Feb26A!$A:$A,$A96,INDEX([2]Feb26A!$A:$N,0,MATCH($A$1,[2]Feb26A!$A$7:$N$7,0))),0)</f>
        <v>0</v>
      </c>
      <c r="D96" s="84">
        <f>IFERROR(SUMIF([2]Mar26A!$A:$A,$A96,INDEX([2]Mar26A!$A:$N,0,MATCH($A$1,[2]Mar26A!$A$7:$N$7,0))),0)</f>
        <v>99.36</v>
      </c>
      <c r="E96" s="84">
        <f>IFERROR(SUMIF([2]Apr26A!$A:$A,$A96,INDEX([2]Apr26A!$A:$N,0,MATCH($A$1,[2]Apr26A!$A$7:$N$7,0))),0)</f>
        <v>127.27</v>
      </c>
      <c r="F96" s="84">
        <f>IFERROR(SUMIF([2]May26A!$A:$A,$A96,INDEX([2]May26A!$A:$N,0,MATCH($A$1,[2]May26A!$A$7:$N$7,0))),0)</f>
        <v>45</v>
      </c>
      <c r="G96" s="84">
        <f>IFERROR(SUMIF([2]Jun26A!$A:$A,$A96,INDEX([2]Jun26A!$A:$N,0,MATCH($A$1,[2]Jun26A!$A$7:$N$7,0))),0)</f>
        <v>5460.04</v>
      </c>
      <c r="H96" s="84">
        <f>IFERROR(SUMIF([2]Jul26A!$A:$A,$A96,INDEX([2]Jul26A!$A:$N,0,MATCH($A$1,[2]Jul26A!$A$7:$N$7,0))),0)</f>
        <v>0</v>
      </c>
      <c r="I96" s="84">
        <f>IFERROR(SUMIF([2]Aug26A!$A:$A,$A96,INDEX([2]Aug26A!$A:$N,0,MATCH($A$1,[2]Aug26A!$A$7:$N$7,0))),0)</f>
        <v>0</v>
      </c>
      <c r="J96" s="117">
        <v>100</v>
      </c>
      <c r="K96" s="117">
        <v>100</v>
      </c>
      <c r="L96" s="117">
        <v>100</v>
      </c>
      <c r="M96" s="117">
        <v>100</v>
      </c>
      <c r="N96" s="84">
        <f t="shared" si="58"/>
        <v>11097.36</v>
      </c>
      <c r="O96" s="105" t="str">
        <f t="shared" si="59"/>
        <v/>
      </c>
      <c r="P96" s="84"/>
      <c r="Q96" s="84"/>
      <c r="R96" s="106" t="s">
        <v>99</v>
      </c>
      <c r="S96" s="107">
        <v>0</v>
      </c>
      <c r="T96" s="108">
        <v>0.05</v>
      </c>
      <c r="U96" s="104">
        <f t="shared" si="66"/>
        <v>0</v>
      </c>
      <c r="V96" s="104">
        <f t="shared" si="66"/>
        <v>0</v>
      </c>
      <c r="W96" s="104">
        <f t="shared" si="66"/>
        <v>0</v>
      </c>
      <c r="X96" s="104">
        <f t="shared" si="66"/>
        <v>0</v>
      </c>
      <c r="Y96" s="104">
        <f t="shared" si="66"/>
        <v>0</v>
      </c>
      <c r="Z96" s="104">
        <f t="shared" si="66"/>
        <v>0</v>
      </c>
      <c r="AA96" s="104">
        <f t="shared" si="66"/>
        <v>0</v>
      </c>
      <c r="AB96" s="104">
        <f t="shared" si="66"/>
        <v>0</v>
      </c>
      <c r="AC96" s="104">
        <f t="shared" si="66"/>
        <v>0</v>
      </c>
      <c r="AD96" s="104">
        <f t="shared" si="66"/>
        <v>0</v>
      </c>
      <c r="AE96" s="104">
        <f t="shared" si="66"/>
        <v>0</v>
      </c>
      <c r="AF96" s="104">
        <f t="shared" si="66"/>
        <v>0</v>
      </c>
      <c r="AG96" s="84">
        <f t="shared" si="61"/>
        <v>0</v>
      </c>
      <c r="AH96" s="105" t="str">
        <f t="shared" si="62"/>
        <v/>
      </c>
      <c r="AJ96" s="84">
        <f t="shared" si="63"/>
        <v>11097.36</v>
      </c>
    </row>
    <row r="97" spans="1:36" x14ac:dyDescent="0.3">
      <c r="A97" s="113" t="s">
        <v>183</v>
      </c>
      <c r="B97" s="84">
        <f>IFERROR(SUMIF([2]Jan26A!$A:$A,$A97,INDEX([2]Jan26A!$A:$N,0,MATCH($A$1,[2]Jan26A!$A$7:$N$7,0))),0)</f>
        <v>0</v>
      </c>
      <c r="C97" s="84">
        <f>IFERROR(SUMIF([2]Feb26A!$A:$A,$A97,INDEX([2]Feb26A!$A:$N,0,MATCH($A$1,[2]Feb26A!$A$7:$N$7,0))),0)</f>
        <v>0</v>
      </c>
      <c r="D97" s="84">
        <f>IFERROR(SUMIF([2]Mar26A!$A:$A,$A97,INDEX([2]Mar26A!$A:$N,0,MATCH($A$1,[2]Mar26A!$A$7:$N$7,0))),0)</f>
        <v>0</v>
      </c>
      <c r="E97" s="84">
        <f>IFERROR(SUMIF([2]Apr26A!$A:$A,$A97,INDEX([2]Apr26A!$A:$N,0,MATCH($A$1,[2]Apr26A!$A$7:$N$7,0))),0)</f>
        <v>0</v>
      </c>
      <c r="F97" s="84">
        <f>IFERROR(SUMIF([2]May26A!$A:$A,$A97,INDEX([2]May26A!$A:$N,0,MATCH($A$1,[2]May26A!$A$7:$N$7,0))),0)</f>
        <v>0</v>
      </c>
      <c r="G97" s="84">
        <f>IFERROR(SUMIF([2]Jun26A!$A:$A,$A97,INDEX([2]Jun26A!$A:$N,0,MATCH($A$1,[2]Jun26A!$A$7:$N$7,0))),0)</f>
        <v>0</v>
      </c>
      <c r="H97" s="84">
        <f>IFERROR(SUMIF([2]Jul26A!$A:$A,$A97,INDEX([2]Jul26A!$A:$N,0,MATCH($A$1,[2]Jul26A!$A$7:$N$7,0))),0)</f>
        <v>0</v>
      </c>
      <c r="I97" s="84">
        <f>IFERROR(SUMIF([2]Aug26A!$A:$A,$A97,INDEX([2]Aug26A!$A:$N,0,MATCH($A$1,[2]Aug26A!$A$7:$N$7,0))),0)</f>
        <v>0</v>
      </c>
      <c r="J97" s="117">
        <v>0</v>
      </c>
      <c r="K97" s="117">
        <v>0</v>
      </c>
      <c r="L97" s="117">
        <v>0</v>
      </c>
      <c r="M97" s="117">
        <v>0</v>
      </c>
      <c r="N97" s="84">
        <f t="shared" si="58"/>
        <v>0</v>
      </c>
      <c r="O97" s="105" t="str">
        <f t="shared" si="59"/>
        <v/>
      </c>
      <c r="P97" s="84"/>
      <c r="Q97" s="84"/>
      <c r="R97" s="106" t="s">
        <v>99</v>
      </c>
      <c r="S97" s="107">
        <v>0</v>
      </c>
      <c r="T97" s="108">
        <v>0.05</v>
      </c>
      <c r="U97" s="104">
        <f t="shared" si="66"/>
        <v>0</v>
      </c>
      <c r="V97" s="104">
        <f t="shared" si="66"/>
        <v>0</v>
      </c>
      <c r="W97" s="104">
        <f t="shared" si="66"/>
        <v>0</v>
      </c>
      <c r="X97" s="104">
        <f t="shared" si="66"/>
        <v>0</v>
      </c>
      <c r="Y97" s="104">
        <f t="shared" si="66"/>
        <v>0</v>
      </c>
      <c r="Z97" s="104">
        <f t="shared" si="66"/>
        <v>0</v>
      </c>
      <c r="AA97" s="104">
        <f t="shared" si="66"/>
        <v>0</v>
      </c>
      <c r="AB97" s="104">
        <f t="shared" si="66"/>
        <v>0</v>
      </c>
      <c r="AC97" s="104">
        <f t="shared" si="66"/>
        <v>0</v>
      </c>
      <c r="AD97" s="104">
        <f t="shared" si="66"/>
        <v>0</v>
      </c>
      <c r="AE97" s="104">
        <f t="shared" si="66"/>
        <v>0</v>
      </c>
      <c r="AF97" s="104">
        <f t="shared" si="66"/>
        <v>0</v>
      </c>
      <c r="AG97" s="84">
        <f t="shared" si="61"/>
        <v>0</v>
      </c>
      <c r="AH97" s="105" t="str">
        <f t="shared" si="62"/>
        <v/>
      </c>
      <c r="AJ97" s="84">
        <f t="shared" si="63"/>
        <v>0</v>
      </c>
    </row>
    <row r="98" spans="1:36" x14ac:dyDescent="0.3">
      <c r="A98" s="113" t="s">
        <v>184</v>
      </c>
      <c r="B98" s="84">
        <f>IFERROR(SUMIF([2]Jan26A!$A:$A,$A98,INDEX([2]Jan26A!$A:$N,0,MATCH($A$1,[2]Jan26A!$A$7:$N$7,0))),0)</f>
        <v>0</v>
      </c>
      <c r="C98" s="84">
        <f>IFERROR(SUMIF([2]Feb26A!$A:$A,$A98,INDEX([2]Feb26A!$A:$N,0,MATCH($A$1,[2]Feb26A!$A$7:$N$7,0))),0)</f>
        <v>0</v>
      </c>
      <c r="D98" s="84">
        <f>IFERROR(SUMIF([2]Mar26A!$A:$A,$A98,INDEX([2]Mar26A!$A:$N,0,MATCH($A$1,[2]Mar26A!$A$7:$N$7,0))),0)</f>
        <v>0</v>
      </c>
      <c r="E98" s="84">
        <f>IFERROR(SUMIF([2]Apr26A!$A:$A,$A98,INDEX([2]Apr26A!$A:$N,0,MATCH($A$1,[2]Apr26A!$A$7:$N$7,0))),0)</f>
        <v>0</v>
      </c>
      <c r="F98" s="84">
        <f>IFERROR(SUMIF([2]May26A!$A:$A,$A98,INDEX([2]May26A!$A:$N,0,MATCH($A$1,[2]May26A!$A$7:$N$7,0))),0)</f>
        <v>0</v>
      </c>
      <c r="G98" s="84">
        <f>IFERROR(SUMIF([2]Jun26A!$A:$A,$A98,INDEX([2]Jun26A!$A:$N,0,MATCH($A$1,[2]Jun26A!$A$7:$N$7,0))),0)</f>
        <v>0</v>
      </c>
      <c r="H98" s="84">
        <f>IFERROR(SUMIF([2]Jul26A!$A:$A,$A98,INDEX([2]Jul26A!$A:$N,0,MATCH($A$1,[2]Jul26A!$A$7:$N$7,0))),0)</f>
        <v>0</v>
      </c>
      <c r="I98" s="84">
        <f>IFERROR(SUMIF([2]Aug26A!$A:$A,$A98,INDEX([2]Aug26A!$A:$N,0,MATCH($A$1,[2]Aug26A!$A$7:$N$7,0))),0)</f>
        <v>0</v>
      </c>
      <c r="J98" s="117">
        <v>0</v>
      </c>
      <c r="K98" s="117">
        <v>0</v>
      </c>
      <c r="L98" s="117">
        <v>0</v>
      </c>
      <c r="M98" s="117">
        <v>0</v>
      </c>
      <c r="N98" s="84">
        <f t="shared" si="58"/>
        <v>0</v>
      </c>
      <c r="O98" s="105" t="str">
        <f t="shared" si="59"/>
        <v/>
      </c>
      <c r="P98" s="84"/>
      <c r="Q98" s="84"/>
      <c r="R98" s="106" t="s">
        <v>99</v>
      </c>
      <c r="S98" s="107">
        <v>0</v>
      </c>
      <c r="T98" s="108">
        <v>0.05</v>
      </c>
      <c r="U98" s="104">
        <f t="shared" ref="U98:AF107" si="67">IF($R98="Manual","",IFERROR(IF($R98="YOY Growth",$N98*(1+$T98)/12,$S98/12),""))</f>
        <v>0</v>
      </c>
      <c r="V98" s="104">
        <f t="shared" si="67"/>
        <v>0</v>
      </c>
      <c r="W98" s="104">
        <f t="shared" si="67"/>
        <v>0</v>
      </c>
      <c r="X98" s="104">
        <f t="shared" si="67"/>
        <v>0</v>
      </c>
      <c r="Y98" s="104">
        <f t="shared" si="67"/>
        <v>0</v>
      </c>
      <c r="Z98" s="104">
        <f t="shared" si="67"/>
        <v>0</v>
      </c>
      <c r="AA98" s="104">
        <f t="shared" si="67"/>
        <v>0</v>
      </c>
      <c r="AB98" s="104">
        <f t="shared" si="67"/>
        <v>0</v>
      </c>
      <c r="AC98" s="104">
        <f t="shared" si="67"/>
        <v>0</v>
      </c>
      <c r="AD98" s="104">
        <f t="shared" si="67"/>
        <v>0</v>
      </c>
      <c r="AE98" s="104">
        <f t="shared" si="67"/>
        <v>0</v>
      </c>
      <c r="AF98" s="104">
        <f t="shared" si="67"/>
        <v>0</v>
      </c>
      <c r="AG98" s="84">
        <f t="shared" si="61"/>
        <v>0</v>
      </c>
      <c r="AH98" s="105" t="str">
        <f t="shared" si="62"/>
        <v/>
      </c>
      <c r="AJ98" s="84">
        <f t="shared" si="63"/>
        <v>0</v>
      </c>
    </row>
    <row r="99" spans="1:36" x14ac:dyDescent="0.3">
      <c r="A99" s="113" t="s">
        <v>185</v>
      </c>
      <c r="B99" s="84">
        <f>IFERROR(SUMIF([2]Jan26A!$A:$A,$A99,INDEX([2]Jan26A!$A:$N,0,MATCH($A$1,[2]Jan26A!$A$7:$N$7,0))),0)</f>
        <v>0</v>
      </c>
      <c r="C99" s="84">
        <f>IFERROR(SUMIF([2]Feb26A!$A:$A,$A99,INDEX([2]Feb26A!$A:$N,0,MATCH($A$1,[2]Feb26A!$A$7:$N$7,0))),0)</f>
        <v>0</v>
      </c>
      <c r="D99" s="84">
        <f>IFERROR(SUMIF([2]Mar26A!$A:$A,$A99,INDEX([2]Mar26A!$A:$N,0,MATCH($A$1,[2]Mar26A!$A$7:$N$7,0))),0)</f>
        <v>0</v>
      </c>
      <c r="E99" s="84">
        <f>IFERROR(SUMIF([2]Apr26A!$A:$A,$A99,INDEX([2]Apr26A!$A:$N,0,MATCH($A$1,[2]Apr26A!$A$7:$N$7,0))),0)</f>
        <v>0</v>
      </c>
      <c r="F99" s="84">
        <f>IFERROR(SUMIF([2]May26A!$A:$A,$A99,INDEX([2]May26A!$A:$N,0,MATCH($A$1,[2]May26A!$A$7:$N$7,0))),0)</f>
        <v>0</v>
      </c>
      <c r="G99" s="84">
        <f>IFERROR(SUMIF([2]Jun26A!$A:$A,$A99,INDEX([2]Jun26A!$A:$N,0,MATCH($A$1,[2]Jun26A!$A$7:$N$7,0))),0)</f>
        <v>0</v>
      </c>
      <c r="H99" s="84">
        <f>IFERROR(SUMIF([2]Jul26A!$A:$A,$A99,INDEX([2]Jul26A!$A:$N,0,MATCH($A$1,[2]Jul26A!$A$7:$N$7,0))),0)</f>
        <v>0</v>
      </c>
      <c r="I99" s="84">
        <f>IFERROR(SUMIF([2]Aug26A!$A:$A,$A99,INDEX([2]Aug26A!$A:$N,0,MATCH($A$1,[2]Aug26A!$A$7:$N$7,0))),0)</f>
        <v>0</v>
      </c>
      <c r="J99" s="117">
        <v>0</v>
      </c>
      <c r="K99" s="117">
        <v>0</v>
      </c>
      <c r="L99" s="117">
        <v>0</v>
      </c>
      <c r="M99" s="117">
        <v>0</v>
      </c>
      <c r="N99" s="84">
        <f t="shared" si="58"/>
        <v>0</v>
      </c>
      <c r="O99" s="105" t="str">
        <f t="shared" si="59"/>
        <v/>
      </c>
      <c r="P99" s="84"/>
      <c r="Q99" s="84"/>
      <c r="R99" s="106" t="s">
        <v>99</v>
      </c>
      <c r="S99" s="107">
        <v>0</v>
      </c>
      <c r="T99" s="108">
        <v>0.05</v>
      </c>
      <c r="U99" s="104">
        <f t="shared" si="67"/>
        <v>0</v>
      </c>
      <c r="V99" s="104">
        <f t="shared" si="67"/>
        <v>0</v>
      </c>
      <c r="W99" s="104">
        <f t="shared" si="67"/>
        <v>0</v>
      </c>
      <c r="X99" s="104">
        <f t="shared" si="67"/>
        <v>0</v>
      </c>
      <c r="Y99" s="104">
        <f t="shared" si="67"/>
        <v>0</v>
      </c>
      <c r="Z99" s="104">
        <f t="shared" si="67"/>
        <v>0</v>
      </c>
      <c r="AA99" s="104">
        <f t="shared" si="67"/>
        <v>0</v>
      </c>
      <c r="AB99" s="104">
        <f t="shared" si="67"/>
        <v>0</v>
      </c>
      <c r="AC99" s="104">
        <f t="shared" si="67"/>
        <v>0</v>
      </c>
      <c r="AD99" s="104">
        <f t="shared" si="67"/>
        <v>0</v>
      </c>
      <c r="AE99" s="104">
        <f t="shared" si="67"/>
        <v>0</v>
      </c>
      <c r="AF99" s="104">
        <f t="shared" si="67"/>
        <v>0</v>
      </c>
      <c r="AG99" s="84">
        <f t="shared" si="61"/>
        <v>0</v>
      </c>
      <c r="AH99" s="105" t="str">
        <f t="shared" si="62"/>
        <v/>
      </c>
      <c r="AJ99" s="84">
        <f t="shared" si="63"/>
        <v>0</v>
      </c>
    </row>
    <row r="100" spans="1:36" x14ac:dyDescent="0.3">
      <c r="A100" s="113" t="s">
        <v>186</v>
      </c>
      <c r="B100" s="84">
        <f>IFERROR(SUMIF([2]Jan26A!$A:$A,$A100,INDEX([2]Jan26A!$A:$N,0,MATCH($A$1,[2]Jan26A!$A$7:$N$7,0))),0)</f>
        <v>0</v>
      </c>
      <c r="C100" s="84">
        <f>IFERROR(SUMIF([2]Feb26A!$A:$A,$A100,INDEX([2]Feb26A!$A:$N,0,MATCH($A$1,[2]Feb26A!$A$7:$N$7,0))),0)</f>
        <v>0</v>
      </c>
      <c r="D100" s="84">
        <f>IFERROR(SUMIF([2]Mar26A!$A:$A,$A100,INDEX([2]Mar26A!$A:$N,0,MATCH($A$1,[2]Mar26A!$A$7:$N$7,0))),0)</f>
        <v>930</v>
      </c>
      <c r="E100" s="84">
        <f>IFERROR(SUMIF([2]Apr26A!$A:$A,$A100,INDEX([2]Apr26A!$A:$N,0,MATCH($A$1,[2]Apr26A!$A$7:$N$7,0))),0)</f>
        <v>450</v>
      </c>
      <c r="F100" s="84">
        <f>IFERROR(SUMIF([2]May26A!$A:$A,$A100,INDEX([2]May26A!$A:$N,0,MATCH($A$1,[2]May26A!$A$7:$N$7,0))),0)</f>
        <v>450</v>
      </c>
      <c r="G100" s="84">
        <f>IFERROR(SUMIF([2]Jun26A!$A:$A,$A100,INDEX([2]Jun26A!$A:$N,0,MATCH($A$1,[2]Jun26A!$A$7:$N$7,0))),0)</f>
        <v>450</v>
      </c>
      <c r="H100" s="84">
        <f>IFERROR(SUMIF([2]Jul26A!$A:$A,$A100,INDEX([2]Jul26A!$A:$N,0,MATCH($A$1,[2]Jul26A!$A$7:$N$7,0))),0)</f>
        <v>450</v>
      </c>
      <c r="I100" s="84">
        <f>IFERROR(SUMIF([2]Aug26A!$A:$A,$A100,INDEX([2]Aug26A!$A:$N,0,MATCH($A$1,[2]Aug26A!$A$7:$N$7,0))),0)</f>
        <v>450</v>
      </c>
      <c r="J100" s="117">
        <v>450</v>
      </c>
      <c r="K100" s="117">
        <v>450</v>
      </c>
      <c r="L100" s="117">
        <v>450</v>
      </c>
      <c r="M100" s="117">
        <v>450</v>
      </c>
      <c r="N100" s="84">
        <f t="shared" si="58"/>
        <v>4980</v>
      </c>
      <c r="O100" s="105" t="str">
        <f t="shared" si="59"/>
        <v/>
      </c>
      <c r="P100" s="84"/>
      <c r="Q100" s="84"/>
      <c r="R100" s="106" t="s">
        <v>99</v>
      </c>
      <c r="S100" s="107">
        <v>0</v>
      </c>
      <c r="T100" s="108">
        <v>0.05</v>
      </c>
      <c r="U100" s="104">
        <f t="shared" si="67"/>
        <v>0</v>
      </c>
      <c r="V100" s="104">
        <f t="shared" si="67"/>
        <v>0</v>
      </c>
      <c r="W100" s="104">
        <f t="shared" si="67"/>
        <v>0</v>
      </c>
      <c r="X100" s="104">
        <f t="shared" si="67"/>
        <v>0</v>
      </c>
      <c r="Y100" s="104">
        <f t="shared" si="67"/>
        <v>0</v>
      </c>
      <c r="Z100" s="104">
        <f t="shared" si="67"/>
        <v>0</v>
      </c>
      <c r="AA100" s="104">
        <f t="shared" si="67"/>
        <v>0</v>
      </c>
      <c r="AB100" s="104">
        <f t="shared" si="67"/>
        <v>0</v>
      </c>
      <c r="AC100" s="104">
        <f t="shared" si="67"/>
        <v>0</v>
      </c>
      <c r="AD100" s="104">
        <f t="shared" si="67"/>
        <v>0</v>
      </c>
      <c r="AE100" s="104">
        <f t="shared" si="67"/>
        <v>0</v>
      </c>
      <c r="AF100" s="104">
        <f t="shared" si="67"/>
        <v>0</v>
      </c>
      <c r="AG100" s="84">
        <f t="shared" si="61"/>
        <v>0</v>
      </c>
      <c r="AH100" s="105" t="str">
        <f t="shared" si="62"/>
        <v/>
      </c>
      <c r="AJ100" s="84">
        <f t="shared" si="63"/>
        <v>4980</v>
      </c>
    </row>
    <row r="101" spans="1:36" x14ac:dyDescent="0.3">
      <c r="A101" s="113" t="s">
        <v>187</v>
      </c>
      <c r="B101" s="84">
        <f>IFERROR(SUMIF([2]Jan26A!$A:$A,$A101,INDEX([2]Jan26A!$A:$N,0,MATCH($A$1,[2]Jan26A!$A$7:$N$7,0))),0)</f>
        <v>0</v>
      </c>
      <c r="C101" s="84">
        <f>IFERROR(SUMIF([2]Feb26A!$A:$A,$A101,INDEX([2]Feb26A!$A:$N,0,MATCH($A$1,[2]Feb26A!$A$7:$N$7,0))),0)</f>
        <v>0</v>
      </c>
      <c r="D101" s="84">
        <f>IFERROR(SUMIF([2]Mar26A!$A:$A,$A101,INDEX([2]Mar26A!$A:$N,0,MATCH($A$1,[2]Mar26A!$A$7:$N$7,0))),0)</f>
        <v>0</v>
      </c>
      <c r="E101" s="84">
        <f>IFERROR(SUMIF([2]Apr26A!$A:$A,$A101,INDEX([2]Apr26A!$A:$N,0,MATCH($A$1,[2]Apr26A!$A$7:$N$7,0))),0)</f>
        <v>0</v>
      </c>
      <c r="F101" s="84">
        <f>IFERROR(SUMIF([2]May26A!$A:$A,$A101,INDEX([2]May26A!$A:$N,0,MATCH($A$1,[2]May26A!$A$7:$N$7,0))),0)</f>
        <v>0</v>
      </c>
      <c r="G101" s="84">
        <f>IFERROR(SUMIF([2]Jun26A!$A:$A,$A101,INDEX([2]Jun26A!$A:$N,0,MATCH($A$1,[2]Jun26A!$A$7:$N$7,0))),0)</f>
        <v>0</v>
      </c>
      <c r="H101" s="84">
        <f>IFERROR(SUMIF([2]Jul26A!$A:$A,$A101,INDEX([2]Jul26A!$A:$N,0,MATCH($A$1,[2]Jul26A!$A$7:$N$7,0))),0)</f>
        <v>0</v>
      </c>
      <c r="I101" s="84">
        <f>IFERROR(SUMIF([2]Aug26A!$A:$A,$A101,INDEX([2]Aug26A!$A:$N,0,MATCH($A$1,[2]Aug26A!$A$7:$N$7,0))),0)</f>
        <v>0</v>
      </c>
      <c r="J101" s="117">
        <v>0</v>
      </c>
      <c r="K101" s="117">
        <v>0</v>
      </c>
      <c r="L101" s="117">
        <v>0</v>
      </c>
      <c r="M101" s="117">
        <v>0</v>
      </c>
      <c r="N101" s="84">
        <f t="shared" si="58"/>
        <v>0</v>
      </c>
      <c r="O101" s="105" t="str">
        <f t="shared" si="59"/>
        <v/>
      </c>
      <c r="P101" s="84"/>
      <c r="Q101" s="84"/>
      <c r="R101" s="106" t="s">
        <v>99</v>
      </c>
      <c r="S101" s="107">
        <v>0</v>
      </c>
      <c r="T101" s="108">
        <v>0.05</v>
      </c>
      <c r="U101" s="104">
        <f t="shared" si="67"/>
        <v>0</v>
      </c>
      <c r="V101" s="104">
        <f t="shared" si="67"/>
        <v>0</v>
      </c>
      <c r="W101" s="104">
        <f t="shared" si="67"/>
        <v>0</v>
      </c>
      <c r="X101" s="104">
        <f t="shared" si="67"/>
        <v>0</v>
      </c>
      <c r="Y101" s="104">
        <f t="shared" si="67"/>
        <v>0</v>
      </c>
      <c r="Z101" s="104">
        <f t="shared" si="67"/>
        <v>0</v>
      </c>
      <c r="AA101" s="104">
        <f t="shared" si="67"/>
        <v>0</v>
      </c>
      <c r="AB101" s="104">
        <f t="shared" si="67"/>
        <v>0</v>
      </c>
      <c r="AC101" s="104">
        <f t="shared" si="67"/>
        <v>0</v>
      </c>
      <c r="AD101" s="104">
        <f t="shared" si="67"/>
        <v>0</v>
      </c>
      <c r="AE101" s="104">
        <f t="shared" si="67"/>
        <v>0</v>
      </c>
      <c r="AF101" s="104">
        <f t="shared" si="67"/>
        <v>0</v>
      </c>
      <c r="AG101" s="84">
        <f t="shared" si="61"/>
        <v>0</v>
      </c>
      <c r="AH101" s="105" t="str">
        <f t="shared" si="62"/>
        <v/>
      </c>
      <c r="AJ101" s="84">
        <f t="shared" si="63"/>
        <v>0</v>
      </c>
    </row>
    <row r="102" spans="1:36" x14ac:dyDescent="0.3">
      <c r="A102" s="113" t="s">
        <v>188</v>
      </c>
      <c r="B102" s="84">
        <f>IFERROR(SUMIF([2]Jan26A!$A:$A,$A102,INDEX([2]Jan26A!$A:$N,0,MATCH($A$1,[2]Jan26A!$A$7:$N$7,0))),0)</f>
        <v>0</v>
      </c>
      <c r="C102" s="84">
        <f>IFERROR(SUMIF([2]Feb26A!$A:$A,$A102,INDEX([2]Feb26A!$A:$N,0,MATCH($A$1,[2]Feb26A!$A$7:$N$7,0))),0)</f>
        <v>79.8</v>
      </c>
      <c r="D102" s="84">
        <f>IFERROR(SUMIF([2]Mar26A!$A:$A,$A102,INDEX([2]Mar26A!$A:$N,0,MATCH($A$1,[2]Mar26A!$A$7:$N$7,0))),0)</f>
        <v>0</v>
      </c>
      <c r="E102" s="84">
        <f>IFERROR(SUMIF([2]Apr26A!$A:$A,$A102,INDEX([2]Apr26A!$A:$N,0,MATCH($A$1,[2]Apr26A!$A$7:$N$7,0))),0)</f>
        <v>0</v>
      </c>
      <c r="F102" s="84">
        <f>IFERROR(SUMIF([2]May26A!$A:$A,$A102,INDEX([2]May26A!$A:$N,0,MATCH($A$1,[2]May26A!$A$7:$N$7,0))),0)</f>
        <v>0</v>
      </c>
      <c r="G102" s="84">
        <f>IFERROR(SUMIF([2]Jun26A!$A:$A,$A102,INDEX([2]Jun26A!$A:$N,0,MATCH($A$1,[2]Jun26A!$A$7:$N$7,0))),0)</f>
        <v>0</v>
      </c>
      <c r="H102" s="84">
        <f>IFERROR(SUMIF([2]Jul26A!$A:$A,$A102,INDEX([2]Jul26A!$A:$N,0,MATCH($A$1,[2]Jul26A!$A$7:$N$7,0))),0)</f>
        <v>0</v>
      </c>
      <c r="I102" s="84">
        <f>IFERROR(SUMIF([2]Aug26A!$A:$A,$A102,INDEX([2]Aug26A!$A:$N,0,MATCH($A$1,[2]Aug26A!$A$7:$N$7,0))),0)</f>
        <v>203.28</v>
      </c>
      <c r="J102" s="117">
        <v>50</v>
      </c>
      <c r="K102" s="117">
        <v>50</v>
      </c>
      <c r="L102" s="117">
        <v>50</v>
      </c>
      <c r="M102" s="117">
        <v>50</v>
      </c>
      <c r="N102" s="84">
        <f t="shared" si="58"/>
        <v>483.08</v>
      </c>
      <c r="O102" s="105" t="str">
        <f t="shared" si="59"/>
        <v/>
      </c>
      <c r="P102" s="84"/>
      <c r="Q102" s="84"/>
      <c r="R102" s="106" t="s">
        <v>99</v>
      </c>
      <c r="S102" s="107">
        <v>0</v>
      </c>
      <c r="T102" s="108">
        <v>0.05</v>
      </c>
      <c r="U102" s="104">
        <f t="shared" si="67"/>
        <v>0</v>
      </c>
      <c r="V102" s="104">
        <f t="shared" si="67"/>
        <v>0</v>
      </c>
      <c r="W102" s="104">
        <f t="shared" si="67"/>
        <v>0</v>
      </c>
      <c r="X102" s="104">
        <f t="shared" si="67"/>
        <v>0</v>
      </c>
      <c r="Y102" s="104">
        <f t="shared" si="67"/>
        <v>0</v>
      </c>
      <c r="Z102" s="104">
        <f t="shared" si="67"/>
        <v>0</v>
      </c>
      <c r="AA102" s="104">
        <f t="shared" si="67"/>
        <v>0</v>
      </c>
      <c r="AB102" s="104">
        <f t="shared" si="67"/>
        <v>0</v>
      </c>
      <c r="AC102" s="104">
        <f t="shared" si="67"/>
        <v>0</v>
      </c>
      <c r="AD102" s="104">
        <f t="shared" si="67"/>
        <v>0</v>
      </c>
      <c r="AE102" s="104">
        <f t="shared" si="67"/>
        <v>0</v>
      </c>
      <c r="AF102" s="104">
        <f t="shared" si="67"/>
        <v>0</v>
      </c>
      <c r="AG102" s="84">
        <f t="shared" si="61"/>
        <v>0</v>
      </c>
      <c r="AH102" s="105" t="str">
        <f t="shared" si="62"/>
        <v/>
      </c>
      <c r="AJ102" s="84">
        <f t="shared" si="63"/>
        <v>483.08</v>
      </c>
    </row>
    <row r="103" spans="1:36" x14ac:dyDescent="0.3">
      <c r="A103" s="113" t="s">
        <v>189</v>
      </c>
      <c r="B103" s="84">
        <f>IFERROR(SUMIF([2]Jan26A!$A:$A,$A103,INDEX([2]Jan26A!$A:$N,0,MATCH($A$1,[2]Jan26A!$A$7:$N$7,0))),0)</f>
        <v>0</v>
      </c>
      <c r="C103" s="84">
        <f>IFERROR(SUMIF([2]Feb26A!$A:$A,$A103,INDEX([2]Feb26A!$A:$N,0,MATCH($A$1,[2]Feb26A!$A$7:$N$7,0))),0)</f>
        <v>0</v>
      </c>
      <c r="D103" s="84">
        <f>IFERROR(SUMIF([2]Mar26A!$A:$A,$A103,INDEX([2]Mar26A!$A:$N,0,MATCH($A$1,[2]Mar26A!$A$7:$N$7,0))),0)</f>
        <v>0</v>
      </c>
      <c r="E103" s="84">
        <f>IFERROR(SUMIF([2]Apr26A!$A:$A,$A103,INDEX([2]Apr26A!$A:$N,0,MATCH($A$1,[2]Apr26A!$A$7:$N$7,0))),0)</f>
        <v>0</v>
      </c>
      <c r="F103" s="84">
        <f>IFERROR(SUMIF([2]May26A!$A:$A,$A103,INDEX([2]May26A!$A:$N,0,MATCH($A$1,[2]May26A!$A$7:$N$7,0))),0)</f>
        <v>0</v>
      </c>
      <c r="G103" s="84">
        <f>IFERROR(SUMIF([2]Jun26A!$A:$A,$A103,INDEX([2]Jun26A!$A:$N,0,MATCH($A$1,[2]Jun26A!$A$7:$N$7,0))),0)</f>
        <v>0</v>
      </c>
      <c r="H103" s="84">
        <f>IFERROR(SUMIF([2]Jul26A!$A:$A,$A103,INDEX([2]Jul26A!$A:$N,0,MATCH($A$1,[2]Jul26A!$A$7:$N$7,0))),0)</f>
        <v>0</v>
      </c>
      <c r="I103" s="84">
        <f>IFERROR(SUMIF([2]Aug26A!$A:$A,$A103,INDEX([2]Aug26A!$A:$N,0,MATCH($A$1,[2]Aug26A!$A$7:$N$7,0))),0)</f>
        <v>0</v>
      </c>
      <c r="J103" s="117">
        <v>0</v>
      </c>
      <c r="K103" s="117">
        <v>0</v>
      </c>
      <c r="L103" s="117">
        <v>0</v>
      </c>
      <c r="M103" s="117">
        <v>0</v>
      </c>
      <c r="N103" s="84">
        <f t="shared" si="58"/>
        <v>0</v>
      </c>
      <c r="O103" s="105" t="str">
        <f t="shared" si="59"/>
        <v/>
      </c>
      <c r="P103" s="84"/>
      <c r="Q103" s="84"/>
      <c r="R103" s="106" t="s">
        <v>99</v>
      </c>
      <c r="S103" s="107">
        <v>0</v>
      </c>
      <c r="T103" s="108">
        <v>0.05</v>
      </c>
      <c r="U103" s="104">
        <f t="shared" si="67"/>
        <v>0</v>
      </c>
      <c r="V103" s="104">
        <f t="shared" si="67"/>
        <v>0</v>
      </c>
      <c r="W103" s="104">
        <f t="shared" si="67"/>
        <v>0</v>
      </c>
      <c r="X103" s="104">
        <f t="shared" si="67"/>
        <v>0</v>
      </c>
      <c r="Y103" s="104">
        <f t="shared" si="67"/>
        <v>0</v>
      </c>
      <c r="Z103" s="104">
        <f t="shared" si="67"/>
        <v>0</v>
      </c>
      <c r="AA103" s="104">
        <f t="shared" si="67"/>
        <v>0</v>
      </c>
      <c r="AB103" s="104">
        <f t="shared" si="67"/>
        <v>0</v>
      </c>
      <c r="AC103" s="104">
        <f t="shared" si="67"/>
        <v>0</v>
      </c>
      <c r="AD103" s="104">
        <f t="shared" si="67"/>
        <v>0</v>
      </c>
      <c r="AE103" s="104">
        <f t="shared" si="67"/>
        <v>0</v>
      </c>
      <c r="AF103" s="104">
        <f t="shared" si="67"/>
        <v>0</v>
      </c>
      <c r="AG103" s="84">
        <f t="shared" si="61"/>
        <v>0</v>
      </c>
      <c r="AH103" s="105" t="str">
        <f t="shared" si="62"/>
        <v/>
      </c>
      <c r="AJ103" s="84">
        <f t="shared" si="63"/>
        <v>0</v>
      </c>
    </row>
    <row r="104" spans="1:36" x14ac:dyDescent="0.3">
      <c r="A104" s="113" t="s">
        <v>190</v>
      </c>
      <c r="B104" s="84">
        <f>IFERROR(SUMIF([2]Jan26A!$A:$A,$A104,INDEX([2]Jan26A!$A:$N,0,MATCH($A$1,[2]Jan26A!$A$7:$N$7,0))),0)</f>
        <v>0</v>
      </c>
      <c r="C104" s="84">
        <f>IFERROR(SUMIF([2]Feb26A!$A:$A,$A104,INDEX([2]Feb26A!$A:$N,0,MATCH($A$1,[2]Feb26A!$A$7:$N$7,0))),0)</f>
        <v>0</v>
      </c>
      <c r="D104" s="84">
        <f>IFERROR(SUMIF([2]Mar26A!$A:$A,$A104,INDEX([2]Mar26A!$A:$N,0,MATCH($A$1,[2]Mar26A!$A$7:$N$7,0))),0)</f>
        <v>0</v>
      </c>
      <c r="E104" s="84">
        <f>IFERROR(SUMIF([2]Apr26A!$A:$A,$A104,INDEX([2]Apr26A!$A:$N,0,MATCH($A$1,[2]Apr26A!$A$7:$N$7,0))),0)</f>
        <v>0</v>
      </c>
      <c r="F104" s="84">
        <f>IFERROR(SUMIF([2]May26A!$A:$A,$A104,INDEX([2]May26A!$A:$N,0,MATCH($A$1,[2]May26A!$A$7:$N$7,0))),0)</f>
        <v>0</v>
      </c>
      <c r="G104" s="84">
        <f>IFERROR(SUMIF([2]Jun26A!$A:$A,$A104,INDEX([2]Jun26A!$A:$N,0,MATCH($A$1,[2]Jun26A!$A$7:$N$7,0))),0)</f>
        <v>300.13</v>
      </c>
      <c r="H104" s="84">
        <f>IFERROR(SUMIF([2]Jul26A!$A:$A,$A104,INDEX([2]Jul26A!$A:$N,0,MATCH($A$1,[2]Jul26A!$A$7:$N$7,0))),0)</f>
        <v>0</v>
      </c>
      <c r="I104" s="84">
        <f>IFERROR(SUMIF([2]Aug26A!$A:$A,$A104,INDEX([2]Aug26A!$A:$N,0,MATCH($A$1,[2]Aug26A!$A$7:$N$7,0))),0)</f>
        <v>0</v>
      </c>
      <c r="J104" s="117">
        <v>0</v>
      </c>
      <c r="K104" s="117">
        <v>0</v>
      </c>
      <c r="L104" s="117">
        <v>0</v>
      </c>
      <c r="M104" s="117">
        <v>0</v>
      </c>
      <c r="N104" s="84">
        <f t="shared" si="58"/>
        <v>300.13</v>
      </c>
      <c r="O104" s="105" t="str">
        <f t="shared" si="59"/>
        <v/>
      </c>
      <c r="P104" s="84"/>
      <c r="Q104" s="84"/>
      <c r="R104" s="106" t="s">
        <v>99</v>
      </c>
      <c r="S104" s="107">
        <v>0</v>
      </c>
      <c r="T104" s="108">
        <v>0.05</v>
      </c>
      <c r="U104" s="104">
        <f t="shared" si="67"/>
        <v>0</v>
      </c>
      <c r="V104" s="104">
        <f t="shared" si="67"/>
        <v>0</v>
      </c>
      <c r="W104" s="104">
        <f t="shared" si="67"/>
        <v>0</v>
      </c>
      <c r="X104" s="104">
        <f t="shared" si="67"/>
        <v>0</v>
      </c>
      <c r="Y104" s="104">
        <f t="shared" si="67"/>
        <v>0</v>
      </c>
      <c r="Z104" s="104">
        <f t="shared" si="67"/>
        <v>0</v>
      </c>
      <c r="AA104" s="104">
        <f t="shared" si="67"/>
        <v>0</v>
      </c>
      <c r="AB104" s="104">
        <f t="shared" si="67"/>
        <v>0</v>
      </c>
      <c r="AC104" s="104">
        <f t="shared" si="67"/>
        <v>0</v>
      </c>
      <c r="AD104" s="104">
        <f t="shared" si="67"/>
        <v>0</v>
      </c>
      <c r="AE104" s="104">
        <f t="shared" si="67"/>
        <v>0</v>
      </c>
      <c r="AF104" s="104">
        <f t="shared" si="67"/>
        <v>0</v>
      </c>
      <c r="AG104" s="84">
        <f t="shared" si="61"/>
        <v>0</v>
      </c>
      <c r="AH104" s="105" t="str">
        <f t="shared" si="62"/>
        <v/>
      </c>
      <c r="AJ104" s="84">
        <f t="shared" si="63"/>
        <v>300.13</v>
      </c>
    </row>
    <row r="105" spans="1:36" x14ac:dyDescent="0.3">
      <c r="A105" s="113" t="s">
        <v>191</v>
      </c>
      <c r="B105" s="84">
        <f>IFERROR(SUMIF([2]Jan26A!$A:$A,$A105,INDEX([2]Jan26A!$A:$N,0,MATCH($A$1,[2]Jan26A!$A$7:$N$7,0))),0)</f>
        <v>0</v>
      </c>
      <c r="C105" s="84">
        <f>IFERROR(SUMIF([2]Feb26A!$A:$A,$A105,INDEX([2]Feb26A!$A:$N,0,MATCH($A$1,[2]Feb26A!$A$7:$N$7,0))),0)</f>
        <v>0</v>
      </c>
      <c r="D105" s="84">
        <f>IFERROR(SUMIF([2]Mar26A!$A:$A,$A105,INDEX([2]Mar26A!$A:$N,0,MATCH($A$1,[2]Mar26A!$A$7:$N$7,0))),0)</f>
        <v>0</v>
      </c>
      <c r="E105" s="84">
        <f>IFERROR(SUMIF([2]Apr26A!$A:$A,$A105,INDEX([2]Apr26A!$A:$N,0,MATCH($A$1,[2]Apr26A!$A$7:$N$7,0))),0)</f>
        <v>0</v>
      </c>
      <c r="F105" s="84">
        <f>IFERROR(SUMIF([2]May26A!$A:$A,$A105,INDEX([2]May26A!$A:$N,0,MATCH($A$1,[2]May26A!$A$7:$N$7,0))),0)</f>
        <v>0</v>
      </c>
      <c r="G105" s="84">
        <f>IFERROR(SUMIF([2]Jun26A!$A:$A,$A105,INDEX([2]Jun26A!$A:$N,0,MATCH($A$1,[2]Jun26A!$A$7:$N$7,0))),0)</f>
        <v>0</v>
      </c>
      <c r="H105" s="84">
        <f>IFERROR(SUMIF([2]Jul26A!$A:$A,$A105,INDEX([2]Jul26A!$A:$N,0,MATCH($A$1,[2]Jul26A!$A$7:$N$7,0))),0)</f>
        <v>0</v>
      </c>
      <c r="I105" s="84">
        <f>IFERROR(SUMIF([2]Aug26A!$A:$A,$A105,INDEX([2]Aug26A!$A:$N,0,MATCH($A$1,[2]Aug26A!$A$7:$N$7,0))),0)</f>
        <v>0</v>
      </c>
      <c r="J105" s="117">
        <v>0</v>
      </c>
      <c r="K105" s="117">
        <v>0</v>
      </c>
      <c r="L105" s="117">
        <v>0</v>
      </c>
      <c r="M105" s="117">
        <v>0</v>
      </c>
      <c r="N105" s="84">
        <f t="shared" si="58"/>
        <v>0</v>
      </c>
      <c r="O105" s="105" t="str">
        <f t="shared" si="59"/>
        <v/>
      </c>
      <c r="P105" s="84"/>
      <c r="Q105" s="84"/>
      <c r="R105" s="106" t="s">
        <v>99</v>
      </c>
      <c r="S105" s="107">
        <v>0</v>
      </c>
      <c r="T105" s="108">
        <v>0.05</v>
      </c>
      <c r="U105" s="104">
        <f t="shared" si="67"/>
        <v>0</v>
      </c>
      <c r="V105" s="104">
        <f t="shared" si="67"/>
        <v>0</v>
      </c>
      <c r="W105" s="104">
        <f t="shared" si="67"/>
        <v>0</v>
      </c>
      <c r="X105" s="104">
        <f t="shared" si="67"/>
        <v>0</v>
      </c>
      <c r="Y105" s="104">
        <f t="shared" si="67"/>
        <v>0</v>
      </c>
      <c r="Z105" s="104">
        <f t="shared" si="67"/>
        <v>0</v>
      </c>
      <c r="AA105" s="104">
        <f t="shared" si="67"/>
        <v>0</v>
      </c>
      <c r="AB105" s="104">
        <f t="shared" si="67"/>
        <v>0</v>
      </c>
      <c r="AC105" s="104">
        <f t="shared" si="67"/>
        <v>0</v>
      </c>
      <c r="AD105" s="104">
        <f t="shared" si="67"/>
        <v>0</v>
      </c>
      <c r="AE105" s="104">
        <f t="shared" si="67"/>
        <v>0</v>
      </c>
      <c r="AF105" s="104">
        <f t="shared" si="67"/>
        <v>0</v>
      </c>
      <c r="AG105" s="84">
        <f t="shared" si="61"/>
        <v>0</v>
      </c>
      <c r="AH105" s="105" t="str">
        <f t="shared" si="62"/>
        <v/>
      </c>
      <c r="AJ105" s="84">
        <f t="shared" si="63"/>
        <v>0</v>
      </c>
    </row>
    <row r="106" spans="1:36" x14ac:dyDescent="0.3">
      <c r="A106" s="113" t="s">
        <v>192</v>
      </c>
      <c r="B106" s="84">
        <f>IFERROR(SUMIF([2]Jan26A!$A:$A,$A106,INDEX([2]Jan26A!$A:$N,0,MATCH($A$1,[2]Jan26A!$A$7:$N$7,0))),0)</f>
        <v>0</v>
      </c>
      <c r="C106" s="84">
        <f>IFERROR(SUMIF([2]Feb26A!$A:$A,$A106,INDEX([2]Feb26A!$A:$N,0,MATCH($A$1,[2]Feb26A!$A$7:$N$7,0))),0)</f>
        <v>5564.86</v>
      </c>
      <c r="D106" s="84">
        <f>IFERROR(SUMIF([2]Mar26A!$A:$A,$A106,INDEX([2]Mar26A!$A:$N,0,MATCH($A$1,[2]Mar26A!$A$7:$N$7,0))),0)</f>
        <v>0</v>
      </c>
      <c r="E106" s="84">
        <f>IFERROR(SUMIF([2]Apr26A!$A:$A,$A106,INDEX([2]Apr26A!$A:$N,0,MATCH($A$1,[2]Apr26A!$A$7:$N$7,0))),0)</f>
        <v>5954.4</v>
      </c>
      <c r="F106" s="84">
        <f>IFERROR(SUMIF([2]May26A!$A:$A,$A106,INDEX([2]May26A!$A:$N,0,MATCH($A$1,[2]May26A!$A$7:$N$7,0))),0)</f>
        <v>0</v>
      </c>
      <c r="G106" s="84">
        <f>IFERROR(SUMIF([2]Jun26A!$A:$A,$A106,INDEX([2]Jun26A!$A:$N,0,MATCH($A$1,[2]Jun26A!$A$7:$N$7,0))),0)</f>
        <v>0</v>
      </c>
      <c r="H106" s="84">
        <f>IFERROR(SUMIF([2]Jul26A!$A:$A,$A106,INDEX([2]Jul26A!$A:$N,0,MATCH($A$1,[2]Jul26A!$A$7:$N$7,0))),0)</f>
        <v>0</v>
      </c>
      <c r="I106" s="84">
        <f>IFERROR(SUMIF([2]Aug26A!$A:$A,$A106,INDEX([2]Aug26A!$A:$N,0,MATCH($A$1,[2]Aug26A!$A$7:$N$7,0))),0)</f>
        <v>0</v>
      </c>
      <c r="J106" s="117">
        <v>2000</v>
      </c>
      <c r="K106" s="117">
        <v>2000</v>
      </c>
      <c r="L106" s="117">
        <v>2000</v>
      </c>
      <c r="M106" s="117">
        <v>2000</v>
      </c>
      <c r="N106" s="84">
        <f t="shared" si="58"/>
        <v>19519.259999999998</v>
      </c>
      <c r="O106" s="105" t="str">
        <f t="shared" si="59"/>
        <v/>
      </c>
      <c r="P106" s="84"/>
      <c r="Q106" s="84"/>
      <c r="R106" s="106" t="s">
        <v>99</v>
      </c>
      <c r="S106" s="107">
        <v>0</v>
      </c>
      <c r="T106" s="108">
        <v>0.05</v>
      </c>
      <c r="U106" s="104">
        <f t="shared" si="67"/>
        <v>0</v>
      </c>
      <c r="V106" s="104">
        <f t="shared" si="67"/>
        <v>0</v>
      </c>
      <c r="W106" s="104">
        <f t="shared" si="67"/>
        <v>0</v>
      </c>
      <c r="X106" s="104">
        <f t="shared" si="67"/>
        <v>0</v>
      </c>
      <c r="Y106" s="104">
        <f t="shared" si="67"/>
        <v>0</v>
      </c>
      <c r="Z106" s="104">
        <f t="shared" si="67"/>
        <v>0</v>
      </c>
      <c r="AA106" s="104">
        <f t="shared" si="67"/>
        <v>0</v>
      </c>
      <c r="AB106" s="104">
        <f t="shared" si="67"/>
        <v>0</v>
      </c>
      <c r="AC106" s="104">
        <f t="shared" si="67"/>
        <v>0</v>
      </c>
      <c r="AD106" s="104">
        <f t="shared" si="67"/>
        <v>0</v>
      </c>
      <c r="AE106" s="104">
        <f t="shared" si="67"/>
        <v>0</v>
      </c>
      <c r="AF106" s="104">
        <f t="shared" si="67"/>
        <v>0</v>
      </c>
      <c r="AG106" s="84">
        <f t="shared" si="61"/>
        <v>0</v>
      </c>
      <c r="AH106" s="105" t="str">
        <f t="shared" si="62"/>
        <v/>
      </c>
      <c r="AJ106" s="84">
        <f t="shared" si="63"/>
        <v>19519.259999999998</v>
      </c>
    </row>
    <row r="107" spans="1:36" x14ac:dyDescent="0.3">
      <c r="A107" s="113" t="s">
        <v>193</v>
      </c>
      <c r="B107" s="84">
        <f>IFERROR(SUMIF([2]Jan26A!$A:$A,$A107,INDEX([2]Jan26A!$A:$N,0,MATCH($A$1,[2]Jan26A!$A$7:$N$7,0))),0)</f>
        <v>0</v>
      </c>
      <c r="C107" s="84">
        <f>IFERROR(SUMIF([2]Feb26A!$A:$A,$A107,INDEX([2]Feb26A!$A:$N,0,MATCH($A$1,[2]Feb26A!$A$7:$N$7,0))),0)</f>
        <v>0</v>
      </c>
      <c r="D107" s="84">
        <f>IFERROR(SUMIF([2]Mar26A!$A:$A,$A107,INDEX([2]Mar26A!$A:$N,0,MATCH($A$1,[2]Mar26A!$A$7:$N$7,0))),0)</f>
        <v>0</v>
      </c>
      <c r="E107" s="84">
        <f>IFERROR(SUMIF([2]Apr26A!$A:$A,$A107,INDEX([2]Apr26A!$A:$N,0,MATCH($A$1,[2]Apr26A!$A$7:$N$7,0))),0)</f>
        <v>0</v>
      </c>
      <c r="F107" s="84">
        <f>IFERROR(SUMIF([2]May26A!$A:$A,$A107,INDEX([2]May26A!$A:$N,0,MATCH($A$1,[2]May26A!$A$7:$N$7,0))),0)</f>
        <v>0</v>
      </c>
      <c r="G107" s="84">
        <f>IFERROR(SUMIF([2]Jun26A!$A:$A,$A107,INDEX([2]Jun26A!$A:$N,0,MATCH($A$1,[2]Jun26A!$A$7:$N$7,0))),0)</f>
        <v>0</v>
      </c>
      <c r="H107" s="84">
        <f>IFERROR(SUMIF([2]Jul26A!$A:$A,$A107,INDEX([2]Jul26A!$A:$N,0,MATCH($A$1,[2]Jul26A!$A$7:$N$7,0))),0)</f>
        <v>0</v>
      </c>
      <c r="I107" s="84">
        <f>IFERROR(SUMIF([2]Aug26A!$A:$A,$A107,INDEX([2]Aug26A!$A:$N,0,MATCH($A$1,[2]Aug26A!$A$7:$N$7,0))),0)</f>
        <v>0</v>
      </c>
      <c r="J107" s="117">
        <v>0</v>
      </c>
      <c r="K107" s="117">
        <v>0</v>
      </c>
      <c r="L107" s="117">
        <v>0</v>
      </c>
      <c r="M107" s="117">
        <v>0</v>
      </c>
      <c r="N107" s="84">
        <f t="shared" si="58"/>
        <v>0</v>
      </c>
      <c r="O107" s="105" t="str">
        <f t="shared" si="59"/>
        <v/>
      </c>
      <c r="P107" s="84"/>
      <c r="Q107" s="84"/>
      <c r="R107" s="106" t="s">
        <v>99</v>
      </c>
      <c r="S107" s="107">
        <v>0</v>
      </c>
      <c r="T107" s="108">
        <v>0.05</v>
      </c>
      <c r="U107" s="104">
        <f t="shared" si="67"/>
        <v>0</v>
      </c>
      <c r="V107" s="104">
        <f t="shared" si="67"/>
        <v>0</v>
      </c>
      <c r="W107" s="104">
        <f t="shared" si="67"/>
        <v>0</v>
      </c>
      <c r="X107" s="104">
        <f t="shared" si="67"/>
        <v>0</v>
      </c>
      <c r="Y107" s="104">
        <f t="shared" si="67"/>
        <v>0</v>
      </c>
      <c r="Z107" s="104">
        <f t="shared" si="67"/>
        <v>0</v>
      </c>
      <c r="AA107" s="104">
        <f t="shared" si="67"/>
        <v>0</v>
      </c>
      <c r="AB107" s="104">
        <f t="shared" si="67"/>
        <v>0</v>
      </c>
      <c r="AC107" s="104">
        <f t="shared" si="67"/>
        <v>0</v>
      </c>
      <c r="AD107" s="104">
        <f t="shared" si="67"/>
        <v>0</v>
      </c>
      <c r="AE107" s="104">
        <f t="shared" si="67"/>
        <v>0</v>
      </c>
      <c r="AF107" s="104">
        <f t="shared" si="67"/>
        <v>0</v>
      </c>
      <c r="AG107" s="84">
        <f t="shared" si="61"/>
        <v>0</v>
      </c>
      <c r="AH107" s="105" t="str">
        <f t="shared" si="62"/>
        <v/>
      </c>
      <c r="AJ107" s="84">
        <f t="shared" si="63"/>
        <v>0</v>
      </c>
    </row>
    <row r="108" spans="1:36" x14ac:dyDescent="0.3">
      <c r="A108" s="113" t="s">
        <v>194</v>
      </c>
      <c r="B108" s="84">
        <f>IFERROR(SUMIF([2]Jan26A!$A:$A,$A108,INDEX([2]Jan26A!$A:$N,0,MATCH($A$1,[2]Jan26A!$A$7:$N$7,0))),0)</f>
        <v>0</v>
      </c>
      <c r="C108" s="84">
        <f>IFERROR(SUMIF([2]Feb26A!$A:$A,$A108,INDEX([2]Feb26A!$A:$N,0,MATCH($A$1,[2]Feb26A!$A$7:$N$7,0))),0)</f>
        <v>0</v>
      </c>
      <c r="D108" s="84">
        <f>IFERROR(SUMIF([2]Mar26A!$A:$A,$A108,INDEX([2]Mar26A!$A:$N,0,MATCH($A$1,[2]Mar26A!$A$7:$N$7,0))),0)</f>
        <v>0</v>
      </c>
      <c r="E108" s="84">
        <f>IFERROR(SUMIF([2]Apr26A!$A:$A,$A108,INDEX([2]Apr26A!$A:$N,0,MATCH($A$1,[2]Apr26A!$A$7:$N$7,0))),0)</f>
        <v>0</v>
      </c>
      <c r="F108" s="84">
        <f>IFERROR(SUMIF([2]May26A!$A:$A,$A108,INDEX([2]May26A!$A:$N,0,MATCH($A$1,[2]May26A!$A$7:$N$7,0))),0)</f>
        <v>0</v>
      </c>
      <c r="G108" s="84">
        <f>IFERROR(SUMIF([2]Jun26A!$A:$A,$A108,INDEX([2]Jun26A!$A:$N,0,MATCH($A$1,[2]Jun26A!$A$7:$N$7,0))),0)</f>
        <v>0</v>
      </c>
      <c r="H108" s="84">
        <f>IFERROR(SUMIF([2]Jul26A!$A:$A,$A108,INDEX([2]Jul26A!$A:$N,0,MATCH($A$1,[2]Jul26A!$A$7:$N$7,0))),0)</f>
        <v>0</v>
      </c>
      <c r="I108" s="84">
        <f>IFERROR(SUMIF([2]Aug26A!$A:$A,$A108,INDEX([2]Aug26A!$A:$N,0,MATCH($A$1,[2]Aug26A!$A$7:$N$7,0))),0)</f>
        <v>0</v>
      </c>
      <c r="J108" s="117">
        <v>0</v>
      </c>
      <c r="K108" s="117">
        <v>0</v>
      </c>
      <c r="L108" s="117">
        <v>0</v>
      </c>
      <c r="M108" s="117">
        <v>0</v>
      </c>
      <c r="N108" s="84">
        <f t="shared" si="58"/>
        <v>0</v>
      </c>
      <c r="O108" s="105" t="str">
        <f t="shared" si="59"/>
        <v/>
      </c>
      <c r="P108" s="84"/>
      <c r="Q108" s="84"/>
      <c r="R108" s="106" t="s">
        <v>99</v>
      </c>
      <c r="S108" s="107">
        <v>0</v>
      </c>
      <c r="T108" s="108">
        <v>0.05</v>
      </c>
      <c r="U108" s="104">
        <f t="shared" ref="U108:AF115" si="68">IF($R108="Manual","",IFERROR(IF($R108="YOY Growth",$N108*(1+$T108)/12,$S108/12),""))</f>
        <v>0</v>
      </c>
      <c r="V108" s="104">
        <f t="shared" si="68"/>
        <v>0</v>
      </c>
      <c r="W108" s="104">
        <f t="shared" si="68"/>
        <v>0</v>
      </c>
      <c r="X108" s="104">
        <f t="shared" si="68"/>
        <v>0</v>
      </c>
      <c r="Y108" s="104">
        <f t="shared" si="68"/>
        <v>0</v>
      </c>
      <c r="Z108" s="104">
        <f t="shared" si="68"/>
        <v>0</v>
      </c>
      <c r="AA108" s="104">
        <f t="shared" si="68"/>
        <v>0</v>
      </c>
      <c r="AB108" s="104">
        <f t="shared" si="68"/>
        <v>0</v>
      </c>
      <c r="AC108" s="104">
        <f t="shared" si="68"/>
        <v>0</v>
      </c>
      <c r="AD108" s="104">
        <f t="shared" si="68"/>
        <v>0</v>
      </c>
      <c r="AE108" s="104">
        <f t="shared" si="68"/>
        <v>0</v>
      </c>
      <c r="AF108" s="104">
        <f t="shared" si="68"/>
        <v>0</v>
      </c>
      <c r="AG108" s="84">
        <f t="shared" si="61"/>
        <v>0</v>
      </c>
      <c r="AH108" s="105" t="str">
        <f t="shared" si="62"/>
        <v/>
      </c>
      <c r="AJ108" s="84">
        <f t="shared" si="63"/>
        <v>0</v>
      </c>
    </row>
    <row r="109" spans="1:36" x14ac:dyDescent="0.3">
      <c r="A109" s="113" t="s">
        <v>195</v>
      </c>
      <c r="B109" s="84">
        <f>IFERROR(SUMIF([2]Jan26A!$A:$A,$A109,INDEX([2]Jan26A!$A:$N,0,MATCH($A$1,[2]Jan26A!$A$7:$N$7,0))),0)</f>
        <v>0</v>
      </c>
      <c r="C109" s="84">
        <f>IFERROR(SUMIF([2]Feb26A!$A:$A,$A109,INDEX([2]Feb26A!$A:$N,0,MATCH($A$1,[2]Feb26A!$A$7:$N$7,0))),0)</f>
        <v>0</v>
      </c>
      <c r="D109" s="84">
        <f>IFERROR(SUMIF([2]Mar26A!$A:$A,$A109,INDEX([2]Mar26A!$A:$N,0,MATCH($A$1,[2]Mar26A!$A$7:$N$7,0))),0)</f>
        <v>0</v>
      </c>
      <c r="E109" s="84">
        <f>IFERROR(SUMIF([2]Apr26A!$A:$A,$A109,INDEX([2]Apr26A!$A:$N,0,MATCH($A$1,[2]Apr26A!$A$7:$N$7,0))),0)</f>
        <v>0</v>
      </c>
      <c r="F109" s="84">
        <f>IFERROR(SUMIF([2]May26A!$A:$A,$A109,INDEX([2]May26A!$A:$N,0,MATCH($A$1,[2]May26A!$A$7:$N$7,0))),0)</f>
        <v>0</v>
      </c>
      <c r="G109" s="84">
        <f>IFERROR(SUMIF([2]Jun26A!$A:$A,$A109,INDEX([2]Jun26A!$A:$N,0,MATCH($A$1,[2]Jun26A!$A$7:$N$7,0))),0)</f>
        <v>0</v>
      </c>
      <c r="H109" s="84">
        <f>IFERROR(SUMIF([2]Jul26A!$A:$A,$A109,INDEX([2]Jul26A!$A:$N,0,MATCH($A$1,[2]Jul26A!$A$7:$N$7,0))),0)</f>
        <v>0</v>
      </c>
      <c r="I109" s="84">
        <f>IFERROR(SUMIF([2]Aug26A!$A:$A,$A109,INDEX([2]Aug26A!$A:$N,0,MATCH($A$1,[2]Aug26A!$A$7:$N$7,0))),0)</f>
        <v>0</v>
      </c>
      <c r="J109" s="117">
        <v>0</v>
      </c>
      <c r="K109" s="117">
        <v>0</v>
      </c>
      <c r="L109" s="117">
        <v>0</v>
      </c>
      <c r="M109" s="117">
        <v>0</v>
      </c>
      <c r="N109" s="84">
        <f t="shared" si="58"/>
        <v>0</v>
      </c>
      <c r="O109" s="105" t="str">
        <f t="shared" si="59"/>
        <v/>
      </c>
      <c r="P109" s="84"/>
      <c r="Q109" s="84"/>
      <c r="R109" s="106" t="s">
        <v>99</v>
      </c>
      <c r="S109" s="107">
        <v>0</v>
      </c>
      <c r="T109" s="108">
        <v>0.05</v>
      </c>
      <c r="U109" s="104">
        <f t="shared" si="68"/>
        <v>0</v>
      </c>
      <c r="V109" s="104">
        <f t="shared" si="68"/>
        <v>0</v>
      </c>
      <c r="W109" s="104">
        <f t="shared" si="68"/>
        <v>0</v>
      </c>
      <c r="X109" s="104">
        <f t="shared" si="68"/>
        <v>0</v>
      </c>
      <c r="Y109" s="104">
        <f t="shared" si="68"/>
        <v>0</v>
      </c>
      <c r="Z109" s="104">
        <f t="shared" si="68"/>
        <v>0</v>
      </c>
      <c r="AA109" s="104">
        <f t="shared" si="68"/>
        <v>0</v>
      </c>
      <c r="AB109" s="104">
        <f t="shared" si="68"/>
        <v>0</v>
      </c>
      <c r="AC109" s="104">
        <f t="shared" si="68"/>
        <v>0</v>
      </c>
      <c r="AD109" s="104">
        <f t="shared" si="68"/>
        <v>0</v>
      </c>
      <c r="AE109" s="104">
        <f t="shared" si="68"/>
        <v>0</v>
      </c>
      <c r="AF109" s="104">
        <f t="shared" si="68"/>
        <v>0</v>
      </c>
      <c r="AG109" s="84">
        <f t="shared" si="61"/>
        <v>0</v>
      </c>
      <c r="AH109" s="105" t="str">
        <f t="shared" si="62"/>
        <v/>
      </c>
      <c r="AJ109" s="84">
        <f t="shared" si="63"/>
        <v>0</v>
      </c>
    </row>
    <row r="110" spans="1:36" x14ac:dyDescent="0.3">
      <c r="A110" s="113" t="s">
        <v>196</v>
      </c>
      <c r="B110" s="84">
        <f>IFERROR(SUMIF([2]Jan26A!$A:$A,$A110,INDEX([2]Jan26A!$A:$N,0,MATCH($A$1,[2]Jan26A!$A$7:$N$7,0))),0)</f>
        <v>0</v>
      </c>
      <c r="C110" s="84">
        <f>IFERROR(SUMIF([2]Feb26A!$A:$A,$A110,INDEX([2]Feb26A!$A:$N,0,MATCH($A$1,[2]Feb26A!$A$7:$N$7,0))),0)</f>
        <v>0</v>
      </c>
      <c r="D110" s="84">
        <f>IFERROR(SUMIF([2]Mar26A!$A:$A,$A110,INDEX([2]Mar26A!$A:$N,0,MATCH($A$1,[2]Mar26A!$A$7:$N$7,0))),0)</f>
        <v>0</v>
      </c>
      <c r="E110" s="84">
        <f>IFERROR(SUMIF([2]Apr26A!$A:$A,$A110,INDEX([2]Apr26A!$A:$N,0,MATCH($A$1,[2]Apr26A!$A$7:$N$7,0))),0)</f>
        <v>5</v>
      </c>
      <c r="F110" s="84">
        <f>IFERROR(SUMIF([2]May26A!$A:$A,$A110,INDEX([2]May26A!$A:$N,0,MATCH($A$1,[2]May26A!$A$7:$N$7,0))),0)</f>
        <v>0</v>
      </c>
      <c r="G110" s="84">
        <f>IFERROR(SUMIF([2]Jun26A!$A:$A,$A110,INDEX([2]Jun26A!$A:$N,0,MATCH($A$1,[2]Jun26A!$A$7:$N$7,0))),0)</f>
        <v>0</v>
      </c>
      <c r="H110" s="84">
        <f>IFERROR(SUMIF([2]Jul26A!$A:$A,$A110,INDEX([2]Jul26A!$A:$N,0,MATCH($A$1,[2]Jul26A!$A$7:$N$7,0))),0)</f>
        <v>3900</v>
      </c>
      <c r="I110" s="84">
        <f>IFERROR(SUMIF([2]Aug26A!$A:$A,$A110,INDEX([2]Aug26A!$A:$N,0,MATCH($A$1,[2]Aug26A!$A$7:$N$7,0))),0)</f>
        <v>3900</v>
      </c>
      <c r="J110" s="117">
        <v>0</v>
      </c>
      <c r="K110" s="117">
        <v>0</v>
      </c>
      <c r="L110" s="117">
        <v>0</v>
      </c>
      <c r="M110" s="117">
        <v>0</v>
      </c>
      <c r="N110" s="84">
        <f t="shared" si="58"/>
        <v>7805</v>
      </c>
      <c r="O110" s="105" t="str">
        <f t="shared" si="59"/>
        <v/>
      </c>
      <c r="P110" s="84"/>
      <c r="Q110" s="84"/>
      <c r="R110" s="106" t="s">
        <v>99</v>
      </c>
      <c r="S110" s="107">
        <v>0</v>
      </c>
      <c r="T110" s="108">
        <v>0.05</v>
      </c>
      <c r="U110" s="104">
        <f t="shared" si="68"/>
        <v>0</v>
      </c>
      <c r="V110" s="104">
        <f t="shared" si="68"/>
        <v>0</v>
      </c>
      <c r="W110" s="104">
        <f t="shared" si="68"/>
        <v>0</v>
      </c>
      <c r="X110" s="104">
        <f t="shared" si="68"/>
        <v>0</v>
      </c>
      <c r="Y110" s="104">
        <f t="shared" si="68"/>
        <v>0</v>
      </c>
      <c r="Z110" s="104">
        <f t="shared" si="68"/>
        <v>0</v>
      </c>
      <c r="AA110" s="104">
        <f t="shared" si="68"/>
        <v>0</v>
      </c>
      <c r="AB110" s="104">
        <f t="shared" si="68"/>
        <v>0</v>
      </c>
      <c r="AC110" s="104">
        <f t="shared" si="68"/>
        <v>0</v>
      </c>
      <c r="AD110" s="104">
        <f t="shared" si="68"/>
        <v>0</v>
      </c>
      <c r="AE110" s="104">
        <f t="shared" si="68"/>
        <v>0</v>
      </c>
      <c r="AF110" s="104">
        <f t="shared" si="68"/>
        <v>0</v>
      </c>
      <c r="AG110" s="84">
        <f t="shared" si="61"/>
        <v>0</v>
      </c>
      <c r="AH110" s="105" t="str">
        <f t="shared" si="62"/>
        <v/>
      </c>
      <c r="AJ110" s="84">
        <f t="shared" si="63"/>
        <v>7805</v>
      </c>
    </row>
    <row r="111" spans="1:36" x14ac:dyDescent="0.3">
      <c r="A111" s="113" t="s">
        <v>197</v>
      </c>
      <c r="B111" s="84">
        <f>IFERROR(SUMIF([2]Jan26A!$A:$A,$A111,INDEX([2]Jan26A!$A:$N,0,MATCH($A$1,[2]Jan26A!$A$7:$N$7,0))),0)</f>
        <v>0</v>
      </c>
      <c r="C111" s="84">
        <f>IFERROR(SUMIF([2]Feb26A!$A:$A,$A111,INDEX([2]Feb26A!$A:$N,0,MATCH($A$1,[2]Feb26A!$A$7:$N$7,0))),0)</f>
        <v>0</v>
      </c>
      <c r="D111" s="84">
        <f>IFERROR(SUMIF([2]Mar26A!$A:$A,$A111,INDEX([2]Mar26A!$A:$N,0,MATCH($A$1,[2]Mar26A!$A$7:$N$7,0))),0)</f>
        <v>0</v>
      </c>
      <c r="E111" s="84">
        <f>IFERROR(SUMIF([2]Apr26A!$A:$A,$A111,INDEX([2]Apr26A!$A:$N,0,MATCH($A$1,[2]Apr26A!$A$7:$N$7,0))),0)</f>
        <v>0</v>
      </c>
      <c r="F111" s="84">
        <f>IFERROR(SUMIF([2]May26A!$A:$A,$A111,INDEX([2]May26A!$A:$N,0,MATCH($A$1,[2]May26A!$A$7:$N$7,0))),0)</f>
        <v>0</v>
      </c>
      <c r="G111" s="84">
        <f>IFERROR(SUMIF([2]Jun26A!$A:$A,$A111,INDEX([2]Jun26A!$A:$N,0,MATCH($A$1,[2]Jun26A!$A$7:$N$7,0))),0)</f>
        <v>0</v>
      </c>
      <c r="H111" s="84">
        <f>IFERROR(SUMIF([2]Jul26A!$A:$A,$A111,INDEX([2]Jul26A!$A:$N,0,MATCH($A$1,[2]Jul26A!$A$7:$N$7,0))),0)</f>
        <v>0</v>
      </c>
      <c r="I111" s="84">
        <f>IFERROR(SUMIF([2]Aug26A!$A:$A,$A111,INDEX([2]Aug26A!$A:$N,0,MATCH($A$1,[2]Aug26A!$A$7:$N$7,0))),0)</f>
        <v>0</v>
      </c>
      <c r="J111" s="117">
        <v>0</v>
      </c>
      <c r="K111" s="117">
        <v>0</v>
      </c>
      <c r="L111" s="117">
        <v>0</v>
      </c>
      <c r="M111" s="117">
        <v>0</v>
      </c>
      <c r="N111" s="84">
        <f t="shared" si="58"/>
        <v>0</v>
      </c>
      <c r="O111" s="105" t="str">
        <f t="shared" si="59"/>
        <v/>
      </c>
      <c r="P111" s="84"/>
      <c r="Q111" s="84"/>
      <c r="R111" s="106" t="s">
        <v>99</v>
      </c>
      <c r="S111" s="107">
        <v>0</v>
      </c>
      <c r="T111" s="108">
        <v>0.05</v>
      </c>
      <c r="U111" s="104">
        <f t="shared" si="68"/>
        <v>0</v>
      </c>
      <c r="V111" s="104">
        <f t="shared" si="68"/>
        <v>0</v>
      </c>
      <c r="W111" s="104">
        <f t="shared" si="68"/>
        <v>0</v>
      </c>
      <c r="X111" s="104">
        <f t="shared" si="68"/>
        <v>0</v>
      </c>
      <c r="Y111" s="104">
        <f t="shared" si="68"/>
        <v>0</v>
      </c>
      <c r="Z111" s="104">
        <f t="shared" si="68"/>
        <v>0</v>
      </c>
      <c r="AA111" s="104">
        <f t="shared" si="68"/>
        <v>0</v>
      </c>
      <c r="AB111" s="104">
        <f t="shared" si="68"/>
        <v>0</v>
      </c>
      <c r="AC111" s="104">
        <f t="shared" si="68"/>
        <v>0</v>
      </c>
      <c r="AD111" s="104">
        <f t="shared" si="68"/>
        <v>0</v>
      </c>
      <c r="AE111" s="104">
        <f t="shared" si="68"/>
        <v>0</v>
      </c>
      <c r="AF111" s="104">
        <f t="shared" si="68"/>
        <v>0</v>
      </c>
      <c r="AG111" s="84">
        <f t="shared" si="61"/>
        <v>0</v>
      </c>
      <c r="AH111" s="105" t="str">
        <f t="shared" si="62"/>
        <v/>
      </c>
      <c r="AJ111" s="84">
        <f t="shared" si="63"/>
        <v>0</v>
      </c>
    </row>
    <row r="112" spans="1:36" x14ac:dyDescent="0.3">
      <c r="A112" s="113" t="s">
        <v>198</v>
      </c>
      <c r="B112" s="84">
        <f>IFERROR(SUMIF([2]Jan26A!$A:$A,$A112,INDEX([2]Jan26A!$A:$N,0,MATCH($A$1,[2]Jan26A!$A$7:$N$7,0))),0)</f>
        <v>0</v>
      </c>
      <c r="C112" s="84">
        <f>IFERROR(SUMIF([2]Feb26A!$A:$A,$A112,INDEX([2]Feb26A!$A:$N,0,MATCH($A$1,[2]Feb26A!$A$7:$N$7,0))),0)</f>
        <v>0</v>
      </c>
      <c r="D112" s="84">
        <f>IFERROR(SUMIF([2]Mar26A!$A:$A,$A112,INDEX([2]Mar26A!$A:$N,0,MATCH($A$1,[2]Mar26A!$A$7:$N$7,0))),0)</f>
        <v>0</v>
      </c>
      <c r="E112" s="84">
        <f>IFERROR(SUMIF([2]Apr26A!$A:$A,$A112,INDEX([2]Apr26A!$A:$N,0,MATCH($A$1,[2]Apr26A!$A$7:$N$7,0))),0)</f>
        <v>0</v>
      </c>
      <c r="F112" s="84">
        <f>IFERROR(SUMIF([2]May26A!$A:$A,$A112,INDEX([2]May26A!$A:$N,0,MATCH($A$1,[2]May26A!$A$7:$N$7,0))),0)</f>
        <v>0</v>
      </c>
      <c r="G112" s="84">
        <f>IFERROR(SUMIF([2]Jun26A!$A:$A,$A112,INDEX([2]Jun26A!$A:$N,0,MATCH($A$1,[2]Jun26A!$A$7:$N$7,0))),0)</f>
        <v>0</v>
      </c>
      <c r="H112" s="84">
        <f>IFERROR(SUMIF([2]Jul26A!$A:$A,$A112,INDEX([2]Jul26A!$A:$N,0,MATCH($A$1,[2]Jul26A!$A$7:$N$7,0))),0)</f>
        <v>0</v>
      </c>
      <c r="I112" s="84">
        <f>IFERROR(SUMIF([2]Aug26A!$A:$A,$A112,INDEX([2]Aug26A!$A:$N,0,MATCH($A$1,[2]Aug26A!$A$7:$N$7,0))),0)</f>
        <v>0</v>
      </c>
      <c r="J112" s="117">
        <v>0</v>
      </c>
      <c r="K112" s="117">
        <v>0</v>
      </c>
      <c r="L112" s="117">
        <v>0</v>
      </c>
      <c r="M112" s="117">
        <v>0</v>
      </c>
      <c r="N112" s="84">
        <f t="shared" si="58"/>
        <v>0</v>
      </c>
      <c r="O112" s="105" t="str">
        <f t="shared" si="59"/>
        <v/>
      </c>
      <c r="P112" s="84"/>
      <c r="Q112" s="84"/>
      <c r="R112" s="106" t="s">
        <v>99</v>
      </c>
      <c r="S112" s="107">
        <v>0</v>
      </c>
      <c r="T112" s="108">
        <v>0.05</v>
      </c>
      <c r="U112" s="104">
        <f t="shared" si="68"/>
        <v>0</v>
      </c>
      <c r="V112" s="104">
        <f t="shared" si="68"/>
        <v>0</v>
      </c>
      <c r="W112" s="104">
        <f t="shared" si="68"/>
        <v>0</v>
      </c>
      <c r="X112" s="104">
        <f t="shared" si="68"/>
        <v>0</v>
      </c>
      <c r="Y112" s="104">
        <f t="shared" si="68"/>
        <v>0</v>
      </c>
      <c r="Z112" s="104">
        <f t="shared" si="68"/>
        <v>0</v>
      </c>
      <c r="AA112" s="104">
        <f t="shared" si="68"/>
        <v>0</v>
      </c>
      <c r="AB112" s="104">
        <f t="shared" si="68"/>
        <v>0</v>
      </c>
      <c r="AC112" s="104">
        <f t="shared" si="68"/>
        <v>0</v>
      </c>
      <c r="AD112" s="104">
        <f t="shared" si="68"/>
        <v>0</v>
      </c>
      <c r="AE112" s="104">
        <f t="shared" si="68"/>
        <v>0</v>
      </c>
      <c r="AF112" s="104">
        <f t="shared" si="68"/>
        <v>0</v>
      </c>
      <c r="AG112" s="84">
        <f t="shared" si="61"/>
        <v>0</v>
      </c>
      <c r="AH112" s="105" t="str">
        <f t="shared" si="62"/>
        <v/>
      </c>
      <c r="AJ112" s="84">
        <f t="shared" si="63"/>
        <v>0</v>
      </c>
    </row>
    <row r="113" spans="1:36" x14ac:dyDescent="0.3">
      <c r="A113" s="113" t="s">
        <v>199</v>
      </c>
      <c r="B113" s="84">
        <f>IFERROR(SUMIF([2]Jan26A!$A:$A,$A113,INDEX([2]Jan26A!$A:$N,0,MATCH($A$1,[2]Jan26A!$A$7:$N$7,0))),0)</f>
        <v>0</v>
      </c>
      <c r="C113" s="84">
        <f>IFERROR(SUMIF([2]Feb26A!$A:$A,$A113,INDEX([2]Feb26A!$A:$N,0,MATCH($A$1,[2]Feb26A!$A$7:$N$7,0))),0)</f>
        <v>0</v>
      </c>
      <c r="D113" s="84">
        <f>IFERROR(SUMIF([2]Mar26A!$A:$A,$A113,INDEX([2]Mar26A!$A:$N,0,MATCH($A$1,[2]Mar26A!$A$7:$N$7,0))),0)</f>
        <v>0</v>
      </c>
      <c r="E113" s="84">
        <f>IFERROR(SUMIF([2]Apr26A!$A:$A,$A113,INDEX([2]Apr26A!$A:$N,0,MATCH($A$1,[2]Apr26A!$A$7:$N$7,0))),0)</f>
        <v>0</v>
      </c>
      <c r="F113" s="84">
        <f>IFERROR(SUMIF([2]May26A!$A:$A,$A113,INDEX([2]May26A!$A:$N,0,MATCH($A$1,[2]May26A!$A$7:$N$7,0))),0)</f>
        <v>0</v>
      </c>
      <c r="G113" s="84">
        <f>IFERROR(SUMIF([2]Jun26A!$A:$A,$A113,INDEX([2]Jun26A!$A:$N,0,MATCH($A$1,[2]Jun26A!$A$7:$N$7,0))),0)</f>
        <v>0</v>
      </c>
      <c r="H113" s="84">
        <f>IFERROR(SUMIF([2]Jul26A!$A:$A,$A113,INDEX([2]Jul26A!$A:$N,0,MATCH($A$1,[2]Jul26A!$A$7:$N$7,0))),0)</f>
        <v>0</v>
      </c>
      <c r="I113" s="84">
        <f>IFERROR(SUMIF([2]Aug26A!$A:$A,$A113,INDEX([2]Aug26A!$A:$N,0,MATCH($A$1,[2]Aug26A!$A$7:$N$7,0))),0)</f>
        <v>0</v>
      </c>
      <c r="J113" s="117">
        <v>0</v>
      </c>
      <c r="K113" s="117">
        <v>0</v>
      </c>
      <c r="L113" s="117">
        <v>0</v>
      </c>
      <c r="M113" s="117">
        <v>0</v>
      </c>
      <c r="N113" s="84">
        <f t="shared" si="58"/>
        <v>0</v>
      </c>
      <c r="O113" s="105" t="str">
        <f t="shared" si="59"/>
        <v/>
      </c>
      <c r="P113" s="84"/>
      <c r="Q113" s="84"/>
      <c r="R113" s="106" t="s">
        <v>99</v>
      </c>
      <c r="S113" s="107">
        <v>0</v>
      </c>
      <c r="T113" s="108">
        <v>0.05</v>
      </c>
      <c r="U113" s="104">
        <f t="shared" si="68"/>
        <v>0</v>
      </c>
      <c r="V113" s="104">
        <f t="shared" si="68"/>
        <v>0</v>
      </c>
      <c r="W113" s="104">
        <f t="shared" si="68"/>
        <v>0</v>
      </c>
      <c r="X113" s="104">
        <f t="shared" si="68"/>
        <v>0</v>
      </c>
      <c r="Y113" s="104">
        <f t="shared" si="68"/>
        <v>0</v>
      </c>
      <c r="Z113" s="104">
        <f t="shared" si="68"/>
        <v>0</v>
      </c>
      <c r="AA113" s="104">
        <f t="shared" si="68"/>
        <v>0</v>
      </c>
      <c r="AB113" s="104">
        <f t="shared" si="68"/>
        <v>0</v>
      </c>
      <c r="AC113" s="104">
        <f t="shared" si="68"/>
        <v>0</v>
      </c>
      <c r="AD113" s="104">
        <f t="shared" si="68"/>
        <v>0</v>
      </c>
      <c r="AE113" s="104">
        <f t="shared" si="68"/>
        <v>0</v>
      </c>
      <c r="AF113" s="104">
        <f t="shared" si="68"/>
        <v>0</v>
      </c>
      <c r="AG113" s="84">
        <f t="shared" si="61"/>
        <v>0</v>
      </c>
      <c r="AH113" s="105" t="str">
        <f t="shared" si="62"/>
        <v/>
      </c>
      <c r="AJ113" s="84">
        <f t="shared" si="63"/>
        <v>0</v>
      </c>
    </row>
    <row r="114" spans="1:36" x14ac:dyDescent="0.3">
      <c r="A114" s="113" t="s">
        <v>200</v>
      </c>
      <c r="B114" s="84">
        <f>IFERROR(SUMIF([2]Jan26A!$A:$A,$A114,INDEX([2]Jan26A!$A:$N,0,MATCH($A$1,[2]Jan26A!$A$7:$N$7,0))),0)</f>
        <v>0</v>
      </c>
      <c r="C114" s="84">
        <f>IFERROR(SUMIF([2]Feb26A!$A:$A,$A114,INDEX([2]Feb26A!$A:$N,0,MATCH($A$1,[2]Feb26A!$A$7:$N$7,0))),0)</f>
        <v>0</v>
      </c>
      <c r="D114" s="84">
        <f>IFERROR(SUMIF([2]Mar26A!$A:$A,$A114,INDEX([2]Mar26A!$A:$N,0,MATCH($A$1,[2]Mar26A!$A$7:$N$7,0))),0)</f>
        <v>0</v>
      </c>
      <c r="E114" s="84">
        <f>IFERROR(SUMIF([2]Apr26A!$A:$A,$A114,INDEX([2]Apr26A!$A:$N,0,MATCH($A$1,[2]Apr26A!$A$7:$N$7,0))),0)</f>
        <v>0</v>
      </c>
      <c r="F114" s="84">
        <f>IFERROR(SUMIF([2]May26A!$A:$A,$A114,INDEX([2]May26A!$A:$N,0,MATCH($A$1,[2]May26A!$A$7:$N$7,0))),0)</f>
        <v>0</v>
      </c>
      <c r="G114" s="84">
        <f>IFERROR(SUMIF([2]Jun26A!$A:$A,$A114,INDEX([2]Jun26A!$A:$N,0,MATCH($A$1,[2]Jun26A!$A$7:$N$7,0))),0)</f>
        <v>0</v>
      </c>
      <c r="H114" s="84">
        <f>IFERROR(SUMIF([2]Jul26A!$A:$A,$A114,INDEX([2]Jul26A!$A:$N,0,MATCH($A$1,[2]Jul26A!$A$7:$N$7,0))),0)</f>
        <v>0</v>
      </c>
      <c r="I114" s="84">
        <f>IFERROR(SUMIF([2]Aug26A!$A:$A,$A114,INDEX([2]Aug26A!$A:$N,0,MATCH($A$1,[2]Aug26A!$A$7:$N$7,0))),0)</f>
        <v>0</v>
      </c>
      <c r="J114" s="117">
        <v>0</v>
      </c>
      <c r="K114" s="117">
        <v>0</v>
      </c>
      <c r="L114" s="117">
        <v>0</v>
      </c>
      <c r="M114" s="117">
        <v>0</v>
      </c>
      <c r="N114" s="84">
        <f t="shared" si="58"/>
        <v>0</v>
      </c>
      <c r="O114" s="105" t="str">
        <f t="shared" si="59"/>
        <v/>
      </c>
      <c r="P114" s="84"/>
      <c r="Q114" s="84"/>
      <c r="R114" s="106" t="s">
        <v>99</v>
      </c>
      <c r="S114" s="107">
        <v>0</v>
      </c>
      <c r="T114" s="108">
        <v>0.05</v>
      </c>
      <c r="U114" s="104">
        <f t="shared" si="68"/>
        <v>0</v>
      </c>
      <c r="V114" s="104">
        <f t="shared" si="68"/>
        <v>0</v>
      </c>
      <c r="W114" s="104">
        <f t="shared" si="68"/>
        <v>0</v>
      </c>
      <c r="X114" s="104">
        <f t="shared" si="68"/>
        <v>0</v>
      </c>
      <c r="Y114" s="104">
        <f t="shared" si="68"/>
        <v>0</v>
      </c>
      <c r="Z114" s="104">
        <f t="shared" si="68"/>
        <v>0</v>
      </c>
      <c r="AA114" s="104">
        <f t="shared" si="68"/>
        <v>0</v>
      </c>
      <c r="AB114" s="104">
        <f t="shared" si="68"/>
        <v>0</v>
      </c>
      <c r="AC114" s="104">
        <f t="shared" si="68"/>
        <v>0</v>
      </c>
      <c r="AD114" s="104">
        <f t="shared" si="68"/>
        <v>0</v>
      </c>
      <c r="AE114" s="104">
        <f t="shared" si="68"/>
        <v>0</v>
      </c>
      <c r="AF114" s="104">
        <f t="shared" si="68"/>
        <v>0</v>
      </c>
      <c r="AG114" s="84">
        <f t="shared" si="61"/>
        <v>0</v>
      </c>
      <c r="AH114" s="105" t="str">
        <f t="shared" si="62"/>
        <v/>
      </c>
      <c r="AJ114" s="84">
        <f t="shared" si="63"/>
        <v>0</v>
      </c>
    </row>
    <row r="115" spans="1:36" x14ac:dyDescent="0.3">
      <c r="A115" s="113" t="s">
        <v>201</v>
      </c>
      <c r="B115" s="84">
        <f>IFERROR(SUMIF([2]Jan26A!$A:$A,$A115,INDEX([2]Jan26A!$A:$N,0,MATCH($A$1,[2]Jan26A!$A$7:$N$7,0))),0)</f>
        <v>0</v>
      </c>
      <c r="C115" s="84">
        <f>IFERROR(SUMIF([2]Feb26A!$A:$A,$A115,INDEX([2]Feb26A!$A:$N,0,MATCH($A$1,[2]Feb26A!$A$7:$N$7,0))),0)</f>
        <v>0</v>
      </c>
      <c r="D115" s="84">
        <f>IFERROR(SUMIF([2]Mar26A!$A:$A,$A115,INDEX([2]Mar26A!$A:$N,0,MATCH($A$1,[2]Mar26A!$A$7:$N$7,0))),0)</f>
        <v>0</v>
      </c>
      <c r="E115" s="84">
        <f>IFERROR(SUMIF([2]Apr26A!$A:$A,$A115,INDEX([2]Apr26A!$A:$N,0,MATCH($A$1,[2]Apr26A!$A$7:$N$7,0))),0)</f>
        <v>0</v>
      </c>
      <c r="F115" s="84">
        <f>IFERROR(SUMIF([2]May26A!$A:$A,$A115,INDEX([2]May26A!$A:$N,0,MATCH($A$1,[2]May26A!$A$7:$N$7,0))),0)</f>
        <v>0</v>
      </c>
      <c r="G115" s="84">
        <f>IFERROR(SUMIF([2]Jun26A!$A:$A,$A115,INDEX([2]Jun26A!$A:$N,0,MATCH($A$1,[2]Jun26A!$A$7:$N$7,0))),0)</f>
        <v>0</v>
      </c>
      <c r="H115" s="84">
        <f>IFERROR(SUMIF([2]Jul26A!$A:$A,$A115,INDEX([2]Jul26A!$A:$N,0,MATCH($A$1,[2]Jul26A!$A$7:$N$7,0))),0)</f>
        <v>0</v>
      </c>
      <c r="I115" s="84">
        <f>IFERROR(SUMIF([2]Aug26A!$A:$A,$A115,INDEX([2]Aug26A!$A:$N,0,MATCH($A$1,[2]Aug26A!$A$7:$N$7,0))),0)</f>
        <v>0</v>
      </c>
      <c r="J115" s="117">
        <v>0</v>
      </c>
      <c r="K115" s="117">
        <v>0</v>
      </c>
      <c r="L115" s="117">
        <v>0</v>
      </c>
      <c r="M115" s="117">
        <v>0</v>
      </c>
      <c r="N115" s="84">
        <f t="shared" si="58"/>
        <v>0</v>
      </c>
      <c r="O115" s="105" t="str">
        <f t="shared" si="59"/>
        <v/>
      </c>
      <c r="P115" s="84"/>
      <c r="Q115" s="84"/>
      <c r="R115" s="106" t="s">
        <v>99</v>
      </c>
      <c r="S115" s="107">
        <v>0</v>
      </c>
      <c r="T115" s="108">
        <v>0.05</v>
      </c>
      <c r="U115" s="104">
        <f t="shared" si="68"/>
        <v>0</v>
      </c>
      <c r="V115" s="104">
        <f t="shared" si="68"/>
        <v>0</v>
      </c>
      <c r="W115" s="104">
        <f t="shared" si="68"/>
        <v>0</v>
      </c>
      <c r="X115" s="104">
        <f t="shared" si="68"/>
        <v>0</v>
      </c>
      <c r="Y115" s="104">
        <f t="shared" si="68"/>
        <v>0</v>
      </c>
      <c r="Z115" s="104">
        <f t="shared" si="68"/>
        <v>0</v>
      </c>
      <c r="AA115" s="104">
        <f t="shared" si="68"/>
        <v>0</v>
      </c>
      <c r="AB115" s="104">
        <f t="shared" si="68"/>
        <v>0</v>
      </c>
      <c r="AC115" s="104">
        <f t="shared" si="68"/>
        <v>0</v>
      </c>
      <c r="AD115" s="104">
        <f t="shared" si="68"/>
        <v>0</v>
      </c>
      <c r="AE115" s="104">
        <f t="shared" si="68"/>
        <v>0</v>
      </c>
      <c r="AF115" s="104">
        <f t="shared" si="68"/>
        <v>0</v>
      </c>
      <c r="AG115" s="84">
        <f t="shared" si="61"/>
        <v>0</v>
      </c>
      <c r="AH115" s="105" t="str">
        <f t="shared" si="62"/>
        <v/>
      </c>
      <c r="AJ115" s="84">
        <f t="shared" si="63"/>
        <v>0</v>
      </c>
    </row>
    <row r="116" spans="1:36" x14ac:dyDescent="0.3">
      <c r="A116" s="114" t="s">
        <v>202</v>
      </c>
      <c r="B116" s="110">
        <f t="shared" ref="B116:M116" si="69">B73+SUM(B74:B80)+B87+SUM(B88:B115)</f>
        <v>35995.850000000006</v>
      </c>
      <c r="C116" s="110">
        <f t="shared" si="69"/>
        <v>27174.949999999997</v>
      </c>
      <c r="D116" s="110">
        <f t="shared" si="69"/>
        <v>38485.090000000004</v>
      </c>
      <c r="E116" s="110">
        <f t="shared" si="69"/>
        <v>12323.71</v>
      </c>
      <c r="F116" s="110">
        <f t="shared" si="69"/>
        <v>2999.31</v>
      </c>
      <c r="G116" s="110">
        <f t="shared" si="69"/>
        <v>46686.32</v>
      </c>
      <c r="H116" s="110">
        <f t="shared" si="69"/>
        <v>16079.14</v>
      </c>
      <c r="I116" s="110">
        <f t="shared" si="69"/>
        <v>13698.130000000001</v>
      </c>
      <c r="J116" s="110">
        <f t="shared" si="69"/>
        <v>5950</v>
      </c>
      <c r="K116" s="110">
        <f t="shared" si="69"/>
        <v>5950</v>
      </c>
      <c r="L116" s="110">
        <f t="shared" si="69"/>
        <v>5950</v>
      </c>
      <c r="M116" s="110">
        <f t="shared" si="69"/>
        <v>5950</v>
      </c>
      <c r="N116" s="110">
        <f t="shared" si="58"/>
        <v>217242.5</v>
      </c>
      <c r="O116" s="111" t="str">
        <f t="shared" si="59"/>
        <v/>
      </c>
      <c r="P116" s="84"/>
      <c r="Q116" s="84"/>
      <c r="R116" s="112"/>
      <c r="S116" s="112"/>
      <c r="T116" s="112"/>
      <c r="U116" s="110">
        <f t="shared" ref="U116:AF116" si="70">U73+SUM(U74:U80)+U87+SUM(U88:U115)</f>
        <v>0</v>
      </c>
      <c r="V116" s="110">
        <f t="shared" si="70"/>
        <v>0</v>
      </c>
      <c r="W116" s="110">
        <f t="shared" si="70"/>
        <v>0</v>
      </c>
      <c r="X116" s="110">
        <f t="shared" si="70"/>
        <v>0</v>
      </c>
      <c r="Y116" s="110">
        <f t="shared" si="70"/>
        <v>0</v>
      </c>
      <c r="Z116" s="110">
        <f t="shared" si="70"/>
        <v>0</v>
      </c>
      <c r="AA116" s="110">
        <f t="shared" si="70"/>
        <v>0</v>
      </c>
      <c r="AB116" s="110">
        <f t="shared" si="70"/>
        <v>0</v>
      </c>
      <c r="AC116" s="110">
        <f t="shared" si="70"/>
        <v>0</v>
      </c>
      <c r="AD116" s="110">
        <f t="shared" si="70"/>
        <v>0</v>
      </c>
      <c r="AE116" s="110">
        <f t="shared" si="70"/>
        <v>0</v>
      </c>
      <c r="AF116" s="110">
        <f t="shared" si="70"/>
        <v>0</v>
      </c>
      <c r="AG116" s="110">
        <f t="shared" si="61"/>
        <v>0</v>
      </c>
      <c r="AH116" s="111" t="str">
        <f t="shared" si="62"/>
        <v/>
      </c>
      <c r="AJ116" s="110">
        <f t="shared" si="63"/>
        <v>217242.5</v>
      </c>
    </row>
    <row r="117" spans="1:36" x14ac:dyDescent="0.3">
      <c r="A117" s="122" t="s">
        <v>203</v>
      </c>
      <c r="B117" s="110">
        <f t="shared" ref="B117:M117" si="71">B64-B116</f>
        <v>-153934.95000000001</v>
      </c>
      <c r="C117" s="110">
        <f t="shared" si="71"/>
        <v>-107839.51999999999</v>
      </c>
      <c r="D117" s="110">
        <f t="shared" si="71"/>
        <v>-190961.68999999997</v>
      </c>
      <c r="E117" s="110">
        <f t="shared" si="71"/>
        <v>-144233.65</v>
      </c>
      <c r="F117" s="110">
        <f t="shared" si="71"/>
        <v>-168942.74000000002</v>
      </c>
      <c r="G117" s="110">
        <f t="shared" si="71"/>
        <v>-189851.83000000002</v>
      </c>
      <c r="H117" s="110">
        <f t="shared" si="71"/>
        <v>-178369.86</v>
      </c>
      <c r="I117" s="110">
        <f t="shared" si="71"/>
        <v>-164186.55000000002</v>
      </c>
      <c r="J117" s="110">
        <f t="shared" si="71"/>
        <v>-216558</v>
      </c>
      <c r="K117" s="110">
        <f t="shared" si="71"/>
        <v>-218928</v>
      </c>
      <c r="L117" s="110">
        <f t="shared" si="71"/>
        <v>-222771</v>
      </c>
      <c r="M117" s="110">
        <f t="shared" si="71"/>
        <v>-228245</v>
      </c>
      <c r="N117" s="110">
        <f t="shared" si="58"/>
        <v>-2184822.79</v>
      </c>
      <c r="O117" s="111" t="str">
        <f>IFERROR(N117/N$16,"")</f>
        <v/>
      </c>
      <c r="P117" s="84"/>
      <c r="Q117" s="84"/>
      <c r="R117" s="112"/>
      <c r="S117" s="112"/>
      <c r="T117" s="112"/>
      <c r="U117" s="110">
        <f t="shared" ref="U117:AF117" si="72">U64-U116</f>
        <v>-110942.72470317263</v>
      </c>
      <c r="V117" s="110">
        <f t="shared" si="72"/>
        <v>-110942.72470317263</v>
      </c>
      <c r="W117" s="110">
        <f t="shared" si="72"/>
        <v>-110942.72470317263</v>
      </c>
      <c r="X117" s="110">
        <f t="shared" si="72"/>
        <v>-110942.72470317263</v>
      </c>
      <c r="Y117" s="110">
        <f t="shared" si="72"/>
        <v>-110942.72470317263</v>
      </c>
      <c r="Z117" s="110">
        <f t="shared" si="72"/>
        <v>-110942.72470317263</v>
      </c>
      <c r="AA117" s="110">
        <f t="shared" si="72"/>
        <v>-110942.72470317263</v>
      </c>
      <c r="AB117" s="110">
        <f t="shared" si="72"/>
        <v>-110942.72470317263</v>
      </c>
      <c r="AC117" s="110">
        <f t="shared" si="72"/>
        <v>-110942.72470317263</v>
      </c>
      <c r="AD117" s="110">
        <f t="shared" si="72"/>
        <v>-114271.0064442678</v>
      </c>
      <c r="AE117" s="110">
        <f t="shared" si="72"/>
        <v>-114271.0064442678</v>
      </c>
      <c r="AF117" s="110">
        <f t="shared" si="72"/>
        <v>-114271.0064442678</v>
      </c>
      <c r="AG117" s="110">
        <f t="shared" si="61"/>
        <v>-1341297.541661357</v>
      </c>
      <c r="AH117" s="111" t="str">
        <f>IFERROR(AG117/AG$16,"")</f>
        <v/>
      </c>
      <c r="AJ117" s="110">
        <f>AG117-N117</f>
        <v>843525.248338643</v>
      </c>
    </row>
    <row r="118" spans="1:36" x14ac:dyDescent="0.3">
      <c r="A118" s="100" t="s">
        <v>204</v>
      </c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105"/>
      <c r="P118" s="84"/>
      <c r="Q118" s="84"/>
      <c r="R118" s="112"/>
      <c r="S118" s="112"/>
      <c r="T118" s="112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105"/>
      <c r="AJ118" s="84"/>
    </row>
    <row r="119" spans="1:36" x14ac:dyDescent="0.3">
      <c r="A119" s="101" t="s">
        <v>205</v>
      </c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105"/>
      <c r="P119" s="84"/>
      <c r="Q119" s="84"/>
      <c r="R119" s="112"/>
      <c r="S119" s="112"/>
      <c r="T119" s="112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105"/>
      <c r="AJ119" s="84"/>
    </row>
    <row r="120" spans="1:36" x14ac:dyDescent="0.3">
      <c r="A120" s="113" t="s">
        <v>206</v>
      </c>
      <c r="B120" s="84">
        <f>IFERROR(SUMIF([2]Jan26A!$A:$A,$A120,INDEX([2]Jan26A!$A:$N,0,MATCH($A$1,[2]Jan26A!$A$7:$N$7,0))),0)</f>
        <v>0</v>
      </c>
      <c r="C120" s="84">
        <f>IFERROR(SUMIF([2]Feb26A!$A:$A,$A120,INDEX([2]Feb26A!$A:$N,0,MATCH($A$1,[2]Feb26A!$A$7:$N$7,0))),0)</f>
        <v>0</v>
      </c>
      <c r="D120" s="84">
        <f>IFERROR(SUMIF([2]Mar26A!$A:$A,$A120,INDEX([2]Mar26A!$A:$N,0,MATCH($A$1,[2]Mar26A!$A$7:$N$7,0))),0)</f>
        <v>0</v>
      </c>
      <c r="E120" s="84">
        <f>IFERROR(SUMIF([2]Apr26A!$A:$A,$A120,INDEX([2]Apr26A!$A:$N,0,MATCH($A$1,[2]Apr26A!$A$7:$N$7,0))),0)</f>
        <v>0</v>
      </c>
      <c r="F120" s="84">
        <f>IFERROR(SUMIF([2]May26A!$A:$A,$A120,INDEX([2]May26A!$A:$N,0,MATCH($A$1,[2]May26A!$A$7:$N$7,0))),0)</f>
        <v>0</v>
      </c>
      <c r="G120" s="84">
        <f>IFERROR(SUMIF([2]Jun26A!$A:$A,$A120,INDEX([2]Jun26A!$A:$N,0,MATCH($A$1,[2]Jun26A!$A$7:$N$7,0))),0)</f>
        <v>0</v>
      </c>
      <c r="H120" s="84">
        <f>IFERROR(SUMIF([2]Jul26A!$A:$A,$A120,INDEX([2]Jul26A!$A:$N,0,MATCH($A$1,[2]Jul26A!$A$7:$N$7,0))),0)</f>
        <v>0</v>
      </c>
      <c r="I120" s="84">
        <f>IFERROR(SUMIF([2]Aug26A!$A:$A,$A120,INDEX([2]Aug26A!$A:$N,0,MATCH($A$1,[2]Aug26A!$A$7:$N$7,0))),0)</f>
        <v>0</v>
      </c>
      <c r="J120" s="117">
        <v>0</v>
      </c>
      <c r="K120" s="117">
        <v>0</v>
      </c>
      <c r="L120" s="117">
        <v>0</v>
      </c>
      <c r="M120" s="117">
        <v>0</v>
      </c>
      <c r="N120" s="84">
        <f>SUM(B120:M120)</f>
        <v>0</v>
      </c>
      <c r="O120" s="105" t="str">
        <f>IFERROR(N120/N$16,"")</f>
        <v/>
      </c>
      <c r="P120" s="84"/>
      <c r="Q120" s="84"/>
      <c r="R120" s="106" t="s">
        <v>99</v>
      </c>
      <c r="S120" s="107">
        <v>0</v>
      </c>
      <c r="T120" s="108">
        <v>0.05</v>
      </c>
      <c r="U120" s="104">
        <f t="shared" ref="U120:AF121" si="73">IF($R120="Manual","",IFERROR(IF($R120="YOY Growth",$N120*(1+$T120)/12,$S120/12),""))</f>
        <v>0</v>
      </c>
      <c r="V120" s="104">
        <f t="shared" si="73"/>
        <v>0</v>
      </c>
      <c r="W120" s="104">
        <f t="shared" si="73"/>
        <v>0</v>
      </c>
      <c r="X120" s="104">
        <f t="shared" si="73"/>
        <v>0</v>
      </c>
      <c r="Y120" s="104">
        <f t="shared" si="73"/>
        <v>0</v>
      </c>
      <c r="Z120" s="104">
        <f t="shared" si="73"/>
        <v>0</v>
      </c>
      <c r="AA120" s="104">
        <f t="shared" si="73"/>
        <v>0</v>
      </c>
      <c r="AB120" s="104">
        <f t="shared" si="73"/>
        <v>0</v>
      </c>
      <c r="AC120" s="104">
        <f t="shared" si="73"/>
        <v>0</v>
      </c>
      <c r="AD120" s="104">
        <f t="shared" si="73"/>
        <v>0</v>
      </c>
      <c r="AE120" s="104">
        <f t="shared" si="73"/>
        <v>0</v>
      </c>
      <c r="AF120" s="104">
        <f t="shared" si="73"/>
        <v>0</v>
      </c>
      <c r="AG120" s="84">
        <f>SUM(U120:AF120)</f>
        <v>0</v>
      </c>
      <c r="AH120" s="105" t="str">
        <f>IFERROR(AG120/AG$16,"")</f>
        <v/>
      </c>
      <c r="AJ120" s="84">
        <f>AG120-N120</f>
        <v>0</v>
      </c>
    </row>
    <row r="121" spans="1:36" x14ac:dyDescent="0.3">
      <c r="A121" s="113" t="s">
        <v>207</v>
      </c>
      <c r="B121" s="84">
        <f>IFERROR(SUMIF([2]Jan26A!$A:$A,$A121,INDEX([2]Jan26A!$A:$N,0,MATCH($A$1,[2]Jan26A!$A$7:$N$7,0))),0)</f>
        <v>0</v>
      </c>
      <c r="C121" s="84">
        <f>IFERROR(SUMIF([2]Feb26A!$A:$A,$A121,INDEX([2]Feb26A!$A:$N,0,MATCH($A$1,[2]Feb26A!$A$7:$N$7,0))),0)</f>
        <v>0</v>
      </c>
      <c r="D121" s="84">
        <f>IFERROR(SUMIF([2]Mar26A!$A:$A,$A121,INDEX([2]Mar26A!$A:$N,0,MATCH($A$1,[2]Mar26A!$A$7:$N$7,0))),0)</f>
        <v>0</v>
      </c>
      <c r="E121" s="84">
        <f>IFERROR(SUMIF([2]Apr26A!$A:$A,$A121,INDEX([2]Apr26A!$A:$N,0,MATCH($A$1,[2]Apr26A!$A$7:$N$7,0))),0)</f>
        <v>0</v>
      </c>
      <c r="F121" s="84">
        <f>IFERROR(SUMIF([2]May26A!$A:$A,$A121,INDEX([2]May26A!$A:$N,0,MATCH($A$1,[2]May26A!$A$7:$N$7,0))),0)</f>
        <v>0</v>
      </c>
      <c r="G121" s="84">
        <f>IFERROR(SUMIF([2]Jun26A!$A:$A,$A121,INDEX([2]Jun26A!$A:$N,0,MATCH($A$1,[2]Jun26A!$A$7:$N$7,0))),0)</f>
        <v>0</v>
      </c>
      <c r="H121" s="84">
        <f>IFERROR(SUMIF([2]Jul26A!$A:$A,$A121,INDEX([2]Jul26A!$A:$N,0,MATCH($A$1,[2]Jul26A!$A$7:$N$7,0))),0)</f>
        <v>0</v>
      </c>
      <c r="I121" s="84">
        <f>IFERROR(SUMIF([2]Aug26A!$A:$A,$A121,INDEX([2]Aug26A!$A:$N,0,MATCH($A$1,[2]Aug26A!$A$7:$N$7,0))),0)</f>
        <v>0</v>
      </c>
      <c r="J121" s="117">
        <v>0</v>
      </c>
      <c r="K121" s="117">
        <v>0</v>
      </c>
      <c r="L121" s="117">
        <v>0</v>
      </c>
      <c r="M121" s="117">
        <v>0</v>
      </c>
      <c r="N121" s="84">
        <f>SUM(B121:M121)</f>
        <v>0</v>
      </c>
      <c r="O121" s="105" t="str">
        <f>IFERROR(N121/N$16,"")</f>
        <v/>
      </c>
      <c r="P121" s="84"/>
      <c r="Q121" s="84"/>
      <c r="R121" s="106" t="s">
        <v>99</v>
      </c>
      <c r="S121" s="107">
        <v>0</v>
      </c>
      <c r="T121" s="108">
        <v>0.05</v>
      </c>
      <c r="U121" s="104">
        <f t="shared" si="73"/>
        <v>0</v>
      </c>
      <c r="V121" s="104">
        <f t="shared" si="73"/>
        <v>0</v>
      </c>
      <c r="W121" s="104">
        <f t="shared" si="73"/>
        <v>0</v>
      </c>
      <c r="X121" s="104">
        <f t="shared" si="73"/>
        <v>0</v>
      </c>
      <c r="Y121" s="104">
        <f t="shared" si="73"/>
        <v>0</v>
      </c>
      <c r="Z121" s="104">
        <f t="shared" si="73"/>
        <v>0</v>
      </c>
      <c r="AA121" s="104">
        <f t="shared" si="73"/>
        <v>0</v>
      </c>
      <c r="AB121" s="104">
        <f t="shared" si="73"/>
        <v>0</v>
      </c>
      <c r="AC121" s="104">
        <f t="shared" si="73"/>
        <v>0</v>
      </c>
      <c r="AD121" s="104">
        <f t="shared" si="73"/>
        <v>0</v>
      </c>
      <c r="AE121" s="104">
        <f t="shared" si="73"/>
        <v>0</v>
      </c>
      <c r="AF121" s="104">
        <f t="shared" si="73"/>
        <v>0</v>
      </c>
      <c r="AG121" s="84">
        <f>SUM(U121:AF121)</f>
        <v>0</v>
      </c>
      <c r="AH121" s="105" t="str">
        <f>IFERROR(AG121/AG$16,"")</f>
        <v/>
      </c>
      <c r="AJ121" s="84">
        <f>AG121-N121</f>
        <v>0</v>
      </c>
    </row>
    <row r="122" spans="1:36" x14ac:dyDescent="0.3">
      <c r="A122" s="114" t="s">
        <v>208</v>
      </c>
      <c r="B122" s="110">
        <f t="shared" ref="B122:M122" si="74">SUM(B120:B121)</f>
        <v>0</v>
      </c>
      <c r="C122" s="110">
        <f t="shared" si="74"/>
        <v>0</v>
      </c>
      <c r="D122" s="110">
        <f t="shared" si="74"/>
        <v>0</v>
      </c>
      <c r="E122" s="110">
        <f t="shared" si="74"/>
        <v>0</v>
      </c>
      <c r="F122" s="110">
        <f t="shared" si="74"/>
        <v>0</v>
      </c>
      <c r="G122" s="110">
        <f t="shared" si="74"/>
        <v>0</v>
      </c>
      <c r="H122" s="110">
        <f t="shared" si="74"/>
        <v>0</v>
      </c>
      <c r="I122" s="110">
        <f t="shared" si="74"/>
        <v>0</v>
      </c>
      <c r="J122" s="110">
        <f t="shared" si="74"/>
        <v>0</v>
      </c>
      <c r="K122" s="110">
        <f t="shared" si="74"/>
        <v>0</v>
      </c>
      <c r="L122" s="110">
        <f t="shared" si="74"/>
        <v>0</v>
      </c>
      <c r="M122" s="110">
        <f t="shared" si="74"/>
        <v>0</v>
      </c>
      <c r="N122" s="110">
        <f>SUM(B122:M122)</f>
        <v>0</v>
      </c>
      <c r="O122" s="111" t="str">
        <f>IFERROR(N122/N$16,"")</f>
        <v/>
      </c>
      <c r="P122" s="84"/>
      <c r="Q122" s="84"/>
      <c r="R122" s="112"/>
      <c r="S122" s="112"/>
      <c r="T122" s="112"/>
      <c r="U122" s="110">
        <f t="shared" ref="U122:AF122" si="75">SUM(U120:U121)</f>
        <v>0</v>
      </c>
      <c r="V122" s="110">
        <f t="shared" si="75"/>
        <v>0</v>
      </c>
      <c r="W122" s="110">
        <f t="shared" si="75"/>
        <v>0</v>
      </c>
      <c r="X122" s="110">
        <f t="shared" si="75"/>
        <v>0</v>
      </c>
      <c r="Y122" s="110">
        <f t="shared" si="75"/>
        <v>0</v>
      </c>
      <c r="Z122" s="110">
        <f t="shared" si="75"/>
        <v>0</v>
      </c>
      <c r="AA122" s="110">
        <f t="shared" si="75"/>
        <v>0</v>
      </c>
      <c r="AB122" s="110">
        <f t="shared" si="75"/>
        <v>0</v>
      </c>
      <c r="AC122" s="110">
        <f t="shared" si="75"/>
        <v>0</v>
      </c>
      <c r="AD122" s="110">
        <f t="shared" si="75"/>
        <v>0</v>
      </c>
      <c r="AE122" s="110">
        <f t="shared" si="75"/>
        <v>0</v>
      </c>
      <c r="AF122" s="110">
        <f t="shared" si="75"/>
        <v>0</v>
      </c>
      <c r="AG122" s="110">
        <f>SUM(U122:AF122)</f>
        <v>0</v>
      </c>
      <c r="AH122" s="111" t="str">
        <f>IFERROR(AG122/AG$16,"")</f>
        <v/>
      </c>
      <c r="AJ122" s="110">
        <f>AG122-N122</f>
        <v>0</v>
      </c>
    </row>
    <row r="123" spans="1:36" x14ac:dyDescent="0.3">
      <c r="A123" s="101" t="s">
        <v>209</v>
      </c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105"/>
      <c r="P123" s="84"/>
      <c r="Q123" s="84"/>
      <c r="R123" s="112"/>
      <c r="S123" s="112"/>
      <c r="T123" s="112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105"/>
      <c r="AJ123" s="84"/>
    </row>
    <row r="124" spans="1:36" x14ac:dyDescent="0.3">
      <c r="A124" s="161" t="s">
        <v>210</v>
      </c>
      <c r="B124" s="84">
        <f>IFERROR(SUMIF([2]Jan26A!$A:$A,$A124,INDEX([2]Jan26A!$A:$N,0,MATCH($A$1,[2]Jan26A!$A$7:$N$7,0))),0)</f>
        <v>0</v>
      </c>
      <c r="C124" s="84">
        <f>IFERROR(SUMIF([2]Feb26A!$A:$A,$A124,INDEX([2]Feb26A!$A:$N,0,MATCH($A$1,[2]Feb26A!$A$7:$N$7,0))),0)</f>
        <v>0</v>
      </c>
      <c r="D124" s="84">
        <f>IFERROR(SUMIF([2]Mar26A!$A:$A,$A124,INDEX([2]Mar26A!$A:$N,0,MATCH($A$1,[2]Mar26A!$A$7:$N$7,0))),0)</f>
        <v>0</v>
      </c>
      <c r="E124" s="84">
        <f>IFERROR(SUMIF([2]Apr26A!$A:$A,$A124,INDEX([2]Apr26A!$A:$N,0,MATCH($A$1,[2]Apr26A!$A$7:$N$7,0))),0)</f>
        <v>0</v>
      </c>
      <c r="F124" s="84">
        <f>IFERROR(SUMIF([2]May26A!$A:$A,$A124,INDEX([2]May26A!$A:$N,0,MATCH($A$1,[2]May26A!$A$7:$N$7,0))),0)</f>
        <v>0</v>
      </c>
      <c r="G124" s="84">
        <f>IFERROR(SUMIF([2]Jun26A!$A:$A,$A124,INDEX([2]Jun26A!$A:$N,0,MATCH($A$1,[2]Jun26A!$A$7:$N$7,0))),0)</f>
        <v>0</v>
      </c>
      <c r="H124" s="84">
        <f>IFERROR(SUMIF([2]Jul26A!$A:$A,$A124,INDEX([2]Jul26A!$A:$N,0,MATCH($A$1,[2]Jul26A!$A$7:$N$7,0))),0)</f>
        <v>0</v>
      </c>
      <c r="I124" s="84">
        <f>IFERROR(SUMIF([2]Aug26A!$A:$A,$A124,INDEX([2]Aug26A!$A:$N,0,MATCH($A$1,[2]Aug26A!$A$7:$N$7,0))),0)</f>
        <v>0</v>
      </c>
      <c r="J124" s="117"/>
      <c r="K124" s="117"/>
      <c r="L124" s="117"/>
      <c r="M124" s="117"/>
      <c r="N124" s="84">
        <v>0</v>
      </c>
      <c r="O124" s="105" t="str">
        <f t="shared" ref="O124:O132" si="76">IFERROR(N124/N$16,"")</f>
        <v/>
      </c>
      <c r="P124" s="84"/>
      <c r="Q124" s="84"/>
      <c r="R124" s="106" t="s">
        <v>99</v>
      </c>
      <c r="S124" s="107">
        <v>0</v>
      </c>
      <c r="T124" s="108">
        <v>0.05</v>
      </c>
      <c r="U124" s="104">
        <f t="shared" ref="U124:AF129" si="77">IF($R124="Manual","",IFERROR(IF($R124="YOY Growth",$N124*(1+$T124)/12,$S124/12),""))</f>
        <v>0</v>
      </c>
      <c r="V124" s="104">
        <f t="shared" si="77"/>
        <v>0</v>
      </c>
      <c r="W124" s="104">
        <f t="shared" si="77"/>
        <v>0</v>
      </c>
      <c r="X124" s="104">
        <f t="shared" si="77"/>
        <v>0</v>
      </c>
      <c r="Y124" s="104">
        <f t="shared" si="77"/>
        <v>0</v>
      </c>
      <c r="Z124" s="104">
        <f t="shared" si="77"/>
        <v>0</v>
      </c>
      <c r="AA124" s="104">
        <f t="shared" si="77"/>
        <v>0</v>
      </c>
      <c r="AB124" s="104">
        <f t="shared" si="77"/>
        <v>0</v>
      </c>
      <c r="AC124" s="104">
        <f t="shared" si="77"/>
        <v>0</v>
      </c>
      <c r="AD124" s="104">
        <f t="shared" si="77"/>
        <v>0</v>
      </c>
      <c r="AE124" s="104">
        <f t="shared" si="77"/>
        <v>0</v>
      </c>
      <c r="AF124" s="104">
        <f t="shared" si="77"/>
        <v>0</v>
      </c>
      <c r="AG124" s="84">
        <f t="shared" ref="AG124:AG132" si="78">SUM(U124:AF124)</f>
        <v>0</v>
      </c>
      <c r="AH124" s="105" t="str">
        <f t="shared" ref="AH124:AH132" si="79">IFERROR(AG124/AG$16,"")</f>
        <v/>
      </c>
      <c r="AJ124" s="84">
        <f>N124-AG124</f>
        <v>0</v>
      </c>
    </row>
    <row r="125" spans="1:36" x14ac:dyDescent="0.3">
      <c r="A125" s="113" t="s">
        <v>211</v>
      </c>
      <c r="B125" s="84">
        <f>IFERROR(SUMIF([2]Jan26A!$A:$A,$A125,INDEX([2]Jan26A!$A:$N,0,MATCH($A$1,[2]Jan26A!$A$7:$N$7,0))),0)</f>
        <v>0</v>
      </c>
      <c r="C125" s="84">
        <f>IFERROR(SUMIF([2]Feb26A!$A:$A,$A125,INDEX([2]Feb26A!$A:$N,0,MATCH($A$1,[2]Feb26A!$A$7:$N$7,0))),0)</f>
        <v>0</v>
      </c>
      <c r="D125" s="84">
        <f>IFERROR(SUMIF([2]Mar26A!$A:$A,$A125,INDEX([2]Mar26A!$A:$N,0,MATCH($A$1,[2]Mar26A!$A$7:$N$7,0))),0)</f>
        <v>0</v>
      </c>
      <c r="E125" s="84">
        <f>IFERROR(SUMIF([2]Apr26A!$A:$A,$A125,INDEX([2]Apr26A!$A:$N,0,MATCH($A$1,[2]Apr26A!$A$7:$N$7,0))),0)</f>
        <v>0</v>
      </c>
      <c r="F125" s="84">
        <f>IFERROR(SUMIF([2]May26A!$A:$A,$A125,INDEX([2]May26A!$A:$N,0,MATCH($A$1,[2]May26A!$A$7:$N$7,0))),0)</f>
        <v>0</v>
      </c>
      <c r="G125" s="84">
        <f>IFERROR(SUMIF([2]Jun26A!$A:$A,$A125,INDEX([2]Jun26A!$A:$N,0,MATCH($A$1,[2]Jun26A!$A$7:$N$7,0))),0)</f>
        <v>0</v>
      </c>
      <c r="H125" s="84">
        <f>IFERROR(SUMIF([2]Jul26A!$A:$A,$A125,INDEX([2]Jul26A!$A:$N,0,MATCH($A$1,[2]Jul26A!$A$7:$N$7,0))),0)</f>
        <v>0</v>
      </c>
      <c r="I125" s="84">
        <f>IFERROR(SUMIF([2]Aug26A!$A:$A,$A125,INDEX([2]Aug26A!$A:$N,0,MATCH($A$1,[2]Aug26A!$A$7:$N$7,0))),0)</f>
        <v>0</v>
      </c>
      <c r="J125" s="117">
        <v>0</v>
      </c>
      <c r="K125" s="117">
        <v>0</v>
      </c>
      <c r="L125" s="117">
        <v>0</v>
      </c>
      <c r="M125" s="117">
        <v>0</v>
      </c>
      <c r="N125" s="84">
        <f t="shared" ref="N125:N132" si="80">SUM(B125:M125)</f>
        <v>0</v>
      </c>
      <c r="O125" s="105" t="str">
        <f t="shared" si="76"/>
        <v/>
      </c>
      <c r="P125" s="84"/>
      <c r="Q125" s="84"/>
      <c r="R125" s="106" t="s">
        <v>99</v>
      </c>
      <c r="S125" s="107">
        <v>0</v>
      </c>
      <c r="T125" s="108">
        <v>0.05</v>
      </c>
      <c r="U125" s="104">
        <f t="shared" si="77"/>
        <v>0</v>
      </c>
      <c r="V125" s="104">
        <f t="shared" si="77"/>
        <v>0</v>
      </c>
      <c r="W125" s="104">
        <f t="shared" si="77"/>
        <v>0</v>
      </c>
      <c r="X125" s="104">
        <f t="shared" si="77"/>
        <v>0</v>
      </c>
      <c r="Y125" s="104">
        <f t="shared" si="77"/>
        <v>0</v>
      </c>
      <c r="Z125" s="104">
        <f t="shared" si="77"/>
        <v>0</v>
      </c>
      <c r="AA125" s="104">
        <f t="shared" si="77"/>
        <v>0</v>
      </c>
      <c r="AB125" s="104">
        <f t="shared" si="77"/>
        <v>0</v>
      </c>
      <c r="AC125" s="104">
        <f t="shared" si="77"/>
        <v>0</v>
      </c>
      <c r="AD125" s="104">
        <f t="shared" si="77"/>
        <v>0</v>
      </c>
      <c r="AE125" s="104">
        <f t="shared" si="77"/>
        <v>0</v>
      </c>
      <c r="AF125" s="104">
        <f t="shared" si="77"/>
        <v>0</v>
      </c>
      <c r="AG125" s="84">
        <f t="shared" si="78"/>
        <v>0</v>
      </c>
      <c r="AH125" s="105" t="str">
        <f t="shared" si="79"/>
        <v/>
      </c>
      <c r="AJ125" s="84">
        <f>N125-AG125</f>
        <v>0</v>
      </c>
    </row>
    <row r="126" spans="1:36" x14ac:dyDescent="0.3">
      <c r="A126" s="113" t="s">
        <v>212</v>
      </c>
      <c r="B126" s="84">
        <f>IFERROR(SUMIF([2]Jan26A!$A:$A,$A126,INDEX([2]Jan26A!$A:$N,0,MATCH($A$1,[2]Jan26A!$A$7:$N$7,0))),0)</f>
        <v>0</v>
      </c>
      <c r="C126" s="84">
        <f>IFERROR(SUMIF([2]Feb26A!$A:$A,$A126,INDEX([2]Feb26A!$A:$N,0,MATCH($A$1,[2]Feb26A!$A$7:$N$7,0))),0)</f>
        <v>0</v>
      </c>
      <c r="D126" s="84">
        <f>IFERROR(SUMIF([2]Mar26A!$A:$A,$A126,INDEX([2]Mar26A!$A:$N,0,MATCH($A$1,[2]Mar26A!$A$7:$N$7,0))),0)</f>
        <v>0</v>
      </c>
      <c r="E126" s="84">
        <f>IFERROR(SUMIF([2]Apr26A!$A:$A,$A126,INDEX([2]Apr26A!$A:$N,0,MATCH($A$1,[2]Apr26A!$A$7:$N$7,0))),0)</f>
        <v>0</v>
      </c>
      <c r="F126" s="84">
        <f>IFERROR(SUMIF([2]May26A!$A:$A,$A126,INDEX([2]May26A!$A:$N,0,MATCH($A$1,[2]May26A!$A$7:$N$7,0))),0)</f>
        <v>0</v>
      </c>
      <c r="G126" s="84">
        <f>IFERROR(SUMIF([2]Jun26A!$A:$A,$A126,INDEX([2]Jun26A!$A:$N,0,MATCH($A$1,[2]Jun26A!$A$7:$N$7,0))),0)</f>
        <v>0</v>
      </c>
      <c r="H126" s="84">
        <f>IFERROR(SUMIF([2]Jul26A!$A:$A,$A126,INDEX([2]Jul26A!$A:$N,0,MATCH($A$1,[2]Jul26A!$A$7:$N$7,0))),0)</f>
        <v>0</v>
      </c>
      <c r="I126" s="84">
        <f>IFERROR(SUMIF([2]Aug26A!$A:$A,$A126,INDEX([2]Aug26A!$A:$N,0,MATCH($A$1,[2]Aug26A!$A$7:$N$7,0))),0)</f>
        <v>0</v>
      </c>
      <c r="J126" s="117">
        <v>0</v>
      </c>
      <c r="K126" s="117">
        <v>0</v>
      </c>
      <c r="L126" s="117">
        <v>0</v>
      </c>
      <c r="M126" s="117">
        <v>0</v>
      </c>
      <c r="N126" s="84">
        <f t="shared" si="80"/>
        <v>0</v>
      </c>
      <c r="O126" s="105" t="str">
        <f t="shared" si="76"/>
        <v/>
      </c>
      <c r="P126" s="84"/>
      <c r="Q126" s="84"/>
      <c r="R126" s="106" t="s">
        <v>99</v>
      </c>
      <c r="S126" s="107">
        <v>0</v>
      </c>
      <c r="T126" s="108">
        <v>0.05</v>
      </c>
      <c r="U126" s="104">
        <f t="shared" si="77"/>
        <v>0</v>
      </c>
      <c r="V126" s="104">
        <f t="shared" si="77"/>
        <v>0</v>
      </c>
      <c r="W126" s="104">
        <f t="shared" si="77"/>
        <v>0</v>
      </c>
      <c r="X126" s="104">
        <f t="shared" si="77"/>
        <v>0</v>
      </c>
      <c r="Y126" s="104">
        <f t="shared" si="77"/>
        <v>0</v>
      </c>
      <c r="Z126" s="104">
        <f t="shared" si="77"/>
        <v>0</v>
      </c>
      <c r="AA126" s="104">
        <f t="shared" si="77"/>
        <v>0</v>
      </c>
      <c r="AB126" s="104">
        <f t="shared" si="77"/>
        <v>0</v>
      </c>
      <c r="AC126" s="104">
        <f t="shared" si="77"/>
        <v>0</v>
      </c>
      <c r="AD126" s="104">
        <f t="shared" si="77"/>
        <v>0</v>
      </c>
      <c r="AE126" s="104">
        <f t="shared" si="77"/>
        <v>0</v>
      </c>
      <c r="AF126" s="104">
        <f t="shared" si="77"/>
        <v>0</v>
      </c>
      <c r="AG126" s="84">
        <f t="shared" si="78"/>
        <v>0</v>
      </c>
      <c r="AH126" s="105" t="str">
        <f t="shared" si="79"/>
        <v/>
      </c>
      <c r="AJ126" s="84">
        <f>N126-AG126</f>
        <v>0</v>
      </c>
    </row>
    <row r="127" spans="1:36" x14ac:dyDescent="0.3">
      <c r="A127" s="113" t="s">
        <v>213</v>
      </c>
      <c r="B127" s="84">
        <f>IFERROR(SUMIF([2]Jan26A!$A:$A,$A127,INDEX([2]Jan26A!$A:$N,0,MATCH($A$1,[2]Jan26A!$A$7:$N$7,0))),0)</f>
        <v>0</v>
      </c>
      <c r="C127" s="84">
        <f>IFERROR(SUMIF([2]Feb26A!$A:$A,$A127,INDEX([2]Feb26A!$A:$N,0,MATCH($A$1,[2]Feb26A!$A$7:$N$7,0))),0)</f>
        <v>0</v>
      </c>
      <c r="D127" s="84">
        <f>IFERROR(SUMIF([2]Mar26A!$A:$A,$A127,INDEX([2]Mar26A!$A:$N,0,MATCH($A$1,[2]Mar26A!$A$7:$N$7,0))),0)</f>
        <v>0</v>
      </c>
      <c r="E127" s="84">
        <f>IFERROR(SUMIF([2]Apr26A!$A:$A,$A127,INDEX([2]Apr26A!$A:$N,0,MATCH($A$1,[2]Apr26A!$A$7:$N$7,0))),0)</f>
        <v>0</v>
      </c>
      <c r="F127" s="84">
        <f>IFERROR(SUMIF([2]May26A!$A:$A,$A127,INDEX([2]May26A!$A:$N,0,MATCH($A$1,[2]May26A!$A$7:$N$7,0))),0)</f>
        <v>0</v>
      </c>
      <c r="G127" s="84">
        <f>IFERROR(SUMIF([2]Jun26A!$A:$A,$A127,INDEX([2]Jun26A!$A:$N,0,MATCH($A$1,[2]Jun26A!$A$7:$N$7,0))),0)</f>
        <v>0</v>
      </c>
      <c r="H127" s="84">
        <f>IFERROR(SUMIF([2]Jul26A!$A:$A,$A127,INDEX([2]Jul26A!$A:$N,0,MATCH($A$1,[2]Jul26A!$A$7:$N$7,0))),0)</f>
        <v>0</v>
      </c>
      <c r="I127" s="84">
        <f>IFERROR(SUMIF([2]Aug26A!$A:$A,$A127,INDEX([2]Aug26A!$A:$N,0,MATCH($A$1,[2]Aug26A!$A$7:$N$7,0))),0)</f>
        <v>0</v>
      </c>
      <c r="J127" s="117"/>
      <c r="K127" s="117"/>
      <c r="L127" s="117"/>
      <c r="M127" s="117"/>
      <c r="N127" s="84"/>
      <c r="O127" s="105"/>
      <c r="P127" s="84"/>
      <c r="Q127" s="84"/>
      <c r="R127" s="106" t="s">
        <v>99</v>
      </c>
      <c r="S127" s="107">
        <v>0</v>
      </c>
      <c r="T127" s="108">
        <v>0.05</v>
      </c>
      <c r="U127" s="104">
        <f t="shared" si="77"/>
        <v>0</v>
      </c>
      <c r="V127" s="104">
        <f t="shared" si="77"/>
        <v>0</v>
      </c>
      <c r="W127" s="104">
        <f t="shared" si="77"/>
        <v>0</v>
      </c>
      <c r="X127" s="104">
        <f t="shared" si="77"/>
        <v>0</v>
      </c>
      <c r="Y127" s="104">
        <f t="shared" si="77"/>
        <v>0</v>
      </c>
      <c r="Z127" s="104">
        <f t="shared" si="77"/>
        <v>0</v>
      </c>
      <c r="AA127" s="104">
        <f t="shared" si="77"/>
        <v>0</v>
      </c>
      <c r="AB127" s="104">
        <f t="shared" si="77"/>
        <v>0</v>
      </c>
      <c r="AC127" s="104">
        <f t="shared" si="77"/>
        <v>0</v>
      </c>
      <c r="AD127" s="104">
        <f t="shared" si="77"/>
        <v>0</v>
      </c>
      <c r="AE127" s="104">
        <f t="shared" si="77"/>
        <v>0</v>
      </c>
      <c r="AF127" s="104">
        <f t="shared" si="77"/>
        <v>0</v>
      </c>
      <c r="AG127" s="84"/>
      <c r="AH127" s="105"/>
      <c r="AJ127" s="84"/>
    </row>
    <row r="128" spans="1:36" x14ac:dyDescent="0.3">
      <c r="A128" s="113" t="s">
        <v>214</v>
      </c>
      <c r="B128" s="84">
        <f>IFERROR(SUMIF([2]Jan26A!$A:$A,$A128,INDEX([2]Jan26A!$A:$N,0,MATCH($A$1,[2]Jan26A!$A$7:$N$7,0))),0)</f>
        <v>0</v>
      </c>
      <c r="C128" s="84">
        <f>IFERROR(SUMIF([2]Feb26A!$A:$A,$A128,INDEX([2]Feb26A!$A:$N,0,MATCH($A$1,[2]Feb26A!$A$7:$N$7,0))),0)</f>
        <v>0</v>
      </c>
      <c r="D128" s="84">
        <f>IFERROR(SUMIF([2]Mar26A!$A:$A,$A128,INDEX([2]Mar26A!$A:$N,0,MATCH($A$1,[2]Mar26A!$A$7:$N$7,0))),0)</f>
        <v>0</v>
      </c>
      <c r="E128" s="84">
        <f>IFERROR(SUMIF([2]Apr26A!$A:$A,$A128,INDEX([2]Apr26A!$A:$N,0,MATCH($A$1,[2]Apr26A!$A$7:$N$7,0))),0)</f>
        <v>0</v>
      </c>
      <c r="F128" s="84">
        <f>IFERROR(SUMIF([2]May26A!$A:$A,$A128,INDEX([2]May26A!$A:$N,0,MATCH($A$1,[2]May26A!$A$7:$N$7,0))),0)</f>
        <v>0</v>
      </c>
      <c r="G128" s="84">
        <f>IFERROR(SUMIF([2]Jun26A!$A:$A,$A128,INDEX([2]Jun26A!$A:$N,0,MATCH($A$1,[2]Jun26A!$A$7:$N$7,0))),0)</f>
        <v>0</v>
      </c>
      <c r="H128" s="84">
        <f>IFERROR(SUMIF([2]Jul26A!$A:$A,$A128,INDEX([2]Jul26A!$A:$N,0,MATCH($A$1,[2]Jul26A!$A$7:$N$7,0))),0)</f>
        <v>0</v>
      </c>
      <c r="I128" s="84">
        <f>IFERROR(SUMIF([2]Aug26A!$A:$A,$A128,INDEX([2]Aug26A!$A:$N,0,MATCH($A$1,[2]Aug26A!$A$7:$N$7,0))),0)</f>
        <v>0</v>
      </c>
      <c r="J128" s="117">
        <v>0</v>
      </c>
      <c r="K128" s="117">
        <v>0</v>
      </c>
      <c r="L128" s="117">
        <v>0</v>
      </c>
      <c r="M128" s="117">
        <v>0</v>
      </c>
      <c r="N128" s="84">
        <f t="shared" si="80"/>
        <v>0</v>
      </c>
      <c r="O128" s="105" t="str">
        <f t="shared" si="76"/>
        <v/>
      </c>
      <c r="P128" s="84"/>
      <c r="Q128" s="84"/>
      <c r="R128" s="106" t="s">
        <v>99</v>
      </c>
      <c r="S128" s="107">
        <v>0</v>
      </c>
      <c r="T128" s="108">
        <v>0.05</v>
      </c>
      <c r="U128" s="104">
        <f t="shared" si="77"/>
        <v>0</v>
      </c>
      <c r="V128" s="104">
        <f t="shared" si="77"/>
        <v>0</v>
      </c>
      <c r="W128" s="104">
        <f t="shared" si="77"/>
        <v>0</v>
      </c>
      <c r="X128" s="104">
        <f t="shared" si="77"/>
        <v>0</v>
      </c>
      <c r="Y128" s="104">
        <f t="shared" si="77"/>
        <v>0</v>
      </c>
      <c r="Z128" s="104">
        <f t="shared" si="77"/>
        <v>0</v>
      </c>
      <c r="AA128" s="104">
        <f t="shared" si="77"/>
        <v>0</v>
      </c>
      <c r="AB128" s="104">
        <f t="shared" si="77"/>
        <v>0</v>
      </c>
      <c r="AC128" s="104">
        <f t="shared" si="77"/>
        <v>0</v>
      </c>
      <c r="AD128" s="104">
        <f t="shared" si="77"/>
        <v>0</v>
      </c>
      <c r="AE128" s="104">
        <f t="shared" si="77"/>
        <v>0</v>
      </c>
      <c r="AF128" s="104">
        <f t="shared" si="77"/>
        <v>0</v>
      </c>
      <c r="AG128" s="84">
        <f t="shared" si="78"/>
        <v>0</v>
      </c>
      <c r="AH128" s="105" t="str">
        <f t="shared" si="79"/>
        <v/>
      </c>
      <c r="AJ128" s="84">
        <f>N128-AG128</f>
        <v>0</v>
      </c>
    </row>
    <row r="129" spans="1:36" x14ac:dyDescent="0.3">
      <c r="A129" s="113" t="s">
        <v>215</v>
      </c>
      <c r="B129" s="84">
        <f>IFERROR(SUMIF([2]Jan26A!$A:$A,$A129,INDEX([2]Jan26A!$A:$N,0,MATCH($A$1,[2]Jan26A!$A$7:$N$7,0))),0)</f>
        <v>0</v>
      </c>
      <c r="C129" s="84">
        <f>IFERROR(SUMIF([2]Feb26A!$A:$A,$A129,INDEX([2]Feb26A!$A:$N,0,MATCH($A$1,[2]Feb26A!$A$7:$N$7,0))),0)</f>
        <v>0</v>
      </c>
      <c r="D129" s="84">
        <f>IFERROR(SUMIF([2]Mar26A!$A:$A,$A129,INDEX([2]Mar26A!$A:$N,0,MATCH($A$1,[2]Mar26A!$A$7:$N$7,0))),0)</f>
        <v>0</v>
      </c>
      <c r="E129" s="84">
        <f>IFERROR(SUMIF([2]Apr26A!$A:$A,$A129,INDEX([2]Apr26A!$A:$N,0,MATCH($A$1,[2]Apr26A!$A$7:$N$7,0))),0)</f>
        <v>0</v>
      </c>
      <c r="F129" s="84">
        <f>IFERROR(SUMIF([2]May26A!$A:$A,$A129,INDEX([2]May26A!$A:$N,0,MATCH($A$1,[2]May26A!$A$7:$N$7,0))),0)</f>
        <v>0</v>
      </c>
      <c r="G129" s="84">
        <f>IFERROR(SUMIF([2]Jun26A!$A:$A,$A129,INDEX([2]Jun26A!$A:$N,0,MATCH($A$1,[2]Jun26A!$A$7:$N$7,0))),0)</f>
        <v>0</v>
      </c>
      <c r="H129" s="84">
        <f>IFERROR(SUMIF([2]Jul26A!$A:$A,$A129,INDEX([2]Jul26A!$A:$N,0,MATCH($A$1,[2]Jul26A!$A$7:$N$7,0))),0)</f>
        <v>0</v>
      </c>
      <c r="I129" s="84">
        <f>IFERROR(SUMIF([2]Aug26A!$A:$A,$A129,INDEX([2]Aug26A!$A:$N,0,MATCH($A$1,[2]Aug26A!$A$7:$N$7,0))),0)</f>
        <v>0</v>
      </c>
      <c r="J129" s="117">
        <v>0</v>
      </c>
      <c r="K129" s="117">
        <v>0</v>
      </c>
      <c r="L129" s="117">
        <v>0</v>
      </c>
      <c r="M129" s="117">
        <v>0</v>
      </c>
      <c r="N129" s="84">
        <f t="shared" si="80"/>
        <v>0</v>
      </c>
      <c r="O129" s="105" t="str">
        <f t="shared" si="76"/>
        <v/>
      </c>
      <c r="P129" s="84"/>
      <c r="Q129" s="84"/>
      <c r="R129" s="106" t="s">
        <v>99</v>
      </c>
      <c r="S129" s="107">
        <v>0</v>
      </c>
      <c r="T129" s="108">
        <v>0.05</v>
      </c>
      <c r="U129" s="104">
        <f t="shared" si="77"/>
        <v>0</v>
      </c>
      <c r="V129" s="104">
        <f t="shared" si="77"/>
        <v>0</v>
      </c>
      <c r="W129" s="104">
        <f t="shared" si="77"/>
        <v>0</v>
      </c>
      <c r="X129" s="104">
        <f t="shared" si="77"/>
        <v>0</v>
      </c>
      <c r="Y129" s="104">
        <f t="shared" si="77"/>
        <v>0</v>
      </c>
      <c r="Z129" s="104">
        <f t="shared" si="77"/>
        <v>0</v>
      </c>
      <c r="AA129" s="104">
        <f t="shared" si="77"/>
        <v>0</v>
      </c>
      <c r="AB129" s="104">
        <f t="shared" si="77"/>
        <v>0</v>
      </c>
      <c r="AC129" s="104">
        <f t="shared" si="77"/>
        <v>0</v>
      </c>
      <c r="AD129" s="104">
        <f t="shared" si="77"/>
        <v>0</v>
      </c>
      <c r="AE129" s="104">
        <f t="shared" si="77"/>
        <v>0</v>
      </c>
      <c r="AF129" s="104">
        <f t="shared" si="77"/>
        <v>0</v>
      </c>
      <c r="AG129" s="84">
        <f t="shared" si="78"/>
        <v>0</v>
      </c>
      <c r="AH129" s="105" t="str">
        <f t="shared" si="79"/>
        <v/>
      </c>
      <c r="AJ129" s="84">
        <f>N129-AG129</f>
        <v>0</v>
      </c>
    </row>
    <row r="130" spans="1:36" x14ac:dyDescent="0.3">
      <c r="A130" s="114" t="s">
        <v>216</v>
      </c>
      <c r="B130" s="110">
        <f t="shared" ref="B130:M130" si="81">SUM(B124:B129)</f>
        <v>0</v>
      </c>
      <c r="C130" s="110">
        <f t="shared" si="81"/>
        <v>0</v>
      </c>
      <c r="D130" s="110">
        <f t="shared" si="81"/>
        <v>0</v>
      </c>
      <c r="E130" s="110">
        <f t="shared" si="81"/>
        <v>0</v>
      </c>
      <c r="F130" s="110">
        <f t="shared" si="81"/>
        <v>0</v>
      </c>
      <c r="G130" s="110">
        <f t="shared" si="81"/>
        <v>0</v>
      </c>
      <c r="H130" s="110">
        <f t="shared" si="81"/>
        <v>0</v>
      </c>
      <c r="I130" s="110">
        <f t="shared" si="81"/>
        <v>0</v>
      </c>
      <c r="J130" s="110">
        <f t="shared" si="81"/>
        <v>0</v>
      </c>
      <c r="K130" s="110">
        <f t="shared" si="81"/>
        <v>0</v>
      </c>
      <c r="L130" s="110">
        <f t="shared" si="81"/>
        <v>0</v>
      </c>
      <c r="M130" s="110">
        <f t="shared" si="81"/>
        <v>0</v>
      </c>
      <c r="N130" s="110">
        <f t="shared" si="80"/>
        <v>0</v>
      </c>
      <c r="O130" s="111" t="str">
        <f t="shared" si="76"/>
        <v/>
      </c>
      <c r="P130" s="84"/>
      <c r="Q130" s="84"/>
      <c r="R130" s="112"/>
      <c r="S130" s="112"/>
      <c r="T130" s="112"/>
      <c r="U130" s="110">
        <f t="shared" ref="U130:AF130" si="82">SUM(U124:U129)</f>
        <v>0</v>
      </c>
      <c r="V130" s="110">
        <f t="shared" si="82"/>
        <v>0</v>
      </c>
      <c r="W130" s="110">
        <f t="shared" si="82"/>
        <v>0</v>
      </c>
      <c r="X130" s="110">
        <f t="shared" si="82"/>
        <v>0</v>
      </c>
      <c r="Y130" s="110">
        <f t="shared" si="82"/>
        <v>0</v>
      </c>
      <c r="Z130" s="110">
        <f t="shared" si="82"/>
        <v>0</v>
      </c>
      <c r="AA130" s="110">
        <f t="shared" si="82"/>
        <v>0</v>
      </c>
      <c r="AB130" s="110">
        <f t="shared" si="82"/>
        <v>0</v>
      </c>
      <c r="AC130" s="110">
        <f t="shared" si="82"/>
        <v>0</v>
      </c>
      <c r="AD130" s="110">
        <f t="shared" si="82"/>
        <v>0</v>
      </c>
      <c r="AE130" s="110">
        <f t="shared" si="82"/>
        <v>0</v>
      </c>
      <c r="AF130" s="110">
        <f t="shared" si="82"/>
        <v>0</v>
      </c>
      <c r="AG130" s="110">
        <f t="shared" si="78"/>
        <v>0</v>
      </c>
      <c r="AH130" s="111" t="str">
        <f t="shared" si="79"/>
        <v/>
      </c>
      <c r="AJ130" s="110">
        <f>N130-AG130</f>
        <v>0</v>
      </c>
    </row>
    <row r="131" spans="1:36" x14ac:dyDescent="0.3">
      <c r="A131" s="122" t="s">
        <v>217</v>
      </c>
      <c r="B131" s="110">
        <f t="shared" ref="B131:M131" si="83">B122-B130</f>
        <v>0</v>
      </c>
      <c r="C131" s="110">
        <f t="shared" si="83"/>
        <v>0</v>
      </c>
      <c r="D131" s="110">
        <f t="shared" si="83"/>
        <v>0</v>
      </c>
      <c r="E131" s="110">
        <f t="shared" si="83"/>
        <v>0</v>
      </c>
      <c r="F131" s="110">
        <f t="shared" si="83"/>
        <v>0</v>
      </c>
      <c r="G131" s="110">
        <f t="shared" si="83"/>
        <v>0</v>
      </c>
      <c r="H131" s="110">
        <f t="shared" si="83"/>
        <v>0</v>
      </c>
      <c r="I131" s="110">
        <f t="shared" si="83"/>
        <v>0</v>
      </c>
      <c r="J131" s="110">
        <f t="shared" si="83"/>
        <v>0</v>
      </c>
      <c r="K131" s="110">
        <f t="shared" si="83"/>
        <v>0</v>
      </c>
      <c r="L131" s="110">
        <f t="shared" si="83"/>
        <v>0</v>
      </c>
      <c r="M131" s="110">
        <f t="shared" si="83"/>
        <v>0</v>
      </c>
      <c r="N131" s="110">
        <f t="shared" si="80"/>
        <v>0</v>
      </c>
      <c r="O131" s="111" t="str">
        <f t="shared" si="76"/>
        <v/>
      </c>
      <c r="P131" s="84"/>
      <c r="Q131" s="84"/>
      <c r="R131" s="112"/>
      <c r="S131" s="112"/>
      <c r="T131" s="112"/>
      <c r="U131" s="110">
        <f t="shared" ref="U131:AF131" si="84">U122-U130</f>
        <v>0</v>
      </c>
      <c r="V131" s="110">
        <f t="shared" si="84"/>
        <v>0</v>
      </c>
      <c r="W131" s="110">
        <f t="shared" si="84"/>
        <v>0</v>
      </c>
      <c r="X131" s="110">
        <f t="shared" si="84"/>
        <v>0</v>
      </c>
      <c r="Y131" s="110">
        <f t="shared" si="84"/>
        <v>0</v>
      </c>
      <c r="Z131" s="110">
        <f t="shared" si="84"/>
        <v>0</v>
      </c>
      <c r="AA131" s="110">
        <f t="shared" si="84"/>
        <v>0</v>
      </c>
      <c r="AB131" s="110">
        <f t="shared" si="84"/>
        <v>0</v>
      </c>
      <c r="AC131" s="110">
        <f t="shared" si="84"/>
        <v>0</v>
      </c>
      <c r="AD131" s="110">
        <f t="shared" si="84"/>
        <v>0</v>
      </c>
      <c r="AE131" s="110">
        <f t="shared" si="84"/>
        <v>0</v>
      </c>
      <c r="AF131" s="110">
        <f t="shared" si="84"/>
        <v>0</v>
      </c>
      <c r="AG131" s="110">
        <f t="shared" si="78"/>
        <v>0</v>
      </c>
      <c r="AH131" s="111" t="str">
        <f t="shared" si="79"/>
        <v/>
      </c>
      <c r="AJ131" s="110">
        <f>AG131-N131</f>
        <v>0</v>
      </c>
    </row>
    <row r="132" spans="1:36" ht="14.4" thickBot="1" x14ac:dyDescent="0.35">
      <c r="A132" s="122" t="s">
        <v>218</v>
      </c>
      <c r="B132" s="123">
        <f t="shared" ref="B132:M132" si="85">B117+B131</f>
        <v>-153934.95000000001</v>
      </c>
      <c r="C132" s="123">
        <f t="shared" si="85"/>
        <v>-107839.51999999999</v>
      </c>
      <c r="D132" s="123">
        <f t="shared" si="85"/>
        <v>-190961.68999999997</v>
      </c>
      <c r="E132" s="123">
        <f t="shared" si="85"/>
        <v>-144233.65</v>
      </c>
      <c r="F132" s="123">
        <f t="shared" si="85"/>
        <v>-168942.74000000002</v>
      </c>
      <c r="G132" s="123">
        <f t="shared" si="85"/>
        <v>-189851.83000000002</v>
      </c>
      <c r="H132" s="123">
        <f t="shared" si="85"/>
        <v>-178369.86</v>
      </c>
      <c r="I132" s="123">
        <f t="shared" si="85"/>
        <v>-164186.55000000002</v>
      </c>
      <c r="J132" s="123">
        <f t="shared" si="85"/>
        <v>-216558</v>
      </c>
      <c r="K132" s="123">
        <f t="shared" si="85"/>
        <v>-218928</v>
      </c>
      <c r="L132" s="123">
        <f t="shared" si="85"/>
        <v>-222771</v>
      </c>
      <c r="M132" s="123">
        <f t="shared" si="85"/>
        <v>-228245</v>
      </c>
      <c r="N132" s="123">
        <f t="shared" si="80"/>
        <v>-2184822.79</v>
      </c>
      <c r="O132" s="124" t="str">
        <f t="shared" si="76"/>
        <v/>
      </c>
      <c r="P132" s="84"/>
      <c r="Q132" s="84"/>
      <c r="R132" s="112"/>
      <c r="S132" s="112"/>
      <c r="T132" s="112"/>
      <c r="U132" s="123">
        <f t="shared" ref="U132:AF132" si="86">U117+U131</f>
        <v>-110942.72470317263</v>
      </c>
      <c r="V132" s="123">
        <f t="shared" si="86"/>
        <v>-110942.72470317263</v>
      </c>
      <c r="W132" s="123">
        <f t="shared" si="86"/>
        <v>-110942.72470317263</v>
      </c>
      <c r="X132" s="123">
        <f t="shared" si="86"/>
        <v>-110942.72470317263</v>
      </c>
      <c r="Y132" s="123">
        <f t="shared" si="86"/>
        <v>-110942.72470317263</v>
      </c>
      <c r="Z132" s="123">
        <f t="shared" si="86"/>
        <v>-110942.72470317263</v>
      </c>
      <c r="AA132" s="123">
        <f t="shared" si="86"/>
        <v>-110942.72470317263</v>
      </c>
      <c r="AB132" s="123">
        <f t="shared" si="86"/>
        <v>-110942.72470317263</v>
      </c>
      <c r="AC132" s="123">
        <f t="shared" si="86"/>
        <v>-110942.72470317263</v>
      </c>
      <c r="AD132" s="123">
        <f t="shared" si="86"/>
        <v>-114271.0064442678</v>
      </c>
      <c r="AE132" s="123">
        <f t="shared" si="86"/>
        <v>-114271.0064442678</v>
      </c>
      <c r="AF132" s="123">
        <f t="shared" si="86"/>
        <v>-114271.0064442678</v>
      </c>
      <c r="AG132" s="123">
        <f t="shared" si="78"/>
        <v>-1341297.541661357</v>
      </c>
      <c r="AH132" s="124" t="str">
        <f t="shared" si="79"/>
        <v/>
      </c>
      <c r="AJ132" s="123">
        <f>AG132-N132</f>
        <v>843525.248338643</v>
      </c>
    </row>
    <row r="133" spans="1:36" ht="14.4" thickTop="1" x14ac:dyDescent="0.3">
      <c r="B133" s="163"/>
      <c r="C133" s="163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4"/>
      <c r="P133" s="163"/>
      <c r="Q133" s="163"/>
      <c r="R133" s="112"/>
      <c r="S133" s="112"/>
      <c r="T133" s="112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2"/>
      <c r="AH133" s="84"/>
    </row>
    <row r="134" spans="1:36" x14ac:dyDescent="0.3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105"/>
      <c r="P134" s="84"/>
      <c r="Q134" s="84"/>
      <c r="R134" s="112"/>
      <c r="S134" s="112"/>
      <c r="T134" s="112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</row>
    <row r="135" spans="1:36" x14ac:dyDescent="0.3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105"/>
      <c r="P135" s="84"/>
      <c r="Q135" s="84"/>
      <c r="R135" s="112"/>
      <c r="S135" s="112"/>
      <c r="T135" s="112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</row>
    <row r="136" spans="1:36" x14ac:dyDescent="0.3">
      <c r="B136" s="150"/>
      <c r="C136" s="150"/>
      <c r="D136" s="150"/>
      <c r="E136" s="150"/>
      <c r="F136" s="150"/>
      <c r="G136" s="150"/>
      <c r="H136" s="150"/>
      <c r="I136" s="150"/>
      <c r="J136" s="150"/>
      <c r="K136" s="150"/>
      <c r="L136" s="150"/>
      <c r="M136" s="150"/>
      <c r="N136" s="150"/>
      <c r="O136" s="105"/>
      <c r="P136" s="84"/>
      <c r="Q136" s="84"/>
      <c r="R136" s="112"/>
      <c r="S136" s="112"/>
      <c r="T136" s="112"/>
      <c r="U136" s="150"/>
      <c r="V136" s="150"/>
      <c r="W136" s="150"/>
      <c r="X136" s="150"/>
      <c r="Y136" s="150"/>
      <c r="Z136" s="150"/>
      <c r="AA136" s="150"/>
      <c r="AB136" s="150"/>
      <c r="AC136" s="150"/>
      <c r="AD136" s="150"/>
      <c r="AE136" s="150"/>
      <c r="AF136" s="150"/>
      <c r="AG136" s="150"/>
      <c r="AH136" s="84"/>
    </row>
    <row r="137" spans="1:36" x14ac:dyDescent="0.3">
      <c r="A137" s="125" t="s">
        <v>219</v>
      </c>
      <c r="B137" s="84">
        <f t="shared" ref="B137:N140" si="87">SUMIF($A$9:$A$132,"*"&amp;$A137&amp;"*",B$9:B$132)</f>
        <v>70558.34</v>
      </c>
      <c r="C137" s="84">
        <f t="shared" si="87"/>
        <v>36169.81</v>
      </c>
      <c r="D137" s="84">
        <f t="shared" si="87"/>
        <v>68774.92</v>
      </c>
      <c r="E137" s="84">
        <f t="shared" si="87"/>
        <v>77202.080000000002</v>
      </c>
      <c r="F137" s="84">
        <f t="shared" si="87"/>
        <v>72865.8</v>
      </c>
      <c r="G137" s="84">
        <f t="shared" si="87"/>
        <v>64701.68</v>
      </c>
      <c r="H137" s="84">
        <f t="shared" si="87"/>
        <v>82139.240000000005</v>
      </c>
      <c r="I137" s="84">
        <f t="shared" si="87"/>
        <v>79454.55</v>
      </c>
      <c r="J137" s="84">
        <f t="shared" si="87"/>
        <v>90000</v>
      </c>
      <c r="K137" s="84">
        <f t="shared" si="87"/>
        <v>92700</v>
      </c>
      <c r="L137" s="84">
        <f t="shared" si="87"/>
        <v>95800</v>
      </c>
      <c r="M137" s="84">
        <f t="shared" si="87"/>
        <v>96900</v>
      </c>
      <c r="N137" s="84">
        <f t="shared" si="87"/>
        <v>927266.41999999993</v>
      </c>
      <c r="O137" s="105"/>
      <c r="R137" s="112"/>
      <c r="S137" s="112"/>
      <c r="T137" s="112"/>
      <c r="U137" s="84">
        <f t="shared" ref="U137:AG140" si="88">SUMIF($A$9:$A$132,"*"&amp;$A137&amp;"*",U$9:U$132)</f>
        <v>90012.583333333343</v>
      </c>
      <c r="V137" s="84">
        <f t="shared" si="88"/>
        <v>90012.583333333343</v>
      </c>
      <c r="W137" s="84">
        <f t="shared" si="88"/>
        <v>90012.583333333343</v>
      </c>
      <c r="X137" s="84">
        <f t="shared" si="88"/>
        <v>90012.583333333343</v>
      </c>
      <c r="Y137" s="84">
        <f t="shared" si="88"/>
        <v>90012.583333333343</v>
      </c>
      <c r="Z137" s="84">
        <f t="shared" si="88"/>
        <v>90012.583333333343</v>
      </c>
      <c r="AA137" s="84">
        <f t="shared" si="88"/>
        <v>90012.583333333343</v>
      </c>
      <c r="AB137" s="84">
        <f t="shared" si="88"/>
        <v>90012.583333333343</v>
      </c>
      <c r="AC137" s="84">
        <f t="shared" si="88"/>
        <v>90012.583333333343</v>
      </c>
      <c r="AD137" s="84">
        <f t="shared" si="88"/>
        <v>92712.960833333345</v>
      </c>
      <c r="AE137" s="84">
        <f t="shared" si="88"/>
        <v>92712.960833333345</v>
      </c>
      <c r="AF137" s="84">
        <f t="shared" si="88"/>
        <v>92712.960833333345</v>
      </c>
      <c r="AG137" s="84">
        <f t="shared" si="88"/>
        <v>1088252.1325000003</v>
      </c>
      <c r="AH137" s="162"/>
      <c r="AJ137" s="84"/>
    </row>
    <row r="138" spans="1:36" x14ac:dyDescent="0.3">
      <c r="A138" s="125" t="s">
        <v>220</v>
      </c>
      <c r="B138" s="84">
        <f t="shared" si="87"/>
        <v>0</v>
      </c>
      <c r="C138" s="84">
        <f t="shared" si="87"/>
        <v>0</v>
      </c>
      <c r="D138" s="84">
        <f t="shared" si="87"/>
        <v>0</v>
      </c>
      <c r="E138" s="84">
        <f t="shared" si="87"/>
        <v>0</v>
      </c>
      <c r="F138" s="84">
        <f t="shared" si="87"/>
        <v>0</v>
      </c>
      <c r="G138" s="84">
        <f t="shared" si="87"/>
        <v>0</v>
      </c>
      <c r="H138" s="84">
        <f t="shared" si="87"/>
        <v>0</v>
      </c>
      <c r="I138" s="84">
        <f t="shared" si="87"/>
        <v>0</v>
      </c>
      <c r="J138" s="84">
        <f t="shared" si="87"/>
        <v>0</v>
      </c>
      <c r="K138" s="84">
        <f t="shared" si="87"/>
        <v>0</v>
      </c>
      <c r="L138" s="84">
        <f t="shared" si="87"/>
        <v>0</v>
      </c>
      <c r="M138" s="84">
        <f t="shared" si="87"/>
        <v>0</v>
      </c>
      <c r="N138" s="84">
        <f t="shared" si="87"/>
        <v>0</v>
      </c>
      <c r="O138" s="150"/>
      <c r="P138" s="84"/>
      <c r="Q138" s="84"/>
      <c r="R138" s="112"/>
      <c r="S138" s="112"/>
      <c r="T138" s="112"/>
      <c r="U138" s="84">
        <f t="shared" si="88"/>
        <v>0</v>
      </c>
      <c r="V138" s="84">
        <f t="shared" si="88"/>
        <v>0</v>
      </c>
      <c r="W138" s="84">
        <f t="shared" si="88"/>
        <v>0</v>
      </c>
      <c r="X138" s="84">
        <f t="shared" si="88"/>
        <v>0</v>
      </c>
      <c r="Y138" s="84">
        <f t="shared" si="88"/>
        <v>0</v>
      </c>
      <c r="Z138" s="84">
        <f t="shared" si="88"/>
        <v>0</v>
      </c>
      <c r="AA138" s="84">
        <f t="shared" si="88"/>
        <v>0</v>
      </c>
      <c r="AB138" s="84">
        <f t="shared" si="88"/>
        <v>0</v>
      </c>
      <c r="AC138" s="84">
        <f t="shared" si="88"/>
        <v>0</v>
      </c>
      <c r="AD138" s="84">
        <f t="shared" si="88"/>
        <v>0</v>
      </c>
      <c r="AE138" s="84">
        <f t="shared" si="88"/>
        <v>0</v>
      </c>
      <c r="AF138" s="84">
        <f t="shared" si="88"/>
        <v>0</v>
      </c>
      <c r="AG138" s="84">
        <f t="shared" si="88"/>
        <v>0</v>
      </c>
      <c r="AH138" s="84"/>
    </row>
    <row r="139" spans="1:36" x14ac:dyDescent="0.3">
      <c r="A139" s="125" t="s">
        <v>21</v>
      </c>
      <c r="B139" s="84">
        <f t="shared" si="87"/>
        <v>5777.74</v>
      </c>
      <c r="C139" s="84">
        <f t="shared" si="87"/>
        <v>3251.23</v>
      </c>
      <c r="D139" s="84">
        <f t="shared" si="87"/>
        <v>4737.21</v>
      </c>
      <c r="E139" s="84">
        <f t="shared" si="87"/>
        <v>5152.42</v>
      </c>
      <c r="F139" s="84">
        <f t="shared" si="87"/>
        <v>4827.71</v>
      </c>
      <c r="G139" s="84">
        <f t="shared" si="87"/>
        <v>4403.72</v>
      </c>
      <c r="H139" s="84">
        <f t="shared" si="87"/>
        <v>5573.24</v>
      </c>
      <c r="I139" s="84">
        <f t="shared" si="87"/>
        <v>5853.77</v>
      </c>
      <c r="J139" s="84">
        <f t="shared" si="87"/>
        <v>5850</v>
      </c>
      <c r="K139" s="84">
        <f t="shared" si="87"/>
        <v>6026</v>
      </c>
      <c r="L139" s="84">
        <f t="shared" si="87"/>
        <v>6227</v>
      </c>
      <c r="M139" s="84">
        <f t="shared" si="87"/>
        <v>6299</v>
      </c>
      <c r="N139" s="84">
        <f t="shared" si="87"/>
        <v>63979.040000000001</v>
      </c>
      <c r="O139" s="150"/>
      <c r="P139" s="84"/>
      <c r="Q139" s="84"/>
      <c r="R139" s="112"/>
      <c r="S139" s="112"/>
      <c r="T139" s="112"/>
      <c r="U139" s="84">
        <f t="shared" si="88"/>
        <v>6163.2433510037235</v>
      </c>
      <c r="V139" s="84">
        <f t="shared" si="88"/>
        <v>6163.2433510037235</v>
      </c>
      <c r="W139" s="84">
        <f t="shared" si="88"/>
        <v>6163.2433510037235</v>
      </c>
      <c r="X139" s="84">
        <f t="shared" si="88"/>
        <v>6163.2433510037235</v>
      </c>
      <c r="Y139" s="84">
        <f t="shared" si="88"/>
        <v>6163.2433510037235</v>
      </c>
      <c r="Z139" s="84">
        <f t="shared" si="88"/>
        <v>6163.2433510037235</v>
      </c>
      <c r="AA139" s="84">
        <f t="shared" si="88"/>
        <v>6163.2433510037235</v>
      </c>
      <c r="AB139" s="84">
        <f t="shared" si="88"/>
        <v>6163.2433510037235</v>
      </c>
      <c r="AC139" s="84">
        <f t="shared" si="88"/>
        <v>6163.2433510037235</v>
      </c>
      <c r="AD139" s="84">
        <f t="shared" si="88"/>
        <v>6348.1406515338349</v>
      </c>
      <c r="AE139" s="84">
        <f t="shared" si="88"/>
        <v>6348.1406515338349</v>
      </c>
      <c r="AF139" s="84">
        <f t="shared" si="88"/>
        <v>6348.1406515338349</v>
      </c>
      <c r="AG139" s="84">
        <f t="shared" si="88"/>
        <v>74513.612113635012</v>
      </c>
      <c r="AH139" s="84"/>
      <c r="AJ139" s="84"/>
    </row>
    <row r="140" spans="1:36" x14ac:dyDescent="0.3">
      <c r="A140" s="125" t="s">
        <v>23</v>
      </c>
      <c r="B140" s="84">
        <f t="shared" si="87"/>
        <v>30858.440000000002</v>
      </c>
      <c r="C140" s="84">
        <f t="shared" si="87"/>
        <v>21649.75</v>
      </c>
      <c r="D140" s="84">
        <f t="shared" si="87"/>
        <v>9095.0299999999988</v>
      </c>
      <c r="E140" s="84">
        <f t="shared" si="87"/>
        <v>12493.8</v>
      </c>
      <c r="F140" s="84">
        <f t="shared" si="87"/>
        <v>12115.76</v>
      </c>
      <c r="G140" s="84">
        <f t="shared" si="87"/>
        <v>16324.25</v>
      </c>
      <c r="H140" s="84">
        <f t="shared" si="87"/>
        <v>13014.13</v>
      </c>
      <c r="I140" s="84">
        <f t="shared" si="87"/>
        <v>17324.259999999998</v>
      </c>
      <c r="J140" s="84">
        <f t="shared" si="87"/>
        <v>10800</v>
      </c>
      <c r="K140" s="84">
        <f t="shared" si="87"/>
        <v>11124</v>
      </c>
      <c r="L140" s="84">
        <f t="shared" si="87"/>
        <v>11496</v>
      </c>
      <c r="M140" s="84">
        <f t="shared" si="87"/>
        <v>11628</v>
      </c>
      <c r="N140" s="84">
        <f t="shared" si="87"/>
        <v>177923.42</v>
      </c>
      <c r="O140" s="150"/>
      <c r="P140" s="84"/>
      <c r="Q140" s="84"/>
      <c r="R140" s="112"/>
      <c r="S140" s="112"/>
      <c r="T140" s="112"/>
      <c r="U140" s="84">
        <f t="shared" si="88"/>
        <v>14766.898018835556</v>
      </c>
      <c r="V140" s="84">
        <f t="shared" si="88"/>
        <v>14766.898018835556</v>
      </c>
      <c r="W140" s="84">
        <f t="shared" si="88"/>
        <v>14766.898018835556</v>
      </c>
      <c r="X140" s="84">
        <f t="shared" si="88"/>
        <v>14766.898018835556</v>
      </c>
      <c r="Y140" s="84">
        <f t="shared" si="88"/>
        <v>14766.898018835556</v>
      </c>
      <c r="Z140" s="84">
        <f t="shared" si="88"/>
        <v>14766.898018835556</v>
      </c>
      <c r="AA140" s="84">
        <f t="shared" si="88"/>
        <v>14766.898018835556</v>
      </c>
      <c r="AB140" s="84">
        <f t="shared" si="88"/>
        <v>14766.898018835556</v>
      </c>
      <c r="AC140" s="84">
        <f t="shared" si="88"/>
        <v>14766.898018835556</v>
      </c>
      <c r="AD140" s="84">
        <f t="shared" si="88"/>
        <v>15209.904959400623</v>
      </c>
      <c r="AE140" s="84">
        <f t="shared" si="88"/>
        <v>15209.904959400623</v>
      </c>
      <c r="AF140" s="84">
        <f t="shared" si="88"/>
        <v>15209.904959400623</v>
      </c>
      <c r="AG140" s="84">
        <f t="shared" si="88"/>
        <v>178531.79704772183</v>
      </c>
      <c r="AH140" s="84"/>
      <c r="AJ140" s="84"/>
    </row>
    <row r="141" spans="1:36" x14ac:dyDescent="0.3">
      <c r="A141" s="83" t="s">
        <v>221</v>
      </c>
      <c r="B141" s="105">
        <f>IFERROR(SUM(B139:B140)/SUM(B137:B138),"")</f>
        <v>0.51923245359797299</v>
      </c>
      <c r="C141" s="105">
        <f>IFERROR(SUM(C139:C140)/SUM(C137:C138),"")</f>
        <v>0.68844652487806823</v>
      </c>
      <c r="D141" s="105">
        <f>IFERROR(SUM(D139:D140)/SUM(D137:D138),"")</f>
        <v>0.20112331646478104</v>
      </c>
      <c r="E141" s="105">
        <f t="shared" ref="E141:N141" si="89">IFERROR(SUM(E139:E140)/SUM(E137:E138),"")</f>
        <v>0.2285718208628576</v>
      </c>
      <c r="F141" s="105">
        <f t="shared" si="89"/>
        <v>0.23252980136085791</v>
      </c>
      <c r="G141" s="105">
        <f t="shared" si="89"/>
        <v>0.32036216061159467</v>
      </c>
      <c r="H141" s="105">
        <f t="shared" si="89"/>
        <v>0.22629099076154099</v>
      </c>
      <c r="I141" s="105">
        <f t="shared" si="89"/>
        <v>0.29171431969597711</v>
      </c>
      <c r="J141" s="105">
        <f t="shared" si="89"/>
        <v>0.185</v>
      </c>
      <c r="K141" s="105">
        <f t="shared" si="89"/>
        <v>0.18500539374325783</v>
      </c>
      <c r="L141" s="105">
        <f t="shared" si="89"/>
        <v>0.185</v>
      </c>
      <c r="M141" s="105">
        <f t="shared" si="89"/>
        <v>0.18500515995872033</v>
      </c>
      <c r="N141" s="105">
        <f t="shared" si="89"/>
        <v>0.26087697643574759</v>
      </c>
      <c r="O141" s="105"/>
      <c r="P141" s="162"/>
      <c r="Q141" s="162"/>
      <c r="R141" s="112"/>
      <c r="S141" s="112"/>
      <c r="T141" s="112"/>
      <c r="U141" s="105">
        <f t="shared" ref="U141:AG141" si="90">IFERROR(SUM(U139:U140)/SUM(U137:U138),"")</f>
        <v>0.23252461594542922</v>
      </c>
      <c r="V141" s="105">
        <f t="shared" si="90"/>
        <v>0.23252461594542922</v>
      </c>
      <c r="W141" s="105">
        <f t="shared" si="90"/>
        <v>0.23252461594542922</v>
      </c>
      <c r="X141" s="105">
        <f t="shared" si="90"/>
        <v>0.23252461594542922</v>
      </c>
      <c r="Y141" s="105">
        <f t="shared" si="90"/>
        <v>0.23252461594542922</v>
      </c>
      <c r="Z141" s="105">
        <f t="shared" si="90"/>
        <v>0.23252461594542922</v>
      </c>
      <c r="AA141" s="105">
        <f t="shared" si="90"/>
        <v>0.23252461594542922</v>
      </c>
      <c r="AB141" s="105">
        <f t="shared" si="90"/>
        <v>0.23252461594542922</v>
      </c>
      <c r="AC141" s="105">
        <f t="shared" si="90"/>
        <v>0.23252461594542922</v>
      </c>
      <c r="AD141" s="105">
        <f t="shared" si="90"/>
        <v>0.23252461594542925</v>
      </c>
      <c r="AE141" s="105">
        <f t="shared" si="90"/>
        <v>0.23252461594542925</v>
      </c>
      <c r="AF141" s="105">
        <f t="shared" si="90"/>
        <v>0.23252461594542925</v>
      </c>
      <c r="AG141" s="105">
        <f t="shared" si="90"/>
        <v>0.23252461594542917</v>
      </c>
      <c r="AH141" s="162"/>
      <c r="AI141" s="162"/>
      <c r="AJ141" s="162"/>
    </row>
    <row r="142" spans="1:36" x14ac:dyDescent="0.3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105"/>
      <c r="P142" s="84"/>
      <c r="Q142" s="84"/>
      <c r="R142" s="112"/>
      <c r="S142" s="112"/>
      <c r="T142" s="112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</row>
    <row r="143" spans="1:36" x14ac:dyDescent="0.3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105"/>
      <c r="P143" s="84"/>
      <c r="Q143" s="84"/>
      <c r="R143" s="112"/>
      <c r="S143" s="112"/>
      <c r="T143" s="112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</row>
    <row r="144" spans="1:36" x14ac:dyDescent="0.3">
      <c r="O144" s="105"/>
      <c r="R144" s="126"/>
      <c r="S144" s="126"/>
      <c r="T144" s="126"/>
    </row>
    <row r="145" spans="15:20" x14ac:dyDescent="0.3">
      <c r="O145" s="105"/>
      <c r="R145" s="126"/>
      <c r="S145" s="126"/>
      <c r="T145" s="126"/>
    </row>
    <row r="146" spans="15:20" x14ac:dyDescent="0.3">
      <c r="O146" s="105"/>
      <c r="R146" s="126"/>
      <c r="S146" s="126"/>
      <c r="T146" s="126"/>
    </row>
    <row r="147" spans="15:20" x14ac:dyDescent="0.3">
      <c r="O147" s="105"/>
      <c r="R147" s="126"/>
      <c r="S147" s="126"/>
      <c r="T147" s="126"/>
    </row>
    <row r="148" spans="15:20" x14ac:dyDescent="0.3">
      <c r="O148" s="105"/>
      <c r="R148" s="126"/>
      <c r="S148" s="126"/>
      <c r="T148" s="126"/>
    </row>
    <row r="149" spans="15:20" x14ac:dyDescent="0.3">
      <c r="O149" s="105"/>
      <c r="R149" s="126"/>
      <c r="S149" s="126"/>
      <c r="T149" s="126"/>
    </row>
    <row r="150" spans="15:20" x14ac:dyDescent="0.3">
      <c r="O150" s="105"/>
      <c r="R150" s="126"/>
      <c r="S150" s="126"/>
      <c r="T150" s="126"/>
    </row>
    <row r="151" spans="15:20" x14ac:dyDescent="0.3">
      <c r="O151" s="105"/>
      <c r="R151" s="126"/>
      <c r="S151" s="126"/>
      <c r="T151" s="126"/>
    </row>
    <row r="152" spans="15:20" x14ac:dyDescent="0.3">
      <c r="O152" s="105"/>
      <c r="R152" s="126"/>
      <c r="S152" s="126"/>
      <c r="T152" s="126"/>
    </row>
    <row r="153" spans="15:20" x14ac:dyDescent="0.3">
      <c r="O153" s="105"/>
      <c r="R153" s="126"/>
      <c r="S153" s="126"/>
      <c r="T153" s="126"/>
    </row>
    <row r="154" spans="15:20" x14ac:dyDescent="0.3">
      <c r="O154" s="105"/>
      <c r="R154" s="126"/>
      <c r="S154" s="126"/>
      <c r="T154" s="126"/>
    </row>
    <row r="155" spans="15:20" x14ac:dyDescent="0.3">
      <c r="O155" s="105"/>
      <c r="R155" s="126"/>
      <c r="S155" s="126"/>
      <c r="T155" s="126"/>
    </row>
    <row r="156" spans="15:20" x14ac:dyDescent="0.3">
      <c r="O156" s="105"/>
      <c r="R156" s="126"/>
      <c r="S156" s="126"/>
      <c r="T156" s="126"/>
    </row>
    <row r="157" spans="15:20" x14ac:dyDescent="0.3">
      <c r="O157" s="105"/>
      <c r="R157" s="126"/>
      <c r="S157" s="126"/>
      <c r="T157" s="126"/>
    </row>
    <row r="158" spans="15:20" x14ac:dyDescent="0.3">
      <c r="O158" s="105"/>
      <c r="R158" s="126"/>
      <c r="S158" s="126"/>
      <c r="T158" s="126"/>
    </row>
    <row r="159" spans="15:20" x14ac:dyDescent="0.3">
      <c r="O159" s="105"/>
      <c r="R159" s="126"/>
      <c r="S159" s="126"/>
      <c r="T159" s="126"/>
    </row>
    <row r="160" spans="15:20" x14ac:dyDescent="0.3">
      <c r="O160" s="105"/>
      <c r="R160" s="126"/>
      <c r="S160" s="126"/>
      <c r="T160" s="126"/>
    </row>
    <row r="161" spans="15:20" x14ac:dyDescent="0.3">
      <c r="O161" s="105"/>
      <c r="R161" s="126"/>
      <c r="S161" s="126"/>
      <c r="T161" s="126"/>
    </row>
    <row r="162" spans="15:20" x14ac:dyDescent="0.3">
      <c r="O162" s="105"/>
      <c r="R162" s="126"/>
      <c r="S162" s="126"/>
      <c r="T162" s="126"/>
    </row>
    <row r="163" spans="15:20" x14ac:dyDescent="0.3">
      <c r="O163" s="105"/>
      <c r="R163" s="126"/>
      <c r="S163" s="126"/>
      <c r="T163" s="126"/>
    </row>
    <row r="164" spans="15:20" x14ac:dyDescent="0.3">
      <c r="O164" s="105"/>
    </row>
    <row r="165" spans="15:20" x14ac:dyDescent="0.3">
      <c r="O165" s="105"/>
    </row>
    <row r="166" spans="15:20" x14ac:dyDescent="0.3">
      <c r="O166" s="105"/>
    </row>
    <row r="167" spans="15:20" x14ac:dyDescent="0.3">
      <c r="O167" s="105"/>
    </row>
    <row r="168" spans="15:20" x14ac:dyDescent="0.3">
      <c r="O168" s="105"/>
    </row>
    <row r="169" spans="15:20" x14ac:dyDescent="0.3">
      <c r="O169" s="105"/>
    </row>
    <row r="170" spans="15:20" x14ac:dyDescent="0.3">
      <c r="O170" s="105"/>
    </row>
    <row r="171" spans="15:20" x14ac:dyDescent="0.3">
      <c r="O171" s="105"/>
    </row>
    <row r="172" spans="15:20" x14ac:dyDescent="0.3">
      <c r="O172" s="105"/>
    </row>
    <row r="173" spans="15:20" x14ac:dyDescent="0.3">
      <c r="O173" s="105"/>
    </row>
    <row r="174" spans="15:20" x14ac:dyDescent="0.3">
      <c r="O174" s="105"/>
    </row>
    <row r="175" spans="15:20" x14ac:dyDescent="0.3">
      <c r="O175" s="105"/>
    </row>
    <row r="176" spans="15:20" x14ac:dyDescent="0.3">
      <c r="O176" s="105"/>
    </row>
    <row r="177" spans="15:15" x14ac:dyDescent="0.3">
      <c r="O177" s="105"/>
    </row>
    <row r="178" spans="15:15" x14ac:dyDescent="0.3">
      <c r="O178" s="105"/>
    </row>
    <row r="179" spans="15:15" x14ac:dyDescent="0.3">
      <c r="O179" s="105"/>
    </row>
    <row r="180" spans="15:15" x14ac:dyDescent="0.3">
      <c r="O180" s="105"/>
    </row>
    <row r="181" spans="15:15" x14ac:dyDescent="0.3">
      <c r="O181" s="105"/>
    </row>
    <row r="182" spans="15:15" x14ac:dyDescent="0.3">
      <c r="O182" s="105"/>
    </row>
    <row r="183" spans="15:15" x14ac:dyDescent="0.3">
      <c r="O183" s="105"/>
    </row>
    <row r="184" spans="15:15" x14ac:dyDescent="0.3">
      <c r="O184" s="105"/>
    </row>
    <row r="185" spans="15:15" x14ac:dyDescent="0.3">
      <c r="O185" s="105"/>
    </row>
    <row r="186" spans="15:15" x14ac:dyDescent="0.3">
      <c r="O186" s="105"/>
    </row>
    <row r="187" spans="15:15" x14ac:dyDescent="0.3">
      <c r="O187" s="105"/>
    </row>
    <row r="188" spans="15:15" x14ac:dyDescent="0.3">
      <c r="O188" s="105"/>
    </row>
    <row r="189" spans="15:15" x14ac:dyDescent="0.3">
      <c r="O189" s="105"/>
    </row>
    <row r="190" spans="15:15" x14ac:dyDescent="0.3">
      <c r="O190" s="105"/>
    </row>
    <row r="191" spans="15:15" x14ac:dyDescent="0.3">
      <c r="O191" s="105"/>
    </row>
    <row r="192" spans="15:15" x14ac:dyDescent="0.3">
      <c r="O192" s="105"/>
    </row>
    <row r="193" spans="15:15" x14ac:dyDescent="0.3">
      <c r="O193" s="105"/>
    </row>
    <row r="194" spans="15:15" x14ac:dyDescent="0.3">
      <c r="O194" s="105"/>
    </row>
    <row r="195" spans="15:15" x14ac:dyDescent="0.3">
      <c r="O195" s="105"/>
    </row>
    <row r="196" spans="15:15" x14ac:dyDescent="0.3">
      <c r="O196" s="105"/>
    </row>
    <row r="197" spans="15:15" x14ac:dyDescent="0.3">
      <c r="O197" s="105"/>
    </row>
    <row r="198" spans="15:15" x14ac:dyDescent="0.3">
      <c r="O198" s="105"/>
    </row>
    <row r="199" spans="15:15" x14ac:dyDescent="0.3">
      <c r="O199" s="105"/>
    </row>
  </sheetData>
  <conditionalFormatting sqref="S12:S13">
    <cfRule type="expression" dxfId="74" priority="38">
      <formula>AND(NOT(_xlfn.ISFORMULA(S12)),ISNUMBER(S12))</formula>
    </cfRule>
  </conditionalFormatting>
  <conditionalFormatting sqref="S15">
    <cfRule type="expression" dxfId="73" priority="37">
      <formula>AND(NOT(_xlfn.ISFORMULA(S15)),ISNUMBER(S15))</formula>
    </cfRule>
  </conditionalFormatting>
  <conditionalFormatting sqref="S19:S22">
    <cfRule type="expression" dxfId="72" priority="33">
      <formula>AND(NOT(_xlfn.ISFORMULA(S19)),ISNUMBER(S19))</formula>
    </cfRule>
  </conditionalFormatting>
  <conditionalFormatting sqref="S24:S26">
    <cfRule type="expression" dxfId="71" priority="30">
      <formula>AND(NOT(_xlfn.ISFORMULA(S24)),ISNUMBER(S24))</formula>
    </cfRule>
  </conditionalFormatting>
  <conditionalFormatting sqref="S28:S31">
    <cfRule type="expression" dxfId="70" priority="26">
      <formula>AND(NOT(_xlfn.ISFORMULA(S28)),ISNUMBER(S28))</formula>
    </cfRule>
  </conditionalFormatting>
  <conditionalFormatting sqref="S38:S42">
    <cfRule type="expression" dxfId="69" priority="21">
      <formula>AND(NOT(_xlfn.ISFORMULA(S38)),ISNUMBER(S38))</formula>
    </cfRule>
  </conditionalFormatting>
  <conditionalFormatting sqref="S44:S50">
    <cfRule type="expression" dxfId="68" priority="14">
      <formula>AND(NOT(_xlfn.ISFORMULA(S44)),ISNUMBER(S44))</formula>
    </cfRule>
  </conditionalFormatting>
  <conditionalFormatting sqref="S58:S60">
    <cfRule type="expression" dxfId="67" priority="11">
      <formula>AND(NOT(_xlfn.ISFORMULA(S58)),ISNUMBER(S58))</formula>
    </cfRule>
  </conditionalFormatting>
  <conditionalFormatting sqref="S62">
    <cfRule type="expression" dxfId="66" priority="10">
      <formula>AND(NOT(_xlfn.ISFORMULA(S62)),ISNUMBER(S62))</formula>
    </cfRule>
  </conditionalFormatting>
  <conditionalFormatting sqref="S70:S72">
    <cfRule type="expression" dxfId="65" priority="7">
      <formula>AND(NOT(_xlfn.ISFORMULA(S70)),ISNUMBER(S70))</formula>
    </cfRule>
  </conditionalFormatting>
  <conditionalFormatting sqref="S74:S80">
    <cfRule type="expression" dxfId="64" priority="5">
      <formula>AND(NOT(_xlfn.ISFORMULA(S74)),ISNUMBER(S74))</formula>
    </cfRule>
  </conditionalFormatting>
  <conditionalFormatting sqref="S82:S86">
    <cfRule type="expression" dxfId="63" priority="4">
      <formula>AND(NOT(_xlfn.ISFORMULA(S82)),ISNUMBER(S82))</formula>
    </cfRule>
  </conditionalFormatting>
  <conditionalFormatting sqref="S88:S115">
    <cfRule type="expression" dxfId="62" priority="3">
      <formula>AND(NOT(_xlfn.ISFORMULA(S88)),ISNUMBER(S88))</formula>
    </cfRule>
  </conditionalFormatting>
  <conditionalFormatting sqref="S120:S121">
    <cfRule type="expression" dxfId="61" priority="2">
      <formula>AND(NOT(_xlfn.ISFORMULA(S120)),ISNUMBER(S120))</formula>
    </cfRule>
  </conditionalFormatting>
  <conditionalFormatting sqref="S124:S129">
    <cfRule type="expression" dxfId="60" priority="1">
      <formula>AND(NOT(_xlfn.ISFORMULA(S124)),ISNUMBER(S124))</formula>
    </cfRule>
  </conditionalFormatting>
  <dataValidations count="2">
    <dataValidation type="decimal" allowBlank="1" showInputMessage="1" showErrorMessage="1" errorTitle="Numbers only" error="Please enter a number (no text)." sqref="S12:AF13 S15:AF15 S19:AF22 S24:AF26 S28:AF31 S38:AF42 S44:AF50 S58:AF60 S62:AF62 S70:AF72 S74:AF80 S82:AF86 S88:AF115 S120:AF121 S124:AF129" xr:uid="{22BCE069-CE4A-413D-B219-6BC42974A3F2}">
      <formula1>-1000000000000000</formula1>
      <formula2>1000000000000000</formula2>
    </dataValidation>
    <dataValidation type="list" allowBlank="1" showInputMessage="1" showErrorMessage="1" sqref="R12:R13 R15 R19:R22 R24:R26 R28:R31 R38:R42 R44:R50 R58:R60 R62 R70:R72 R74:R80 R82:R86 R88:R115 R120:R121 R124:R129" xr:uid="{E4E49259-FF1A-48B0-923C-8CE09CFB7FC9}">
      <formula1>"Even,YOY Growth,Manual"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B2A20-920E-473E-9328-0300FA7F8A99}">
  <sheetPr>
    <tabColor theme="9" tint="0.59999389629810485"/>
  </sheetPr>
  <dimension ref="A1:AJ200"/>
  <sheetViews>
    <sheetView zoomScale="80" zoomScaleNormal="80" workbookViewId="0">
      <pane xSplit="1" ySplit="8" topLeftCell="B9" activePane="bottomRight" state="frozen"/>
      <selection activeCell="B9" sqref="B9"/>
      <selection pane="topRight" activeCell="B9" sqref="B9"/>
      <selection pane="bottomLeft" activeCell="B9" sqref="B9"/>
      <selection pane="bottomRight" activeCell="B9" sqref="B9"/>
    </sheetView>
  </sheetViews>
  <sheetFormatPr defaultColWidth="7.44140625" defaultRowHeight="13.8" outlineLevelCol="1" x14ac:dyDescent="0.3"/>
  <cols>
    <col min="1" max="1" width="54.77734375" style="83" customWidth="1"/>
    <col min="2" max="13" width="11.33203125" style="83" customWidth="1" outlineLevel="1"/>
    <col min="14" max="14" width="14.21875" style="83" customWidth="1"/>
    <col min="15" max="15" width="12.77734375" style="83" customWidth="1"/>
    <col min="16" max="17" width="7.5546875" style="83" customWidth="1"/>
    <col min="18" max="18" width="15" style="83" customWidth="1"/>
    <col min="19" max="19" width="13.6640625" style="83" customWidth="1"/>
    <col min="20" max="20" width="12.77734375" style="83" customWidth="1"/>
    <col min="21" max="32" width="11.33203125" style="83" customWidth="1" outlineLevel="1"/>
    <col min="33" max="33" width="14.21875" style="83" customWidth="1"/>
    <col min="34" max="34" width="12.77734375" style="83" customWidth="1"/>
    <col min="35" max="35" width="7.44140625" style="83"/>
    <col min="36" max="36" width="13.109375" style="83" customWidth="1"/>
    <col min="37" max="16384" width="7.44140625" style="83"/>
  </cols>
  <sheetData>
    <row r="1" spans="1:36" ht="21" x14ac:dyDescent="0.4">
      <c r="A1" s="82" t="s">
        <v>9</v>
      </c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</row>
    <row r="2" spans="1:36" ht="15.6" x14ac:dyDescent="0.3">
      <c r="A2" s="86" t="s">
        <v>69</v>
      </c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</row>
    <row r="4" spans="1:36" ht="14.4" x14ac:dyDescent="0.3">
      <c r="A4" s="87" t="s">
        <v>70</v>
      </c>
    </row>
    <row r="5" spans="1:36" x14ac:dyDescent="0.3"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</row>
    <row r="7" spans="1:36" x14ac:dyDescent="0.3">
      <c r="A7" s="89"/>
      <c r="B7" s="90" t="s">
        <v>71</v>
      </c>
      <c r="C7" s="90" t="s">
        <v>71</v>
      </c>
      <c r="D7" s="90" t="s">
        <v>71</v>
      </c>
      <c r="E7" s="90" t="s">
        <v>71</v>
      </c>
      <c r="F7" s="90" t="s">
        <v>71</v>
      </c>
      <c r="G7" s="90" t="s">
        <v>71</v>
      </c>
      <c r="H7" s="90" t="s">
        <v>71</v>
      </c>
      <c r="I7" s="90" t="s">
        <v>71</v>
      </c>
      <c r="J7" s="91" t="s">
        <v>72</v>
      </c>
      <c r="K7" s="91" t="s">
        <v>72</v>
      </c>
      <c r="L7" s="91" t="s">
        <v>72</v>
      </c>
      <c r="M7" s="91" t="s">
        <v>72</v>
      </c>
      <c r="N7" s="91" t="s">
        <v>72</v>
      </c>
      <c r="O7" s="91" t="s">
        <v>72</v>
      </c>
      <c r="R7" s="92"/>
      <c r="S7" s="93" t="s">
        <v>73</v>
      </c>
      <c r="T7" s="93" t="s">
        <v>74</v>
      </c>
      <c r="U7" s="94" t="s">
        <v>75</v>
      </c>
      <c r="V7" s="94" t="s">
        <v>75</v>
      </c>
      <c r="W7" s="94" t="s">
        <v>75</v>
      </c>
      <c r="X7" s="94" t="s">
        <v>75</v>
      </c>
      <c r="Y7" s="94" t="s">
        <v>75</v>
      </c>
      <c r="Z7" s="94" t="s">
        <v>75</v>
      </c>
      <c r="AA7" s="94" t="s">
        <v>75</v>
      </c>
      <c r="AB7" s="94" t="s">
        <v>75</v>
      </c>
      <c r="AC7" s="94" t="s">
        <v>75</v>
      </c>
      <c r="AD7" s="94" t="s">
        <v>75</v>
      </c>
      <c r="AE7" s="94" t="s">
        <v>75</v>
      </c>
      <c r="AF7" s="94" t="s">
        <v>75</v>
      </c>
      <c r="AG7" s="94" t="s">
        <v>75</v>
      </c>
      <c r="AH7" s="94" t="s">
        <v>75</v>
      </c>
      <c r="AJ7" s="95" t="s">
        <v>74</v>
      </c>
    </row>
    <row r="8" spans="1:36" x14ac:dyDescent="0.3">
      <c r="A8" s="89" t="s">
        <v>76</v>
      </c>
      <c r="B8" s="96" t="s">
        <v>77</v>
      </c>
      <c r="C8" s="96" t="s">
        <v>78</v>
      </c>
      <c r="D8" s="96" t="s">
        <v>79</v>
      </c>
      <c r="E8" s="96" t="s">
        <v>80</v>
      </c>
      <c r="F8" s="96" t="s">
        <v>81</v>
      </c>
      <c r="G8" s="96" t="s">
        <v>82</v>
      </c>
      <c r="H8" s="96" t="s">
        <v>83</v>
      </c>
      <c r="I8" s="96" t="s">
        <v>84</v>
      </c>
      <c r="J8" s="96" t="s">
        <v>85</v>
      </c>
      <c r="K8" s="96" t="s">
        <v>86</v>
      </c>
      <c r="L8" s="96" t="s">
        <v>87</v>
      </c>
      <c r="M8" s="96" t="s">
        <v>88</v>
      </c>
      <c r="N8" s="90">
        <v>2026</v>
      </c>
      <c r="O8" s="90" t="s">
        <v>89</v>
      </c>
      <c r="R8" s="92" t="s">
        <v>90</v>
      </c>
      <c r="S8" s="93" t="s">
        <v>91</v>
      </c>
      <c r="T8" s="93" t="s">
        <v>92</v>
      </c>
      <c r="U8" s="97" t="s">
        <v>77</v>
      </c>
      <c r="V8" s="97" t="s">
        <v>78</v>
      </c>
      <c r="W8" s="97" t="s">
        <v>79</v>
      </c>
      <c r="X8" s="97" t="s">
        <v>80</v>
      </c>
      <c r="Y8" s="97" t="s">
        <v>81</v>
      </c>
      <c r="Z8" s="97" t="s">
        <v>82</v>
      </c>
      <c r="AA8" s="97" t="s">
        <v>83</v>
      </c>
      <c r="AB8" s="97" t="s">
        <v>84</v>
      </c>
      <c r="AC8" s="97" t="s">
        <v>85</v>
      </c>
      <c r="AD8" s="97" t="s">
        <v>86</v>
      </c>
      <c r="AE8" s="97" t="s">
        <v>87</v>
      </c>
      <c r="AF8" s="97" t="s">
        <v>88</v>
      </c>
      <c r="AG8" s="98" t="s">
        <v>93</v>
      </c>
      <c r="AH8" s="94" t="s">
        <v>89</v>
      </c>
      <c r="AJ8" s="99" t="s">
        <v>94</v>
      </c>
    </row>
    <row r="9" spans="1:36" x14ac:dyDescent="0.3">
      <c r="A9" s="100" t="s">
        <v>95</v>
      </c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6" x14ac:dyDescent="0.3">
      <c r="A10" s="101" t="s">
        <v>96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</row>
    <row r="11" spans="1:36" x14ac:dyDescent="0.3">
      <c r="A11" s="102" t="s">
        <v>97</v>
      </c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</row>
    <row r="12" spans="1:36" x14ac:dyDescent="0.3">
      <c r="A12" s="103" t="s">
        <v>98</v>
      </c>
      <c r="B12" s="84">
        <f>IFERROR(SUMIF([2]Jan26A!$A:$A,$A12,INDEX([2]Jan26A!$A:$N,0,MATCH($A$1,[2]Jan26A!$A$7:$N$7,0))),0)</f>
        <v>534716.78</v>
      </c>
      <c r="C12" s="84">
        <f>IFERROR(SUMIF([2]Feb26A!$A:$A,$A12,INDEX([2]Feb26A!$A:$N,0,MATCH($A$1,[2]Feb26A!$A$7:$N$7,0))),0)</f>
        <v>494949.28</v>
      </c>
      <c r="D12" s="84">
        <f>IFERROR(SUMIF([2]Mar26A!$A:$A,$A12,INDEX([2]Mar26A!$A:$N,0,MATCH($A$1,[2]Mar26A!$A$7:$N$7,0))),0)</f>
        <v>468603.55</v>
      </c>
      <c r="E12" s="84">
        <f>IFERROR(SUMIF([2]Apr26A!$A:$A,$A12,INDEX([2]Apr26A!$A:$N,0,MATCH($A$1,[2]Apr26A!$A$7:$N$7,0))),0)</f>
        <v>481426.2</v>
      </c>
      <c r="F12" s="84">
        <f>IFERROR(SUMIF([2]May26A!$A:$A,$A12,INDEX([2]May26A!$A:$N,0,MATCH($A$1,[2]May26A!$A$7:$N$7,0))),0)</f>
        <v>501668.11</v>
      </c>
      <c r="G12" s="84">
        <f>IFERROR(SUMIF([2]Jun26A!$A:$A,$A12,INDEX([2]Jun26A!$A:$N,0,MATCH($A$1,[2]Jun26A!$A$7:$N$7,0))),0)</f>
        <v>473687.43</v>
      </c>
      <c r="H12" s="84">
        <f>IFERROR(SUMIF([2]Jul26A!$A:$A,$A12,INDEX([2]Jul26A!$A:$N,0,MATCH($A$1,[2]Jul26A!$A$7:$N$7,0))),0)</f>
        <v>454042.16</v>
      </c>
      <c r="I12" s="84">
        <f>IFERROR(SUMIF([2]Aug26A!$A:$A,$A12,INDEX([2]Aug26A!$A:$N,0,MATCH($A$1,[2]Aug26A!$A$7:$N$7,0))),0)</f>
        <v>467055.56</v>
      </c>
      <c r="J12" s="117">
        <v>531107.33333333326</v>
      </c>
      <c r="K12" s="117">
        <v>626940.66666666663</v>
      </c>
      <c r="L12" s="117">
        <v>651940.66666666663</v>
      </c>
      <c r="M12" s="117">
        <v>676940.66666666663</v>
      </c>
      <c r="N12" s="84">
        <f>SUM(B12:M12)</f>
        <v>6363078.4033333343</v>
      </c>
      <c r="O12" s="105">
        <f>IFERROR(N12/N$16,"")</f>
        <v>0.85710266984156025</v>
      </c>
      <c r="P12" s="84"/>
      <c r="Q12" s="84"/>
      <c r="R12" s="106" t="s">
        <v>99</v>
      </c>
      <c r="S12" s="107"/>
      <c r="T12" s="108">
        <v>0.05</v>
      </c>
      <c r="U12" s="104">
        <f t="shared" ref="U12:AF13" si="0">IF($R12="Manual","",IFERROR(IF($R12="YOY Growth",$N12*(1+$T12)/12,$S12/12),""))</f>
        <v>0</v>
      </c>
      <c r="V12" s="104">
        <f t="shared" si="0"/>
        <v>0</v>
      </c>
      <c r="W12" s="104">
        <f t="shared" si="0"/>
        <v>0</v>
      </c>
      <c r="X12" s="104">
        <f t="shared" si="0"/>
        <v>0</v>
      </c>
      <c r="Y12" s="104">
        <f t="shared" si="0"/>
        <v>0</v>
      </c>
      <c r="Z12" s="104">
        <f t="shared" si="0"/>
        <v>0</v>
      </c>
      <c r="AA12" s="104">
        <f t="shared" si="0"/>
        <v>0</v>
      </c>
      <c r="AB12" s="104">
        <f t="shared" si="0"/>
        <v>0</v>
      </c>
      <c r="AC12" s="104">
        <f t="shared" si="0"/>
        <v>0</v>
      </c>
      <c r="AD12" s="104">
        <f t="shared" si="0"/>
        <v>0</v>
      </c>
      <c r="AE12" s="104">
        <f t="shared" si="0"/>
        <v>0</v>
      </c>
      <c r="AF12" s="104">
        <f t="shared" si="0"/>
        <v>0</v>
      </c>
      <c r="AG12" s="84">
        <f>SUM(U12:AF12)</f>
        <v>0</v>
      </c>
      <c r="AH12" s="105" t="str">
        <f>IFERROR(AG12/AG$16,"")</f>
        <v/>
      </c>
      <c r="AJ12" s="84">
        <f>AG12-N12</f>
        <v>-6363078.4033333343</v>
      </c>
    </row>
    <row r="13" spans="1:36" x14ac:dyDescent="0.3">
      <c r="A13" s="103" t="s">
        <v>100</v>
      </c>
      <c r="B13" s="84">
        <f>IFERROR(SUMIF([2]Jan26A!$A:$A,$A13,INDEX([2]Jan26A!$A:$N,0,MATCH($A$1,[2]Jan26A!$A$7:$N$7,0))),0)</f>
        <v>8277.7800000000007</v>
      </c>
      <c r="C13" s="84">
        <f>IFERROR(SUMIF([2]Feb26A!$A:$A,$A13,INDEX([2]Feb26A!$A:$N,0,MATCH($A$1,[2]Feb26A!$A$7:$N$7,0))),0)</f>
        <v>8277.7800000000007</v>
      </c>
      <c r="D13" s="84">
        <f>IFERROR(SUMIF([2]Mar26A!$A:$A,$A13,INDEX([2]Mar26A!$A:$N,0,MATCH($A$1,[2]Mar26A!$A$7:$N$7,0))),0)</f>
        <v>18277.78</v>
      </c>
      <c r="E13" s="84">
        <f>IFERROR(SUMIF([2]Apr26A!$A:$A,$A13,INDEX([2]Apr26A!$A:$N,0,MATCH($A$1,[2]Apr26A!$A$7:$N$7,0))),0)</f>
        <v>18277.78</v>
      </c>
      <c r="F13" s="84">
        <f>IFERROR(SUMIF([2]May26A!$A:$A,$A13,INDEX([2]May26A!$A:$N,0,MATCH($A$1,[2]May26A!$A$7:$N$7,0))),0)</f>
        <v>18277.78</v>
      </c>
      <c r="G13" s="84">
        <f>IFERROR(SUMIF([2]Jun26A!$A:$A,$A13,INDEX([2]Jun26A!$A:$N,0,MATCH($A$1,[2]Jun26A!$A$7:$N$7,0))),0)</f>
        <v>6055.57</v>
      </c>
      <c r="H13" s="84">
        <f>IFERROR(SUMIF([2]Jul26A!$A:$A,$A13,INDEX([2]Jul26A!$A:$N,0,MATCH($A$1,[2]Jul26A!$A$7:$N$7,0))),0)</f>
        <v>2166.67</v>
      </c>
      <c r="I13" s="84">
        <f>IFERROR(SUMIF([2]Aug26A!$A:$A,$A13,INDEX([2]Aug26A!$A:$N,0,MATCH($A$1,[2]Aug26A!$A$7:$N$7,0))),0)</f>
        <v>4250</v>
      </c>
      <c r="J13" s="117">
        <v>500</v>
      </c>
      <c r="K13" s="117">
        <v>500</v>
      </c>
      <c r="L13" s="117">
        <v>500</v>
      </c>
      <c r="M13" s="117">
        <v>500</v>
      </c>
      <c r="N13" s="84">
        <f>SUM(B13:M13)</f>
        <v>85861.14</v>
      </c>
      <c r="O13" s="105">
        <f>IFERROR(N13/N$16,"")</f>
        <v>1.1565441703671056E-2</v>
      </c>
      <c r="P13" s="84"/>
      <c r="Q13" s="84"/>
      <c r="R13" s="106" t="s">
        <v>99</v>
      </c>
      <c r="S13" s="107">
        <v>0</v>
      </c>
      <c r="T13" s="108">
        <v>0.05</v>
      </c>
      <c r="U13" s="104">
        <f t="shared" si="0"/>
        <v>0</v>
      </c>
      <c r="V13" s="104">
        <f t="shared" si="0"/>
        <v>0</v>
      </c>
      <c r="W13" s="104">
        <f t="shared" si="0"/>
        <v>0</v>
      </c>
      <c r="X13" s="104">
        <f t="shared" si="0"/>
        <v>0</v>
      </c>
      <c r="Y13" s="104">
        <f t="shared" si="0"/>
        <v>0</v>
      </c>
      <c r="Z13" s="104">
        <f t="shared" si="0"/>
        <v>0</v>
      </c>
      <c r="AA13" s="104">
        <f t="shared" si="0"/>
        <v>0</v>
      </c>
      <c r="AB13" s="104">
        <f t="shared" si="0"/>
        <v>0</v>
      </c>
      <c r="AC13" s="104">
        <f t="shared" si="0"/>
        <v>0</v>
      </c>
      <c r="AD13" s="104">
        <f t="shared" si="0"/>
        <v>0</v>
      </c>
      <c r="AE13" s="104">
        <f t="shared" si="0"/>
        <v>0</v>
      </c>
      <c r="AF13" s="104">
        <f t="shared" si="0"/>
        <v>0</v>
      </c>
      <c r="AG13" s="84">
        <f>SUM(U13:AF13)</f>
        <v>0</v>
      </c>
      <c r="AH13" s="105" t="str">
        <f>IFERROR(AG13/AG$16,"")</f>
        <v/>
      </c>
      <c r="AJ13" s="84">
        <f>AG13-N13</f>
        <v>-85861.14</v>
      </c>
    </row>
    <row r="14" spans="1:36" x14ac:dyDescent="0.3">
      <c r="A14" s="109" t="s">
        <v>101</v>
      </c>
      <c r="B14" s="110">
        <f t="shared" ref="B14:M14" si="1">SUM(B12:B13)</f>
        <v>542994.56000000006</v>
      </c>
      <c r="C14" s="110">
        <f t="shared" si="1"/>
        <v>503227.06000000006</v>
      </c>
      <c r="D14" s="110">
        <f t="shared" si="1"/>
        <v>486881.32999999996</v>
      </c>
      <c r="E14" s="110">
        <f t="shared" si="1"/>
        <v>499703.98</v>
      </c>
      <c r="F14" s="110">
        <f t="shared" si="1"/>
        <v>519945.89</v>
      </c>
      <c r="G14" s="110">
        <f t="shared" si="1"/>
        <v>479743</v>
      </c>
      <c r="H14" s="110">
        <f t="shared" si="1"/>
        <v>456208.82999999996</v>
      </c>
      <c r="I14" s="110">
        <f t="shared" si="1"/>
        <v>471305.56</v>
      </c>
      <c r="J14" s="110">
        <f t="shared" si="1"/>
        <v>531607.33333333326</v>
      </c>
      <c r="K14" s="110">
        <f t="shared" si="1"/>
        <v>627440.66666666663</v>
      </c>
      <c r="L14" s="110">
        <f t="shared" si="1"/>
        <v>652440.66666666663</v>
      </c>
      <c r="M14" s="110">
        <f t="shared" si="1"/>
        <v>677440.66666666663</v>
      </c>
      <c r="N14" s="110">
        <f>SUM(B14:M14)</f>
        <v>6448939.5433333348</v>
      </c>
      <c r="O14" s="111">
        <f>SUM(O12:O13)</f>
        <v>0.86866811154523127</v>
      </c>
      <c r="P14" s="84"/>
      <c r="Q14" s="84"/>
      <c r="R14" s="112"/>
      <c r="S14" s="112"/>
      <c r="T14" s="112"/>
      <c r="U14" s="110">
        <f t="shared" ref="U14:AF14" si="2">SUM(U12:U13)</f>
        <v>0</v>
      </c>
      <c r="V14" s="110">
        <f t="shared" si="2"/>
        <v>0</v>
      </c>
      <c r="W14" s="110">
        <f t="shared" si="2"/>
        <v>0</v>
      </c>
      <c r="X14" s="110">
        <f t="shared" si="2"/>
        <v>0</v>
      </c>
      <c r="Y14" s="110">
        <f t="shared" si="2"/>
        <v>0</v>
      </c>
      <c r="Z14" s="110">
        <f t="shared" si="2"/>
        <v>0</v>
      </c>
      <c r="AA14" s="110">
        <f t="shared" si="2"/>
        <v>0</v>
      </c>
      <c r="AB14" s="110">
        <f t="shared" si="2"/>
        <v>0</v>
      </c>
      <c r="AC14" s="110">
        <f t="shared" si="2"/>
        <v>0</v>
      </c>
      <c r="AD14" s="110">
        <f t="shared" si="2"/>
        <v>0</v>
      </c>
      <c r="AE14" s="110">
        <f t="shared" si="2"/>
        <v>0</v>
      </c>
      <c r="AF14" s="110">
        <f t="shared" si="2"/>
        <v>0</v>
      </c>
      <c r="AG14" s="110">
        <f>SUM(U14:AF14)</f>
        <v>0</v>
      </c>
      <c r="AH14" s="111">
        <f>SUM(AH12:AH13)</f>
        <v>0</v>
      </c>
      <c r="AJ14" s="110">
        <f>AG14-N14</f>
        <v>-6448939.5433333348</v>
      </c>
    </row>
    <row r="15" spans="1:36" x14ac:dyDescent="0.3">
      <c r="A15" s="113" t="s">
        <v>102</v>
      </c>
      <c r="B15" s="84">
        <f>IFERROR(SUMIF([2]Jan26A!$A:$A,$A15,INDEX([2]Jan26A!$A:$N,0,MATCH($A$1,[2]Jan26A!$A$7:$N$7,0))),0)</f>
        <v>0</v>
      </c>
      <c r="C15" s="84">
        <f>IFERROR(SUMIF([2]Feb26A!$A:$A,$A15,INDEX([2]Feb26A!$A:$N,0,MATCH($A$1,[2]Feb26A!$A$7:$N$7,0))),0)</f>
        <v>0</v>
      </c>
      <c r="D15" s="84">
        <f>IFERROR(SUMIF([2]Mar26A!$A:$A,$A15,INDEX([2]Mar26A!$A:$N,0,MATCH($A$1,[2]Mar26A!$A$7:$N$7,0))),0)</f>
        <v>60000</v>
      </c>
      <c r="E15" s="84">
        <f>IFERROR(SUMIF([2]Apr26A!$A:$A,$A15,INDEX([2]Apr26A!$A:$N,0,MATCH($A$1,[2]Apr26A!$A$7:$N$7,0))),0)</f>
        <v>250000</v>
      </c>
      <c r="F15" s="84">
        <f>IFERROR(SUMIF([2]May26A!$A:$A,$A15,INDEX([2]May26A!$A:$N,0,MATCH($A$1,[2]May26A!$A$7:$N$7,0))),0)</f>
        <v>0</v>
      </c>
      <c r="G15" s="84">
        <f>IFERROR(SUMIF([2]Jun26A!$A:$A,$A15,INDEX([2]Jun26A!$A:$N,0,MATCH($A$1,[2]Jun26A!$A$7:$N$7,0))),0)</f>
        <v>0</v>
      </c>
      <c r="H15" s="84">
        <f>IFERROR(SUMIF([2]Jul26A!$A:$A,$A15,INDEX([2]Jul26A!$A:$N,0,MATCH($A$1,[2]Jul26A!$A$7:$N$7,0))),0)</f>
        <v>185000</v>
      </c>
      <c r="I15" s="84">
        <f>IFERROR(SUMIF([2]Aug26A!$A:$A,$A15,INDEX([2]Aug26A!$A:$N,0,MATCH($A$1,[2]Aug26A!$A$7:$N$7,0))),0)</f>
        <v>0</v>
      </c>
      <c r="J15" s="117">
        <f>720000/6</f>
        <v>120000</v>
      </c>
      <c r="K15" s="117">
        <f>720000/6</f>
        <v>120000</v>
      </c>
      <c r="L15" s="117">
        <f>720000/6</f>
        <v>120000</v>
      </c>
      <c r="M15" s="117">
        <f>720000/6</f>
        <v>120000</v>
      </c>
      <c r="N15" s="84">
        <f>SUM(B15:M15)</f>
        <v>975000</v>
      </c>
      <c r="O15" s="105">
        <f>IFERROR(N15/N$16,"")</f>
        <v>0.1313318884547687</v>
      </c>
      <c r="P15" s="84"/>
      <c r="Q15" s="84"/>
      <c r="R15" s="106" t="s">
        <v>99</v>
      </c>
      <c r="S15" s="107">
        <v>0</v>
      </c>
      <c r="T15" s="108">
        <v>0.05</v>
      </c>
      <c r="U15" s="104">
        <f t="shared" ref="U15:AF15" si="3">IF($R15="Manual","",IFERROR(IF($R15="YOY Growth",$N15*(1+$T15)/12,$S15/12),""))</f>
        <v>0</v>
      </c>
      <c r="V15" s="104">
        <f t="shared" si="3"/>
        <v>0</v>
      </c>
      <c r="W15" s="104">
        <f t="shared" si="3"/>
        <v>0</v>
      </c>
      <c r="X15" s="104">
        <f t="shared" si="3"/>
        <v>0</v>
      </c>
      <c r="Y15" s="104">
        <f t="shared" si="3"/>
        <v>0</v>
      </c>
      <c r="Z15" s="104">
        <f t="shared" si="3"/>
        <v>0</v>
      </c>
      <c r="AA15" s="104">
        <f t="shared" si="3"/>
        <v>0</v>
      </c>
      <c r="AB15" s="104">
        <f t="shared" si="3"/>
        <v>0</v>
      </c>
      <c r="AC15" s="104">
        <f t="shared" si="3"/>
        <v>0</v>
      </c>
      <c r="AD15" s="104">
        <f t="shared" si="3"/>
        <v>0</v>
      </c>
      <c r="AE15" s="104">
        <f t="shared" si="3"/>
        <v>0</v>
      </c>
      <c r="AF15" s="104">
        <f t="shared" si="3"/>
        <v>0</v>
      </c>
      <c r="AG15" s="84">
        <f>SUM(U15:AF15)</f>
        <v>0</v>
      </c>
      <c r="AH15" s="105" t="str">
        <f>IFERROR(AG15/AG$16,"")</f>
        <v/>
      </c>
      <c r="AJ15" s="84">
        <f>AG15-N15</f>
        <v>-975000</v>
      </c>
    </row>
    <row r="16" spans="1:36" x14ac:dyDescent="0.3">
      <c r="A16" s="114" t="s">
        <v>103</v>
      </c>
      <c r="B16" s="110">
        <f t="shared" ref="B16:M16" si="4">B14+B15</f>
        <v>542994.56000000006</v>
      </c>
      <c r="C16" s="110">
        <f t="shared" si="4"/>
        <v>503227.06000000006</v>
      </c>
      <c r="D16" s="110">
        <f t="shared" si="4"/>
        <v>546881.32999999996</v>
      </c>
      <c r="E16" s="110">
        <f t="shared" si="4"/>
        <v>749703.98</v>
      </c>
      <c r="F16" s="110">
        <f t="shared" si="4"/>
        <v>519945.89</v>
      </c>
      <c r="G16" s="110">
        <f t="shared" si="4"/>
        <v>479743</v>
      </c>
      <c r="H16" s="110">
        <f t="shared" si="4"/>
        <v>641208.82999999996</v>
      </c>
      <c r="I16" s="110">
        <f t="shared" si="4"/>
        <v>471305.56</v>
      </c>
      <c r="J16" s="110">
        <f t="shared" si="4"/>
        <v>651607.33333333326</v>
      </c>
      <c r="K16" s="110">
        <f t="shared" si="4"/>
        <v>747440.66666666663</v>
      </c>
      <c r="L16" s="110">
        <f t="shared" si="4"/>
        <v>772440.66666666663</v>
      </c>
      <c r="M16" s="110">
        <f t="shared" si="4"/>
        <v>797440.66666666663</v>
      </c>
      <c r="N16" s="110">
        <f>SUM(B16:M16)</f>
        <v>7423939.5433333339</v>
      </c>
      <c r="O16" s="111">
        <f>SUM(O14:O15)</f>
        <v>1</v>
      </c>
      <c r="P16" s="84"/>
      <c r="Q16" s="84"/>
      <c r="R16" s="112"/>
      <c r="S16" s="112"/>
      <c r="T16" s="112"/>
      <c r="U16" s="110">
        <f t="shared" ref="U16:AF16" si="5">U14+U15</f>
        <v>0</v>
      </c>
      <c r="V16" s="110">
        <f t="shared" si="5"/>
        <v>0</v>
      </c>
      <c r="W16" s="110">
        <f t="shared" si="5"/>
        <v>0</v>
      </c>
      <c r="X16" s="110">
        <f t="shared" si="5"/>
        <v>0</v>
      </c>
      <c r="Y16" s="110">
        <f t="shared" si="5"/>
        <v>0</v>
      </c>
      <c r="Z16" s="110">
        <f t="shared" si="5"/>
        <v>0</v>
      </c>
      <c r="AA16" s="110">
        <f t="shared" si="5"/>
        <v>0</v>
      </c>
      <c r="AB16" s="110">
        <f t="shared" si="5"/>
        <v>0</v>
      </c>
      <c r="AC16" s="110">
        <f t="shared" si="5"/>
        <v>0</v>
      </c>
      <c r="AD16" s="110">
        <f t="shared" si="5"/>
        <v>0</v>
      </c>
      <c r="AE16" s="110">
        <f t="shared" si="5"/>
        <v>0</v>
      </c>
      <c r="AF16" s="110">
        <f t="shared" si="5"/>
        <v>0</v>
      </c>
      <c r="AG16" s="110">
        <f>SUM(U16:AF16)</f>
        <v>0</v>
      </c>
      <c r="AH16" s="111">
        <f>SUM(AH14:AH15)</f>
        <v>0</v>
      </c>
      <c r="AJ16" s="110">
        <f>AG16-N16</f>
        <v>-7423939.5433333339</v>
      </c>
    </row>
    <row r="17" spans="1:36" x14ac:dyDescent="0.3">
      <c r="A17" s="101" t="s">
        <v>104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105"/>
      <c r="P17" s="84"/>
      <c r="Q17" s="84"/>
      <c r="R17" s="112"/>
      <c r="S17" s="112"/>
      <c r="T17" s="112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105"/>
      <c r="AJ17" s="84"/>
    </row>
    <row r="18" spans="1:36" x14ac:dyDescent="0.3">
      <c r="A18" s="102" t="s">
        <v>105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105"/>
      <c r="P18" s="84"/>
      <c r="Q18" s="84"/>
      <c r="R18" s="112"/>
      <c r="S18" s="112"/>
      <c r="T18" s="112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105"/>
      <c r="AJ18" s="84"/>
    </row>
    <row r="19" spans="1:36" x14ac:dyDescent="0.3">
      <c r="A19" s="103" t="s">
        <v>106</v>
      </c>
      <c r="B19" s="84">
        <f>IFERROR(SUMIF([2]Jan26A!$A:$A,$A19,INDEX([2]Jan26A!$A:$N,0,MATCH($A$1,[2]Jan26A!$A$7:$N$7,0))),0)</f>
        <v>141122.35</v>
      </c>
      <c r="C19" s="84">
        <f>IFERROR(SUMIF([2]Feb26A!$A:$A,$A19,INDEX([2]Feb26A!$A:$N,0,MATCH($A$1,[2]Feb26A!$A$7:$N$7,0))),0)</f>
        <v>122211.90000000001</v>
      </c>
      <c r="D19" s="84">
        <f>IFERROR(SUMIF([2]Mar26A!$A:$A,$A19,INDEX([2]Mar26A!$A:$N,0,MATCH($A$1,[2]Mar26A!$A$7:$N$7,0))),0)</f>
        <v>126630.20000000001</v>
      </c>
      <c r="E19" s="84">
        <f>IFERROR(SUMIF([2]Apr26A!$A:$A,$A19,INDEX([2]Apr26A!$A:$N,0,MATCH($A$1,[2]Apr26A!$A$7:$N$7,0))),0)</f>
        <v>128215.48000000001</v>
      </c>
      <c r="F19" s="84">
        <f>IFERROR(SUMIF([2]May26A!$A:$A,$A19,INDEX([2]May26A!$A:$N,0,MATCH($A$1,[2]May26A!$A$7:$N$7,0))),0)</f>
        <v>133968.64000000001</v>
      </c>
      <c r="G19" s="84">
        <f>IFERROR(SUMIF([2]Jun26A!$A:$A,$A19,INDEX([2]Jun26A!$A:$N,0,MATCH($A$1,[2]Jun26A!$A$7:$N$7,0))),0)</f>
        <v>133968.64000000001</v>
      </c>
      <c r="H19" s="84">
        <f>IFERROR(SUMIF([2]Jul26A!$A:$A,$A19,INDEX([2]Jul26A!$A:$N,0,MATCH($A$1,[2]Jul26A!$A$7:$N$7,0))),0)</f>
        <v>127510</v>
      </c>
      <c r="I19" s="84">
        <f>IFERROR(SUMIF([2]Aug26A!$A:$A,$A19,INDEX([2]Aug26A!$A:$N,0,MATCH($A$1,[2]Aug26A!$A$7:$N$7,0))),0)</f>
        <v>127510</v>
      </c>
      <c r="J19" s="117">
        <v>112797.85</v>
      </c>
      <c r="K19" s="117">
        <v>112797.85</v>
      </c>
      <c r="L19" s="117">
        <v>112797.85</v>
      </c>
      <c r="M19" s="117">
        <v>112797.85</v>
      </c>
      <c r="N19" s="84">
        <f>SUM(B19:M19)</f>
        <v>1492328.6100000003</v>
      </c>
      <c r="O19" s="105">
        <f>IFERROR(N19/N$16,"")</f>
        <v>0.20101572773987703</v>
      </c>
      <c r="P19" s="84"/>
      <c r="Q19" s="84"/>
      <c r="R19" s="106" t="s">
        <v>99</v>
      </c>
      <c r="S19" s="107">
        <v>0</v>
      </c>
      <c r="T19" s="108">
        <v>0.05</v>
      </c>
      <c r="U19" s="104">
        <f t="shared" ref="U19:AF22" si="6">IF($R19="Manual","",IFERROR(IF($R19="YOY Growth",$N19*(1+$T19)/12,$S19/12),""))</f>
        <v>0</v>
      </c>
      <c r="V19" s="104">
        <f t="shared" si="6"/>
        <v>0</v>
      </c>
      <c r="W19" s="104">
        <f t="shared" si="6"/>
        <v>0</v>
      </c>
      <c r="X19" s="104">
        <f t="shared" si="6"/>
        <v>0</v>
      </c>
      <c r="Y19" s="104">
        <f t="shared" si="6"/>
        <v>0</v>
      </c>
      <c r="Z19" s="104">
        <f t="shared" si="6"/>
        <v>0</v>
      </c>
      <c r="AA19" s="104">
        <f t="shared" si="6"/>
        <v>0</v>
      </c>
      <c r="AB19" s="104">
        <f t="shared" si="6"/>
        <v>0</v>
      </c>
      <c r="AC19" s="104">
        <f t="shared" si="6"/>
        <v>0</v>
      </c>
      <c r="AD19" s="104">
        <f t="shared" si="6"/>
        <v>0</v>
      </c>
      <c r="AE19" s="104">
        <f t="shared" si="6"/>
        <v>0</v>
      </c>
      <c r="AF19" s="104">
        <f t="shared" si="6"/>
        <v>0</v>
      </c>
      <c r="AG19" s="84">
        <f>SUM(U19:AF19)</f>
        <v>0</v>
      </c>
      <c r="AH19" s="105" t="str">
        <f>IFERROR(AG19/AG$16,"")</f>
        <v/>
      </c>
      <c r="AJ19" s="84">
        <f>N19-AG19</f>
        <v>1492328.6100000003</v>
      </c>
    </row>
    <row r="20" spans="1:36" x14ac:dyDescent="0.3">
      <c r="A20" s="103" t="s">
        <v>107</v>
      </c>
      <c r="B20" s="84">
        <f>IFERROR(SUMIF([2]Jan26A!$A:$A,$A20,INDEX([2]Jan26A!$A:$N,0,MATCH($A$1,[2]Jan26A!$A$7:$N$7,0))),0)</f>
        <v>0</v>
      </c>
      <c r="C20" s="84">
        <f>IFERROR(SUMIF([2]Feb26A!$A:$A,$A20,INDEX([2]Feb26A!$A:$N,0,MATCH($A$1,[2]Feb26A!$A$7:$N$7,0))),0)</f>
        <v>0</v>
      </c>
      <c r="D20" s="84">
        <f>IFERROR(SUMIF([2]Mar26A!$A:$A,$A20,INDEX([2]Mar26A!$A:$N,0,MATCH($A$1,[2]Mar26A!$A$7:$N$7,0))),0)</f>
        <v>1677.96</v>
      </c>
      <c r="E20" s="84">
        <f>IFERROR(SUMIF([2]Apr26A!$A:$A,$A20,INDEX([2]Apr26A!$A:$N,0,MATCH($A$1,[2]Apr26A!$A$7:$N$7,0))),0)</f>
        <v>3263.24</v>
      </c>
      <c r="F20" s="84">
        <f>IFERROR(SUMIF([2]May26A!$A:$A,$A20,INDEX([2]May26A!$A:$N,0,MATCH($A$1,[2]May26A!$A$7:$N$7,0))),0)</f>
        <v>3263.24</v>
      </c>
      <c r="G20" s="84">
        <f>IFERROR(SUMIF([2]Jun26A!$A:$A,$A20,INDEX([2]Jun26A!$A:$N,0,MATCH($A$1,[2]Jun26A!$A$7:$N$7,0))),0)</f>
        <v>11653.04</v>
      </c>
      <c r="H20" s="84">
        <f>IFERROR(SUMIF([2]Jul26A!$A:$A,$A20,INDEX([2]Jul26A!$A:$N,0,MATCH($A$1,[2]Jul26A!$A$7:$N$7,0))),0)</f>
        <v>7458.1399999999994</v>
      </c>
      <c r="I20" s="84">
        <f>IFERROR(SUMIF([2]Aug26A!$A:$A,$A20,INDEX([2]Aug26A!$A:$N,0,MATCH($A$1,[2]Aug26A!$A$7:$N$7,0))),0)</f>
        <v>9836.06</v>
      </c>
      <c r="J20" s="117">
        <v>8837.7571428571428</v>
      </c>
      <c r="K20" s="117">
        <v>15802.042857142858</v>
      </c>
      <c r="L20" s="117">
        <v>18123.471428571429</v>
      </c>
      <c r="M20" s="117">
        <v>20444.900000000001</v>
      </c>
      <c r="N20" s="84">
        <f>SUM(B20:M20)</f>
        <v>100359.85142857142</v>
      </c>
      <c r="O20" s="105">
        <f>IFERROR(N20/N$16,"")</f>
        <v>1.3518409039132618E-2</v>
      </c>
      <c r="P20" s="84"/>
      <c r="Q20" s="84"/>
      <c r="R20" s="106" t="s">
        <v>99</v>
      </c>
      <c r="S20" s="107">
        <v>0</v>
      </c>
      <c r="T20" s="108">
        <v>0.05</v>
      </c>
      <c r="U20" s="104">
        <f t="shared" si="6"/>
        <v>0</v>
      </c>
      <c r="V20" s="104">
        <f t="shared" si="6"/>
        <v>0</v>
      </c>
      <c r="W20" s="104">
        <f t="shared" si="6"/>
        <v>0</v>
      </c>
      <c r="X20" s="104">
        <f t="shared" si="6"/>
        <v>0</v>
      </c>
      <c r="Y20" s="104">
        <f t="shared" si="6"/>
        <v>0</v>
      </c>
      <c r="Z20" s="104">
        <f t="shared" si="6"/>
        <v>0</v>
      </c>
      <c r="AA20" s="104">
        <f t="shared" si="6"/>
        <v>0</v>
      </c>
      <c r="AB20" s="104">
        <f t="shared" si="6"/>
        <v>0</v>
      </c>
      <c r="AC20" s="104">
        <f t="shared" si="6"/>
        <v>0</v>
      </c>
      <c r="AD20" s="104">
        <f t="shared" si="6"/>
        <v>0</v>
      </c>
      <c r="AE20" s="104">
        <f t="shared" si="6"/>
        <v>0</v>
      </c>
      <c r="AF20" s="104">
        <f t="shared" si="6"/>
        <v>0</v>
      </c>
      <c r="AG20" s="84">
        <f>SUM(U20:AF20)</f>
        <v>0</v>
      </c>
      <c r="AH20" s="105" t="str">
        <f>IFERROR(AG20/AG$16,"")</f>
        <v/>
      </c>
      <c r="AJ20" s="84">
        <f>N20-AG20</f>
        <v>100359.85142857142</v>
      </c>
    </row>
    <row r="21" spans="1:36" x14ac:dyDescent="0.3">
      <c r="A21" s="103" t="s">
        <v>108</v>
      </c>
      <c r="B21" s="84">
        <f>IFERROR(SUMIF([2]Jan26A!$A:$A,$A21,INDEX([2]Jan26A!$A:$N,0,MATCH($A$1,[2]Jan26A!$A$7:$N$7,0))),0)</f>
        <v>0</v>
      </c>
      <c r="C21" s="84">
        <f>IFERROR(SUMIF([2]Feb26A!$A:$A,$A21,INDEX([2]Feb26A!$A:$N,0,MATCH($A$1,[2]Feb26A!$A$7:$N$7,0))),0)</f>
        <v>0</v>
      </c>
      <c r="D21" s="84">
        <f>IFERROR(SUMIF([2]Mar26A!$A:$A,$A21,INDEX([2]Mar26A!$A:$N,0,MATCH($A$1,[2]Mar26A!$A$7:$N$7,0))),0)</f>
        <v>0</v>
      </c>
      <c r="E21" s="84">
        <f>IFERROR(SUMIF([2]Apr26A!$A:$A,$A21,INDEX([2]Apr26A!$A:$N,0,MATCH($A$1,[2]Apr26A!$A$7:$N$7,0))),0)</f>
        <v>1791.23</v>
      </c>
      <c r="F21" s="84">
        <f>IFERROR(SUMIF([2]May26A!$A:$A,$A21,INDEX([2]May26A!$A:$N,0,MATCH($A$1,[2]May26A!$A$7:$N$7,0))),0)</f>
        <v>3124.54</v>
      </c>
      <c r="G21" s="84">
        <f>IFERROR(SUMIF([2]Jun26A!$A:$A,$A21,INDEX([2]Jun26A!$A:$N,0,MATCH($A$1,[2]Jun26A!$A$7:$N$7,0))),0)</f>
        <v>4796.43</v>
      </c>
      <c r="H21" s="84">
        <f>IFERROR(SUMIF([2]Jul26A!$A:$A,$A21,INDEX([2]Jul26A!$A:$N,0,MATCH($A$1,[2]Jul26A!$A$7:$N$7,0))),0)</f>
        <v>3293.79</v>
      </c>
      <c r="I21" s="84">
        <f>IFERROR(SUMIF([2]Aug26A!$A:$A,$A21,INDEX([2]Aug26A!$A:$N,0,MATCH($A$1,[2]Aug26A!$A$7:$N$7,0))),0)</f>
        <v>3909.48</v>
      </c>
      <c r="J21" s="117">
        <v>2969.3066666666664</v>
      </c>
      <c r="K21" s="117">
        <v>4902.6400000000003</v>
      </c>
      <c r="L21" s="117">
        <v>5702.64</v>
      </c>
      <c r="M21" s="117">
        <v>6502.64</v>
      </c>
      <c r="N21" s="84">
        <f>SUM(B21:M21)</f>
        <v>36992.69666666667</v>
      </c>
      <c r="O21" s="105">
        <f>IFERROR(N21/N$16,"")</f>
        <v>4.982893038223345E-3</v>
      </c>
      <c r="P21" s="84"/>
      <c r="Q21" s="84"/>
      <c r="R21" s="106" t="s">
        <v>99</v>
      </c>
      <c r="S21" s="107">
        <v>0</v>
      </c>
      <c r="T21" s="108">
        <v>0.05</v>
      </c>
      <c r="U21" s="104">
        <f t="shared" si="6"/>
        <v>0</v>
      </c>
      <c r="V21" s="104">
        <f t="shared" si="6"/>
        <v>0</v>
      </c>
      <c r="W21" s="104">
        <f t="shared" si="6"/>
        <v>0</v>
      </c>
      <c r="X21" s="104">
        <f t="shared" si="6"/>
        <v>0</v>
      </c>
      <c r="Y21" s="104">
        <f t="shared" si="6"/>
        <v>0</v>
      </c>
      <c r="Z21" s="104">
        <f t="shared" si="6"/>
        <v>0</v>
      </c>
      <c r="AA21" s="104">
        <f t="shared" si="6"/>
        <v>0</v>
      </c>
      <c r="AB21" s="104">
        <f t="shared" si="6"/>
        <v>0</v>
      </c>
      <c r="AC21" s="104">
        <f t="shared" si="6"/>
        <v>0</v>
      </c>
      <c r="AD21" s="104">
        <f t="shared" si="6"/>
        <v>0</v>
      </c>
      <c r="AE21" s="104">
        <f t="shared" si="6"/>
        <v>0</v>
      </c>
      <c r="AF21" s="104">
        <f t="shared" si="6"/>
        <v>0</v>
      </c>
      <c r="AG21" s="84">
        <f>SUM(U21:AF21)</f>
        <v>0</v>
      </c>
      <c r="AH21" s="105" t="str">
        <f>IFERROR(AG21/AG$16,"")</f>
        <v/>
      </c>
      <c r="AJ21" s="84">
        <f>N21-AG21</f>
        <v>36992.69666666667</v>
      </c>
    </row>
    <row r="22" spans="1:36" x14ac:dyDescent="0.3">
      <c r="A22" s="103" t="s">
        <v>109</v>
      </c>
      <c r="B22" s="84">
        <f>IFERROR(SUMIF([2]Jan26A!$A:$A,$A22,INDEX([2]Jan26A!$A:$N,0,MATCH($A$1,[2]Jan26A!$A$7:$N$7,0))),0)</f>
        <v>8211.9</v>
      </c>
      <c r="C22" s="84">
        <f>IFERROR(SUMIF([2]Feb26A!$A:$A,$A22,INDEX([2]Feb26A!$A:$N,0,MATCH($A$1,[2]Feb26A!$A$7:$N$7,0))),0)</f>
        <v>10913.63</v>
      </c>
      <c r="D22" s="84">
        <f>IFERROR(SUMIF([2]Mar26A!$A:$A,$A22,INDEX([2]Mar26A!$A:$N,0,MATCH($A$1,[2]Mar26A!$A$7:$N$7,0))),0)</f>
        <v>10939.43</v>
      </c>
      <c r="E22" s="84">
        <f>IFERROR(SUMIF([2]Apr26A!$A:$A,$A22,INDEX([2]Apr26A!$A:$N,0,MATCH($A$1,[2]Apr26A!$A$7:$N$7,0))),0)</f>
        <v>13555.74</v>
      </c>
      <c r="F22" s="84">
        <f>IFERROR(SUMIF([2]May26A!$A:$A,$A22,INDEX([2]May26A!$A:$N,0,MATCH($A$1,[2]May26A!$A$7:$N$7,0))),0)</f>
        <v>13555.75</v>
      </c>
      <c r="G22" s="84">
        <f>IFERROR(SUMIF([2]Jun26A!$A:$A,$A22,INDEX([2]Jun26A!$A:$N,0,MATCH($A$1,[2]Jun26A!$A$7:$N$7,0))),0)</f>
        <v>13770.42</v>
      </c>
      <c r="H22" s="84">
        <f>IFERROR(SUMIF([2]Jul26A!$A:$A,$A22,INDEX([2]Jul26A!$A:$N,0,MATCH($A$1,[2]Jul26A!$A$7:$N$7,0))),0)</f>
        <v>8508.9500000000007</v>
      </c>
      <c r="I22" s="84">
        <f>IFERROR(SUMIF([2]Aug26A!$A:$A,$A22,INDEX([2]Aug26A!$A:$N,0,MATCH($A$1,[2]Aug26A!$A$7:$N$7,0))),0)</f>
        <v>8591.56</v>
      </c>
      <c r="J22" s="117">
        <v>14866.996666666666</v>
      </c>
      <c r="K22" s="117">
        <v>17475.330000000002</v>
      </c>
      <c r="L22" s="117">
        <v>18500.330000000002</v>
      </c>
      <c r="M22" s="117">
        <v>19525.330000000002</v>
      </c>
      <c r="N22" s="84">
        <f>SUM(B22:M22)</f>
        <v>158415.36666666664</v>
      </c>
      <c r="O22" s="105">
        <f>IFERROR(N22/N$16,"")</f>
        <v>2.1338450527782511E-2</v>
      </c>
      <c r="P22" s="84"/>
      <c r="Q22" s="84"/>
      <c r="R22" s="106" t="s">
        <v>99</v>
      </c>
      <c r="S22" s="107">
        <v>0</v>
      </c>
      <c r="T22" s="108">
        <v>0.05</v>
      </c>
      <c r="U22" s="104">
        <f t="shared" si="6"/>
        <v>0</v>
      </c>
      <c r="V22" s="104">
        <f t="shared" si="6"/>
        <v>0</v>
      </c>
      <c r="W22" s="104">
        <f t="shared" si="6"/>
        <v>0</v>
      </c>
      <c r="X22" s="104">
        <f t="shared" si="6"/>
        <v>0</v>
      </c>
      <c r="Y22" s="104">
        <f t="shared" si="6"/>
        <v>0</v>
      </c>
      <c r="Z22" s="104">
        <f t="shared" si="6"/>
        <v>0</v>
      </c>
      <c r="AA22" s="104">
        <f t="shared" si="6"/>
        <v>0</v>
      </c>
      <c r="AB22" s="104">
        <f t="shared" si="6"/>
        <v>0</v>
      </c>
      <c r="AC22" s="104">
        <f t="shared" si="6"/>
        <v>0</v>
      </c>
      <c r="AD22" s="104">
        <f t="shared" si="6"/>
        <v>0</v>
      </c>
      <c r="AE22" s="104">
        <f t="shared" si="6"/>
        <v>0</v>
      </c>
      <c r="AF22" s="104">
        <f t="shared" si="6"/>
        <v>0</v>
      </c>
      <c r="AG22" s="84">
        <f>SUM(U22:AF22)</f>
        <v>0</v>
      </c>
      <c r="AH22" s="105" t="str">
        <f>IFERROR(AG22/AG$16,"")</f>
        <v/>
      </c>
      <c r="AJ22" s="84">
        <f>N22-AG22</f>
        <v>158415.36666666664</v>
      </c>
    </row>
    <row r="23" spans="1:36" x14ac:dyDescent="0.3">
      <c r="A23" s="115" t="s">
        <v>110</v>
      </c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105"/>
      <c r="P23" s="84"/>
      <c r="Q23" s="84"/>
      <c r="R23" s="112"/>
      <c r="S23" s="112"/>
      <c r="T23" s="112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105"/>
      <c r="AJ23" s="84"/>
    </row>
    <row r="24" spans="1:36" x14ac:dyDescent="0.3">
      <c r="A24" s="116" t="s">
        <v>110</v>
      </c>
      <c r="B24" s="84">
        <f>IFERROR(SUMIF([2]Jan26A!$A:$A,$A24,INDEX([2]Jan26A!$A:$N,0,MATCH($A$1,[2]Jan26A!$A$7:$N$7,0))),0)</f>
        <v>1994.3</v>
      </c>
      <c r="C24" s="84">
        <f>IFERROR(SUMIF([2]Feb26A!$A:$A,$A24,INDEX([2]Feb26A!$A:$N,0,MATCH($A$1,[2]Feb26A!$A$7:$N$7,0))),0)</f>
        <v>2984.35</v>
      </c>
      <c r="D24" s="84">
        <f>IFERROR(SUMIF([2]Mar26A!$A:$A,$A24,INDEX([2]Mar26A!$A:$N,0,MATCH($A$1,[2]Mar26A!$A$7:$N$7,0))),0)</f>
        <v>10270.19</v>
      </c>
      <c r="E24" s="84">
        <f>IFERROR(SUMIF([2]Apr26A!$A:$A,$A24,INDEX([2]Apr26A!$A:$N,0,MATCH($A$1,[2]Apr26A!$A$7:$N$7,0))),0)</f>
        <v>6439.02</v>
      </c>
      <c r="F24" s="84">
        <f>IFERROR(SUMIF([2]May26A!$A:$A,$A24,INDEX([2]May26A!$A:$N,0,MATCH($A$1,[2]May26A!$A$7:$N$7,0))),0)</f>
        <v>0</v>
      </c>
      <c r="G24" s="84">
        <f>IFERROR(SUMIF([2]Jun26A!$A:$A,$A24,INDEX([2]Jun26A!$A:$N,0,MATCH($A$1,[2]Jun26A!$A$7:$N$7,0))),0)</f>
        <v>-544.45000000000005</v>
      </c>
      <c r="H24" s="84">
        <f>IFERROR(SUMIF([2]Jul26A!$A:$A,$A24,INDEX([2]Jul26A!$A:$N,0,MATCH($A$1,[2]Jul26A!$A$7:$N$7,0))),0)</f>
        <v>0</v>
      </c>
      <c r="I24" s="84">
        <f>IFERROR(SUMIF([2]Aug26A!$A:$A,$A24,INDEX([2]Aug26A!$A:$N,0,MATCH($A$1,[2]Aug26A!$A$7:$N$7,0))),0)</f>
        <v>93.45</v>
      </c>
      <c r="J24" s="117">
        <v>8800</v>
      </c>
      <c r="K24" s="117">
        <v>5400</v>
      </c>
      <c r="L24" s="117">
        <v>5400</v>
      </c>
      <c r="M24" s="117">
        <v>5400</v>
      </c>
      <c r="N24" s="84">
        <f t="shared" ref="N24:N31" si="7">SUM(B24:M24)</f>
        <v>46236.86</v>
      </c>
      <c r="O24" s="105">
        <f t="shared" ref="O24:O31" si="8">IFERROR(N24/N$16,"")</f>
        <v>6.2280760410448792E-3</v>
      </c>
      <c r="P24" s="84"/>
      <c r="Q24" s="84"/>
      <c r="R24" s="106" t="s">
        <v>99</v>
      </c>
      <c r="S24" s="107">
        <v>0</v>
      </c>
      <c r="T24" s="108">
        <v>0.05</v>
      </c>
      <c r="U24" s="104">
        <f t="shared" ref="U24:AF26" si="9">IF($R24="Manual","",IFERROR(IF($R24="YOY Growth",$N24*(1+$T24)/12,$S24/12),""))</f>
        <v>0</v>
      </c>
      <c r="V24" s="104">
        <f t="shared" si="9"/>
        <v>0</v>
      </c>
      <c r="W24" s="104">
        <f t="shared" si="9"/>
        <v>0</v>
      </c>
      <c r="X24" s="104">
        <f t="shared" si="9"/>
        <v>0</v>
      </c>
      <c r="Y24" s="104">
        <f t="shared" si="9"/>
        <v>0</v>
      </c>
      <c r="Z24" s="104">
        <f t="shared" si="9"/>
        <v>0</v>
      </c>
      <c r="AA24" s="104">
        <f t="shared" si="9"/>
        <v>0</v>
      </c>
      <c r="AB24" s="104">
        <f t="shared" si="9"/>
        <v>0</v>
      </c>
      <c r="AC24" s="104">
        <f t="shared" si="9"/>
        <v>0</v>
      </c>
      <c r="AD24" s="104">
        <f t="shared" si="9"/>
        <v>0</v>
      </c>
      <c r="AE24" s="104">
        <f t="shared" si="9"/>
        <v>0</v>
      </c>
      <c r="AF24" s="104">
        <f t="shared" si="9"/>
        <v>0</v>
      </c>
      <c r="AG24" s="84">
        <f t="shared" ref="AG24:AG31" si="10">SUM(U24:AF24)</f>
        <v>0</v>
      </c>
      <c r="AH24" s="105" t="str">
        <f t="shared" ref="AH24:AH31" si="11">IFERROR(AG24/AG$16,"")</f>
        <v/>
      </c>
      <c r="AJ24" s="84">
        <f t="shared" ref="AJ24:AJ31" si="12">N24-AG24</f>
        <v>46236.86</v>
      </c>
    </row>
    <row r="25" spans="1:36" x14ac:dyDescent="0.3">
      <c r="A25" s="116" t="s">
        <v>111</v>
      </c>
      <c r="B25" s="84">
        <f>IFERROR(SUMIF([2]Jan26A!$A:$A,$A25,INDEX([2]Jan26A!$A:$N,0,MATCH($A$1,[2]Jan26A!$A$7:$N$7,0))),0)</f>
        <v>0</v>
      </c>
      <c r="C25" s="84">
        <f>IFERROR(SUMIF([2]Feb26A!$A:$A,$A25,INDEX([2]Feb26A!$A:$N,0,MATCH($A$1,[2]Feb26A!$A$7:$N$7,0))),0)</f>
        <v>250</v>
      </c>
      <c r="D25" s="84">
        <f>IFERROR(SUMIF([2]Mar26A!$A:$A,$A25,INDEX([2]Mar26A!$A:$N,0,MATCH($A$1,[2]Mar26A!$A$7:$N$7,0))),0)</f>
        <v>2122.44</v>
      </c>
      <c r="E25" s="84">
        <f>IFERROR(SUMIF([2]Apr26A!$A:$A,$A25,INDEX([2]Apr26A!$A:$N,0,MATCH($A$1,[2]Apr26A!$A$7:$N$7,0))),0)</f>
        <v>0</v>
      </c>
      <c r="F25" s="84">
        <f>IFERROR(SUMIF([2]May26A!$A:$A,$A25,INDEX([2]May26A!$A:$N,0,MATCH($A$1,[2]May26A!$A$7:$N$7,0))),0)</f>
        <v>0</v>
      </c>
      <c r="G25" s="84">
        <f>IFERROR(SUMIF([2]Jun26A!$A:$A,$A25,INDEX([2]Jun26A!$A:$N,0,MATCH($A$1,[2]Jun26A!$A$7:$N$7,0))),0)</f>
        <v>-86.24</v>
      </c>
      <c r="H25" s="84">
        <f>IFERROR(SUMIF([2]Jul26A!$A:$A,$A25,INDEX([2]Jul26A!$A:$N,0,MATCH($A$1,[2]Jul26A!$A$7:$N$7,0))),0)</f>
        <v>0</v>
      </c>
      <c r="I25" s="84">
        <f>IFERROR(SUMIF([2]Aug26A!$A:$A,$A25,INDEX([2]Aug26A!$A:$N,0,MATCH($A$1,[2]Aug26A!$A$7:$N$7,0))),0)</f>
        <v>1638.89</v>
      </c>
      <c r="J25" s="117">
        <v>0</v>
      </c>
      <c r="K25" s="117">
        <v>0</v>
      </c>
      <c r="L25" s="117">
        <v>0</v>
      </c>
      <c r="M25" s="117">
        <v>0</v>
      </c>
      <c r="N25" s="84">
        <f t="shared" si="7"/>
        <v>3925.09</v>
      </c>
      <c r="O25" s="105">
        <f t="shared" si="8"/>
        <v>5.2870716108197762E-4</v>
      </c>
      <c r="P25" s="84"/>
      <c r="Q25" s="84"/>
      <c r="R25" s="106" t="s">
        <v>99</v>
      </c>
      <c r="S25" s="107">
        <v>0</v>
      </c>
      <c r="T25" s="108">
        <v>0.05</v>
      </c>
      <c r="U25" s="104">
        <f t="shared" si="9"/>
        <v>0</v>
      </c>
      <c r="V25" s="104">
        <f t="shared" si="9"/>
        <v>0</v>
      </c>
      <c r="W25" s="104">
        <f t="shared" si="9"/>
        <v>0</v>
      </c>
      <c r="X25" s="104">
        <f t="shared" si="9"/>
        <v>0</v>
      </c>
      <c r="Y25" s="104">
        <f t="shared" si="9"/>
        <v>0</v>
      </c>
      <c r="Z25" s="104">
        <f t="shared" si="9"/>
        <v>0</v>
      </c>
      <c r="AA25" s="104">
        <f t="shared" si="9"/>
        <v>0</v>
      </c>
      <c r="AB25" s="104">
        <f t="shared" si="9"/>
        <v>0</v>
      </c>
      <c r="AC25" s="104">
        <f t="shared" si="9"/>
        <v>0</v>
      </c>
      <c r="AD25" s="104">
        <f t="shared" si="9"/>
        <v>0</v>
      </c>
      <c r="AE25" s="104">
        <f t="shared" si="9"/>
        <v>0</v>
      </c>
      <c r="AF25" s="104">
        <f t="shared" si="9"/>
        <v>0</v>
      </c>
      <c r="AG25" s="84">
        <f t="shared" si="10"/>
        <v>0</v>
      </c>
      <c r="AH25" s="105" t="str">
        <f t="shared" si="11"/>
        <v/>
      </c>
      <c r="AJ25" s="84">
        <f t="shared" si="12"/>
        <v>3925.09</v>
      </c>
    </row>
    <row r="26" spans="1:36" x14ac:dyDescent="0.3">
      <c r="A26" s="116" t="s">
        <v>112</v>
      </c>
      <c r="B26" s="84">
        <f>IFERROR(SUMIF([2]Jan26A!$A:$A,$A26,INDEX([2]Jan26A!$A:$N,0,MATCH($A$1,[2]Jan26A!$A$7:$N$7,0))),0)</f>
        <v>0</v>
      </c>
      <c r="C26" s="84">
        <f>IFERROR(SUMIF([2]Feb26A!$A:$A,$A26,INDEX([2]Feb26A!$A:$N,0,MATCH($A$1,[2]Feb26A!$A$7:$N$7,0))),0)</f>
        <v>85</v>
      </c>
      <c r="D26" s="84">
        <f>IFERROR(SUMIF([2]Mar26A!$A:$A,$A26,INDEX([2]Mar26A!$A:$N,0,MATCH($A$1,[2]Mar26A!$A$7:$N$7,0))),0)</f>
        <v>149.33000000000001</v>
      </c>
      <c r="E26" s="84">
        <f>IFERROR(SUMIF([2]Apr26A!$A:$A,$A26,INDEX([2]Apr26A!$A:$N,0,MATCH($A$1,[2]Apr26A!$A$7:$N$7,0))),0)</f>
        <v>2145.88</v>
      </c>
      <c r="F26" s="84">
        <f>IFERROR(SUMIF([2]May26A!$A:$A,$A26,INDEX([2]May26A!$A:$N,0,MATCH($A$1,[2]May26A!$A$7:$N$7,0))),0)</f>
        <v>98.2</v>
      </c>
      <c r="G26" s="84">
        <f>IFERROR(SUMIF([2]Jun26A!$A:$A,$A26,INDEX([2]Jun26A!$A:$N,0,MATCH($A$1,[2]Jun26A!$A$7:$N$7,0))),0)</f>
        <v>-32.020000000000003</v>
      </c>
      <c r="H26" s="84">
        <f>IFERROR(SUMIF([2]Jul26A!$A:$A,$A26,INDEX([2]Jul26A!$A:$N,0,MATCH($A$1,[2]Jul26A!$A$7:$N$7,0))),0)</f>
        <v>852.51</v>
      </c>
      <c r="I26" s="84">
        <f>IFERROR(SUMIF([2]Aug26A!$A:$A,$A26,INDEX([2]Aug26A!$A:$N,0,MATCH($A$1,[2]Aug26A!$A$7:$N$7,0))),0)</f>
        <v>2935.91</v>
      </c>
      <c r="J26" s="117">
        <v>200</v>
      </c>
      <c r="K26" s="117">
        <v>200</v>
      </c>
      <c r="L26" s="117">
        <v>200</v>
      </c>
      <c r="M26" s="117">
        <v>200</v>
      </c>
      <c r="N26" s="84">
        <f t="shared" si="7"/>
        <v>7034.8099999999995</v>
      </c>
      <c r="O26" s="105">
        <f t="shared" si="8"/>
        <v>9.475844945851194E-4</v>
      </c>
      <c r="P26" s="84"/>
      <c r="Q26" s="84"/>
      <c r="R26" s="106" t="s">
        <v>99</v>
      </c>
      <c r="S26" s="107">
        <v>0</v>
      </c>
      <c r="T26" s="108">
        <v>0.05</v>
      </c>
      <c r="U26" s="104">
        <f t="shared" si="9"/>
        <v>0</v>
      </c>
      <c r="V26" s="104">
        <f t="shared" si="9"/>
        <v>0</v>
      </c>
      <c r="W26" s="104">
        <f t="shared" si="9"/>
        <v>0</v>
      </c>
      <c r="X26" s="104">
        <f t="shared" si="9"/>
        <v>0</v>
      </c>
      <c r="Y26" s="104">
        <f t="shared" si="9"/>
        <v>0</v>
      </c>
      <c r="Z26" s="104">
        <f t="shared" si="9"/>
        <v>0</v>
      </c>
      <c r="AA26" s="104">
        <f t="shared" si="9"/>
        <v>0</v>
      </c>
      <c r="AB26" s="104">
        <f t="shared" si="9"/>
        <v>0</v>
      </c>
      <c r="AC26" s="104">
        <f t="shared" si="9"/>
        <v>0</v>
      </c>
      <c r="AD26" s="104">
        <f t="shared" si="9"/>
        <v>0</v>
      </c>
      <c r="AE26" s="104">
        <f t="shared" si="9"/>
        <v>0</v>
      </c>
      <c r="AF26" s="104">
        <f t="shared" si="9"/>
        <v>0</v>
      </c>
      <c r="AG26" s="84">
        <f t="shared" si="10"/>
        <v>0</v>
      </c>
      <c r="AH26" s="105" t="str">
        <f t="shared" si="11"/>
        <v/>
      </c>
      <c r="AJ26" s="84">
        <f t="shared" si="12"/>
        <v>7034.8099999999995</v>
      </c>
    </row>
    <row r="27" spans="1:36" x14ac:dyDescent="0.3">
      <c r="A27" s="118" t="s">
        <v>113</v>
      </c>
      <c r="B27" s="110">
        <f t="shared" ref="B27:M27" si="13">SUM(B24:B26)</f>
        <v>1994.3</v>
      </c>
      <c r="C27" s="110">
        <f t="shared" si="13"/>
        <v>3319.35</v>
      </c>
      <c r="D27" s="110">
        <f t="shared" si="13"/>
        <v>12541.960000000001</v>
      </c>
      <c r="E27" s="110">
        <f t="shared" si="13"/>
        <v>8584.9000000000015</v>
      </c>
      <c r="F27" s="110">
        <f t="shared" si="13"/>
        <v>98.2</v>
      </c>
      <c r="G27" s="110">
        <f t="shared" si="13"/>
        <v>-662.71</v>
      </c>
      <c r="H27" s="110">
        <f t="shared" si="13"/>
        <v>852.51</v>
      </c>
      <c r="I27" s="110">
        <f t="shared" si="13"/>
        <v>4668.25</v>
      </c>
      <c r="J27" s="110">
        <f t="shared" si="13"/>
        <v>9000</v>
      </c>
      <c r="K27" s="110">
        <f t="shared" si="13"/>
        <v>5600</v>
      </c>
      <c r="L27" s="110">
        <f t="shared" si="13"/>
        <v>5600</v>
      </c>
      <c r="M27" s="110">
        <f t="shared" si="13"/>
        <v>5600</v>
      </c>
      <c r="N27" s="110">
        <f t="shared" si="7"/>
        <v>57196.76</v>
      </c>
      <c r="O27" s="111">
        <f t="shared" si="8"/>
        <v>7.7043676967119765E-3</v>
      </c>
      <c r="P27" s="84"/>
      <c r="Q27" s="84"/>
      <c r="R27" s="112"/>
      <c r="S27" s="112"/>
      <c r="T27" s="112"/>
      <c r="U27" s="110">
        <f t="shared" ref="U27:AF27" si="14">SUM(U24:U26)</f>
        <v>0</v>
      </c>
      <c r="V27" s="110">
        <f t="shared" si="14"/>
        <v>0</v>
      </c>
      <c r="W27" s="110">
        <f t="shared" si="14"/>
        <v>0</v>
      </c>
      <c r="X27" s="110">
        <f t="shared" si="14"/>
        <v>0</v>
      </c>
      <c r="Y27" s="110">
        <f t="shared" si="14"/>
        <v>0</v>
      </c>
      <c r="Z27" s="110">
        <f t="shared" si="14"/>
        <v>0</v>
      </c>
      <c r="AA27" s="110">
        <f t="shared" si="14"/>
        <v>0</v>
      </c>
      <c r="AB27" s="110">
        <f t="shared" si="14"/>
        <v>0</v>
      </c>
      <c r="AC27" s="110">
        <f t="shared" si="14"/>
        <v>0</v>
      </c>
      <c r="AD27" s="110">
        <f t="shared" si="14"/>
        <v>0</v>
      </c>
      <c r="AE27" s="110">
        <f t="shared" si="14"/>
        <v>0</v>
      </c>
      <c r="AF27" s="110">
        <f t="shared" si="14"/>
        <v>0</v>
      </c>
      <c r="AG27" s="110">
        <f t="shared" si="10"/>
        <v>0</v>
      </c>
      <c r="AH27" s="111" t="str">
        <f t="shared" si="11"/>
        <v/>
      </c>
      <c r="AJ27" s="110">
        <f t="shared" si="12"/>
        <v>57196.76</v>
      </c>
    </row>
    <row r="28" spans="1:36" x14ac:dyDescent="0.3">
      <c r="A28" s="103" t="s">
        <v>114</v>
      </c>
      <c r="B28" s="84">
        <f>IFERROR(SUMIF([2]Jan26A!$A:$A,$A28,INDEX([2]Jan26A!$A:$N,0,MATCH($A$1,[2]Jan26A!$A$7:$N$7,0))),0)</f>
        <v>3083.02</v>
      </c>
      <c r="C28" s="84">
        <f>IFERROR(SUMIF([2]Feb26A!$A:$A,$A28,INDEX([2]Feb26A!$A:$N,0,MATCH($A$1,[2]Feb26A!$A$7:$N$7,0))),0)</f>
        <v>3250.63</v>
      </c>
      <c r="D28" s="84">
        <f>IFERROR(SUMIF([2]Mar26A!$A:$A,$A28,INDEX([2]Mar26A!$A:$N,0,MATCH($A$1,[2]Mar26A!$A$7:$N$7,0))),0)</f>
        <v>8171.08</v>
      </c>
      <c r="E28" s="84">
        <f>IFERROR(SUMIF([2]Apr26A!$A:$A,$A28,INDEX([2]Apr26A!$A:$N,0,MATCH($A$1,[2]Apr26A!$A$7:$N$7,0))),0)</f>
        <v>4055.09</v>
      </c>
      <c r="F28" s="84">
        <f>IFERROR(SUMIF([2]May26A!$A:$A,$A28,INDEX([2]May26A!$A:$N,0,MATCH($A$1,[2]May26A!$A$7:$N$7,0))),0)</f>
        <v>983.17</v>
      </c>
      <c r="G28" s="84">
        <f>IFERROR(SUMIF([2]Jun26A!$A:$A,$A28,INDEX([2]Jun26A!$A:$N,0,MATCH($A$1,[2]Jun26A!$A$7:$N$7,0))),0)</f>
        <v>1134.99</v>
      </c>
      <c r="H28" s="84">
        <f>IFERROR(SUMIF([2]Jul26A!$A:$A,$A28,INDEX([2]Jul26A!$A:$N,0,MATCH($A$1,[2]Jul26A!$A$7:$N$7,0))),0)</f>
        <v>2637.34</v>
      </c>
      <c r="I28" s="84">
        <f>IFERROR(SUMIF([2]Aug26A!$A:$A,$A28,INDEX([2]Aug26A!$A:$N,0,MATCH($A$1,[2]Aug26A!$A$7:$N$7,0))),0)</f>
        <v>19.97</v>
      </c>
      <c r="J28" s="117">
        <v>6200</v>
      </c>
      <c r="K28" s="117">
        <v>4700</v>
      </c>
      <c r="L28" s="117">
        <v>4700</v>
      </c>
      <c r="M28" s="117">
        <v>4700</v>
      </c>
      <c r="N28" s="84">
        <f t="shared" si="7"/>
        <v>43635.29</v>
      </c>
      <c r="O28" s="105">
        <f t="shared" si="8"/>
        <v>5.8776461938169072E-3</v>
      </c>
      <c r="P28" s="84"/>
      <c r="Q28" s="84"/>
      <c r="R28" s="106" t="s">
        <v>99</v>
      </c>
      <c r="S28" s="107">
        <v>0</v>
      </c>
      <c r="T28" s="108">
        <v>0.05</v>
      </c>
      <c r="U28" s="104">
        <f t="shared" ref="U28:AF31" si="15">IF($R28="Manual","",IFERROR(IF($R28="YOY Growth",$N28*(1+$T28)/12,$S28/12),""))</f>
        <v>0</v>
      </c>
      <c r="V28" s="104">
        <f t="shared" si="15"/>
        <v>0</v>
      </c>
      <c r="W28" s="104">
        <f t="shared" si="15"/>
        <v>0</v>
      </c>
      <c r="X28" s="104">
        <f t="shared" si="15"/>
        <v>0</v>
      </c>
      <c r="Y28" s="104">
        <f t="shared" si="15"/>
        <v>0</v>
      </c>
      <c r="Z28" s="104">
        <f t="shared" si="15"/>
        <v>0</v>
      </c>
      <c r="AA28" s="104">
        <f t="shared" si="15"/>
        <v>0</v>
      </c>
      <c r="AB28" s="104">
        <f t="shared" si="15"/>
        <v>0</v>
      </c>
      <c r="AC28" s="104">
        <f t="shared" si="15"/>
        <v>0</v>
      </c>
      <c r="AD28" s="104">
        <f t="shared" si="15"/>
        <v>0</v>
      </c>
      <c r="AE28" s="104">
        <f t="shared" si="15"/>
        <v>0</v>
      </c>
      <c r="AF28" s="104">
        <f t="shared" si="15"/>
        <v>0</v>
      </c>
      <c r="AG28" s="84">
        <f t="shared" si="10"/>
        <v>0</v>
      </c>
      <c r="AH28" s="105" t="str">
        <f t="shared" si="11"/>
        <v/>
      </c>
      <c r="AJ28" s="84">
        <f t="shared" si="12"/>
        <v>43635.29</v>
      </c>
    </row>
    <row r="29" spans="1:36" x14ac:dyDescent="0.3">
      <c r="A29" s="103" t="s">
        <v>115</v>
      </c>
      <c r="B29" s="84">
        <f>IFERROR(SUMIF([2]Jan26A!$A:$A,$A29,INDEX([2]Jan26A!$A:$N,0,MATCH($A$1,[2]Jan26A!$A$7:$N$7,0))),0)</f>
        <v>0</v>
      </c>
      <c r="C29" s="84">
        <f>IFERROR(SUMIF([2]Feb26A!$A:$A,$A29,INDEX([2]Feb26A!$A:$N,0,MATCH($A$1,[2]Feb26A!$A$7:$N$7,0))),0)</f>
        <v>0</v>
      </c>
      <c r="D29" s="84">
        <f>IFERROR(SUMIF([2]Mar26A!$A:$A,$A29,INDEX([2]Mar26A!$A:$N,0,MATCH($A$1,[2]Mar26A!$A$7:$N$7,0))),0)</f>
        <v>1400</v>
      </c>
      <c r="E29" s="84">
        <f>IFERROR(SUMIF([2]Apr26A!$A:$A,$A29,INDEX([2]Apr26A!$A:$N,0,MATCH($A$1,[2]Apr26A!$A$7:$N$7,0))),0)</f>
        <v>19879.38</v>
      </c>
      <c r="F29" s="84">
        <f>IFERROR(SUMIF([2]May26A!$A:$A,$A29,INDEX([2]May26A!$A:$N,0,MATCH($A$1,[2]May26A!$A$7:$N$7,0))),0)</f>
        <v>84.54</v>
      </c>
      <c r="G29" s="84">
        <f>IFERROR(SUMIF([2]Jun26A!$A:$A,$A29,INDEX([2]Jun26A!$A:$N,0,MATCH($A$1,[2]Jun26A!$A$7:$N$7,0))),0)</f>
        <v>-7.82</v>
      </c>
      <c r="H29" s="84">
        <f>IFERROR(SUMIF([2]Jul26A!$A:$A,$A29,INDEX([2]Jul26A!$A:$N,0,MATCH($A$1,[2]Jul26A!$A$7:$N$7,0))),0)</f>
        <v>0</v>
      </c>
      <c r="I29" s="84">
        <f>IFERROR(SUMIF([2]Aug26A!$A:$A,$A29,INDEX([2]Aug26A!$A:$N,0,MATCH($A$1,[2]Aug26A!$A$7:$N$7,0))),0)</f>
        <v>0</v>
      </c>
      <c r="J29" s="117">
        <v>2000</v>
      </c>
      <c r="K29" s="117">
        <v>2000</v>
      </c>
      <c r="L29" s="117">
        <v>0</v>
      </c>
      <c r="M29" s="117">
        <v>0</v>
      </c>
      <c r="N29" s="84">
        <f t="shared" si="7"/>
        <v>25356.100000000002</v>
      </c>
      <c r="O29" s="105">
        <f t="shared" si="8"/>
        <v>3.4154507659979092E-3</v>
      </c>
      <c r="P29" s="84"/>
      <c r="Q29" s="84"/>
      <c r="R29" s="106" t="s">
        <v>99</v>
      </c>
      <c r="S29" s="107">
        <v>0</v>
      </c>
      <c r="T29" s="108">
        <v>0.05</v>
      </c>
      <c r="U29" s="104">
        <f t="shared" si="15"/>
        <v>0</v>
      </c>
      <c r="V29" s="104">
        <f t="shared" si="15"/>
        <v>0</v>
      </c>
      <c r="W29" s="104">
        <f t="shared" si="15"/>
        <v>0</v>
      </c>
      <c r="X29" s="104">
        <f t="shared" si="15"/>
        <v>0</v>
      </c>
      <c r="Y29" s="104">
        <f t="shared" si="15"/>
        <v>0</v>
      </c>
      <c r="Z29" s="104">
        <f t="shared" si="15"/>
        <v>0</v>
      </c>
      <c r="AA29" s="104">
        <f t="shared" si="15"/>
        <v>0</v>
      </c>
      <c r="AB29" s="104">
        <f t="shared" si="15"/>
        <v>0</v>
      </c>
      <c r="AC29" s="104">
        <f t="shared" si="15"/>
        <v>0</v>
      </c>
      <c r="AD29" s="104">
        <f t="shared" si="15"/>
        <v>0</v>
      </c>
      <c r="AE29" s="104">
        <f t="shared" si="15"/>
        <v>0</v>
      </c>
      <c r="AF29" s="104">
        <f t="shared" si="15"/>
        <v>0</v>
      </c>
      <c r="AG29" s="84">
        <f t="shared" si="10"/>
        <v>0</v>
      </c>
      <c r="AH29" s="105" t="str">
        <f t="shared" si="11"/>
        <v/>
      </c>
      <c r="AJ29" s="84">
        <f t="shared" si="12"/>
        <v>25356.100000000002</v>
      </c>
    </row>
    <row r="30" spans="1:36" x14ac:dyDescent="0.3">
      <c r="A30" s="103" t="s">
        <v>116</v>
      </c>
      <c r="B30" s="84">
        <f>IFERROR(SUMIF([2]Jan26A!$A:$A,$A30,INDEX([2]Jan26A!$A:$N,0,MATCH($A$1,[2]Jan26A!$A$7:$N$7,0))),0)</f>
        <v>0</v>
      </c>
      <c r="C30" s="84">
        <f>IFERROR(SUMIF([2]Feb26A!$A:$A,$A30,INDEX([2]Feb26A!$A:$N,0,MATCH($A$1,[2]Feb26A!$A$7:$N$7,0))),0)</f>
        <v>0</v>
      </c>
      <c r="D30" s="84">
        <f>IFERROR(SUMIF([2]Mar26A!$A:$A,$A30,INDEX([2]Mar26A!$A:$N,0,MATCH($A$1,[2]Mar26A!$A$7:$N$7,0))),0)</f>
        <v>0</v>
      </c>
      <c r="E30" s="84">
        <f>IFERROR(SUMIF([2]Apr26A!$A:$A,$A30,INDEX([2]Apr26A!$A:$N,0,MATCH($A$1,[2]Apr26A!$A$7:$N$7,0))),0)</f>
        <v>0</v>
      </c>
      <c r="F30" s="84">
        <f>IFERROR(SUMIF([2]May26A!$A:$A,$A30,INDEX([2]May26A!$A:$N,0,MATCH($A$1,[2]May26A!$A$7:$N$7,0))),0)</f>
        <v>0</v>
      </c>
      <c r="G30" s="84">
        <f>IFERROR(SUMIF([2]Jun26A!$A:$A,$A30,INDEX([2]Jun26A!$A:$N,0,MATCH($A$1,[2]Jun26A!$A$7:$N$7,0))),0)</f>
        <v>0</v>
      </c>
      <c r="H30" s="84">
        <f>IFERROR(SUMIF([2]Jul26A!$A:$A,$A30,INDEX([2]Jul26A!$A:$N,0,MATCH($A$1,[2]Jul26A!$A$7:$N$7,0))),0)</f>
        <v>0</v>
      </c>
      <c r="I30" s="84">
        <f>IFERROR(SUMIF([2]Aug26A!$A:$A,$A30,INDEX([2]Aug26A!$A:$N,0,MATCH($A$1,[2]Aug26A!$A$7:$N$7,0))),0)</f>
        <v>96.96</v>
      </c>
      <c r="J30" s="104"/>
      <c r="K30" s="104"/>
      <c r="L30" s="104"/>
      <c r="M30" s="104"/>
      <c r="N30" s="84">
        <f t="shared" si="7"/>
        <v>96.96</v>
      </c>
      <c r="O30" s="105">
        <f t="shared" si="8"/>
        <v>1.3060451184178845E-5</v>
      </c>
      <c r="P30" s="84"/>
      <c r="Q30" s="84"/>
      <c r="R30" s="106" t="s">
        <v>99</v>
      </c>
      <c r="S30" s="107">
        <v>0</v>
      </c>
      <c r="T30" s="108">
        <v>0.05</v>
      </c>
      <c r="U30" s="104">
        <f t="shared" si="15"/>
        <v>0</v>
      </c>
      <c r="V30" s="104">
        <f t="shared" si="15"/>
        <v>0</v>
      </c>
      <c r="W30" s="104">
        <f t="shared" si="15"/>
        <v>0</v>
      </c>
      <c r="X30" s="104">
        <f t="shared" si="15"/>
        <v>0</v>
      </c>
      <c r="Y30" s="104">
        <f t="shared" si="15"/>
        <v>0</v>
      </c>
      <c r="Z30" s="104">
        <f t="shared" si="15"/>
        <v>0</v>
      </c>
      <c r="AA30" s="104">
        <f t="shared" si="15"/>
        <v>0</v>
      </c>
      <c r="AB30" s="104">
        <f t="shared" si="15"/>
        <v>0</v>
      </c>
      <c r="AC30" s="104">
        <f t="shared" si="15"/>
        <v>0</v>
      </c>
      <c r="AD30" s="104">
        <f t="shared" si="15"/>
        <v>0</v>
      </c>
      <c r="AE30" s="104">
        <f t="shared" si="15"/>
        <v>0</v>
      </c>
      <c r="AF30" s="104">
        <f t="shared" si="15"/>
        <v>0</v>
      </c>
      <c r="AG30" s="84">
        <f t="shared" si="10"/>
        <v>0</v>
      </c>
      <c r="AH30" s="105" t="str">
        <f t="shared" si="11"/>
        <v/>
      </c>
      <c r="AJ30" s="84">
        <f t="shared" si="12"/>
        <v>96.96</v>
      </c>
    </row>
    <row r="31" spans="1:36" x14ac:dyDescent="0.3">
      <c r="A31" s="103" t="s">
        <v>117</v>
      </c>
      <c r="B31" s="84">
        <f>IFERROR(SUMIF([2]Jan26A!$A:$A,$A31,INDEX([2]Jan26A!$A:$N,0,MATCH($A$1,[2]Jan26A!$A$7:$N$7,0))),0)</f>
        <v>0</v>
      </c>
      <c r="C31" s="84">
        <f>IFERROR(SUMIF([2]Feb26A!$A:$A,$A31,INDEX([2]Feb26A!$A:$N,0,MATCH($A$1,[2]Feb26A!$A$7:$N$7,0))),0)</f>
        <v>0</v>
      </c>
      <c r="D31" s="84">
        <f>IFERROR(SUMIF([2]Mar26A!$A:$A,$A31,INDEX([2]Mar26A!$A:$N,0,MATCH($A$1,[2]Mar26A!$A$7:$N$7,0))),0)</f>
        <v>175</v>
      </c>
      <c r="E31" s="84">
        <f>IFERROR(SUMIF([2]Apr26A!$A:$A,$A31,INDEX([2]Apr26A!$A:$N,0,MATCH($A$1,[2]Apr26A!$A$7:$N$7,0))),0)</f>
        <v>44.2</v>
      </c>
      <c r="F31" s="84">
        <f>IFERROR(SUMIF([2]May26A!$A:$A,$A31,INDEX([2]May26A!$A:$N,0,MATCH($A$1,[2]May26A!$A$7:$N$7,0))),0)</f>
        <v>0</v>
      </c>
      <c r="G31" s="84">
        <f>IFERROR(SUMIF([2]Jun26A!$A:$A,$A31,INDEX([2]Jun26A!$A:$N,0,MATCH($A$1,[2]Jun26A!$A$7:$N$7,0))),0)</f>
        <v>-7.08</v>
      </c>
      <c r="H31" s="84">
        <f>IFERROR(SUMIF([2]Jul26A!$A:$A,$A31,INDEX([2]Jul26A!$A:$N,0,MATCH($A$1,[2]Jul26A!$A$7:$N$7,0))),0)</f>
        <v>0</v>
      </c>
      <c r="I31" s="84">
        <f>IFERROR(SUMIF([2]Aug26A!$A:$A,$A31,INDEX([2]Aug26A!$A:$N,0,MATCH($A$1,[2]Aug26A!$A$7:$N$7,0))),0)</f>
        <v>0</v>
      </c>
      <c r="J31" s="117">
        <v>0</v>
      </c>
      <c r="K31" s="117">
        <v>0</v>
      </c>
      <c r="L31" s="117">
        <v>0</v>
      </c>
      <c r="M31" s="117">
        <v>0</v>
      </c>
      <c r="N31" s="84">
        <f t="shared" si="7"/>
        <v>212.11999999999998</v>
      </c>
      <c r="O31" s="105">
        <f t="shared" si="8"/>
        <v>2.8572430952846705E-5</v>
      </c>
      <c r="P31" s="84"/>
      <c r="Q31" s="84"/>
      <c r="R31" s="106" t="s">
        <v>99</v>
      </c>
      <c r="S31" s="107">
        <v>0</v>
      </c>
      <c r="T31" s="108">
        <v>0.05</v>
      </c>
      <c r="U31" s="104">
        <f t="shared" si="15"/>
        <v>0</v>
      </c>
      <c r="V31" s="104">
        <f t="shared" si="15"/>
        <v>0</v>
      </c>
      <c r="W31" s="104">
        <f t="shared" si="15"/>
        <v>0</v>
      </c>
      <c r="X31" s="104">
        <f t="shared" si="15"/>
        <v>0</v>
      </c>
      <c r="Y31" s="104">
        <f t="shared" si="15"/>
        <v>0</v>
      </c>
      <c r="Z31" s="104">
        <f t="shared" si="15"/>
        <v>0</v>
      </c>
      <c r="AA31" s="104">
        <f t="shared" si="15"/>
        <v>0</v>
      </c>
      <c r="AB31" s="104">
        <f t="shared" si="15"/>
        <v>0</v>
      </c>
      <c r="AC31" s="104">
        <f t="shared" si="15"/>
        <v>0</v>
      </c>
      <c r="AD31" s="104">
        <f t="shared" si="15"/>
        <v>0</v>
      </c>
      <c r="AE31" s="104">
        <f t="shared" si="15"/>
        <v>0</v>
      </c>
      <c r="AF31" s="104">
        <f t="shared" si="15"/>
        <v>0</v>
      </c>
      <c r="AG31" s="84">
        <f t="shared" si="10"/>
        <v>0</v>
      </c>
      <c r="AH31" s="105" t="str">
        <f t="shared" si="11"/>
        <v/>
      </c>
      <c r="AJ31" s="84">
        <f t="shared" si="12"/>
        <v>212.11999999999998</v>
      </c>
    </row>
    <row r="32" spans="1:36" x14ac:dyDescent="0.3">
      <c r="A32" s="115" t="s">
        <v>118</v>
      </c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105"/>
      <c r="P32" s="84"/>
      <c r="Q32" s="84"/>
      <c r="R32" s="112"/>
      <c r="S32" s="112"/>
      <c r="T32" s="112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105"/>
      <c r="AJ32" s="84"/>
    </row>
    <row r="33" spans="1:36" x14ac:dyDescent="0.3">
      <c r="A33" s="116" t="s">
        <v>119</v>
      </c>
      <c r="B33" s="84">
        <f>IFERROR(SUMIF([2]Jan26A!$A:$A,$A33,INDEX([2]Jan26A!$A:$N,0,MATCH($A$1,[2]Jan26A!$A$7:$N$7,0))),0)</f>
        <v>0</v>
      </c>
      <c r="C33" s="84">
        <f>IFERROR(SUMIF([2]Feb26A!$A:$A,$A33,INDEX([2]Feb26A!$A:$N,0,MATCH($A$1,[2]Feb26A!$A$7:$N$7,0))),0)</f>
        <v>29333.47</v>
      </c>
      <c r="D33" s="84">
        <f>IFERROR(SUMIF([2]Mar26A!$A:$A,$A33,INDEX([2]Mar26A!$A:$N,0,MATCH($A$1,[2]Mar26A!$A$7:$N$7,0))),0)</f>
        <v>-53487.1</v>
      </c>
      <c r="E33" s="84">
        <f>IFERROR(SUMIF([2]Apr26A!$A:$A,$A33,INDEX([2]Apr26A!$A:$N,0,MATCH($A$1,[2]Apr26A!$A$7:$N$7,0))),0)</f>
        <v>21646.720000000001</v>
      </c>
      <c r="F33" s="84">
        <f>IFERROR(SUMIF([2]May26A!$A:$A,$A33,INDEX([2]May26A!$A:$N,0,MATCH($A$1,[2]May26A!$A$7:$N$7,0))),0)</f>
        <v>17259.93</v>
      </c>
      <c r="G33" s="84">
        <f>IFERROR(SUMIF([2]Jun26A!$A:$A,$A33,INDEX([2]Jun26A!$A:$N,0,MATCH($A$1,[2]Jun26A!$A$7:$N$7,0))),0)</f>
        <v>17454.2</v>
      </c>
      <c r="H33" s="84">
        <f>IFERROR(SUMIF([2]Jul26A!$A:$A,$A33,INDEX([2]Jul26A!$A:$N,0,MATCH($A$1,[2]Jul26A!$A$7:$N$7,0))),0)</f>
        <v>20023.740000000002</v>
      </c>
      <c r="I33" s="84">
        <f>IFERROR(SUMIF([2]Aug26A!$A:$A,$A33,INDEX([2]Aug26A!$A:$N,0,MATCH($A$1,[2]Aug26A!$A$7:$N$7,0))),0)</f>
        <v>14849.42</v>
      </c>
      <c r="J33" s="117">
        <v>17500</v>
      </c>
      <c r="K33" s="117">
        <v>17500</v>
      </c>
      <c r="L33" s="117">
        <v>17500</v>
      </c>
      <c r="M33" s="117">
        <v>17500</v>
      </c>
      <c r="N33" s="84">
        <f t="shared" ref="N33:N42" si="16">SUM(B33:M33)</f>
        <v>137080.38</v>
      </c>
      <c r="O33" s="105">
        <f t="shared" ref="O33:O42" si="17">IFERROR(N33/N$16,"")</f>
        <v>1.8464641205638264E-2</v>
      </c>
      <c r="P33" s="84"/>
      <c r="Q33" s="84"/>
      <c r="R33" s="156"/>
      <c r="S33" s="156"/>
      <c r="T33" s="156"/>
      <c r="U33" s="156">
        <f>'PO HC'!M67</f>
        <v>43450</v>
      </c>
      <c r="V33" s="156">
        <f>'PO HC'!N67</f>
        <v>43450</v>
      </c>
      <c r="W33" s="156">
        <f>'PO HC'!O67</f>
        <v>43450</v>
      </c>
      <c r="X33" s="156">
        <f>'PO HC'!P67</f>
        <v>43450</v>
      </c>
      <c r="Y33" s="156">
        <f>'PO HC'!Q67</f>
        <v>43450</v>
      </c>
      <c r="Z33" s="156">
        <f>'PO HC'!R67</f>
        <v>43450</v>
      </c>
      <c r="AA33" s="156">
        <f>'PO HC'!S67</f>
        <v>43450</v>
      </c>
      <c r="AB33" s="156">
        <f>'PO HC'!T67</f>
        <v>43450</v>
      </c>
      <c r="AC33" s="156">
        <f>'PO HC'!U67</f>
        <v>43450</v>
      </c>
      <c r="AD33" s="156">
        <f>'PO HC'!V67</f>
        <v>44753.500000000007</v>
      </c>
      <c r="AE33" s="156">
        <f>'PO HC'!W67</f>
        <v>44753.500000000007</v>
      </c>
      <c r="AF33" s="156">
        <f>'PO HC'!X67</f>
        <v>44753.500000000007</v>
      </c>
      <c r="AG33" s="84">
        <f t="shared" ref="AG33:AG42" si="18">SUM(U33:AF33)</f>
        <v>525310.5</v>
      </c>
      <c r="AH33" s="105" t="str">
        <f t="shared" ref="AH33:AH42" si="19">IFERROR(AG33/AG$16,"")</f>
        <v/>
      </c>
      <c r="AJ33" s="84">
        <f t="shared" ref="AJ33:AJ42" si="20">N33-AG33</f>
        <v>-388230.12</v>
      </c>
    </row>
    <row r="34" spans="1:36" x14ac:dyDescent="0.3">
      <c r="A34" s="116" t="s">
        <v>120</v>
      </c>
      <c r="B34" s="84">
        <f>IFERROR(SUMIF([2]Jan26A!$A:$A,$A34,INDEX([2]Jan26A!$A:$N,0,MATCH($A$1,[2]Jan26A!$A$7:$N$7,0))),0)</f>
        <v>0</v>
      </c>
      <c r="C34" s="84">
        <f>IFERROR(SUMIF([2]Feb26A!$A:$A,$A34,INDEX([2]Feb26A!$A:$N,0,MATCH($A$1,[2]Feb26A!$A$7:$N$7,0))),0)</f>
        <v>1065.32</v>
      </c>
      <c r="D34" s="84">
        <f>IFERROR(SUMIF([2]Mar26A!$A:$A,$A34,INDEX([2]Mar26A!$A:$N,0,MATCH($A$1,[2]Mar26A!$A$7:$N$7,0))),0)</f>
        <v>-1003.17</v>
      </c>
      <c r="E34" s="84">
        <f>IFERROR(SUMIF([2]Apr26A!$A:$A,$A34,INDEX([2]Apr26A!$A:$N,0,MATCH($A$1,[2]Apr26A!$A$7:$N$7,0))),0)</f>
        <v>703.54</v>
      </c>
      <c r="F34" s="84">
        <f>IFERROR(SUMIF([2]May26A!$A:$A,$A34,INDEX([2]May26A!$A:$N,0,MATCH($A$1,[2]May26A!$A$7:$N$7,0))),0)</f>
        <v>618.04</v>
      </c>
      <c r="G34" s="84">
        <f>IFERROR(SUMIF([2]Jun26A!$A:$A,$A34,INDEX([2]Jun26A!$A:$N,0,MATCH($A$1,[2]Jun26A!$A$7:$N$7,0))),0)</f>
        <v>634.79</v>
      </c>
      <c r="H34" s="84">
        <f>IFERROR(SUMIF([2]Jul26A!$A:$A,$A34,INDEX([2]Jul26A!$A:$N,0,MATCH($A$1,[2]Jul26A!$A$7:$N$7,0))),0)</f>
        <v>768.4</v>
      </c>
      <c r="I34" s="84">
        <f>IFERROR(SUMIF([2]Aug26A!$A:$A,$A34,INDEX([2]Aug26A!$A:$N,0,MATCH($A$1,[2]Aug26A!$A$7:$N$7,0))),0)</f>
        <v>592.79</v>
      </c>
      <c r="J34" s="117">
        <v>648</v>
      </c>
      <c r="K34" s="117">
        <v>648</v>
      </c>
      <c r="L34" s="117">
        <v>648</v>
      </c>
      <c r="M34" s="117">
        <v>648</v>
      </c>
      <c r="N34" s="84">
        <f t="shared" si="16"/>
        <v>5971.71</v>
      </c>
      <c r="O34" s="105">
        <f t="shared" si="17"/>
        <v>8.0438559138895063E-4</v>
      </c>
      <c r="P34" s="84"/>
      <c r="Q34" s="84"/>
      <c r="R34" s="156"/>
      <c r="S34" s="156"/>
      <c r="T34" s="156"/>
      <c r="U34" s="156">
        <f>'PO HC'!M68</f>
        <v>1580.2285696279405</v>
      </c>
      <c r="V34" s="156">
        <f>'PO HC'!N68</f>
        <v>1580.2285696279405</v>
      </c>
      <c r="W34" s="156">
        <f>'PO HC'!O68</f>
        <v>1580.2285696279405</v>
      </c>
      <c r="X34" s="156">
        <f>'PO HC'!P68</f>
        <v>1580.2285696279405</v>
      </c>
      <c r="Y34" s="156">
        <f>'PO HC'!Q68</f>
        <v>1580.2285696279405</v>
      </c>
      <c r="Z34" s="156">
        <f>'PO HC'!R68</f>
        <v>1580.2285696279405</v>
      </c>
      <c r="AA34" s="156">
        <f>'PO HC'!S68</f>
        <v>1580.2285696279405</v>
      </c>
      <c r="AB34" s="156">
        <f>'PO HC'!T68</f>
        <v>1580.2285696279405</v>
      </c>
      <c r="AC34" s="156">
        <f>'PO HC'!U68</f>
        <v>1580.2285696279405</v>
      </c>
      <c r="AD34" s="156">
        <f>'PO HC'!V68</f>
        <v>1627.635426716779</v>
      </c>
      <c r="AE34" s="156">
        <f>'PO HC'!W68</f>
        <v>1627.635426716779</v>
      </c>
      <c r="AF34" s="156">
        <f>'PO HC'!X68</f>
        <v>1627.635426716779</v>
      </c>
      <c r="AG34" s="84">
        <f t="shared" si="18"/>
        <v>19104.963406801799</v>
      </c>
      <c r="AH34" s="105" t="str">
        <f t="shared" si="19"/>
        <v/>
      </c>
      <c r="AJ34" s="84">
        <f t="shared" si="20"/>
        <v>-13133.253406801799</v>
      </c>
    </row>
    <row r="35" spans="1:36" x14ac:dyDescent="0.3">
      <c r="A35" s="116" t="s">
        <v>121</v>
      </c>
      <c r="B35" s="84">
        <f>IFERROR(SUMIF([2]Jan26A!$A:$A,$A35,INDEX([2]Jan26A!$A:$N,0,MATCH($A$1,[2]Jan26A!$A$7:$N$7,0))),0)</f>
        <v>35767.69</v>
      </c>
      <c r="C35" s="84">
        <f>IFERROR(SUMIF([2]Feb26A!$A:$A,$A35,INDEX([2]Feb26A!$A:$N,0,MATCH($A$1,[2]Feb26A!$A$7:$N$7,0))),0)</f>
        <v>-7499.98</v>
      </c>
      <c r="D35" s="84">
        <f>IFERROR(SUMIF([2]Mar26A!$A:$A,$A35,INDEX([2]Mar26A!$A:$N,0,MATCH($A$1,[2]Mar26A!$A$7:$N$7,0))),0)</f>
        <v>3057.92</v>
      </c>
      <c r="E35" s="84">
        <f>IFERROR(SUMIF([2]Apr26A!$A:$A,$A35,INDEX([2]Apr26A!$A:$N,0,MATCH($A$1,[2]Apr26A!$A$7:$N$7,0))),0)</f>
        <v>2876.74</v>
      </c>
      <c r="F35" s="84">
        <f>IFERROR(SUMIF([2]May26A!$A:$A,$A35,INDEX([2]May26A!$A:$N,0,MATCH($A$1,[2]May26A!$A$7:$N$7,0))),0)</f>
        <v>4138.12</v>
      </c>
      <c r="G35" s="84">
        <f>IFERROR(SUMIF([2]Jun26A!$A:$A,$A35,INDEX([2]Jun26A!$A:$N,0,MATCH($A$1,[2]Jun26A!$A$7:$N$7,0))),0)</f>
        <v>3992.14</v>
      </c>
      <c r="H35" s="84">
        <f>IFERROR(SUMIF([2]Jul26A!$A:$A,$A35,INDEX([2]Jul26A!$A:$N,0,MATCH($A$1,[2]Jul26A!$A$7:$N$7,0))),0)</f>
        <v>-6793.75</v>
      </c>
      <c r="I35" s="84">
        <f>IFERROR(SUMIF([2]Aug26A!$A:$A,$A35,INDEX([2]Aug26A!$A:$N,0,MATCH($A$1,[2]Aug26A!$A$7:$N$7,0))),0)</f>
        <v>2732.36</v>
      </c>
      <c r="J35" s="117">
        <v>4000</v>
      </c>
      <c r="K35" s="117">
        <v>4000</v>
      </c>
      <c r="L35" s="117">
        <v>4000</v>
      </c>
      <c r="M35" s="117">
        <v>4000</v>
      </c>
      <c r="N35" s="84">
        <f t="shared" si="16"/>
        <v>54271.240000000005</v>
      </c>
      <c r="O35" s="105">
        <f t="shared" si="17"/>
        <v>7.3103019876738281E-3</v>
      </c>
      <c r="P35" s="84"/>
      <c r="Q35" s="84"/>
      <c r="R35" s="156"/>
      <c r="S35" s="156"/>
      <c r="T35" s="156"/>
      <c r="U35" s="156">
        <f>'PO HC'!M69</f>
        <v>8966.4587509947323</v>
      </c>
      <c r="V35" s="156">
        <f>'PO HC'!N69</f>
        <v>8966.4587509947323</v>
      </c>
      <c r="W35" s="156">
        <f>'PO HC'!O69</f>
        <v>8966.4587509947323</v>
      </c>
      <c r="X35" s="156">
        <f>'PO HC'!P69</f>
        <v>8966.4587509947323</v>
      </c>
      <c r="Y35" s="156">
        <f>'PO HC'!Q69</f>
        <v>8966.4587509947323</v>
      </c>
      <c r="Z35" s="156">
        <f>'PO HC'!R69</f>
        <v>8966.4587509947323</v>
      </c>
      <c r="AA35" s="156">
        <f>'PO HC'!S69</f>
        <v>8966.4587509947323</v>
      </c>
      <c r="AB35" s="156">
        <f>'PO HC'!T69</f>
        <v>8966.4587509947323</v>
      </c>
      <c r="AC35" s="156">
        <f>'PO HC'!U69</f>
        <v>8966.4587509947323</v>
      </c>
      <c r="AD35" s="156">
        <f>'PO HC'!V69</f>
        <v>9235.4525135245767</v>
      </c>
      <c r="AE35" s="156">
        <f>'PO HC'!W69</f>
        <v>9235.4525135245767</v>
      </c>
      <c r="AF35" s="156">
        <f>'PO HC'!X69</f>
        <v>9235.4525135245767</v>
      </c>
      <c r="AG35" s="84">
        <f t="shared" si="18"/>
        <v>108404.48629952632</v>
      </c>
      <c r="AH35" s="105" t="str">
        <f t="shared" si="19"/>
        <v/>
      </c>
      <c r="AJ35" s="84">
        <f t="shared" si="20"/>
        <v>-54133.246299526319</v>
      </c>
    </row>
    <row r="36" spans="1:36" x14ac:dyDescent="0.3">
      <c r="A36" s="118" t="s">
        <v>122</v>
      </c>
      <c r="B36" s="110">
        <f t="shared" ref="B36:M36" si="21">SUM(B33:B35)</f>
        <v>35767.69</v>
      </c>
      <c r="C36" s="110">
        <f t="shared" si="21"/>
        <v>22898.81</v>
      </c>
      <c r="D36" s="110">
        <f t="shared" si="21"/>
        <v>-51432.35</v>
      </c>
      <c r="E36" s="110">
        <f t="shared" si="21"/>
        <v>25227</v>
      </c>
      <c r="F36" s="110">
        <f t="shared" si="21"/>
        <v>22016.09</v>
      </c>
      <c r="G36" s="110">
        <f t="shared" si="21"/>
        <v>22081.13</v>
      </c>
      <c r="H36" s="110">
        <f t="shared" si="21"/>
        <v>13998.390000000003</v>
      </c>
      <c r="I36" s="110">
        <f t="shared" si="21"/>
        <v>18174.57</v>
      </c>
      <c r="J36" s="110">
        <f t="shared" si="21"/>
        <v>22148</v>
      </c>
      <c r="K36" s="110">
        <f t="shared" si="21"/>
        <v>22148</v>
      </c>
      <c r="L36" s="110">
        <f t="shared" si="21"/>
        <v>22148</v>
      </c>
      <c r="M36" s="110">
        <f t="shared" si="21"/>
        <v>22148</v>
      </c>
      <c r="N36" s="110">
        <f t="shared" si="16"/>
        <v>197323.33000000002</v>
      </c>
      <c r="O36" s="111">
        <f t="shared" si="17"/>
        <v>2.6579328784701046E-2</v>
      </c>
      <c r="P36" s="84"/>
      <c r="Q36" s="84"/>
      <c r="R36" s="112"/>
      <c r="S36" s="112"/>
      <c r="T36" s="112"/>
      <c r="U36" s="110">
        <f t="shared" ref="U36:AF36" si="22">SUM(U33:U35)</f>
        <v>53996.687320622674</v>
      </c>
      <c r="V36" s="110">
        <f t="shared" si="22"/>
        <v>53996.687320622674</v>
      </c>
      <c r="W36" s="110">
        <f t="shared" si="22"/>
        <v>53996.687320622674</v>
      </c>
      <c r="X36" s="110">
        <f t="shared" si="22"/>
        <v>53996.687320622674</v>
      </c>
      <c r="Y36" s="110">
        <f t="shared" si="22"/>
        <v>53996.687320622674</v>
      </c>
      <c r="Z36" s="110">
        <f t="shared" si="22"/>
        <v>53996.687320622674</v>
      </c>
      <c r="AA36" s="110">
        <f t="shared" si="22"/>
        <v>53996.687320622674</v>
      </c>
      <c r="AB36" s="110">
        <f t="shared" si="22"/>
        <v>53996.687320622674</v>
      </c>
      <c r="AC36" s="110">
        <f t="shared" si="22"/>
        <v>53996.687320622674</v>
      </c>
      <c r="AD36" s="110">
        <f t="shared" si="22"/>
        <v>55616.587940241363</v>
      </c>
      <c r="AE36" s="110">
        <f t="shared" si="22"/>
        <v>55616.587940241363</v>
      </c>
      <c r="AF36" s="110">
        <f t="shared" si="22"/>
        <v>55616.587940241363</v>
      </c>
      <c r="AG36" s="110">
        <f t="shared" si="18"/>
        <v>652819.9497063281</v>
      </c>
      <c r="AH36" s="111" t="str">
        <f t="shared" si="19"/>
        <v/>
      </c>
      <c r="AJ36" s="110">
        <f t="shared" si="20"/>
        <v>-455496.61970632809</v>
      </c>
    </row>
    <row r="37" spans="1:36" x14ac:dyDescent="0.3">
      <c r="A37" s="109" t="s">
        <v>123</v>
      </c>
      <c r="B37" s="110">
        <f t="shared" ref="B37:M37" si="23">B19+B22+B27+B28+B29+B30+B31+B36+B20+B21</f>
        <v>190179.25999999998</v>
      </c>
      <c r="C37" s="110">
        <f t="shared" si="23"/>
        <v>162594.32</v>
      </c>
      <c r="D37" s="110">
        <f t="shared" si="23"/>
        <v>110103.27999999998</v>
      </c>
      <c r="E37" s="110">
        <f t="shared" si="23"/>
        <v>204616.26</v>
      </c>
      <c r="F37" s="110">
        <f t="shared" si="23"/>
        <v>177094.17000000004</v>
      </c>
      <c r="G37" s="110">
        <f t="shared" si="23"/>
        <v>186727.04000000004</v>
      </c>
      <c r="H37" s="110">
        <f t="shared" si="23"/>
        <v>164259.12000000002</v>
      </c>
      <c r="I37" s="110">
        <f t="shared" si="23"/>
        <v>172806.85</v>
      </c>
      <c r="J37" s="110">
        <f t="shared" si="23"/>
        <v>178819.9104761905</v>
      </c>
      <c r="K37" s="110">
        <f t="shared" si="23"/>
        <v>185425.86285714287</v>
      </c>
      <c r="L37" s="110">
        <f t="shared" si="23"/>
        <v>187572.29142857145</v>
      </c>
      <c r="M37" s="110">
        <f t="shared" si="23"/>
        <v>191718.72</v>
      </c>
      <c r="N37" s="110">
        <f t="shared" si="16"/>
        <v>2111917.084761905</v>
      </c>
      <c r="O37" s="111">
        <f t="shared" si="17"/>
        <v>0.28447390666838035</v>
      </c>
      <c r="P37" s="84"/>
      <c r="Q37" s="84"/>
      <c r="R37" s="112"/>
      <c r="S37" s="112"/>
      <c r="T37" s="112"/>
      <c r="U37" s="110">
        <f t="shared" ref="U37:AF37" si="24">U19+U22+U27+U28+U29+U30+U31+U36+U20+U21</f>
        <v>53996.687320622674</v>
      </c>
      <c r="V37" s="110">
        <f t="shared" si="24"/>
        <v>53996.687320622674</v>
      </c>
      <c r="W37" s="110">
        <f t="shared" si="24"/>
        <v>53996.687320622674</v>
      </c>
      <c r="X37" s="110">
        <f t="shared" si="24"/>
        <v>53996.687320622674</v>
      </c>
      <c r="Y37" s="110">
        <f t="shared" si="24"/>
        <v>53996.687320622674</v>
      </c>
      <c r="Z37" s="110">
        <f t="shared" si="24"/>
        <v>53996.687320622674</v>
      </c>
      <c r="AA37" s="110">
        <f t="shared" si="24"/>
        <v>53996.687320622674</v>
      </c>
      <c r="AB37" s="110">
        <f t="shared" si="24"/>
        <v>53996.687320622674</v>
      </c>
      <c r="AC37" s="110">
        <f t="shared" si="24"/>
        <v>53996.687320622674</v>
      </c>
      <c r="AD37" s="110">
        <f t="shared" si="24"/>
        <v>55616.587940241363</v>
      </c>
      <c r="AE37" s="110">
        <f t="shared" si="24"/>
        <v>55616.587940241363</v>
      </c>
      <c r="AF37" s="110">
        <f t="shared" si="24"/>
        <v>55616.587940241363</v>
      </c>
      <c r="AG37" s="110">
        <f t="shared" si="18"/>
        <v>652819.9497063281</v>
      </c>
      <c r="AH37" s="111" t="str">
        <f t="shared" si="19"/>
        <v/>
      </c>
      <c r="AJ37" s="110">
        <f t="shared" si="20"/>
        <v>1459097.1350555769</v>
      </c>
    </row>
    <row r="38" spans="1:36" x14ac:dyDescent="0.3">
      <c r="A38" s="113" t="s">
        <v>124</v>
      </c>
      <c r="B38" s="84">
        <f>IFERROR(SUMIF([2]Jan26A!$A:$A,$A38,INDEX([2]Jan26A!$A:$N,0,MATCH($A$1,[2]Jan26A!$A$7:$N$7,0))),0)</f>
        <v>0</v>
      </c>
      <c r="C38" s="84">
        <f>IFERROR(SUMIF([2]Feb26A!$A:$A,$A38,INDEX([2]Feb26A!$A:$N,0,MATCH($A$1,[2]Feb26A!$A$7:$N$7,0))),0)</f>
        <v>0</v>
      </c>
      <c r="D38" s="84">
        <f>IFERROR(SUMIF([2]Mar26A!$A:$A,$A38,INDEX([2]Mar26A!$A:$N,0,MATCH($A$1,[2]Mar26A!$A$7:$N$7,0))),0)</f>
        <v>2782.65</v>
      </c>
      <c r="E38" s="84">
        <f>IFERROR(SUMIF([2]Apr26A!$A:$A,$A38,INDEX([2]Apr26A!$A:$N,0,MATCH($A$1,[2]Apr26A!$A$7:$N$7,0))),0)</f>
        <v>56.1</v>
      </c>
      <c r="F38" s="84">
        <f>IFERROR(SUMIF([2]May26A!$A:$A,$A38,INDEX([2]May26A!$A:$N,0,MATCH($A$1,[2]May26A!$A$7:$N$7,0))),0)</f>
        <v>0</v>
      </c>
      <c r="G38" s="84">
        <f>IFERROR(SUMIF([2]Jun26A!$A:$A,$A38,INDEX([2]Jun26A!$A:$N,0,MATCH($A$1,[2]Jun26A!$A$7:$N$7,0))),0)</f>
        <v>0</v>
      </c>
      <c r="H38" s="84">
        <f>IFERROR(SUMIF([2]Jul26A!$A:$A,$A38,INDEX([2]Jul26A!$A:$N,0,MATCH($A$1,[2]Jul26A!$A$7:$N$7,0))),0)</f>
        <v>0</v>
      </c>
      <c r="I38" s="84">
        <f>IFERROR(SUMIF([2]Aug26A!$A:$A,$A38,INDEX([2]Aug26A!$A:$N,0,MATCH($A$1,[2]Aug26A!$A$7:$N$7,0))),0)</f>
        <v>0</v>
      </c>
      <c r="J38" s="117">
        <v>0</v>
      </c>
      <c r="K38" s="117">
        <v>0</v>
      </c>
      <c r="L38" s="117">
        <v>0</v>
      </c>
      <c r="M38" s="117">
        <v>0</v>
      </c>
      <c r="N38" s="84">
        <f t="shared" si="16"/>
        <v>2838.75</v>
      </c>
      <c r="O38" s="105">
        <f t="shared" si="17"/>
        <v>3.8237784446253813E-4</v>
      </c>
      <c r="P38" s="84"/>
      <c r="Q38" s="84"/>
      <c r="R38" s="106" t="s">
        <v>99</v>
      </c>
      <c r="S38" s="107">
        <v>0</v>
      </c>
      <c r="T38" s="108">
        <v>0.05</v>
      </c>
      <c r="U38" s="104">
        <f t="shared" ref="U38:AF42" si="25">IF($R38="Manual","",IFERROR(IF($R38="YOY Growth",$N38*(1+$T38)/12,$S38/12),""))</f>
        <v>0</v>
      </c>
      <c r="V38" s="104">
        <f t="shared" si="25"/>
        <v>0</v>
      </c>
      <c r="W38" s="104">
        <f t="shared" si="25"/>
        <v>0</v>
      </c>
      <c r="X38" s="104">
        <f t="shared" si="25"/>
        <v>0</v>
      </c>
      <c r="Y38" s="104">
        <f t="shared" si="25"/>
        <v>0</v>
      </c>
      <c r="Z38" s="104">
        <f t="shared" si="25"/>
        <v>0</v>
      </c>
      <c r="AA38" s="104">
        <f t="shared" si="25"/>
        <v>0</v>
      </c>
      <c r="AB38" s="104">
        <f t="shared" si="25"/>
        <v>0</v>
      </c>
      <c r="AC38" s="104">
        <f t="shared" si="25"/>
        <v>0</v>
      </c>
      <c r="AD38" s="104">
        <f t="shared" si="25"/>
        <v>0</v>
      </c>
      <c r="AE38" s="104">
        <f t="shared" si="25"/>
        <v>0</v>
      </c>
      <c r="AF38" s="104">
        <f t="shared" si="25"/>
        <v>0</v>
      </c>
      <c r="AG38" s="84">
        <f t="shared" si="18"/>
        <v>0</v>
      </c>
      <c r="AH38" s="105" t="str">
        <f t="shared" si="19"/>
        <v/>
      </c>
      <c r="AJ38" s="84">
        <f t="shared" si="20"/>
        <v>2838.75</v>
      </c>
    </row>
    <row r="39" spans="1:36" x14ac:dyDescent="0.3">
      <c r="A39" s="113" t="s">
        <v>125</v>
      </c>
      <c r="B39" s="84">
        <f>IFERROR(SUMIF([2]Jan26A!$A:$A,$A39,INDEX([2]Jan26A!$A:$N,0,MATCH($A$1,[2]Jan26A!$A$7:$N$7,0))),0)</f>
        <v>0</v>
      </c>
      <c r="C39" s="84">
        <f>IFERROR(SUMIF([2]Feb26A!$A:$A,$A39,INDEX([2]Feb26A!$A:$N,0,MATCH($A$1,[2]Feb26A!$A$7:$N$7,0))),0)</f>
        <v>0</v>
      </c>
      <c r="D39" s="84">
        <f>IFERROR(SUMIF([2]Mar26A!$A:$A,$A39,INDEX([2]Mar26A!$A:$N,0,MATCH($A$1,[2]Mar26A!$A$7:$N$7,0))),0)</f>
        <v>0</v>
      </c>
      <c r="E39" s="84">
        <f>IFERROR(SUMIF([2]Apr26A!$A:$A,$A39,INDEX([2]Apr26A!$A:$N,0,MATCH($A$1,[2]Apr26A!$A$7:$N$7,0))),0)</f>
        <v>0</v>
      </c>
      <c r="F39" s="84">
        <f>IFERROR(SUMIF([2]May26A!$A:$A,$A39,INDEX([2]May26A!$A:$N,0,MATCH($A$1,[2]May26A!$A$7:$N$7,0))),0)</f>
        <v>6857.32</v>
      </c>
      <c r="G39" s="84">
        <f>IFERROR(SUMIF([2]Jun26A!$A:$A,$A39,INDEX([2]Jun26A!$A:$N,0,MATCH($A$1,[2]Jun26A!$A$7:$N$7,0))),0)</f>
        <v>0</v>
      </c>
      <c r="H39" s="84">
        <f>IFERROR(SUMIF([2]Jul26A!$A:$A,$A39,INDEX([2]Jul26A!$A:$N,0,MATCH($A$1,[2]Jul26A!$A$7:$N$7,0))),0)</f>
        <v>10645.5</v>
      </c>
      <c r="I39" s="84">
        <f>IFERROR(SUMIF([2]Aug26A!$A:$A,$A39,INDEX([2]Aug26A!$A:$N,0,MATCH($A$1,[2]Aug26A!$A$7:$N$7,0))),0)</f>
        <v>1721.11</v>
      </c>
      <c r="J39" s="117">
        <v>3000</v>
      </c>
      <c r="K39" s="117">
        <v>1000</v>
      </c>
      <c r="L39" s="117">
        <v>1000</v>
      </c>
      <c r="M39" s="117">
        <v>1000</v>
      </c>
      <c r="N39" s="84">
        <f t="shared" si="16"/>
        <v>25223.93</v>
      </c>
      <c r="O39" s="105">
        <f t="shared" si="17"/>
        <v>3.3976475498983531E-3</v>
      </c>
      <c r="P39" s="84"/>
      <c r="Q39" s="84"/>
      <c r="R39" s="106" t="s">
        <v>99</v>
      </c>
      <c r="S39" s="107">
        <v>0</v>
      </c>
      <c r="T39" s="108">
        <v>0.05</v>
      </c>
      <c r="U39" s="104">
        <f t="shared" si="25"/>
        <v>0</v>
      </c>
      <c r="V39" s="104">
        <f t="shared" si="25"/>
        <v>0</v>
      </c>
      <c r="W39" s="104">
        <f t="shared" si="25"/>
        <v>0</v>
      </c>
      <c r="X39" s="104">
        <f t="shared" si="25"/>
        <v>0</v>
      </c>
      <c r="Y39" s="104">
        <f t="shared" si="25"/>
        <v>0</v>
      </c>
      <c r="Z39" s="104">
        <f t="shared" si="25"/>
        <v>0</v>
      </c>
      <c r="AA39" s="104">
        <f t="shared" si="25"/>
        <v>0</v>
      </c>
      <c r="AB39" s="104">
        <f t="shared" si="25"/>
        <v>0</v>
      </c>
      <c r="AC39" s="104">
        <f t="shared" si="25"/>
        <v>0</v>
      </c>
      <c r="AD39" s="104">
        <f t="shared" si="25"/>
        <v>0</v>
      </c>
      <c r="AE39" s="104">
        <f t="shared" si="25"/>
        <v>0</v>
      </c>
      <c r="AF39" s="104">
        <f t="shared" si="25"/>
        <v>0</v>
      </c>
      <c r="AG39" s="84">
        <f t="shared" si="18"/>
        <v>0</v>
      </c>
      <c r="AH39" s="105" t="str">
        <f t="shared" si="19"/>
        <v/>
      </c>
      <c r="AJ39" s="84">
        <f t="shared" si="20"/>
        <v>25223.93</v>
      </c>
    </row>
    <row r="40" spans="1:36" x14ac:dyDescent="0.3">
      <c r="A40" s="113" t="s">
        <v>126</v>
      </c>
      <c r="B40" s="84">
        <f>IFERROR(SUMIF([2]Jan26A!$A:$A,$A40,INDEX([2]Jan26A!$A:$N,0,MATCH($A$1,[2]Jan26A!$A$7:$N$7,0))),0)</f>
        <v>0</v>
      </c>
      <c r="C40" s="84">
        <f>IFERROR(SUMIF([2]Feb26A!$A:$A,$A40,INDEX([2]Feb26A!$A:$N,0,MATCH($A$1,[2]Feb26A!$A$7:$N$7,0))),0)</f>
        <v>0</v>
      </c>
      <c r="D40" s="84">
        <f>IFERROR(SUMIF([2]Mar26A!$A:$A,$A40,INDEX([2]Mar26A!$A:$N,0,MATCH($A$1,[2]Mar26A!$A$7:$N$7,0))),0)</f>
        <v>0</v>
      </c>
      <c r="E40" s="84">
        <f>IFERROR(SUMIF([2]Apr26A!$A:$A,$A40,INDEX([2]Apr26A!$A:$N,0,MATCH($A$1,[2]Apr26A!$A$7:$N$7,0))),0)</f>
        <v>0</v>
      </c>
      <c r="F40" s="84">
        <f>IFERROR(SUMIF([2]May26A!$A:$A,$A40,INDEX([2]May26A!$A:$N,0,MATCH($A$1,[2]May26A!$A$7:$N$7,0))),0)</f>
        <v>125</v>
      </c>
      <c r="G40" s="84">
        <f>IFERROR(SUMIF([2]Jun26A!$A:$A,$A40,INDEX([2]Jun26A!$A:$N,0,MATCH($A$1,[2]Jun26A!$A$7:$N$7,0))),0)</f>
        <v>-362.34</v>
      </c>
      <c r="H40" s="84">
        <f>IFERROR(SUMIF([2]Jul26A!$A:$A,$A40,INDEX([2]Jul26A!$A:$N,0,MATCH($A$1,[2]Jul26A!$A$7:$N$7,0))),0)</f>
        <v>0</v>
      </c>
      <c r="I40" s="84">
        <f>IFERROR(SUMIF([2]Aug26A!$A:$A,$A40,INDEX([2]Aug26A!$A:$N,0,MATCH($A$1,[2]Aug26A!$A$7:$N$7,0))),0)</f>
        <v>4095.3</v>
      </c>
      <c r="J40" s="117">
        <v>125</v>
      </c>
      <c r="K40" s="117">
        <v>125</v>
      </c>
      <c r="L40" s="117">
        <v>125</v>
      </c>
      <c r="M40" s="117">
        <v>125</v>
      </c>
      <c r="N40" s="84">
        <f t="shared" si="16"/>
        <v>4357.96</v>
      </c>
      <c r="O40" s="105">
        <f t="shared" si="17"/>
        <v>5.8701447857471161E-4</v>
      </c>
      <c r="P40" s="84"/>
      <c r="Q40" s="84"/>
      <c r="R40" s="106" t="s">
        <v>99</v>
      </c>
      <c r="S40" s="107">
        <v>0</v>
      </c>
      <c r="T40" s="108">
        <v>0.05</v>
      </c>
      <c r="U40" s="104">
        <f t="shared" si="25"/>
        <v>0</v>
      </c>
      <c r="V40" s="104">
        <f t="shared" si="25"/>
        <v>0</v>
      </c>
      <c r="W40" s="104">
        <f t="shared" si="25"/>
        <v>0</v>
      </c>
      <c r="X40" s="104">
        <f t="shared" si="25"/>
        <v>0</v>
      </c>
      <c r="Y40" s="104">
        <f t="shared" si="25"/>
        <v>0</v>
      </c>
      <c r="Z40" s="104">
        <f t="shared" si="25"/>
        <v>0</v>
      </c>
      <c r="AA40" s="104">
        <f t="shared" si="25"/>
        <v>0</v>
      </c>
      <c r="AB40" s="104">
        <f t="shared" si="25"/>
        <v>0</v>
      </c>
      <c r="AC40" s="104">
        <f t="shared" si="25"/>
        <v>0</v>
      </c>
      <c r="AD40" s="104">
        <f t="shared" si="25"/>
        <v>0</v>
      </c>
      <c r="AE40" s="104">
        <f t="shared" si="25"/>
        <v>0</v>
      </c>
      <c r="AF40" s="104">
        <f t="shared" si="25"/>
        <v>0</v>
      </c>
      <c r="AG40" s="84">
        <f t="shared" si="18"/>
        <v>0</v>
      </c>
      <c r="AH40" s="105" t="str">
        <f t="shared" si="19"/>
        <v/>
      </c>
      <c r="AJ40" s="84">
        <f t="shared" si="20"/>
        <v>4357.96</v>
      </c>
    </row>
    <row r="41" spans="1:36" x14ac:dyDescent="0.3">
      <c r="A41" s="113" t="s">
        <v>127</v>
      </c>
      <c r="B41" s="84">
        <f>IFERROR(SUMIF([2]Jan26A!$A:$A,$A41,INDEX([2]Jan26A!$A:$N,0,MATCH($A$1,[2]Jan26A!$A$7:$N$7,0))),0)</f>
        <v>0</v>
      </c>
      <c r="C41" s="84">
        <f>IFERROR(SUMIF([2]Feb26A!$A:$A,$A41,INDEX([2]Feb26A!$A:$N,0,MATCH($A$1,[2]Feb26A!$A$7:$N$7,0))),0)</f>
        <v>0</v>
      </c>
      <c r="D41" s="84">
        <f>IFERROR(SUMIF([2]Mar26A!$A:$A,$A41,INDEX([2]Mar26A!$A:$N,0,MATCH($A$1,[2]Mar26A!$A$7:$N$7,0))),0)</f>
        <v>0</v>
      </c>
      <c r="E41" s="84">
        <f>IFERROR(SUMIF([2]Apr26A!$A:$A,$A41,INDEX([2]Apr26A!$A:$N,0,MATCH($A$1,[2]Apr26A!$A$7:$N$7,0))),0)</f>
        <v>0</v>
      </c>
      <c r="F41" s="84">
        <f>IFERROR(SUMIF([2]May26A!$A:$A,$A41,INDEX([2]May26A!$A:$N,0,MATCH($A$1,[2]May26A!$A$7:$N$7,0))),0)</f>
        <v>0</v>
      </c>
      <c r="G41" s="84">
        <f>IFERROR(SUMIF([2]Jun26A!$A:$A,$A41,INDEX([2]Jun26A!$A:$N,0,MATCH($A$1,[2]Jun26A!$A$7:$N$7,0))),0)</f>
        <v>1662.88</v>
      </c>
      <c r="H41" s="84">
        <f>IFERROR(SUMIF([2]Jul26A!$A:$A,$A41,INDEX([2]Jul26A!$A:$N,0,MATCH($A$1,[2]Jul26A!$A$7:$N$7,0))),0)</f>
        <v>818.38</v>
      </c>
      <c r="I41" s="84">
        <f>IFERROR(SUMIF([2]Aug26A!$A:$A,$A41,INDEX([2]Aug26A!$A:$N,0,MATCH($A$1,[2]Aug26A!$A$7:$N$7,0))),0)</f>
        <v>111429.29</v>
      </c>
      <c r="J41" s="117"/>
      <c r="K41" s="117"/>
      <c r="L41" s="117"/>
      <c r="M41" s="117"/>
      <c r="N41" s="84">
        <f t="shared" si="16"/>
        <v>113910.54999999999</v>
      </c>
      <c r="O41" s="105">
        <f t="shared" si="17"/>
        <v>1.5343679637355234E-2</v>
      </c>
      <c r="P41" s="84"/>
      <c r="Q41" s="84"/>
      <c r="R41" s="106" t="s">
        <v>99</v>
      </c>
      <c r="S41" s="107">
        <v>0</v>
      </c>
      <c r="T41" s="108">
        <v>0.05</v>
      </c>
      <c r="U41" s="104">
        <f t="shared" si="25"/>
        <v>0</v>
      </c>
      <c r="V41" s="104">
        <f t="shared" si="25"/>
        <v>0</v>
      </c>
      <c r="W41" s="104">
        <f t="shared" si="25"/>
        <v>0</v>
      </c>
      <c r="X41" s="104">
        <f t="shared" si="25"/>
        <v>0</v>
      </c>
      <c r="Y41" s="104">
        <f t="shared" si="25"/>
        <v>0</v>
      </c>
      <c r="Z41" s="104">
        <f t="shared" si="25"/>
        <v>0</v>
      </c>
      <c r="AA41" s="104">
        <f t="shared" si="25"/>
        <v>0</v>
      </c>
      <c r="AB41" s="104">
        <f t="shared" si="25"/>
        <v>0</v>
      </c>
      <c r="AC41" s="104">
        <f t="shared" si="25"/>
        <v>0</v>
      </c>
      <c r="AD41" s="104">
        <f t="shared" si="25"/>
        <v>0</v>
      </c>
      <c r="AE41" s="104">
        <f t="shared" si="25"/>
        <v>0</v>
      </c>
      <c r="AF41" s="104">
        <f t="shared" si="25"/>
        <v>0</v>
      </c>
      <c r="AG41" s="84">
        <f t="shared" si="18"/>
        <v>0</v>
      </c>
      <c r="AH41" s="105" t="str">
        <f t="shared" si="19"/>
        <v/>
      </c>
      <c r="AJ41" s="84">
        <f t="shared" si="20"/>
        <v>113910.54999999999</v>
      </c>
    </row>
    <row r="42" spans="1:36" x14ac:dyDescent="0.3">
      <c r="A42" s="113" t="s">
        <v>128</v>
      </c>
      <c r="B42" s="84">
        <f>IFERROR(SUMIF([2]Jan26A!$A:$A,$A42,INDEX([2]Jan26A!$A:$N,0,MATCH($A$1,[2]Jan26A!$A$7:$N$7,0))),0)</f>
        <v>0</v>
      </c>
      <c r="C42" s="84">
        <f>IFERROR(SUMIF([2]Feb26A!$A:$A,$A42,INDEX([2]Feb26A!$A:$N,0,MATCH($A$1,[2]Feb26A!$A$7:$N$7,0))),0)</f>
        <v>0</v>
      </c>
      <c r="D42" s="84">
        <f>IFERROR(SUMIF([2]Mar26A!$A:$A,$A42,INDEX([2]Mar26A!$A:$N,0,MATCH($A$1,[2]Mar26A!$A$7:$N$7,0))),0)</f>
        <v>0</v>
      </c>
      <c r="E42" s="84">
        <f>IFERROR(SUMIF([2]Apr26A!$A:$A,$A42,INDEX([2]Apr26A!$A:$N,0,MATCH($A$1,[2]Apr26A!$A$7:$N$7,0))),0)</f>
        <v>0</v>
      </c>
      <c r="F42" s="84">
        <f>IFERROR(SUMIF([2]May26A!$A:$A,$A42,INDEX([2]May26A!$A:$N,0,MATCH($A$1,[2]May26A!$A$7:$N$7,0))),0)</f>
        <v>0</v>
      </c>
      <c r="G42" s="84">
        <f>IFERROR(SUMIF([2]Jun26A!$A:$A,$A42,INDEX([2]Jun26A!$A:$N,0,MATCH($A$1,[2]Jun26A!$A$7:$N$7,0))),0)</f>
        <v>0</v>
      </c>
      <c r="H42" s="84">
        <f>IFERROR(SUMIF([2]Jul26A!$A:$A,$A42,INDEX([2]Jul26A!$A:$N,0,MATCH($A$1,[2]Jul26A!$A$7:$N$7,0))),0)</f>
        <v>0</v>
      </c>
      <c r="I42" s="84">
        <f>IFERROR(SUMIF([2]Aug26A!$A:$A,$A42,INDEX([2]Aug26A!$A:$N,0,MATCH($A$1,[2]Aug26A!$A$7:$N$7,0))),0)</f>
        <v>0</v>
      </c>
      <c r="J42" s="117">
        <v>7000</v>
      </c>
      <c r="K42" s="117">
        <v>7000</v>
      </c>
      <c r="L42" s="117">
        <v>4000</v>
      </c>
      <c r="M42" s="117">
        <v>4000</v>
      </c>
      <c r="N42" s="84">
        <f t="shared" si="16"/>
        <v>22000</v>
      </c>
      <c r="O42" s="105">
        <f t="shared" si="17"/>
        <v>2.9633862010306788E-3</v>
      </c>
      <c r="P42" s="84"/>
      <c r="Q42" s="84"/>
      <c r="R42" s="106" t="s">
        <v>99</v>
      </c>
      <c r="S42" s="107">
        <v>0</v>
      </c>
      <c r="T42" s="108">
        <v>0.05</v>
      </c>
      <c r="U42" s="104">
        <f t="shared" si="25"/>
        <v>0</v>
      </c>
      <c r="V42" s="104">
        <f t="shared" si="25"/>
        <v>0</v>
      </c>
      <c r="W42" s="104">
        <f t="shared" si="25"/>
        <v>0</v>
      </c>
      <c r="X42" s="104">
        <f t="shared" si="25"/>
        <v>0</v>
      </c>
      <c r="Y42" s="104">
        <f t="shared" si="25"/>
        <v>0</v>
      </c>
      <c r="Z42" s="104">
        <f t="shared" si="25"/>
        <v>0</v>
      </c>
      <c r="AA42" s="104">
        <f t="shared" si="25"/>
        <v>0</v>
      </c>
      <c r="AB42" s="104">
        <f t="shared" si="25"/>
        <v>0</v>
      </c>
      <c r="AC42" s="104">
        <f t="shared" si="25"/>
        <v>0</v>
      </c>
      <c r="AD42" s="104">
        <f t="shared" si="25"/>
        <v>0</v>
      </c>
      <c r="AE42" s="104">
        <f t="shared" si="25"/>
        <v>0</v>
      </c>
      <c r="AF42" s="104">
        <f t="shared" si="25"/>
        <v>0</v>
      </c>
      <c r="AG42" s="84">
        <f t="shared" si="18"/>
        <v>0</v>
      </c>
      <c r="AH42" s="105" t="str">
        <f t="shared" si="19"/>
        <v/>
      </c>
      <c r="AJ42" s="84">
        <f t="shared" si="20"/>
        <v>22000</v>
      </c>
    </row>
    <row r="43" spans="1:36" x14ac:dyDescent="0.3">
      <c r="A43" s="102" t="s">
        <v>129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105"/>
      <c r="P43" s="84"/>
      <c r="Q43" s="84"/>
      <c r="R43" s="112"/>
      <c r="S43" s="112"/>
      <c r="T43" s="112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105"/>
      <c r="AJ43" s="84"/>
    </row>
    <row r="44" spans="1:36" x14ac:dyDescent="0.3">
      <c r="A44" s="103" t="s">
        <v>130</v>
      </c>
      <c r="B44" s="84">
        <f>IFERROR(SUMIF([2]Jan26A!$A:$A,$A44,INDEX([2]Jan26A!$A:$N,0,MATCH($A$1,[2]Jan26A!$A$7:$N$7,0))),0)</f>
        <v>0</v>
      </c>
      <c r="C44" s="84">
        <f>IFERROR(SUMIF([2]Feb26A!$A:$A,$A44,INDEX([2]Feb26A!$A:$N,0,MATCH($A$1,[2]Feb26A!$A$7:$N$7,0))),0)</f>
        <v>0</v>
      </c>
      <c r="D44" s="84">
        <f>IFERROR(SUMIF([2]Mar26A!$A:$A,$A44,INDEX([2]Mar26A!$A:$N,0,MATCH($A$1,[2]Mar26A!$A$7:$N$7,0))),0)</f>
        <v>0</v>
      </c>
      <c r="E44" s="84">
        <f>IFERROR(SUMIF([2]Apr26A!$A:$A,$A44,INDEX([2]Apr26A!$A:$N,0,MATCH($A$1,[2]Apr26A!$A$7:$N$7,0))),0)</f>
        <v>0</v>
      </c>
      <c r="F44" s="84">
        <f>IFERROR(SUMIF([2]May26A!$A:$A,$A44,INDEX([2]May26A!$A:$N,0,MATCH($A$1,[2]May26A!$A$7:$N$7,0))),0)</f>
        <v>0</v>
      </c>
      <c r="G44" s="84">
        <f>IFERROR(SUMIF([2]Jun26A!$A:$A,$A44,INDEX([2]Jun26A!$A:$N,0,MATCH($A$1,[2]Jun26A!$A$7:$N$7,0))),0)</f>
        <v>0</v>
      </c>
      <c r="H44" s="84">
        <f>IFERROR(SUMIF([2]Jul26A!$A:$A,$A44,INDEX([2]Jul26A!$A:$N,0,MATCH($A$1,[2]Jul26A!$A$7:$N$7,0))),0)</f>
        <v>0</v>
      </c>
      <c r="I44" s="84">
        <f>IFERROR(SUMIF([2]Aug26A!$A:$A,$A44,INDEX([2]Aug26A!$A:$N,0,MATCH($A$1,[2]Aug26A!$A$7:$N$7,0))),0)</f>
        <v>0</v>
      </c>
      <c r="J44" s="117">
        <v>0</v>
      </c>
      <c r="K44" s="117">
        <v>0</v>
      </c>
      <c r="L44" s="117">
        <v>0</v>
      </c>
      <c r="M44" s="117">
        <v>0</v>
      </c>
      <c r="N44" s="84">
        <f t="shared" ref="N44:N50" si="26">SUM(B44:M44)</f>
        <v>0</v>
      </c>
      <c r="O44" s="105">
        <f t="shared" ref="O44:O50" si="27">IFERROR(N44/N$16,"")</f>
        <v>0</v>
      </c>
      <c r="P44" s="84"/>
      <c r="Q44" s="84"/>
      <c r="R44" s="106" t="s">
        <v>99</v>
      </c>
      <c r="S44" s="107">
        <v>0</v>
      </c>
      <c r="T44" s="108">
        <v>0.05</v>
      </c>
      <c r="U44" s="104">
        <f t="shared" ref="U44:AF50" si="28">IF($R44="Manual","",IFERROR(IF($R44="YOY Growth",$N44*(1+$T44)/12,$S44/12),""))</f>
        <v>0</v>
      </c>
      <c r="V44" s="104">
        <f t="shared" si="28"/>
        <v>0</v>
      </c>
      <c r="W44" s="104">
        <f t="shared" si="28"/>
        <v>0</v>
      </c>
      <c r="X44" s="104">
        <f t="shared" si="28"/>
        <v>0</v>
      </c>
      <c r="Y44" s="104">
        <f t="shared" si="28"/>
        <v>0</v>
      </c>
      <c r="Z44" s="104">
        <f t="shared" si="28"/>
        <v>0</v>
      </c>
      <c r="AA44" s="104">
        <f t="shared" si="28"/>
        <v>0</v>
      </c>
      <c r="AB44" s="104">
        <f t="shared" si="28"/>
        <v>0</v>
      </c>
      <c r="AC44" s="104">
        <f t="shared" si="28"/>
        <v>0</v>
      </c>
      <c r="AD44" s="104">
        <f t="shared" si="28"/>
        <v>0</v>
      </c>
      <c r="AE44" s="104">
        <f t="shared" si="28"/>
        <v>0</v>
      </c>
      <c r="AF44" s="104">
        <f t="shared" si="28"/>
        <v>0</v>
      </c>
      <c r="AG44" s="84">
        <f t="shared" ref="AG44:AG50" si="29">SUM(U44:AF44)</f>
        <v>0</v>
      </c>
      <c r="AH44" s="105" t="str">
        <f t="shared" ref="AH44:AH50" si="30">IFERROR(AG44/AG$16,"")</f>
        <v/>
      </c>
      <c r="AJ44" s="84">
        <f t="shared" ref="AJ44:AJ50" si="31">N44-AG44</f>
        <v>0</v>
      </c>
    </row>
    <row r="45" spans="1:36" x14ac:dyDescent="0.3">
      <c r="A45" s="103" t="s">
        <v>131</v>
      </c>
      <c r="B45" s="84">
        <f>IFERROR(SUMIF([2]Jan26A!$A:$A,$A45,INDEX([2]Jan26A!$A:$N,0,MATCH($A$1,[2]Jan26A!$A$7:$N$7,0))),0)</f>
        <v>0</v>
      </c>
      <c r="C45" s="84">
        <f>IFERROR(SUMIF([2]Feb26A!$A:$A,$A45,INDEX([2]Feb26A!$A:$N,0,MATCH($A$1,[2]Feb26A!$A$7:$N$7,0))),0)</f>
        <v>0</v>
      </c>
      <c r="D45" s="84">
        <f>IFERROR(SUMIF([2]Mar26A!$A:$A,$A45,INDEX([2]Mar26A!$A:$N,0,MATCH($A$1,[2]Mar26A!$A$7:$N$7,0))),0)</f>
        <v>0</v>
      </c>
      <c r="E45" s="84">
        <f>IFERROR(SUMIF([2]Apr26A!$A:$A,$A45,INDEX([2]Apr26A!$A:$N,0,MATCH($A$1,[2]Apr26A!$A$7:$N$7,0))),0)</f>
        <v>1100</v>
      </c>
      <c r="F45" s="84">
        <f>IFERROR(SUMIF([2]May26A!$A:$A,$A45,INDEX([2]May26A!$A:$N,0,MATCH($A$1,[2]May26A!$A$7:$N$7,0))),0)</f>
        <v>0</v>
      </c>
      <c r="G45" s="84">
        <f>IFERROR(SUMIF([2]Jun26A!$A:$A,$A45,INDEX([2]Jun26A!$A:$N,0,MATCH($A$1,[2]Jun26A!$A$7:$N$7,0))),0)</f>
        <v>0</v>
      </c>
      <c r="H45" s="84">
        <f>IFERROR(SUMIF([2]Jul26A!$A:$A,$A45,INDEX([2]Jul26A!$A:$N,0,MATCH($A$1,[2]Jul26A!$A$7:$N$7,0))),0)</f>
        <v>0</v>
      </c>
      <c r="I45" s="84">
        <f>IFERROR(SUMIF([2]Aug26A!$A:$A,$A45,INDEX([2]Aug26A!$A:$N,0,MATCH($A$1,[2]Aug26A!$A$7:$N$7,0))),0)</f>
        <v>0</v>
      </c>
      <c r="J45" s="117">
        <v>0</v>
      </c>
      <c r="K45" s="117">
        <v>0</v>
      </c>
      <c r="L45" s="117">
        <v>0</v>
      </c>
      <c r="M45" s="117">
        <v>0</v>
      </c>
      <c r="N45" s="84">
        <f t="shared" si="26"/>
        <v>1100</v>
      </c>
      <c r="O45" s="105">
        <f t="shared" si="27"/>
        <v>1.4816931005153392E-4</v>
      </c>
      <c r="P45" s="84"/>
      <c r="Q45" s="84"/>
      <c r="R45" s="106" t="s">
        <v>99</v>
      </c>
      <c r="S45" s="107">
        <v>0</v>
      </c>
      <c r="T45" s="108">
        <v>0.05</v>
      </c>
      <c r="U45" s="104">
        <f t="shared" si="28"/>
        <v>0</v>
      </c>
      <c r="V45" s="104">
        <f t="shared" si="28"/>
        <v>0</v>
      </c>
      <c r="W45" s="104">
        <f t="shared" si="28"/>
        <v>0</v>
      </c>
      <c r="X45" s="104">
        <f t="shared" si="28"/>
        <v>0</v>
      </c>
      <c r="Y45" s="104">
        <f t="shared" si="28"/>
        <v>0</v>
      </c>
      <c r="Z45" s="104">
        <f t="shared" si="28"/>
        <v>0</v>
      </c>
      <c r="AA45" s="104">
        <f t="shared" si="28"/>
        <v>0</v>
      </c>
      <c r="AB45" s="104">
        <f t="shared" si="28"/>
        <v>0</v>
      </c>
      <c r="AC45" s="104">
        <f t="shared" si="28"/>
        <v>0</v>
      </c>
      <c r="AD45" s="104">
        <f t="shared" si="28"/>
        <v>0</v>
      </c>
      <c r="AE45" s="104">
        <f t="shared" si="28"/>
        <v>0</v>
      </c>
      <c r="AF45" s="104">
        <f t="shared" si="28"/>
        <v>0</v>
      </c>
      <c r="AG45" s="84">
        <f t="shared" si="29"/>
        <v>0</v>
      </c>
      <c r="AH45" s="105" t="str">
        <f t="shared" si="30"/>
        <v/>
      </c>
      <c r="AJ45" s="84">
        <f t="shared" si="31"/>
        <v>1100</v>
      </c>
    </row>
    <row r="46" spans="1:36" x14ac:dyDescent="0.3">
      <c r="A46" s="103" t="s">
        <v>132</v>
      </c>
      <c r="B46" s="84">
        <f>IFERROR(SUMIF([2]Jan26A!$A:$A,$A46,INDEX([2]Jan26A!$A:$N,0,MATCH($A$1,[2]Jan26A!$A$7:$N$7,0))),0)</f>
        <v>0</v>
      </c>
      <c r="C46" s="84">
        <f>IFERROR(SUMIF([2]Feb26A!$A:$A,$A46,INDEX([2]Feb26A!$A:$N,0,MATCH($A$1,[2]Feb26A!$A$7:$N$7,0))),0)</f>
        <v>0</v>
      </c>
      <c r="D46" s="84">
        <f>IFERROR(SUMIF([2]Mar26A!$A:$A,$A46,INDEX([2]Mar26A!$A:$N,0,MATCH($A$1,[2]Mar26A!$A$7:$N$7,0))),0)</f>
        <v>0</v>
      </c>
      <c r="E46" s="84">
        <f>IFERROR(SUMIF([2]Apr26A!$A:$A,$A46,INDEX([2]Apr26A!$A:$N,0,MATCH($A$1,[2]Apr26A!$A$7:$N$7,0))),0)</f>
        <v>0</v>
      </c>
      <c r="F46" s="84">
        <f>IFERROR(SUMIF([2]May26A!$A:$A,$A46,INDEX([2]May26A!$A:$N,0,MATCH($A$1,[2]May26A!$A$7:$N$7,0))),0)</f>
        <v>0</v>
      </c>
      <c r="G46" s="84">
        <f>IFERROR(SUMIF([2]Jun26A!$A:$A,$A46,INDEX([2]Jun26A!$A:$N,0,MATCH($A$1,[2]Jun26A!$A$7:$N$7,0))),0)</f>
        <v>0</v>
      </c>
      <c r="H46" s="84">
        <f>IFERROR(SUMIF([2]Jul26A!$A:$A,$A46,INDEX([2]Jul26A!$A:$N,0,MATCH($A$1,[2]Jul26A!$A$7:$N$7,0))),0)</f>
        <v>0</v>
      </c>
      <c r="I46" s="84">
        <f>IFERROR(SUMIF([2]Aug26A!$A:$A,$A46,INDEX([2]Aug26A!$A:$N,0,MATCH($A$1,[2]Aug26A!$A$7:$N$7,0))),0)</f>
        <v>0</v>
      </c>
      <c r="J46" s="117">
        <v>0</v>
      </c>
      <c r="K46" s="117">
        <v>0</v>
      </c>
      <c r="L46" s="117">
        <v>0</v>
      </c>
      <c r="M46" s="117">
        <v>0</v>
      </c>
      <c r="N46" s="84">
        <f t="shared" si="26"/>
        <v>0</v>
      </c>
      <c r="O46" s="105">
        <f t="shared" si="27"/>
        <v>0</v>
      </c>
      <c r="P46" s="84"/>
      <c r="Q46" s="84"/>
      <c r="R46" s="106" t="s">
        <v>99</v>
      </c>
      <c r="S46" s="107">
        <v>0</v>
      </c>
      <c r="T46" s="108">
        <v>0.05</v>
      </c>
      <c r="U46" s="104">
        <f t="shared" si="28"/>
        <v>0</v>
      </c>
      <c r="V46" s="104">
        <f t="shared" si="28"/>
        <v>0</v>
      </c>
      <c r="W46" s="104">
        <f t="shared" si="28"/>
        <v>0</v>
      </c>
      <c r="X46" s="104">
        <f t="shared" si="28"/>
        <v>0</v>
      </c>
      <c r="Y46" s="104">
        <f t="shared" si="28"/>
        <v>0</v>
      </c>
      <c r="Z46" s="104">
        <f t="shared" si="28"/>
        <v>0</v>
      </c>
      <c r="AA46" s="104">
        <f t="shared" si="28"/>
        <v>0</v>
      </c>
      <c r="AB46" s="104">
        <f t="shared" si="28"/>
        <v>0</v>
      </c>
      <c r="AC46" s="104">
        <f t="shared" si="28"/>
        <v>0</v>
      </c>
      <c r="AD46" s="104">
        <f t="shared" si="28"/>
        <v>0</v>
      </c>
      <c r="AE46" s="104">
        <f t="shared" si="28"/>
        <v>0</v>
      </c>
      <c r="AF46" s="104">
        <f t="shared" si="28"/>
        <v>0</v>
      </c>
      <c r="AG46" s="84">
        <f t="shared" si="29"/>
        <v>0</v>
      </c>
      <c r="AH46" s="105" t="str">
        <f t="shared" si="30"/>
        <v/>
      </c>
      <c r="AJ46" s="84">
        <f t="shared" si="31"/>
        <v>0</v>
      </c>
    </row>
    <row r="47" spans="1:36" x14ac:dyDescent="0.3">
      <c r="A47" s="103" t="s">
        <v>133</v>
      </c>
      <c r="B47" s="84">
        <f>IFERROR(SUMIF([2]Jan26A!$A:$A,$A47,INDEX([2]Jan26A!$A:$N,0,MATCH($A$1,[2]Jan26A!$A$7:$N$7,0))),0)</f>
        <v>1101.49</v>
      </c>
      <c r="C47" s="84">
        <f>IFERROR(SUMIF([2]Feb26A!$A:$A,$A47,INDEX([2]Feb26A!$A:$N,0,MATCH($A$1,[2]Feb26A!$A$7:$N$7,0))),0)</f>
        <v>14250.32</v>
      </c>
      <c r="D47" s="84">
        <f>IFERROR(SUMIF([2]Mar26A!$A:$A,$A47,INDEX([2]Mar26A!$A:$N,0,MATCH($A$1,[2]Mar26A!$A$7:$N$7,0))),0)</f>
        <v>4902.7299999999996</v>
      </c>
      <c r="E47" s="84">
        <f>IFERROR(SUMIF([2]Apr26A!$A:$A,$A47,INDEX([2]Apr26A!$A:$N,0,MATCH($A$1,[2]Apr26A!$A$7:$N$7,0))),0)</f>
        <v>97.11</v>
      </c>
      <c r="F47" s="84">
        <f>IFERROR(SUMIF([2]May26A!$A:$A,$A47,INDEX([2]May26A!$A:$N,0,MATCH($A$1,[2]May26A!$A$7:$N$7,0))),0)</f>
        <v>17369.79</v>
      </c>
      <c r="G47" s="84">
        <f>IFERROR(SUMIF([2]Jun26A!$A:$A,$A47,INDEX([2]Jun26A!$A:$N,0,MATCH($A$1,[2]Jun26A!$A$7:$N$7,0))),0)</f>
        <v>20676.3</v>
      </c>
      <c r="H47" s="84">
        <f>IFERROR(SUMIF([2]Jul26A!$A:$A,$A47,INDEX([2]Jul26A!$A:$N,0,MATCH($A$1,[2]Jul26A!$A$7:$N$7,0))),0)</f>
        <v>1239.24</v>
      </c>
      <c r="I47" s="84">
        <f>IFERROR(SUMIF([2]Aug26A!$A:$A,$A47,INDEX([2]Aug26A!$A:$N,0,MATCH($A$1,[2]Aug26A!$A$7:$N$7,0))),0)</f>
        <v>0</v>
      </c>
      <c r="J47" s="117">
        <v>1000</v>
      </c>
      <c r="K47" s="117">
        <v>1000</v>
      </c>
      <c r="L47" s="117">
        <v>1000</v>
      </c>
      <c r="M47" s="117">
        <v>1000</v>
      </c>
      <c r="N47" s="84">
        <f t="shared" si="26"/>
        <v>63636.98</v>
      </c>
      <c r="O47" s="105">
        <f t="shared" si="27"/>
        <v>8.5718612912393313E-3</v>
      </c>
      <c r="P47" s="84"/>
      <c r="Q47" s="84"/>
      <c r="R47" s="106" t="s">
        <v>99</v>
      </c>
      <c r="S47" s="107">
        <v>0</v>
      </c>
      <c r="T47" s="108">
        <v>0.05</v>
      </c>
      <c r="U47" s="104">
        <f t="shared" si="28"/>
        <v>0</v>
      </c>
      <c r="V47" s="104">
        <f t="shared" si="28"/>
        <v>0</v>
      </c>
      <c r="W47" s="104">
        <f t="shared" si="28"/>
        <v>0</v>
      </c>
      <c r="X47" s="104">
        <f t="shared" si="28"/>
        <v>0</v>
      </c>
      <c r="Y47" s="104">
        <f t="shared" si="28"/>
        <v>0</v>
      </c>
      <c r="Z47" s="104">
        <f t="shared" si="28"/>
        <v>0</v>
      </c>
      <c r="AA47" s="104">
        <f t="shared" si="28"/>
        <v>0</v>
      </c>
      <c r="AB47" s="104">
        <f t="shared" si="28"/>
        <v>0</v>
      </c>
      <c r="AC47" s="104">
        <f t="shared" si="28"/>
        <v>0</v>
      </c>
      <c r="AD47" s="104">
        <f t="shared" si="28"/>
        <v>0</v>
      </c>
      <c r="AE47" s="104">
        <f t="shared" si="28"/>
        <v>0</v>
      </c>
      <c r="AF47" s="104">
        <f t="shared" si="28"/>
        <v>0</v>
      </c>
      <c r="AG47" s="84">
        <f t="shared" si="29"/>
        <v>0</v>
      </c>
      <c r="AH47" s="105" t="str">
        <f t="shared" si="30"/>
        <v/>
      </c>
      <c r="AJ47" s="84">
        <f t="shared" si="31"/>
        <v>63636.98</v>
      </c>
    </row>
    <row r="48" spans="1:36" x14ac:dyDescent="0.3">
      <c r="A48" s="103" t="s">
        <v>134</v>
      </c>
      <c r="B48" s="84">
        <f>IFERROR(SUMIF([2]Jan26A!$A:$A,$A48,INDEX([2]Jan26A!$A:$N,0,MATCH($A$1,[2]Jan26A!$A$7:$N$7,0))),0)</f>
        <v>1745.99</v>
      </c>
      <c r="C48" s="84">
        <f>IFERROR(SUMIF([2]Feb26A!$A:$A,$A48,INDEX([2]Feb26A!$A:$N,0,MATCH($A$1,[2]Feb26A!$A$7:$N$7,0))),0)</f>
        <v>1595</v>
      </c>
      <c r="D48" s="84">
        <f>IFERROR(SUMIF([2]Mar26A!$A:$A,$A48,INDEX([2]Mar26A!$A:$N,0,MATCH($A$1,[2]Mar26A!$A$7:$N$7,0))),0)</f>
        <v>0</v>
      </c>
      <c r="E48" s="84">
        <f>IFERROR(SUMIF([2]Apr26A!$A:$A,$A48,INDEX([2]Apr26A!$A:$N,0,MATCH($A$1,[2]Apr26A!$A$7:$N$7,0))),0)</f>
        <v>0</v>
      </c>
      <c r="F48" s="84">
        <f>IFERROR(SUMIF([2]May26A!$A:$A,$A48,INDEX([2]May26A!$A:$N,0,MATCH($A$1,[2]May26A!$A$7:$N$7,0))),0)</f>
        <v>0</v>
      </c>
      <c r="G48" s="84">
        <f>IFERROR(SUMIF([2]Jun26A!$A:$A,$A48,INDEX([2]Jun26A!$A:$N,0,MATCH($A$1,[2]Jun26A!$A$7:$N$7,0))),0)</f>
        <v>0</v>
      </c>
      <c r="H48" s="84">
        <f>IFERROR(SUMIF([2]Jul26A!$A:$A,$A48,INDEX([2]Jul26A!$A:$N,0,MATCH($A$1,[2]Jul26A!$A$7:$N$7,0))),0)</f>
        <v>0</v>
      </c>
      <c r="I48" s="84">
        <f>IFERROR(SUMIF([2]Aug26A!$A:$A,$A48,INDEX([2]Aug26A!$A:$N,0,MATCH($A$1,[2]Aug26A!$A$7:$N$7,0))),0)</f>
        <v>0</v>
      </c>
      <c r="J48" s="117">
        <v>0</v>
      </c>
      <c r="K48" s="117">
        <v>0</v>
      </c>
      <c r="L48" s="117">
        <v>0</v>
      </c>
      <c r="M48" s="117">
        <v>0</v>
      </c>
      <c r="N48" s="84">
        <f t="shared" si="26"/>
        <v>3340.99</v>
      </c>
      <c r="O48" s="105">
        <f t="shared" si="27"/>
        <v>4.50029257444613E-4</v>
      </c>
      <c r="P48" s="84"/>
      <c r="Q48" s="84"/>
      <c r="R48" s="106" t="s">
        <v>99</v>
      </c>
      <c r="S48" s="107">
        <v>0</v>
      </c>
      <c r="T48" s="108">
        <v>0.05</v>
      </c>
      <c r="U48" s="104">
        <f t="shared" si="28"/>
        <v>0</v>
      </c>
      <c r="V48" s="104">
        <f t="shared" si="28"/>
        <v>0</v>
      </c>
      <c r="W48" s="104">
        <f t="shared" si="28"/>
        <v>0</v>
      </c>
      <c r="X48" s="104">
        <f t="shared" si="28"/>
        <v>0</v>
      </c>
      <c r="Y48" s="104">
        <f t="shared" si="28"/>
        <v>0</v>
      </c>
      <c r="Z48" s="104">
        <f t="shared" si="28"/>
        <v>0</v>
      </c>
      <c r="AA48" s="104">
        <f t="shared" si="28"/>
        <v>0</v>
      </c>
      <c r="AB48" s="104">
        <f t="shared" si="28"/>
        <v>0</v>
      </c>
      <c r="AC48" s="104">
        <f t="shared" si="28"/>
        <v>0</v>
      </c>
      <c r="AD48" s="104">
        <f t="shared" si="28"/>
        <v>0</v>
      </c>
      <c r="AE48" s="104">
        <f t="shared" si="28"/>
        <v>0</v>
      </c>
      <c r="AF48" s="104">
        <f t="shared" si="28"/>
        <v>0</v>
      </c>
      <c r="AG48" s="84">
        <f t="shared" si="29"/>
        <v>0</v>
      </c>
      <c r="AH48" s="105" t="str">
        <f t="shared" si="30"/>
        <v/>
      </c>
      <c r="AJ48" s="84">
        <f t="shared" si="31"/>
        <v>3340.99</v>
      </c>
    </row>
    <row r="49" spans="1:36" x14ac:dyDescent="0.3">
      <c r="A49" s="103" t="s">
        <v>135</v>
      </c>
      <c r="B49" s="84">
        <f>IFERROR(SUMIF([2]Jan26A!$A:$A,$A49,INDEX([2]Jan26A!$A:$N,0,MATCH($A$1,[2]Jan26A!$A$7:$N$7,0))),0)</f>
        <v>0</v>
      </c>
      <c r="C49" s="84">
        <f>IFERROR(SUMIF([2]Feb26A!$A:$A,$A49,INDEX([2]Feb26A!$A:$N,0,MATCH($A$1,[2]Feb26A!$A$7:$N$7,0))),0)</f>
        <v>0</v>
      </c>
      <c r="D49" s="84">
        <f>IFERROR(SUMIF([2]Mar26A!$A:$A,$A49,INDEX([2]Mar26A!$A:$N,0,MATCH($A$1,[2]Mar26A!$A$7:$N$7,0))),0)</f>
        <v>0</v>
      </c>
      <c r="E49" s="84">
        <f>IFERROR(SUMIF([2]Apr26A!$A:$A,$A49,INDEX([2]Apr26A!$A:$N,0,MATCH($A$1,[2]Apr26A!$A$7:$N$7,0))),0)</f>
        <v>0</v>
      </c>
      <c r="F49" s="84">
        <f>IFERROR(SUMIF([2]May26A!$A:$A,$A49,INDEX([2]May26A!$A:$N,0,MATCH($A$1,[2]May26A!$A$7:$N$7,0))),0)</f>
        <v>0</v>
      </c>
      <c r="G49" s="84">
        <f>IFERROR(SUMIF([2]Jun26A!$A:$A,$A49,INDEX([2]Jun26A!$A:$N,0,MATCH($A$1,[2]Jun26A!$A$7:$N$7,0))),0)</f>
        <v>0</v>
      </c>
      <c r="H49" s="84">
        <f>IFERROR(SUMIF([2]Jul26A!$A:$A,$A49,INDEX([2]Jul26A!$A:$N,0,MATCH($A$1,[2]Jul26A!$A$7:$N$7,0))),0)</f>
        <v>0</v>
      </c>
      <c r="I49" s="84">
        <f>IFERROR(SUMIF([2]Aug26A!$A:$A,$A49,INDEX([2]Aug26A!$A:$N,0,MATCH($A$1,[2]Aug26A!$A$7:$N$7,0))),0)</f>
        <v>0</v>
      </c>
      <c r="J49" s="117">
        <v>0</v>
      </c>
      <c r="K49" s="117">
        <v>0</v>
      </c>
      <c r="L49" s="117">
        <v>0</v>
      </c>
      <c r="M49" s="117">
        <v>0</v>
      </c>
      <c r="N49" s="84">
        <f t="shared" si="26"/>
        <v>0</v>
      </c>
      <c r="O49" s="105">
        <f t="shared" si="27"/>
        <v>0</v>
      </c>
      <c r="P49" s="84"/>
      <c r="Q49" s="84"/>
      <c r="R49" s="106" t="s">
        <v>99</v>
      </c>
      <c r="S49" s="107">
        <v>0</v>
      </c>
      <c r="T49" s="108">
        <v>0.05</v>
      </c>
      <c r="U49" s="104">
        <f t="shared" si="28"/>
        <v>0</v>
      </c>
      <c r="V49" s="104">
        <f t="shared" si="28"/>
        <v>0</v>
      </c>
      <c r="W49" s="104">
        <f t="shared" si="28"/>
        <v>0</v>
      </c>
      <c r="X49" s="104">
        <f t="shared" si="28"/>
        <v>0</v>
      </c>
      <c r="Y49" s="104">
        <f t="shared" si="28"/>
        <v>0</v>
      </c>
      <c r="Z49" s="104">
        <f t="shared" si="28"/>
        <v>0</v>
      </c>
      <c r="AA49" s="104">
        <f t="shared" si="28"/>
        <v>0</v>
      </c>
      <c r="AB49" s="104">
        <f t="shared" si="28"/>
        <v>0</v>
      </c>
      <c r="AC49" s="104">
        <f t="shared" si="28"/>
        <v>0</v>
      </c>
      <c r="AD49" s="104">
        <f t="shared" si="28"/>
        <v>0</v>
      </c>
      <c r="AE49" s="104">
        <f t="shared" si="28"/>
        <v>0</v>
      </c>
      <c r="AF49" s="104">
        <f t="shared" si="28"/>
        <v>0</v>
      </c>
      <c r="AG49" s="84">
        <f t="shared" si="29"/>
        <v>0</v>
      </c>
      <c r="AH49" s="105" t="str">
        <f t="shared" si="30"/>
        <v/>
      </c>
      <c r="AJ49" s="84">
        <f t="shared" si="31"/>
        <v>0</v>
      </c>
    </row>
    <row r="50" spans="1:36" x14ac:dyDescent="0.3">
      <c r="A50" s="103" t="s">
        <v>136</v>
      </c>
      <c r="B50" s="84">
        <f>IFERROR(SUMIF([2]Jan26A!$A:$A,$A50,INDEX([2]Jan26A!$A:$N,0,MATCH($A$1,[2]Jan26A!$A$7:$N$7,0))),0)</f>
        <v>0</v>
      </c>
      <c r="C50" s="84">
        <f>IFERROR(SUMIF([2]Feb26A!$A:$A,$A50,INDEX([2]Feb26A!$A:$N,0,MATCH($A$1,[2]Feb26A!$A$7:$N$7,0))),0)</f>
        <v>0</v>
      </c>
      <c r="D50" s="84">
        <f>IFERROR(SUMIF([2]Mar26A!$A:$A,$A50,INDEX([2]Mar26A!$A:$N,0,MATCH($A$1,[2]Mar26A!$A$7:$N$7,0))),0)</f>
        <v>0</v>
      </c>
      <c r="E50" s="84">
        <f>IFERROR(SUMIF([2]Apr26A!$A:$A,$A50,INDEX([2]Apr26A!$A:$N,0,MATCH($A$1,[2]Apr26A!$A$7:$N$7,0))),0)</f>
        <v>0</v>
      </c>
      <c r="F50" s="84">
        <f>IFERROR(SUMIF([2]May26A!$A:$A,$A50,INDEX([2]May26A!$A:$N,0,MATCH($A$1,[2]May26A!$A$7:$N$7,0))),0)</f>
        <v>0</v>
      </c>
      <c r="G50" s="84">
        <f>IFERROR(SUMIF([2]Jun26A!$A:$A,$A50,INDEX([2]Jun26A!$A:$N,0,MATCH($A$1,[2]Jun26A!$A$7:$N$7,0))),0)</f>
        <v>0</v>
      </c>
      <c r="H50" s="84">
        <f>IFERROR(SUMIF([2]Jul26A!$A:$A,$A50,INDEX([2]Jul26A!$A:$N,0,MATCH($A$1,[2]Jul26A!$A$7:$N$7,0))),0)</f>
        <v>0</v>
      </c>
      <c r="I50" s="84">
        <f>IFERROR(SUMIF([2]Aug26A!$A:$A,$A50,INDEX([2]Aug26A!$A:$N,0,MATCH($A$1,[2]Aug26A!$A$7:$N$7,0))),0)</f>
        <v>0</v>
      </c>
      <c r="J50" s="117">
        <v>0</v>
      </c>
      <c r="K50" s="117">
        <v>0</v>
      </c>
      <c r="L50" s="117">
        <v>0</v>
      </c>
      <c r="M50" s="117">
        <v>0</v>
      </c>
      <c r="N50" s="84">
        <f t="shared" si="26"/>
        <v>0</v>
      </c>
      <c r="O50" s="105">
        <f t="shared" si="27"/>
        <v>0</v>
      </c>
      <c r="P50" s="84"/>
      <c r="Q50" s="84"/>
      <c r="R50" s="106" t="s">
        <v>99</v>
      </c>
      <c r="S50" s="107">
        <v>0</v>
      </c>
      <c r="T50" s="108">
        <v>0.05</v>
      </c>
      <c r="U50" s="104">
        <f t="shared" si="28"/>
        <v>0</v>
      </c>
      <c r="V50" s="104">
        <f t="shared" si="28"/>
        <v>0</v>
      </c>
      <c r="W50" s="104">
        <f t="shared" si="28"/>
        <v>0</v>
      </c>
      <c r="X50" s="104">
        <f t="shared" si="28"/>
        <v>0</v>
      </c>
      <c r="Y50" s="104">
        <f t="shared" si="28"/>
        <v>0</v>
      </c>
      <c r="Z50" s="104">
        <f t="shared" si="28"/>
        <v>0</v>
      </c>
      <c r="AA50" s="104">
        <f t="shared" si="28"/>
        <v>0</v>
      </c>
      <c r="AB50" s="104">
        <f t="shared" si="28"/>
        <v>0</v>
      </c>
      <c r="AC50" s="104">
        <f t="shared" si="28"/>
        <v>0</v>
      </c>
      <c r="AD50" s="104">
        <f t="shared" si="28"/>
        <v>0</v>
      </c>
      <c r="AE50" s="104">
        <f t="shared" si="28"/>
        <v>0</v>
      </c>
      <c r="AF50" s="104">
        <f t="shared" si="28"/>
        <v>0</v>
      </c>
      <c r="AG50" s="84">
        <f t="shared" si="29"/>
        <v>0</v>
      </c>
      <c r="AH50" s="105" t="str">
        <f t="shared" si="30"/>
        <v/>
      </c>
      <c r="AJ50" s="84">
        <f t="shared" si="31"/>
        <v>0</v>
      </c>
    </row>
    <row r="51" spans="1:36" x14ac:dyDescent="0.3">
      <c r="A51" s="115" t="s">
        <v>137</v>
      </c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105"/>
      <c r="P51" s="84"/>
      <c r="Q51" s="84"/>
      <c r="R51" s="112"/>
      <c r="S51" s="112"/>
      <c r="T51" s="112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105"/>
      <c r="AJ51" s="84"/>
    </row>
    <row r="52" spans="1:36" x14ac:dyDescent="0.3">
      <c r="A52" s="116" t="s">
        <v>138</v>
      </c>
      <c r="B52" s="84">
        <f>IFERROR(SUMIF([2]Jan26A!$A:$A,$A52,INDEX([2]Jan26A!$A:$N,0,MATCH($A$1,[2]Jan26A!$A$7:$N$7,0))),0)</f>
        <v>0</v>
      </c>
      <c r="C52" s="84">
        <f>IFERROR(SUMIF([2]Feb26A!$A:$A,$A52,INDEX([2]Feb26A!$A:$N,0,MATCH($A$1,[2]Feb26A!$A$7:$N$7,0))),0)</f>
        <v>11274.7</v>
      </c>
      <c r="D52" s="84">
        <f>IFERROR(SUMIF([2]Mar26A!$A:$A,$A52,INDEX([2]Mar26A!$A:$N,0,MATCH($A$1,[2]Mar26A!$A$7:$N$7,0))),0)</f>
        <v>0</v>
      </c>
      <c r="E52" s="84">
        <f>IFERROR(SUMIF([2]Apr26A!$A:$A,$A52,INDEX([2]Apr26A!$A:$N,0,MATCH($A$1,[2]Apr26A!$A$7:$N$7,0))),0)</f>
        <v>0</v>
      </c>
      <c r="F52" s="84">
        <f>IFERROR(SUMIF([2]May26A!$A:$A,$A52,INDEX([2]May26A!$A:$N,0,MATCH($A$1,[2]May26A!$A$7:$N$7,0))),0)</f>
        <v>0</v>
      </c>
      <c r="G52" s="84">
        <f>IFERROR(SUMIF([2]Jun26A!$A:$A,$A52,INDEX([2]Jun26A!$A:$N,0,MATCH($A$1,[2]Jun26A!$A$7:$N$7,0))),0)</f>
        <v>0</v>
      </c>
      <c r="H52" s="84">
        <f>IFERROR(SUMIF([2]Jul26A!$A:$A,$A52,INDEX([2]Jul26A!$A:$N,0,MATCH($A$1,[2]Jul26A!$A$7:$N$7,0))),0)</f>
        <v>0</v>
      </c>
      <c r="I52" s="84">
        <f>IFERROR(SUMIF([2]Aug26A!$A:$A,$A52,INDEX([2]Aug26A!$A:$N,0,MATCH($A$1,[2]Aug26A!$A$7:$N$7,0))),0)</f>
        <v>0</v>
      </c>
      <c r="J52" s="117">
        <v>0</v>
      </c>
      <c r="K52" s="117">
        <v>0</v>
      </c>
      <c r="L52" s="117">
        <v>0</v>
      </c>
      <c r="M52" s="117">
        <v>0</v>
      </c>
      <c r="N52" s="84">
        <f>SUM(B52:M52)</f>
        <v>11274.7</v>
      </c>
      <c r="O52" s="105">
        <f>IFERROR(N52/N$16,"")</f>
        <v>1.5186950182163907E-3</v>
      </c>
      <c r="P52" s="84"/>
      <c r="Q52" s="84"/>
      <c r="R52" s="168"/>
      <c r="S52" s="168"/>
      <c r="T52" s="168"/>
      <c r="U52" s="168"/>
      <c r="V52" s="168"/>
      <c r="W52" s="168"/>
      <c r="X52" s="168"/>
      <c r="Y52" s="168"/>
      <c r="Z52" s="168"/>
      <c r="AA52" s="168"/>
      <c r="AB52" s="168"/>
      <c r="AC52" s="168"/>
      <c r="AD52" s="168"/>
      <c r="AE52" s="168"/>
      <c r="AF52" s="168"/>
      <c r="AG52" s="84">
        <f>SUM(U52:AF52)</f>
        <v>0</v>
      </c>
      <c r="AH52" s="105" t="str">
        <f>IFERROR(AG52/AG$16,"")</f>
        <v/>
      </c>
      <c r="AJ52" s="84">
        <f>N52-AG52</f>
        <v>11274.7</v>
      </c>
    </row>
    <row r="53" spans="1:36" x14ac:dyDescent="0.3">
      <c r="A53" s="116" t="s">
        <v>139</v>
      </c>
      <c r="B53" s="84">
        <f>IFERROR(SUMIF([2]Jan26A!$A:$A,$A53,INDEX([2]Jan26A!$A:$N,0,MATCH($A$1,[2]Jan26A!$A$7:$N$7,0))),0)</f>
        <v>0</v>
      </c>
      <c r="C53" s="84">
        <f>IFERROR(SUMIF([2]Feb26A!$A:$A,$A53,INDEX([2]Feb26A!$A:$N,0,MATCH($A$1,[2]Feb26A!$A$7:$N$7,0))),0)</f>
        <v>0</v>
      </c>
      <c r="D53" s="84">
        <f>IFERROR(SUMIF([2]Mar26A!$A:$A,$A53,INDEX([2]Mar26A!$A:$N,0,MATCH($A$1,[2]Mar26A!$A$7:$N$7,0))),0)</f>
        <v>0</v>
      </c>
      <c r="E53" s="84">
        <f>IFERROR(SUMIF([2]Apr26A!$A:$A,$A53,INDEX([2]Apr26A!$A:$N,0,MATCH($A$1,[2]Apr26A!$A$7:$N$7,0))),0)</f>
        <v>0</v>
      </c>
      <c r="F53" s="84">
        <f>IFERROR(SUMIF([2]May26A!$A:$A,$A53,INDEX([2]May26A!$A:$N,0,MATCH($A$1,[2]May26A!$A$7:$N$7,0))),0)</f>
        <v>0</v>
      </c>
      <c r="G53" s="84">
        <f>IFERROR(SUMIF([2]Jun26A!$A:$A,$A53,INDEX([2]Jun26A!$A:$N,0,MATCH($A$1,[2]Jun26A!$A$7:$N$7,0))),0)</f>
        <v>0</v>
      </c>
      <c r="H53" s="84">
        <f>IFERROR(SUMIF([2]Jul26A!$A:$A,$A53,INDEX([2]Jul26A!$A:$N,0,MATCH($A$1,[2]Jul26A!$A$7:$N$7,0))),0)</f>
        <v>0</v>
      </c>
      <c r="I53" s="84">
        <f>IFERROR(SUMIF([2]Aug26A!$A:$A,$A53,INDEX([2]Aug26A!$A:$N,0,MATCH($A$1,[2]Aug26A!$A$7:$N$7,0))),0)</f>
        <v>0</v>
      </c>
      <c r="J53" s="117">
        <v>0</v>
      </c>
      <c r="K53" s="117">
        <v>0</v>
      </c>
      <c r="L53" s="117">
        <v>0</v>
      </c>
      <c r="M53" s="117">
        <v>0</v>
      </c>
      <c r="N53" s="84">
        <f>SUM(B53:M53)</f>
        <v>0</v>
      </c>
      <c r="O53" s="105">
        <f>IFERROR(N53/N$16,"")</f>
        <v>0</v>
      </c>
      <c r="P53" s="84"/>
      <c r="Q53" s="84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168"/>
      <c r="AE53" s="168"/>
      <c r="AF53" s="168"/>
      <c r="AG53" s="84">
        <f>SUM(U53:AF53)</f>
        <v>0</v>
      </c>
      <c r="AH53" s="105" t="str">
        <f>IFERROR(AG53/AG$16,"")</f>
        <v/>
      </c>
      <c r="AJ53" s="84">
        <f>N53-AG53</f>
        <v>0</v>
      </c>
    </row>
    <row r="54" spans="1:36" x14ac:dyDescent="0.3">
      <c r="A54" s="116" t="s">
        <v>140</v>
      </c>
      <c r="B54" s="84">
        <f>IFERROR(SUMIF([2]Jan26A!$A:$A,$A54,INDEX([2]Jan26A!$A:$N,0,MATCH($A$1,[2]Jan26A!$A$7:$N$7,0))),0)</f>
        <v>647.35</v>
      </c>
      <c r="C54" s="84">
        <f>IFERROR(SUMIF([2]Feb26A!$A:$A,$A54,INDEX([2]Feb26A!$A:$N,0,MATCH($A$1,[2]Feb26A!$A$7:$N$7,0))),0)</f>
        <v>0</v>
      </c>
      <c r="D54" s="84">
        <f>IFERROR(SUMIF([2]Mar26A!$A:$A,$A54,INDEX([2]Mar26A!$A:$N,0,MATCH($A$1,[2]Mar26A!$A$7:$N$7,0))),0)</f>
        <v>0</v>
      </c>
      <c r="E54" s="84">
        <f>IFERROR(SUMIF([2]Apr26A!$A:$A,$A54,INDEX([2]Apr26A!$A:$N,0,MATCH($A$1,[2]Apr26A!$A$7:$N$7,0))),0)</f>
        <v>0</v>
      </c>
      <c r="F54" s="84">
        <f>IFERROR(SUMIF([2]May26A!$A:$A,$A54,INDEX([2]May26A!$A:$N,0,MATCH($A$1,[2]May26A!$A$7:$N$7,0))),0)</f>
        <v>0</v>
      </c>
      <c r="G54" s="84">
        <f>IFERROR(SUMIF([2]Jun26A!$A:$A,$A54,INDEX([2]Jun26A!$A:$N,0,MATCH($A$1,[2]Jun26A!$A$7:$N$7,0))),0)</f>
        <v>0</v>
      </c>
      <c r="H54" s="84">
        <f>IFERROR(SUMIF([2]Jul26A!$A:$A,$A54,INDEX([2]Jul26A!$A:$N,0,MATCH($A$1,[2]Jul26A!$A$7:$N$7,0))),0)</f>
        <v>0</v>
      </c>
      <c r="I54" s="84">
        <f>IFERROR(SUMIF([2]Aug26A!$A:$A,$A54,INDEX([2]Aug26A!$A:$N,0,MATCH($A$1,[2]Aug26A!$A$7:$N$7,0))),0)</f>
        <v>0</v>
      </c>
      <c r="J54" s="117">
        <v>0</v>
      </c>
      <c r="K54" s="117">
        <v>0</v>
      </c>
      <c r="L54" s="117">
        <v>0</v>
      </c>
      <c r="M54" s="117">
        <v>0</v>
      </c>
      <c r="N54" s="84">
        <f>SUM(B54:M54)</f>
        <v>647.35</v>
      </c>
      <c r="O54" s="105">
        <f>IFERROR(N54/N$16,"")</f>
        <v>8.7197638965327723E-5</v>
      </c>
      <c r="P54" s="84"/>
      <c r="Q54" s="84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  <c r="AC54" s="168"/>
      <c r="AD54" s="168"/>
      <c r="AE54" s="168"/>
      <c r="AF54" s="168"/>
      <c r="AG54" s="84">
        <f>SUM(U54:AF54)</f>
        <v>0</v>
      </c>
      <c r="AH54" s="105" t="str">
        <f>IFERROR(AG54/AG$16,"")</f>
        <v/>
      </c>
      <c r="AJ54" s="84">
        <f>N54-AG54</f>
        <v>647.35</v>
      </c>
    </row>
    <row r="55" spans="1:36" x14ac:dyDescent="0.3">
      <c r="A55" s="118" t="s">
        <v>141</v>
      </c>
      <c r="B55" s="110">
        <f t="shared" ref="B55:M55" si="32">SUM(B52:B54)</f>
        <v>647.35</v>
      </c>
      <c r="C55" s="110">
        <f t="shared" si="32"/>
        <v>11274.7</v>
      </c>
      <c r="D55" s="110">
        <f t="shared" si="32"/>
        <v>0</v>
      </c>
      <c r="E55" s="110">
        <f t="shared" si="32"/>
        <v>0</v>
      </c>
      <c r="F55" s="110">
        <f t="shared" si="32"/>
        <v>0</v>
      </c>
      <c r="G55" s="110">
        <f t="shared" si="32"/>
        <v>0</v>
      </c>
      <c r="H55" s="110">
        <f t="shared" si="32"/>
        <v>0</v>
      </c>
      <c r="I55" s="110">
        <f t="shared" si="32"/>
        <v>0</v>
      </c>
      <c r="J55" s="110">
        <f t="shared" si="32"/>
        <v>0</v>
      </c>
      <c r="K55" s="110">
        <f t="shared" si="32"/>
        <v>0</v>
      </c>
      <c r="L55" s="110">
        <f t="shared" si="32"/>
        <v>0</v>
      </c>
      <c r="M55" s="110">
        <f t="shared" si="32"/>
        <v>0</v>
      </c>
      <c r="N55" s="110">
        <f>SUM(B55:M55)</f>
        <v>11922.050000000001</v>
      </c>
      <c r="O55" s="111">
        <f>IFERROR(N55/N$16,"")</f>
        <v>1.6058926571817184E-3</v>
      </c>
      <c r="P55" s="84"/>
      <c r="Q55" s="84"/>
      <c r="R55" s="180"/>
      <c r="S55" s="180"/>
      <c r="T55" s="180"/>
      <c r="U55" s="110">
        <f t="shared" ref="U55:AF55" si="33">SUM(U52:U54)</f>
        <v>0</v>
      </c>
      <c r="V55" s="110">
        <f t="shared" si="33"/>
        <v>0</v>
      </c>
      <c r="W55" s="110">
        <f t="shared" si="33"/>
        <v>0</v>
      </c>
      <c r="X55" s="110">
        <f t="shared" si="33"/>
        <v>0</v>
      </c>
      <c r="Y55" s="110">
        <f t="shared" si="33"/>
        <v>0</v>
      </c>
      <c r="Z55" s="110">
        <f t="shared" si="33"/>
        <v>0</v>
      </c>
      <c r="AA55" s="110">
        <f t="shared" si="33"/>
        <v>0</v>
      </c>
      <c r="AB55" s="110">
        <f t="shared" si="33"/>
        <v>0</v>
      </c>
      <c r="AC55" s="110">
        <f t="shared" si="33"/>
        <v>0</v>
      </c>
      <c r="AD55" s="110">
        <f t="shared" si="33"/>
        <v>0</v>
      </c>
      <c r="AE55" s="110">
        <f t="shared" si="33"/>
        <v>0</v>
      </c>
      <c r="AF55" s="110">
        <f t="shared" si="33"/>
        <v>0</v>
      </c>
      <c r="AG55" s="110">
        <f>SUM(U55:AF55)</f>
        <v>0</v>
      </c>
      <c r="AH55" s="111" t="str">
        <f>IFERROR(AG55/AG$16,"")</f>
        <v/>
      </c>
      <c r="AJ55" s="110">
        <f>N55-AG55</f>
        <v>11922.050000000001</v>
      </c>
    </row>
    <row r="56" spans="1:36" x14ac:dyDescent="0.3">
      <c r="A56" s="109" t="s">
        <v>142</v>
      </c>
      <c r="B56" s="110">
        <f t="shared" ref="B56:M56" si="34">B44+B45+B46+B47+B48+B49+B50+B55</f>
        <v>3494.83</v>
      </c>
      <c r="C56" s="110">
        <f t="shared" si="34"/>
        <v>27120.02</v>
      </c>
      <c r="D56" s="110">
        <f t="shared" si="34"/>
        <v>4902.7299999999996</v>
      </c>
      <c r="E56" s="110">
        <f t="shared" si="34"/>
        <v>1197.1099999999999</v>
      </c>
      <c r="F56" s="110">
        <f t="shared" si="34"/>
        <v>17369.79</v>
      </c>
      <c r="G56" s="110">
        <f t="shared" si="34"/>
        <v>20676.3</v>
      </c>
      <c r="H56" s="110">
        <f t="shared" si="34"/>
        <v>1239.24</v>
      </c>
      <c r="I56" s="110">
        <f t="shared" si="34"/>
        <v>0</v>
      </c>
      <c r="J56" s="110">
        <f t="shared" si="34"/>
        <v>1000</v>
      </c>
      <c r="K56" s="110">
        <f t="shared" si="34"/>
        <v>1000</v>
      </c>
      <c r="L56" s="110">
        <f t="shared" si="34"/>
        <v>1000</v>
      </c>
      <c r="M56" s="110">
        <f t="shared" si="34"/>
        <v>1000</v>
      </c>
      <c r="N56" s="110">
        <f>SUM(B56:M56)</f>
        <v>80000.02</v>
      </c>
      <c r="O56" s="111">
        <f>IFERROR(N56/N$16,"")</f>
        <v>1.0775952515917196E-2</v>
      </c>
      <c r="P56" s="84"/>
      <c r="Q56" s="84"/>
      <c r="R56" s="112"/>
      <c r="S56" s="112"/>
      <c r="T56" s="112"/>
      <c r="U56" s="110">
        <f t="shared" ref="U56:AF56" si="35">U44+U45+U46+U47+U48+U49+U50+U55</f>
        <v>0</v>
      </c>
      <c r="V56" s="110">
        <f t="shared" si="35"/>
        <v>0</v>
      </c>
      <c r="W56" s="110">
        <f t="shared" si="35"/>
        <v>0</v>
      </c>
      <c r="X56" s="110">
        <f t="shared" si="35"/>
        <v>0</v>
      </c>
      <c r="Y56" s="110">
        <f t="shared" si="35"/>
        <v>0</v>
      </c>
      <c r="Z56" s="110">
        <f t="shared" si="35"/>
        <v>0</v>
      </c>
      <c r="AA56" s="110">
        <f t="shared" si="35"/>
        <v>0</v>
      </c>
      <c r="AB56" s="110">
        <f t="shared" si="35"/>
        <v>0</v>
      </c>
      <c r="AC56" s="110">
        <f t="shared" si="35"/>
        <v>0</v>
      </c>
      <c r="AD56" s="110">
        <f t="shared" si="35"/>
        <v>0</v>
      </c>
      <c r="AE56" s="110">
        <f t="shared" si="35"/>
        <v>0</v>
      </c>
      <c r="AF56" s="110">
        <f t="shared" si="35"/>
        <v>0</v>
      </c>
      <c r="AG56" s="110">
        <f>SUM(U56:AF56)</f>
        <v>0</v>
      </c>
      <c r="AH56" s="111" t="str">
        <f>IFERROR(AG56/AG$16,"")</f>
        <v/>
      </c>
      <c r="AJ56" s="110">
        <f>N56-AG56</f>
        <v>80000.02</v>
      </c>
    </row>
    <row r="57" spans="1:36" x14ac:dyDescent="0.3">
      <c r="A57" s="102" t="s">
        <v>143</v>
      </c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105"/>
      <c r="P57" s="84"/>
      <c r="Q57" s="84"/>
      <c r="R57" s="112"/>
      <c r="S57" s="112"/>
      <c r="T57" s="112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105"/>
      <c r="AJ57" s="84"/>
    </row>
    <row r="58" spans="1:36" x14ac:dyDescent="0.3">
      <c r="A58" s="103" t="s">
        <v>144</v>
      </c>
      <c r="B58" s="84">
        <f>IFERROR(SUMIF([2]Jan26A!$A:$A,$A58,INDEX([2]Jan26A!$A:$N,0,MATCH($A$1,[2]Jan26A!$A$7:$N$7,0))),0)</f>
        <v>1020</v>
      </c>
      <c r="C58" s="84">
        <f>IFERROR(SUMIF([2]Feb26A!$A:$A,$A58,INDEX([2]Feb26A!$A:$N,0,MATCH($A$1,[2]Feb26A!$A$7:$N$7,0))),0)</f>
        <v>0</v>
      </c>
      <c r="D58" s="84">
        <f>IFERROR(SUMIF([2]Mar26A!$A:$A,$A58,INDEX([2]Mar26A!$A:$N,0,MATCH($A$1,[2]Mar26A!$A$7:$N$7,0))),0)</f>
        <v>0</v>
      </c>
      <c r="E58" s="84">
        <f>IFERROR(SUMIF([2]Apr26A!$A:$A,$A58,INDEX([2]Apr26A!$A:$N,0,MATCH($A$1,[2]Apr26A!$A$7:$N$7,0))),0)</f>
        <v>0</v>
      </c>
      <c r="F58" s="84">
        <f>IFERROR(SUMIF([2]May26A!$A:$A,$A58,INDEX([2]May26A!$A:$N,0,MATCH($A$1,[2]May26A!$A$7:$N$7,0))),0)</f>
        <v>0</v>
      </c>
      <c r="G58" s="84">
        <f>IFERROR(SUMIF([2]Jun26A!$A:$A,$A58,INDEX([2]Jun26A!$A:$N,0,MATCH($A$1,[2]Jun26A!$A$7:$N$7,0))),0)</f>
        <v>119.99</v>
      </c>
      <c r="H58" s="84">
        <f>IFERROR(SUMIF([2]Jul26A!$A:$A,$A58,INDEX([2]Jul26A!$A:$N,0,MATCH($A$1,[2]Jul26A!$A$7:$N$7,0))),0)</f>
        <v>0</v>
      </c>
      <c r="I58" s="84">
        <f>IFERROR(SUMIF([2]Aug26A!$A:$A,$A58,INDEX([2]Aug26A!$A:$N,0,MATCH($A$1,[2]Aug26A!$A$7:$N$7,0))),0)</f>
        <v>0</v>
      </c>
      <c r="J58" s="117">
        <v>0</v>
      </c>
      <c r="K58" s="117">
        <v>0</v>
      </c>
      <c r="L58" s="117">
        <v>0</v>
      </c>
      <c r="M58" s="117">
        <v>0</v>
      </c>
      <c r="N58" s="84">
        <f t="shared" ref="N58:N64" si="36">SUM(B58:M58)</f>
        <v>1139.99</v>
      </c>
      <c r="O58" s="105">
        <f t="shared" ref="O58:O64" si="37">IFERROR(N58/N$16,"")</f>
        <v>1.5355593796877106E-4</v>
      </c>
      <c r="P58" s="84"/>
      <c r="Q58" s="84"/>
      <c r="R58" s="106" t="s">
        <v>99</v>
      </c>
      <c r="S58" s="107">
        <v>0</v>
      </c>
      <c r="T58" s="108">
        <v>0.05</v>
      </c>
      <c r="U58" s="104">
        <f t="shared" ref="U58:AF60" si="38">IF($R58="Manual","",IFERROR(IF($R58="YOY Growth",$N58*(1+$T58)/12,$S58/12),""))</f>
        <v>0</v>
      </c>
      <c r="V58" s="104">
        <f t="shared" si="38"/>
        <v>0</v>
      </c>
      <c r="W58" s="104">
        <f t="shared" si="38"/>
        <v>0</v>
      </c>
      <c r="X58" s="104">
        <f t="shared" si="38"/>
        <v>0</v>
      </c>
      <c r="Y58" s="104">
        <f t="shared" si="38"/>
        <v>0</v>
      </c>
      <c r="Z58" s="104">
        <f t="shared" si="38"/>
        <v>0</v>
      </c>
      <c r="AA58" s="104">
        <f t="shared" si="38"/>
        <v>0</v>
      </c>
      <c r="AB58" s="104">
        <f t="shared" si="38"/>
        <v>0</v>
      </c>
      <c r="AC58" s="104">
        <f t="shared" si="38"/>
        <v>0</v>
      </c>
      <c r="AD58" s="104">
        <f t="shared" si="38"/>
        <v>0</v>
      </c>
      <c r="AE58" s="104">
        <f t="shared" si="38"/>
        <v>0</v>
      </c>
      <c r="AF58" s="104">
        <f t="shared" si="38"/>
        <v>0</v>
      </c>
      <c r="AG58" s="84">
        <f t="shared" ref="AG58:AG64" si="39">SUM(U58:AF58)</f>
        <v>0</v>
      </c>
      <c r="AH58" s="105" t="str">
        <f t="shared" ref="AH58:AH64" si="40">IFERROR(AG58/AG$16,"")</f>
        <v/>
      </c>
      <c r="AJ58" s="84">
        <f t="shared" ref="AJ58:AJ63" si="41">N58-AG58</f>
        <v>1139.99</v>
      </c>
    </row>
    <row r="59" spans="1:36" x14ac:dyDescent="0.3">
      <c r="A59" s="103" t="s">
        <v>145</v>
      </c>
      <c r="B59" s="84">
        <f>IFERROR(SUMIF([2]Jan26A!$A:$A,$A59,INDEX([2]Jan26A!$A:$N,0,MATCH($A$1,[2]Jan26A!$A$7:$N$7,0))),0)</f>
        <v>0</v>
      </c>
      <c r="C59" s="84">
        <f>IFERROR(SUMIF([2]Feb26A!$A:$A,$A59,INDEX([2]Feb26A!$A:$N,0,MATCH($A$1,[2]Feb26A!$A$7:$N$7,0))),0)</f>
        <v>0</v>
      </c>
      <c r="D59" s="84">
        <f>IFERROR(SUMIF([2]Mar26A!$A:$A,$A59,INDEX([2]Mar26A!$A:$N,0,MATCH($A$1,[2]Mar26A!$A$7:$N$7,0))),0)</f>
        <v>0</v>
      </c>
      <c r="E59" s="84">
        <f>IFERROR(SUMIF([2]Apr26A!$A:$A,$A59,INDEX([2]Apr26A!$A:$N,0,MATCH($A$1,[2]Apr26A!$A$7:$N$7,0))),0)</f>
        <v>0</v>
      </c>
      <c r="F59" s="84">
        <f>IFERROR(SUMIF([2]May26A!$A:$A,$A59,INDEX([2]May26A!$A:$N,0,MATCH($A$1,[2]May26A!$A$7:$N$7,0))),0)</f>
        <v>119.9</v>
      </c>
      <c r="G59" s="84">
        <f>IFERROR(SUMIF([2]Jun26A!$A:$A,$A59,INDEX([2]Jun26A!$A:$N,0,MATCH($A$1,[2]Jun26A!$A$7:$N$7,0))),0)</f>
        <v>0</v>
      </c>
      <c r="H59" s="84">
        <f>IFERROR(SUMIF([2]Jul26A!$A:$A,$A59,INDEX([2]Jul26A!$A:$N,0,MATCH($A$1,[2]Jul26A!$A$7:$N$7,0))),0)</f>
        <v>59.95</v>
      </c>
      <c r="I59" s="84">
        <f>IFERROR(SUMIF([2]Aug26A!$A:$A,$A59,INDEX([2]Aug26A!$A:$N,0,MATCH($A$1,[2]Aug26A!$A$7:$N$7,0))),0)</f>
        <v>0</v>
      </c>
      <c r="J59" s="117">
        <v>40</v>
      </c>
      <c r="K59" s="117">
        <v>40</v>
      </c>
      <c r="L59" s="117">
        <v>40</v>
      </c>
      <c r="M59" s="117">
        <v>40</v>
      </c>
      <c r="N59" s="84">
        <f t="shared" si="36"/>
        <v>339.85</v>
      </c>
      <c r="O59" s="105">
        <f t="shared" si="37"/>
        <v>4.577758183728528E-5</v>
      </c>
      <c r="P59" s="84"/>
      <c r="Q59" s="84"/>
      <c r="R59" s="106" t="s">
        <v>99</v>
      </c>
      <c r="S59" s="107">
        <v>0</v>
      </c>
      <c r="T59" s="108">
        <v>0.05</v>
      </c>
      <c r="U59" s="104">
        <f t="shared" si="38"/>
        <v>0</v>
      </c>
      <c r="V59" s="104">
        <f t="shared" si="38"/>
        <v>0</v>
      </c>
      <c r="W59" s="104">
        <f t="shared" si="38"/>
        <v>0</v>
      </c>
      <c r="X59" s="104">
        <f t="shared" si="38"/>
        <v>0</v>
      </c>
      <c r="Y59" s="104">
        <f t="shared" si="38"/>
        <v>0</v>
      </c>
      <c r="Z59" s="104">
        <f t="shared" si="38"/>
        <v>0</v>
      </c>
      <c r="AA59" s="104">
        <f t="shared" si="38"/>
        <v>0</v>
      </c>
      <c r="AB59" s="104">
        <f t="shared" si="38"/>
        <v>0</v>
      </c>
      <c r="AC59" s="104">
        <f t="shared" si="38"/>
        <v>0</v>
      </c>
      <c r="AD59" s="104">
        <f t="shared" si="38"/>
        <v>0</v>
      </c>
      <c r="AE59" s="104">
        <f t="shared" si="38"/>
        <v>0</v>
      </c>
      <c r="AF59" s="104">
        <f t="shared" si="38"/>
        <v>0</v>
      </c>
      <c r="AG59" s="84">
        <f t="shared" si="39"/>
        <v>0</v>
      </c>
      <c r="AH59" s="105" t="str">
        <f t="shared" si="40"/>
        <v/>
      </c>
      <c r="AJ59" s="84">
        <f t="shared" si="41"/>
        <v>339.85</v>
      </c>
    </row>
    <row r="60" spans="1:36" x14ac:dyDescent="0.3">
      <c r="A60" s="103" t="s">
        <v>146</v>
      </c>
      <c r="B60" s="84">
        <f>IFERROR(SUMIF([2]Jan26A!$A:$A,$A60,INDEX([2]Jan26A!$A:$N,0,MATCH($A$1,[2]Jan26A!$A$7:$N$7,0))),0)</f>
        <v>0</v>
      </c>
      <c r="C60" s="84">
        <f>IFERROR(SUMIF([2]Feb26A!$A:$A,$A60,INDEX([2]Feb26A!$A:$N,0,MATCH($A$1,[2]Feb26A!$A$7:$N$7,0))),0)</f>
        <v>0</v>
      </c>
      <c r="D60" s="84">
        <f>IFERROR(SUMIF([2]Mar26A!$A:$A,$A60,INDEX([2]Mar26A!$A:$N,0,MATCH($A$1,[2]Mar26A!$A$7:$N$7,0))),0)</f>
        <v>0</v>
      </c>
      <c r="E60" s="84">
        <f>IFERROR(SUMIF([2]Apr26A!$A:$A,$A60,INDEX([2]Apr26A!$A:$N,0,MATCH($A$1,[2]Apr26A!$A$7:$N$7,0))),0)</f>
        <v>0</v>
      </c>
      <c r="F60" s="84">
        <f>IFERROR(SUMIF([2]May26A!$A:$A,$A60,INDEX([2]May26A!$A:$N,0,MATCH($A$1,[2]May26A!$A$7:$N$7,0))),0)</f>
        <v>0</v>
      </c>
      <c r="G60" s="84">
        <f>IFERROR(SUMIF([2]Jun26A!$A:$A,$A60,INDEX([2]Jun26A!$A:$N,0,MATCH($A$1,[2]Jun26A!$A$7:$N$7,0))),0)</f>
        <v>0</v>
      </c>
      <c r="H60" s="84">
        <f>IFERROR(SUMIF([2]Jul26A!$A:$A,$A60,INDEX([2]Jul26A!$A:$N,0,MATCH($A$1,[2]Jul26A!$A$7:$N$7,0))),0)</f>
        <v>20.7</v>
      </c>
      <c r="I60" s="84">
        <f>IFERROR(SUMIF([2]Aug26A!$A:$A,$A60,INDEX([2]Aug26A!$A:$N,0,MATCH($A$1,[2]Aug26A!$A$7:$N$7,0))),0)</f>
        <v>0</v>
      </c>
      <c r="J60" s="117">
        <v>0</v>
      </c>
      <c r="K60" s="117">
        <v>0</v>
      </c>
      <c r="L60" s="117">
        <v>0</v>
      </c>
      <c r="M60" s="117">
        <v>0</v>
      </c>
      <c r="N60" s="84">
        <f t="shared" si="36"/>
        <v>20.7</v>
      </c>
      <c r="O60" s="105">
        <f t="shared" si="37"/>
        <v>2.7882770164243204E-6</v>
      </c>
      <c r="P60" s="84"/>
      <c r="Q60" s="84"/>
      <c r="R60" s="106" t="s">
        <v>99</v>
      </c>
      <c r="S60" s="107">
        <v>0</v>
      </c>
      <c r="T60" s="108">
        <v>0.05</v>
      </c>
      <c r="U60" s="104">
        <f t="shared" si="38"/>
        <v>0</v>
      </c>
      <c r="V60" s="104">
        <f t="shared" si="38"/>
        <v>0</v>
      </c>
      <c r="W60" s="104">
        <f t="shared" si="38"/>
        <v>0</v>
      </c>
      <c r="X60" s="104">
        <f t="shared" si="38"/>
        <v>0</v>
      </c>
      <c r="Y60" s="104">
        <f t="shared" si="38"/>
        <v>0</v>
      </c>
      <c r="Z60" s="104">
        <f t="shared" si="38"/>
        <v>0</v>
      </c>
      <c r="AA60" s="104">
        <f t="shared" si="38"/>
        <v>0</v>
      </c>
      <c r="AB60" s="104">
        <f t="shared" si="38"/>
        <v>0</v>
      </c>
      <c r="AC60" s="104">
        <f t="shared" si="38"/>
        <v>0</v>
      </c>
      <c r="AD60" s="104">
        <f t="shared" si="38"/>
        <v>0</v>
      </c>
      <c r="AE60" s="104">
        <f t="shared" si="38"/>
        <v>0</v>
      </c>
      <c r="AF60" s="104">
        <f t="shared" si="38"/>
        <v>0</v>
      </c>
      <c r="AG60" s="84">
        <f t="shared" si="39"/>
        <v>0</v>
      </c>
      <c r="AH60" s="105" t="str">
        <f t="shared" si="40"/>
        <v/>
      </c>
      <c r="AJ60" s="84">
        <f t="shared" si="41"/>
        <v>20.7</v>
      </c>
    </row>
    <row r="61" spans="1:36" x14ac:dyDescent="0.3">
      <c r="A61" s="109" t="s">
        <v>147</v>
      </c>
      <c r="B61" s="119">
        <f t="shared" ref="B61:M61" si="42">SUM(B58:B60)</f>
        <v>1020</v>
      </c>
      <c r="C61" s="119">
        <f t="shared" si="42"/>
        <v>0</v>
      </c>
      <c r="D61" s="119">
        <f t="shared" si="42"/>
        <v>0</v>
      </c>
      <c r="E61" s="119">
        <f t="shared" si="42"/>
        <v>0</v>
      </c>
      <c r="F61" s="119">
        <f t="shared" si="42"/>
        <v>119.9</v>
      </c>
      <c r="G61" s="119">
        <f t="shared" si="42"/>
        <v>119.99</v>
      </c>
      <c r="H61" s="119">
        <f t="shared" si="42"/>
        <v>80.650000000000006</v>
      </c>
      <c r="I61" s="119">
        <f t="shared" si="42"/>
        <v>0</v>
      </c>
      <c r="J61" s="119">
        <f t="shared" si="42"/>
        <v>40</v>
      </c>
      <c r="K61" s="119">
        <f t="shared" si="42"/>
        <v>40</v>
      </c>
      <c r="L61" s="119">
        <f t="shared" si="42"/>
        <v>40</v>
      </c>
      <c r="M61" s="119">
        <f t="shared" si="42"/>
        <v>40</v>
      </c>
      <c r="N61" s="119">
        <f t="shared" si="36"/>
        <v>1500.5400000000002</v>
      </c>
      <c r="O61" s="120">
        <f t="shared" si="37"/>
        <v>2.0212179682248068E-4</v>
      </c>
      <c r="P61" s="84"/>
      <c r="Q61" s="84"/>
      <c r="R61" s="112"/>
      <c r="S61" s="112"/>
      <c r="T61" s="112"/>
      <c r="U61" s="119">
        <f t="shared" ref="U61:AF61" si="43">SUM(U58:U60)</f>
        <v>0</v>
      </c>
      <c r="V61" s="119">
        <f t="shared" si="43"/>
        <v>0</v>
      </c>
      <c r="W61" s="119">
        <f t="shared" si="43"/>
        <v>0</v>
      </c>
      <c r="X61" s="119">
        <f t="shared" si="43"/>
        <v>0</v>
      </c>
      <c r="Y61" s="119">
        <f t="shared" si="43"/>
        <v>0</v>
      </c>
      <c r="Z61" s="119">
        <f t="shared" si="43"/>
        <v>0</v>
      </c>
      <c r="AA61" s="119">
        <f t="shared" si="43"/>
        <v>0</v>
      </c>
      <c r="AB61" s="119">
        <f t="shared" si="43"/>
        <v>0</v>
      </c>
      <c r="AC61" s="119">
        <f t="shared" si="43"/>
        <v>0</v>
      </c>
      <c r="AD61" s="119">
        <f t="shared" si="43"/>
        <v>0</v>
      </c>
      <c r="AE61" s="119">
        <f t="shared" si="43"/>
        <v>0</v>
      </c>
      <c r="AF61" s="119">
        <f t="shared" si="43"/>
        <v>0</v>
      </c>
      <c r="AG61" s="119">
        <f t="shared" si="39"/>
        <v>0</v>
      </c>
      <c r="AH61" s="120" t="str">
        <f t="shared" si="40"/>
        <v/>
      </c>
      <c r="AJ61" s="110">
        <f t="shared" si="41"/>
        <v>1500.5400000000002</v>
      </c>
    </row>
    <row r="62" spans="1:36" x14ac:dyDescent="0.3">
      <c r="A62" s="161" t="s">
        <v>148</v>
      </c>
      <c r="B62" s="84">
        <f>IFERROR(SUMIF([2]Jan26A!$A:$A,$A62,INDEX([2]Jan26A!$A:$N,0,MATCH($A$1,[2]Jan26A!$A$7:$N$7,0))),0)</f>
        <v>0</v>
      </c>
      <c r="C62" s="84">
        <f>IFERROR(SUMIF([2]Feb26A!$A:$A,$A62,INDEX([2]Feb26A!$A:$N,0,MATCH($A$1,[2]Feb26A!$A$7:$N$7,0))),0)</f>
        <v>0</v>
      </c>
      <c r="D62" s="84">
        <f>IFERROR(SUMIF([2]Mar26A!$A:$A,$A62,INDEX([2]Mar26A!$A:$N,0,MATCH($A$1,[2]Mar26A!$A$7:$N$7,0))),0)</f>
        <v>0</v>
      </c>
      <c r="E62" s="84">
        <f>IFERROR(SUMIF([2]Apr26A!$A:$A,$A62,INDEX([2]Apr26A!$A:$N,0,MATCH($A$1,[2]Apr26A!$A$7:$N$7,0))),0)</f>
        <v>0</v>
      </c>
      <c r="F62" s="84">
        <f>IFERROR(SUMIF([2]May26A!$A:$A,$A62,INDEX([2]May26A!$A:$N,0,MATCH($A$1,[2]May26A!$A$7:$N$7,0))),0)</f>
        <v>0</v>
      </c>
      <c r="G62" s="84">
        <f>IFERROR(SUMIF([2]Jun26A!$A:$A,$A62,INDEX([2]Jun26A!$A:$N,0,MATCH($A$1,[2]Jun26A!$A$7:$N$7,0))),0)</f>
        <v>0</v>
      </c>
      <c r="H62" s="84">
        <f>IFERROR(SUMIF([2]Jul26A!$A:$A,$A62,INDEX([2]Jul26A!$A:$N,0,MATCH($A$1,[2]Jul26A!$A$7:$N$7,0))),0)</f>
        <v>-410.41</v>
      </c>
      <c r="I62" s="84">
        <f>IFERROR(SUMIF([2]Aug26A!$A:$A,$A62,INDEX([2]Aug26A!$A:$N,0,MATCH($A$1,[2]Aug26A!$A$7:$N$7,0))),0)</f>
        <v>0</v>
      </c>
      <c r="J62" s="117">
        <v>0</v>
      </c>
      <c r="K62" s="117">
        <v>0</v>
      </c>
      <c r="L62" s="117">
        <v>0</v>
      </c>
      <c r="M62" s="117">
        <v>0</v>
      </c>
      <c r="N62" s="84">
        <f t="shared" si="36"/>
        <v>-410.41</v>
      </c>
      <c r="O62" s="105">
        <f t="shared" si="37"/>
        <v>-5.5281969580227312E-5</v>
      </c>
      <c r="P62" s="84"/>
      <c r="Q62" s="84"/>
      <c r="R62" s="106" t="s">
        <v>99</v>
      </c>
      <c r="S62" s="107">
        <v>0</v>
      </c>
      <c r="T62" s="108">
        <v>0.05</v>
      </c>
      <c r="U62" s="104">
        <f t="shared" ref="U62:AF62" si="44">IF($R62="Manual","",IFERROR(IF($R62="YOY Growth",$N62*(1+$T62)/12,$S62/12),""))</f>
        <v>0</v>
      </c>
      <c r="V62" s="104">
        <f t="shared" si="44"/>
        <v>0</v>
      </c>
      <c r="W62" s="104">
        <f t="shared" si="44"/>
        <v>0</v>
      </c>
      <c r="X62" s="104">
        <f t="shared" si="44"/>
        <v>0</v>
      </c>
      <c r="Y62" s="104">
        <f t="shared" si="44"/>
        <v>0</v>
      </c>
      <c r="Z62" s="104">
        <f t="shared" si="44"/>
        <v>0</v>
      </c>
      <c r="AA62" s="104">
        <f t="shared" si="44"/>
        <v>0</v>
      </c>
      <c r="AB62" s="104">
        <f t="shared" si="44"/>
        <v>0</v>
      </c>
      <c r="AC62" s="104">
        <f t="shared" si="44"/>
        <v>0</v>
      </c>
      <c r="AD62" s="104">
        <f t="shared" si="44"/>
        <v>0</v>
      </c>
      <c r="AE62" s="104">
        <f t="shared" si="44"/>
        <v>0</v>
      </c>
      <c r="AF62" s="104">
        <f t="shared" si="44"/>
        <v>0</v>
      </c>
      <c r="AG62" s="84">
        <f t="shared" si="39"/>
        <v>0</v>
      </c>
      <c r="AH62" s="105" t="str">
        <f t="shared" si="40"/>
        <v/>
      </c>
      <c r="AJ62" s="84">
        <f t="shared" si="41"/>
        <v>-410.41</v>
      </c>
    </row>
    <row r="63" spans="1:36" x14ac:dyDescent="0.3">
      <c r="A63" s="114" t="s">
        <v>149</v>
      </c>
      <c r="B63" s="110">
        <f>B37+B38+B39+B40+B41+B42+B56+B61+B62</f>
        <v>194694.08999999997</v>
      </c>
      <c r="C63" s="110">
        <f t="shared" ref="C63:M63" si="45">C37+C38+C39+C40+C41+C42+C56+C61+C62</f>
        <v>189714.34</v>
      </c>
      <c r="D63" s="110">
        <f t="shared" si="45"/>
        <v>117788.65999999997</v>
      </c>
      <c r="E63" s="110">
        <f t="shared" si="45"/>
        <v>205869.47</v>
      </c>
      <c r="F63" s="110">
        <f t="shared" si="45"/>
        <v>201566.18000000005</v>
      </c>
      <c r="G63" s="110">
        <f t="shared" si="45"/>
        <v>208823.87000000002</v>
      </c>
      <c r="H63" s="110">
        <f t="shared" si="45"/>
        <v>176632.48</v>
      </c>
      <c r="I63" s="110">
        <f t="shared" si="45"/>
        <v>290052.55</v>
      </c>
      <c r="J63" s="110">
        <f t="shared" si="45"/>
        <v>189984.9104761905</v>
      </c>
      <c r="K63" s="110">
        <f t="shared" si="45"/>
        <v>194590.86285714287</v>
      </c>
      <c r="L63" s="110">
        <f t="shared" si="45"/>
        <v>193737.29142857145</v>
      </c>
      <c r="M63" s="110">
        <f t="shared" si="45"/>
        <v>197883.72</v>
      </c>
      <c r="N63" s="110">
        <f>SUM(B63:M63)</f>
        <v>2361338.4247619053</v>
      </c>
      <c r="O63" s="111">
        <f>IFERROR(N63/N$16,"")</f>
        <v>0.31807080472286137</v>
      </c>
      <c r="P63" s="84"/>
      <c r="Q63" s="84"/>
      <c r="R63" s="112"/>
      <c r="S63" s="112"/>
      <c r="T63" s="112"/>
      <c r="U63" s="110">
        <f>U37+U38+U39+U40+U41+U42+U56+U61+U62</f>
        <v>53996.687320622674</v>
      </c>
      <c r="V63" s="110">
        <f t="shared" ref="V63:AF63" si="46">V37+V38+V39+V40+V41+V42+V56+V61+V62</f>
        <v>53996.687320622674</v>
      </c>
      <c r="W63" s="110">
        <f t="shared" si="46"/>
        <v>53996.687320622674</v>
      </c>
      <c r="X63" s="110">
        <f t="shared" si="46"/>
        <v>53996.687320622674</v>
      </c>
      <c r="Y63" s="110">
        <f t="shared" si="46"/>
        <v>53996.687320622674</v>
      </c>
      <c r="Z63" s="110">
        <f t="shared" si="46"/>
        <v>53996.687320622674</v>
      </c>
      <c r="AA63" s="110">
        <f t="shared" si="46"/>
        <v>53996.687320622674</v>
      </c>
      <c r="AB63" s="110">
        <f t="shared" si="46"/>
        <v>53996.687320622674</v>
      </c>
      <c r="AC63" s="110">
        <f t="shared" si="46"/>
        <v>53996.687320622674</v>
      </c>
      <c r="AD63" s="110">
        <f t="shared" si="46"/>
        <v>55616.587940241363</v>
      </c>
      <c r="AE63" s="110">
        <f t="shared" si="46"/>
        <v>55616.587940241363</v>
      </c>
      <c r="AF63" s="110">
        <f t="shared" si="46"/>
        <v>55616.587940241363</v>
      </c>
      <c r="AG63" s="110">
        <f>SUM(U63:AF63)</f>
        <v>652819.9497063281</v>
      </c>
      <c r="AH63" s="111" t="str">
        <f>IFERROR(AG63/AG$16,"")</f>
        <v/>
      </c>
      <c r="AJ63" s="110">
        <f t="shared" si="41"/>
        <v>1708518.4750555772</v>
      </c>
    </row>
    <row r="64" spans="1:36" x14ac:dyDescent="0.3">
      <c r="A64" s="121" t="s">
        <v>150</v>
      </c>
      <c r="B64" s="110">
        <f t="shared" ref="B64:M64" si="47">B16-B63</f>
        <v>348300.47000000009</v>
      </c>
      <c r="C64" s="110">
        <f t="shared" si="47"/>
        <v>313512.72000000009</v>
      </c>
      <c r="D64" s="110">
        <f t="shared" si="47"/>
        <v>429092.67</v>
      </c>
      <c r="E64" s="110">
        <f t="shared" si="47"/>
        <v>543834.51</v>
      </c>
      <c r="F64" s="110">
        <f t="shared" si="47"/>
        <v>318379.70999999996</v>
      </c>
      <c r="G64" s="110">
        <f t="shared" si="47"/>
        <v>270919.13</v>
      </c>
      <c r="H64" s="110">
        <f t="shared" si="47"/>
        <v>464576.35</v>
      </c>
      <c r="I64" s="110">
        <f t="shared" si="47"/>
        <v>181253.01</v>
      </c>
      <c r="J64" s="110">
        <f t="shared" si="47"/>
        <v>461622.42285714275</v>
      </c>
      <c r="K64" s="110">
        <f t="shared" si="47"/>
        <v>552849.80380952382</v>
      </c>
      <c r="L64" s="110">
        <f t="shared" si="47"/>
        <v>578703.37523809518</v>
      </c>
      <c r="M64" s="110">
        <f t="shared" si="47"/>
        <v>599556.94666666666</v>
      </c>
      <c r="N64" s="110">
        <f t="shared" si="36"/>
        <v>5062601.1185714286</v>
      </c>
      <c r="O64" s="111">
        <f t="shared" si="37"/>
        <v>0.68192919527713869</v>
      </c>
      <c r="P64" s="84"/>
      <c r="Q64" s="84"/>
      <c r="R64" s="112"/>
      <c r="S64" s="112"/>
      <c r="T64" s="112"/>
      <c r="U64" s="110">
        <f t="shared" ref="U64:AF64" si="48">U16-U63</f>
        <v>-53996.687320622674</v>
      </c>
      <c r="V64" s="110">
        <f t="shared" si="48"/>
        <v>-53996.687320622674</v>
      </c>
      <c r="W64" s="110">
        <f t="shared" si="48"/>
        <v>-53996.687320622674</v>
      </c>
      <c r="X64" s="110">
        <f t="shared" si="48"/>
        <v>-53996.687320622674</v>
      </c>
      <c r="Y64" s="110">
        <f t="shared" si="48"/>
        <v>-53996.687320622674</v>
      </c>
      <c r="Z64" s="110">
        <f t="shared" si="48"/>
        <v>-53996.687320622674</v>
      </c>
      <c r="AA64" s="110">
        <f t="shared" si="48"/>
        <v>-53996.687320622674</v>
      </c>
      <c r="AB64" s="110">
        <f t="shared" si="48"/>
        <v>-53996.687320622674</v>
      </c>
      <c r="AC64" s="110">
        <f t="shared" si="48"/>
        <v>-53996.687320622674</v>
      </c>
      <c r="AD64" s="110">
        <f t="shared" si="48"/>
        <v>-55616.587940241363</v>
      </c>
      <c r="AE64" s="110">
        <f t="shared" si="48"/>
        <v>-55616.587940241363</v>
      </c>
      <c r="AF64" s="110">
        <f t="shared" si="48"/>
        <v>-55616.587940241363</v>
      </c>
      <c r="AG64" s="110">
        <f t="shared" si="39"/>
        <v>-652819.9497063281</v>
      </c>
      <c r="AH64" s="111" t="str">
        <f t="shared" si="40"/>
        <v/>
      </c>
      <c r="AJ64" s="110">
        <f>AG64-N64</f>
        <v>-5715421.0682777567</v>
      </c>
    </row>
    <row r="65" spans="1:36" x14ac:dyDescent="0.3">
      <c r="A65" s="101" t="s">
        <v>151</v>
      </c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05"/>
      <c r="P65" s="84"/>
      <c r="Q65" s="84"/>
      <c r="R65" s="112"/>
      <c r="S65" s="112"/>
      <c r="T65" s="11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05"/>
      <c r="AJ65" s="105"/>
    </row>
    <row r="66" spans="1:36" x14ac:dyDescent="0.3">
      <c r="A66" s="102" t="s">
        <v>152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105"/>
      <c r="P66" s="84"/>
      <c r="Q66" s="84"/>
      <c r="R66" s="112"/>
      <c r="S66" s="112"/>
      <c r="T66" s="112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105"/>
      <c r="AJ66" s="84"/>
    </row>
    <row r="67" spans="1:36" x14ac:dyDescent="0.3">
      <c r="A67" s="103" t="s">
        <v>153</v>
      </c>
      <c r="B67" s="84">
        <f>IFERROR(SUMIF([2]Jan26A!$A:$A,$A67,INDEX([2]Jan26A!$A:$N,0,MATCH($A$1,[2]Jan26A!$A$7:$N$7,0))),0)</f>
        <v>-142290.68</v>
      </c>
      <c r="C67" s="84">
        <f>IFERROR(SUMIF([2]Feb26A!$A:$A,$A67,INDEX([2]Feb26A!$A:$N,0,MATCH($A$1,[2]Feb26A!$A$7:$N$7,0))),0)</f>
        <v>-165768.20000000001</v>
      </c>
      <c r="D67" s="84">
        <f>IFERROR(SUMIF([2]Mar26A!$A:$A,$A67,INDEX([2]Mar26A!$A:$N,0,MATCH($A$1,[2]Mar26A!$A$7:$N$7,0))),0)</f>
        <v>0</v>
      </c>
      <c r="E67" s="84">
        <f>IFERROR(SUMIF([2]Apr26A!$A:$A,$A67,INDEX([2]Apr26A!$A:$N,0,MATCH($A$1,[2]Apr26A!$A$7:$N$7,0))),0)</f>
        <v>0</v>
      </c>
      <c r="F67" s="84">
        <f>IFERROR(SUMIF([2]May26A!$A:$A,$A67,INDEX([2]May26A!$A:$N,0,MATCH($A$1,[2]May26A!$A$7:$N$7,0))),0)</f>
        <v>0</v>
      </c>
      <c r="G67" s="84">
        <f>IFERROR(SUMIF([2]Jun26A!$A:$A,$A67,INDEX([2]Jun26A!$A:$N,0,MATCH($A$1,[2]Jun26A!$A$7:$N$7,0))),0)</f>
        <v>0</v>
      </c>
      <c r="H67" s="84">
        <f>IFERROR(SUMIF([2]Jul26A!$A:$A,$A67,INDEX([2]Jul26A!$A:$N,0,MATCH($A$1,[2]Jul26A!$A$7:$N$7,0))),0)</f>
        <v>0</v>
      </c>
      <c r="I67" s="84">
        <f>IFERROR(SUMIF([2]Aug26A!$A:$A,$A67,INDEX([2]Aug26A!$A:$N,0,MATCH($A$1,[2]Aug26A!$A$7:$N$7,0))),0)</f>
        <v>0</v>
      </c>
      <c r="J67" s="117">
        <v>0</v>
      </c>
      <c r="K67" s="117">
        <v>0</v>
      </c>
      <c r="L67" s="117">
        <v>0</v>
      </c>
      <c r="M67" s="117">
        <v>0</v>
      </c>
      <c r="N67" s="84">
        <f t="shared" ref="N67:N80" si="49">SUM(B67:M67)</f>
        <v>-308058.88</v>
      </c>
      <c r="O67" s="105">
        <f t="shared" ref="O67:O80" si="50">IFERROR(N67/N$16,"")</f>
        <v>-4.1495337913498444E-2</v>
      </c>
      <c r="P67" s="84"/>
      <c r="Q67" s="84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84">
        <f t="shared" ref="AG67:AG80" si="51">SUM(U67:AF67)</f>
        <v>0</v>
      </c>
      <c r="AH67" s="105" t="str">
        <f t="shared" ref="AH67:AH80" si="52">IFERROR(AG67/AG$16,"")</f>
        <v/>
      </c>
      <c r="AJ67" s="84">
        <f t="shared" ref="AJ67:AJ80" si="53">N67-AG67</f>
        <v>-308058.88</v>
      </c>
    </row>
    <row r="68" spans="1:36" x14ac:dyDescent="0.3">
      <c r="A68" s="103" t="s">
        <v>154</v>
      </c>
      <c r="B68" s="84">
        <f>IFERROR(SUMIF([2]Jan26A!$A:$A,$A68,INDEX([2]Jan26A!$A:$N,0,MATCH($A$1,[2]Jan26A!$A$7:$N$7,0))),0)</f>
        <v>1615.95</v>
      </c>
      <c r="C68" s="84">
        <f>IFERROR(SUMIF([2]Feb26A!$A:$A,$A68,INDEX([2]Feb26A!$A:$N,0,MATCH($A$1,[2]Feb26A!$A$7:$N$7,0))),0)</f>
        <v>0</v>
      </c>
      <c r="D68" s="84">
        <f>IFERROR(SUMIF([2]Mar26A!$A:$A,$A68,INDEX([2]Mar26A!$A:$N,0,MATCH($A$1,[2]Mar26A!$A$7:$N$7,0))),0)</f>
        <v>0</v>
      </c>
      <c r="E68" s="84">
        <f>IFERROR(SUMIF([2]Apr26A!$A:$A,$A68,INDEX([2]Apr26A!$A:$N,0,MATCH($A$1,[2]Apr26A!$A$7:$N$7,0))),0)</f>
        <v>0</v>
      </c>
      <c r="F68" s="84">
        <f>IFERROR(SUMIF([2]May26A!$A:$A,$A68,INDEX([2]May26A!$A:$N,0,MATCH($A$1,[2]May26A!$A$7:$N$7,0))),0)</f>
        <v>0</v>
      </c>
      <c r="G68" s="84">
        <f>IFERROR(SUMIF([2]Jun26A!$A:$A,$A68,INDEX([2]Jun26A!$A:$N,0,MATCH($A$1,[2]Jun26A!$A$7:$N$7,0))),0)</f>
        <v>0</v>
      </c>
      <c r="H68" s="84">
        <f>IFERROR(SUMIF([2]Jul26A!$A:$A,$A68,INDEX([2]Jul26A!$A:$N,0,MATCH($A$1,[2]Jul26A!$A$7:$N$7,0))),0)</f>
        <v>0</v>
      </c>
      <c r="I68" s="84">
        <f>IFERROR(SUMIF([2]Aug26A!$A:$A,$A68,INDEX([2]Aug26A!$A:$N,0,MATCH($A$1,[2]Aug26A!$A$7:$N$7,0))),0)</f>
        <v>0</v>
      </c>
      <c r="J68" s="117">
        <v>0</v>
      </c>
      <c r="K68" s="117">
        <v>0</v>
      </c>
      <c r="L68" s="117">
        <v>0</v>
      </c>
      <c r="M68" s="117">
        <v>0</v>
      </c>
      <c r="N68" s="84">
        <f t="shared" si="49"/>
        <v>1615.95</v>
      </c>
      <c r="O68" s="105">
        <f t="shared" si="50"/>
        <v>2.1766745143434206E-4</v>
      </c>
      <c r="P68" s="84"/>
      <c r="Q68" s="84"/>
      <c r="R68" s="168"/>
      <c r="S68" s="168"/>
      <c r="T68" s="168"/>
      <c r="U68" s="168"/>
      <c r="V68" s="168"/>
      <c r="W68" s="168"/>
      <c r="X68" s="168"/>
      <c r="Y68" s="168"/>
      <c r="Z68" s="168"/>
      <c r="AA68" s="168"/>
      <c r="AB68" s="168"/>
      <c r="AC68" s="168"/>
      <c r="AD68" s="168"/>
      <c r="AE68" s="168"/>
      <c r="AF68" s="168"/>
      <c r="AG68" s="84">
        <f t="shared" si="51"/>
        <v>0</v>
      </c>
      <c r="AH68" s="105" t="str">
        <f t="shared" si="52"/>
        <v/>
      </c>
      <c r="AJ68" s="84">
        <f t="shared" si="53"/>
        <v>1615.95</v>
      </c>
    </row>
    <row r="69" spans="1:36" x14ac:dyDescent="0.3">
      <c r="A69" s="103" t="s">
        <v>155</v>
      </c>
      <c r="B69" s="84">
        <f>IFERROR(SUMIF([2]Jan26A!$A:$A,$A69,INDEX([2]Jan26A!$A:$N,0,MATCH($A$1,[2]Jan26A!$A$7:$N$7,0))),0)</f>
        <v>-3646.58</v>
      </c>
      <c r="C69" s="84">
        <f>IFERROR(SUMIF([2]Feb26A!$A:$A,$A69,INDEX([2]Feb26A!$A:$N,0,MATCH($A$1,[2]Feb26A!$A$7:$N$7,0))),0)</f>
        <v>218.75</v>
      </c>
      <c r="D69" s="84">
        <f>IFERROR(SUMIF([2]Mar26A!$A:$A,$A69,INDEX([2]Mar26A!$A:$N,0,MATCH($A$1,[2]Mar26A!$A$7:$N$7,0))),0)</f>
        <v>0</v>
      </c>
      <c r="E69" s="84">
        <f>IFERROR(SUMIF([2]Apr26A!$A:$A,$A69,INDEX([2]Apr26A!$A:$N,0,MATCH($A$1,[2]Apr26A!$A$7:$N$7,0))),0)</f>
        <v>0</v>
      </c>
      <c r="F69" s="84">
        <f>IFERROR(SUMIF([2]May26A!$A:$A,$A69,INDEX([2]May26A!$A:$N,0,MATCH($A$1,[2]May26A!$A$7:$N$7,0))),0)</f>
        <v>0</v>
      </c>
      <c r="G69" s="84">
        <f>IFERROR(SUMIF([2]Jun26A!$A:$A,$A69,INDEX([2]Jun26A!$A:$N,0,MATCH($A$1,[2]Jun26A!$A$7:$N$7,0))),0)</f>
        <v>0</v>
      </c>
      <c r="H69" s="84">
        <f>IFERROR(SUMIF([2]Jul26A!$A:$A,$A69,INDEX([2]Jul26A!$A:$N,0,MATCH($A$1,[2]Jul26A!$A$7:$N$7,0))),0)</f>
        <v>0</v>
      </c>
      <c r="I69" s="84">
        <f>IFERROR(SUMIF([2]Aug26A!$A:$A,$A69,INDEX([2]Aug26A!$A:$N,0,MATCH($A$1,[2]Aug26A!$A$7:$N$7,0))),0)</f>
        <v>0</v>
      </c>
      <c r="J69" s="117">
        <v>0</v>
      </c>
      <c r="K69" s="117">
        <v>0</v>
      </c>
      <c r="L69" s="117">
        <v>0</v>
      </c>
      <c r="M69" s="117">
        <v>0</v>
      </c>
      <c r="N69" s="84">
        <f t="shared" si="49"/>
        <v>-3427.83</v>
      </c>
      <c r="O69" s="105">
        <f t="shared" si="50"/>
        <v>-4.6172655097631777E-4</v>
      </c>
      <c r="P69" s="84"/>
      <c r="Q69" s="84"/>
      <c r="R69" s="168"/>
      <c r="S69" s="168"/>
      <c r="T69" s="168"/>
      <c r="U69" s="168"/>
      <c r="V69" s="168"/>
      <c r="W69" s="168"/>
      <c r="X69" s="168"/>
      <c r="Y69" s="168"/>
      <c r="Z69" s="168"/>
      <c r="AA69" s="168"/>
      <c r="AB69" s="168"/>
      <c r="AC69" s="168"/>
      <c r="AD69" s="168"/>
      <c r="AE69" s="168"/>
      <c r="AF69" s="168"/>
      <c r="AG69" s="84">
        <f t="shared" si="51"/>
        <v>0</v>
      </c>
      <c r="AH69" s="105" t="str">
        <f t="shared" si="52"/>
        <v/>
      </c>
      <c r="AJ69" s="84">
        <f t="shared" si="53"/>
        <v>-3427.83</v>
      </c>
    </row>
    <row r="70" spans="1:36" x14ac:dyDescent="0.3">
      <c r="A70" s="103" t="s">
        <v>156</v>
      </c>
      <c r="B70" s="84">
        <f>IFERROR(SUMIF([2]Jan26A!$A:$A,$A70,INDEX([2]Jan26A!$A:$N,0,MATCH($A$1,[2]Jan26A!$A$7:$N$7,0))),0)</f>
        <v>0</v>
      </c>
      <c r="C70" s="84">
        <f>IFERROR(SUMIF([2]Feb26A!$A:$A,$A70,INDEX([2]Feb26A!$A:$N,0,MATCH($A$1,[2]Feb26A!$A$7:$N$7,0))),0)</f>
        <v>0</v>
      </c>
      <c r="D70" s="84">
        <f>IFERROR(SUMIF([2]Mar26A!$A:$A,$A70,INDEX([2]Mar26A!$A:$N,0,MATCH($A$1,[2]Mar26A!$A$7:$N$7,0))),0)</f>
        <v>0</v>
      </c>
      <c r="E70" s="84">
        <f>IFERROR(SUMIF([2]Apr26A!$A:$A,$A70,INDEX([2]Apr26A!$A:$N,0,MATCH($A$1,[2]Apr26A!$A$7:$N$7,0))),0)</f>
        <v>0</v>
      </c>
      <c r="F70" s="84">
        <f>IFERROR(SUMIF([2]May26A!$A:$A,$A70,INDEX([2]May26A!$A:$N,0,MATCH($A$1,[2]May26A!$A$7:$N$7,0))),0)</f>
        <v>0</v>
      </c>
      <c r="G70" s="84">
        <f>IFERROR(SUMIF([2]Jun26A!$A:$A,$A70,INDEX([2]Jun26A!$A:$N,0,MATCH($A$1,[2]Jun26A!$A$7:$N$7,0))),0)</f>
        <v>0</v>
      </c>
      <c r="H70" s="84">
        <f>IFERROR(SUMIF([2]Jul26A!$A:$A,$A70,INDEX([2]Jul26A!$A:$N,0,MATCH($A$1,[2]Jul26A!$A$7:$N$7,0))),0)</f>
        <v>0</v>
      </c>
      <c r="I70" s="84">
        <f>IFERROR(SUMIF([2]Aug26A!$A:$A,$A70,INDEX([2]Aug26A!$A:$N,0,MATCH($A$1,[2]Aug26A!$A$7:$N$7,0))),0)</f>
        <v>0</v>
      </c>
      <c r="J70" s="117">
        <v>0</v>
      </c>
      <c r="K70" s="117">
        <v>0</v>
      </c>
      <c r="L70" s="117">
        <v>0</v>
      </c>
      <c r="M70" s="117">
        <v>0</v>
      </c>
      <c r="N70" s="84">
        <f t="shared" si="49"/>
        <v>0</v>
      </c>
      <c r="O70" s="105">
        <f t="shared" si="50"/>
        <v>0</v>
      </c>
      <c r="P70" s="84"/>
      <c r="Q70" s="84"/>
      <c r="R70" s="106" t="s">
        <v>99</v>
      </c>
      <c r="S70" s="107">
        <v>0</v>
      </c>
      <c r="T70" s="108">
        <v>0.05</v>
      </c>
      <c r="U70" s="104">
        <f t="shared" ref="U70:AF72" si="54">IF($R70="Manual","",IFERROR(IF($R70="YOY Growth",$N70*(1+$T70)/12,$S70/12),""))</f>
        <v>0</v>
      </c>
      <c r="V70" s="104">
        <f t="shared" si="54"/>
        <v>0</v>
      </c>
      <c r="W70" s="104">
        <f t="shared" si="54"/>
        <v>0</v>
      </c>
      <c r="X70" s="104">
        <f t="shared" si="54"/>
        <v>0</v>
      </c>
      <c r="Y70" s="104">
        <f t="shared" si="54"/>
        <v>0</v>
      </c>
      <c r="Z70" s="104">
        <f t="shared" si="54"/>
        <v>0</v>
      </c>
      <c r="AA70" s="104">
        <f t="shared" si="54"/>
        <v>0</v>
      </c>
      <c r="AB70" s="104">
        <f t="shared" si="54"/>
        <v>0</v>
      </c>
      <c r="AC70" s="104">
        <f t="shared" si="54"/>
        <v>0</v>
      </c>
      <c r="AD70" s="104">
        <f t="shared" si="54"/>
        <v>0</v>
      </c>
      <c r="AE70" s="104">
        <f t="shared" si="54"/>
        <v>0</v>
      </c>
      <c r="AF70" s="104">
        <f t="shared" si="54"/>
        <v>0</v>
      </c>
      <c r="AG70" s="84">
        <f t="shared" si="51"/>
        <v>0</v>
      </c>
      <c r="AH70" s="105" t="str">
        <f t="shared" si="52"/>
        <v/>
      </c>
      <c r="AJ70" s="84">
        <f t="shared" si="53"/>
        <v>0</v>
      </c>
    </row>
    <row r="71" spans="1:36" x14ac:dyDescent="0.3">
      <c r="A71" s="103" t="s">
        <v>157</v>
      </c>
      <c r="B71" s="84">
        <f>IFERROR(SUMIF([2]Jan26A!$A:$A,$A71,INDEX([2]Jan26A!$A:$N,0,MATCH($A$1,[2]Jan26A!$A$7:$N$7,0))),0)</f>
        <v>0</v>
      </c>
      <c r="C71" s="84">
        <f>IFERROR(SUMIF([2]Feb26A!$A:$A,$A71,INDEX([2]Feb26A!$A:$N,0,MATCH($A$1,[2]Feb26A!$A$7:$N$7,0))),0)</f>
        <v>0</v>
      </c>
      <c r="D71" s="84">
        <f>IFERROR(SUMIF([2]Mar26A!$A:$A,$A71,INDEX([2]Mar26A!$A:$N,0,MATCH($A$1,[2]Mar26A!$A$7:$N$7,0))),0)</f>
        <v>0</v>
      </c>
      <c r="E71" s="84">
        <f>IFERROR(SUMIF([2]Apr26A!$A:$A,$A71,INDEX([2]Apr26A!$A:$N,0,MATCH($A$1,[2]Apr26A!$A$7:$N$7,0))),0)</f>
        <v>0</v>
      </c>
      <c r="F71" s="84">
        <f>IFERROR(SUMIF([2]May26A!$A:$A,$A71,INDEX([2]May26A!$A:$N,0,MATCH($A$1,[2]May26A!$A$7:$N$7,0))),0)</f>
        <v>0</v>
      </c>
      <c r="G71" s="84">
        <f>IFERROR(SUMIF([2]Jun26A!$A:$A,$A71,INDEX([2]Jun26A!$A:$N,0,MATCH($A$1,[2]Jun26A!$A$7:$N$7,0))),0)</f>
        <v>0</v>
      </c>
      <c r="H71" s="84">
        <f>IFERROR(SUMIF([2]Jul26A!$A:$A,$A71,INDEX([2]Jul26A!$A:$N,0,MATCH($A$1,[2]Jul26A!$A$7:$N$7,0))),0)</f>
        <v>0</v>
      </c>
      <c r="I71" s="84">
        <f>IFERROR(SUMIF([2]Aug26A!$A:$A,$A71,INDEX([2]Aug26A!$A:$N,0,MATCH($A$1,[2]Aug26A!$A$7:$N$7,0))),0)</f>
        <v>0</v>
      </c>
      <c r="J71" s="117">
        <v>0</v>
      </c>
      <c r="K71" s="117">
        <v>0</v>
      </c>
      <c r="L71" s="117">
        <v>0</v>
      </c>
      <c r="M71" s="117">
        <v>0</v>
      </c>
      <c r="N71" s="84">
        <f t="shared" si="49"/>
        <v>0</v>
      </c>
      <c r="O71" s="105">
        <f t="shared" si="50"/>
        <v>0</v>
      </c>
      <c r="P71" s="84"/>
      <c r="Q71" s="84"/>
      <c r="R71" s="106" t="s">
        <v>99</v>
      </c>
      <c r="S71" s="107">
        <v>0</v>
      </c>
      <c r="T71" s="108">
        <v>0.05</v>
      </c>
      <c r="U71" s="104">
        <f t="shared" si="54"/>
        <v>0</v>
      </c>
      <c r="V71" s="104">
        <f t="shared" si="54"/>
        <v>0</v>
      </c>
      <c r="W71" s="104">
        <f t="shared" si="54"/>
        <v>0</v>
      </c>
      <c r="X71" s="104">
        <f t="shared" si="54"/>
        <v>0</v>
      </c>
      <c r="Y71" s="104">
        <f t="shared" si="54"/>
        <v>0</v>
      </c>
      <c r="Z71" s="104">
        <f t="shared" si="54"/>
        <v>0</v>
      </c>
      <c r="AA71" s="104">
        <f t="shared" si="54"/>
        <v>0</v>
      </c>
      <c r="AB71" s="104">
        <f t="shared" si="54"/>
        <v>0</v>
      </c>
      <c r="AC71" s="104">
        <f t="shared" si="54"/>
        <v>0</v>
      </c>
      <c r="AD71" s="104">
        <f t="shared" si="54"/>
        <v>0</v>
      </c>
      <c r="AE71" s="104">
        <f t="shared" si="54"/>
        <v>0</v>
      </c>
      <c r="AF71" s="104">
        <f t="shared" si="54"/>
        <v>0</v>
      </c>
      <c r="AG71" s="84">
        <f t="shared" si="51"/>
        <v>0</v>
      </c>
      <c r="AH71" s="105" t="str">
        <f t="shared" si="52"/>
        <v/>
      </c>
      <c r="AJ71" s="84">
        <f t="shared" si="53"/>
        <v>0</v>
      </c>
    </row>
    <row r="72" spans="1:36" x14ac:dyDescent="0.3">
      <c r="A72" s="103" t="s">
        <v>158</v>
      </c>
      <c r="B72" s="84">
        <f>IFERROR(SUMIF([2]Jan26A!$A:$A,$A72,INDEX([2]Jan26A!$A:$N,0,MATCH($A$1,[2]Jan26A!$A$7:$N$7,0))),0)</f>
        <v>0</v>
      </c>
      <c r="C72" s="84">
        <f>IFERROR(SUMIF([2]Feb26A!$A:$A,$A72,INDEX([2]Feb26A!$A:$N,0,MATCH($A$1,[2]Feb26A!$A$7:$N$7,0))),0)</f>
        <v>0</v>
      </c>
      <c r="D72" s="84">
        <f>IFERROR(SUMIF([2]Mar26A!$A:$A,$A72,INDEX([2]Mar26A!$A:$N,0,MATCH($A$1,[2]Mar26A!$A$7:$N$7,0))),0)</f>
        <v>0</v>
      </c>
      <c r="E72" s="84">
        <f>IFERROR(SUMIF([2]Apr26A!$A:$A,$A72,INDEX([2]Apr26A!$A:$N,0,MATCH($A$1,[2]Apr26A!$A$7:$N$7,0))),0)</f>
        <v>0</v>
      </c>
      <c r="F72" s="84">
        <f>IFERROR(SUMIF([2]May26A!$A:$A,$A72,INDEX([2]May26A!$A:$N,0,MATCH($A$1,[2]May26A!$A$7:$N$7,0))),0)</f>
        <v>0</v>
      </c>
      <c r="G72" s="84">
        <f>IFERROR(SUMIF([2]Jun26A!$A:$A,$A72,INDEX([2]Jun26A!$A:$N,0,MATCH($A$1,[2]Jun26A!$A$7:$N$7,0))),0)</f>
        <v>0</v>
      </c>
      <c r="H72" s="84">
        <f>IFERROR(SUMIF([2]Jul26A!$A:$A,$A72,INDEX([2]Jul26A!$A:$N,0,MATCH($A$1,[2]Jul26A!$A$7:$N$7,0))),0)</f>
        <v>0</v>
      </c>
      <c r="I72" s="84">
        <f>IFERROR(SUMIF([2]Aug26A!$A:$A,$A72,INDEX([2]Aug26A!$A:$N,0,MATCH($A$1,[2]Aug26A!$A$7:$N$7,0))),0)</f>
        <v>0</v>
      </c>
      <c r="J72" s="117">
        <v>0</v>
      </c>
      <c r="K72" s="117">
        <v>0</v>
      </c>
      <c r="L72" s="117">
        <v>0</v>
      </c>
      <c r="M72" s="117">
        <v>0</v>
      </c>
      <c r="N72" s="84">
        <f t="shared" si="49"/>
        <v>0</v>
      </c>
      <c r="O72" s="105">
        <f t="shared" si="50"/>
        <v>0</v>
      </c>
      <c r="P72" s="84"/>
      <c r="Q72" s="84"/>
      <c r="R72" s="106" t="s">
        <v>99</v>
      </c>
      <c r="S72" s="107">
        <v>0</v>
      </c>
      <c r="T72" s="108">
        <v>0.05</v>
      </c>
      <c r="U72" s="104">
        <f t="shared" si="54"/>
        <v>0</v>
      </c>
      <c r="V72" s="104">
        <f t="shared" si="54"/>
        <v>0</v>
      </c>
      <c r="W72" s="104">
        <f t="shared" si="54"/>
        <v>0</v>
      </c>
      <c r="X72" s="104">
        <f t="shared" si="54"/>
        <v>0</v>
      </c>
      <c r="Y72" s="104">
        <f t="shared" si="54"/>
        <v>0</v>
      </c>
      <c r="Z72" s="104">
        <f t="shared" si="54"/>
        <v>0</v>
      </c>
      <c r="AA72" s="104">
        <f t="shared" si="54"/>
        <v>0</v>
      </c>
      <c r="AB72" s="104">
        <f t="shared" si="54"/>
        <v>0</v>
      </c>
      <c r="AC72" s="104">
        <f t="shared" si="54"/>
        <v>0</v>
      </c>
      <c r="AD72" s="104">
        <f t="shared" si="54"/>
        <v>0</v>
      </c>
      <c r="AE72" s="104">
        <f t="shared" si="54"/>
        <v>0</v>
      </c>
      <c r="AF72" s="104">
        <f t="shared" si="54"/>
        <v>0</v>
      </c>
      <c r="AG72" s="84">
        <f t="shared" si="51"/>
        <v>0</v>
      </c>
      <c r="AH72" s="105" t="str">
        <f t="shared" si="52"/>
        <v/>
      </c>
      <c r="AJ72" s="84">
        <f t="shared" si="53"/>
        <v>0</v>
      </c>
    </row>
    <row r="73" spans="1:36" x14ac:dyDescent="0.3">
      <c r="A73" s="109" t="s">
        <v>159</v>
      </c>
      <c r="B73" s="110">
        <f t="shared" ref="B73:M73" si="55">SUM(B67:B72)</f>
        <v>-144321.30999999997</v>
      </c>
      <c r="C73" s="110">
        <f t="shared" si="55"/>
        <v>-165549.45000000001</v>
      </c>
      <c r="D73" s="110">
        <f t="shared" si="55"/>
        <v>0</v>
      </c>
      <c r="E73" s="110">
        <f t="shared" si="55"/>
        <v>0</v>
      </c>
      <c r="F73" s="110">
        <f t="shared" si="55"/>
        <v>0</v>
      </c>
      <c r="G73" s="110">
        <f t="shared" si="55"/>
        <v>0</v>
      </c>
      <c r="H73" s="110">
        <f t="shared" si="55"/>
        <v>0</v>
      </c>
      <c r="I73" s="110">
        <f t="shared" si="55"/>
        <v>0</v>
      </c>
      <c r="J73" s="110">
        <f t="shared" si="55"/>
        <v>0</v>
      </c>
      <c r="K73" s="110">
        <f t="shared" si="55"/>
        <v>0</v>
      </c>
      <c r="L73" s="110">
        <f t="shared" si="55"/>
        <v>0</v>
      </c>
      <c r="M73" s="110">
        <f t="shared" si="55"/>
        <v>0</v>
      </c>
      <c r="N73" s="110">
        <f t="shared" si="49"/>
        <v>-309870.76</v>
      </c>
      <c r="O73" s="111">
        <f t="shared" si="50"/>
        <v>-4.173939701304042E-2</v>
      </c>
      <c r="P73" s="84"/>
      <c r="Q73" s="84"/>
      <c r="R73" s="112"/>
      <c r="S73" s="112"/>
      <c r="T73" s="112"/>
      <c r="U73" s="110">
        <f t="shared" ref="U73:AF73" si="56">SUM(U67:U72)</f>
        <v>0</v>
      </c>
      <c r="V73" s="110">
        <f t="shared" si="56"/>
        <v>0</v>
      </c>
      <c r="W73" s="110">
        <f t="shared" si="56"/>
        <v>0</v>
      </c>
      <c r="X73" s="110">
        <f t="shared" si="56"/>
        <v>0</v>
      </c>
      <c r="Y73" s="110">
        <f t="shared" si="56"/>
        <v>0</v>
      </c>
      <c r="Z73" s="110">
        <f t="shared" si="56"/>
        <v>0</v>
      </c>
      <c r="AA73" s="110">
        <f t="shared" si="56"/>
        <v>0</v>
      </c>
      <c r="AB73" s="110">
        <f t="shared" si="56"/>
        <v>0</v>
      </c>
      <c r="AC73" s="110">
        <f t="shared" si="56"/>
        <v>0</v>
      </c>
      <c r="AD73" s="110">
        <f t="shared" si="56"/>
        <v>0</v>
      </c>
      <c r="AE73" s="110">
        <f t="shared" si="56"/>
        <v>0</v>
      </c>
      <c r="AF73" s="110">
        <f t="shared" si="56"/>
        <v>0</v>
      </c>
      <c r="AG73" s="110">
        <f t="shared" si="51"/>
        <v>0</v>
      </c>
      <c r="AH73" s="111" t="str">
        <f t="shared" si="52"/>
        <v/>
      </c>
      <c r="AJ73" s="110">
        <f t="shared" si="53"/>
        <v>-309870.76</v>
      </c>
    </row>
    <row r="74" spans="1:36" x14ac:dyDescent="0.3">
      <c r="A74" s="113" t="s">
        <v>160</v>
      </c>
      <c r="B74" s="84">
        <f>IFERROR(SUMIF([2]Jan26A!$A:$A,$A74,INDEX([2]Jan26A!$A:$N,0,MATCH($A$1,[2]Jan26A!$A$7:$N$7,0))),0)</f>
        <v>0</v>
      </c>
      <c r="C74" s="84">
        <f>IFERROR(SUMIF([2]Feb26A!$A:$A,$A74,INDEX([2]Feb26A!$A:$N,0,MATCH($A$1,[2]Feb26A!$A$7:$N$7,0))),0)</f>
        <v>0</v>
      </c>
      <c r="D74" s="84">
        <f>IFERROR(SUMIF([2]Mar26A!$A:$A,$A74,INDEX([2]Mar26A!$A:$N,0,MATCH($A$1,[2]Mar26A!$A$7:$N$7,0))),0)</f>
        <v>0</v>
      </c>
      <c r="E74" s="84">
        <f>IFERROR(SUMIF([2]Apr26A!$A:$A,$A74,INDEX([2]Apr26A!$A:$N,0,MATCH($A$1,[2]Apr26A!$A$7:$N$7,0))),0)</f>
        <v>0</v>
      </c>
      <c r="F74" s="84">
        <f>IFERROR(SUMIF([2]May26A!$A:$A,$A74,INDEX([2]May26A!$A:$N,0,MATCH($A$1,[2]May26A!$A$7:$N$7,0))),0)</f>
        <v>0</v>
      </c>
      <c r="G74" s="84">
        <f>IFERROR(SUMIF([2]Jun26A!$A:$A,$A74,INDEX([2]Jun26A!$A:$N,0,MATCH($A$1,[2]Jun26A!$A$7:$N$7,0))),0)</f>
        <v>0</v>
      </c>
      <c r="H74" s="84">
        <f>IFERROR(SUMIF([2]Jul26A!$A:$A,$A74,INDEX([2]Jul26A!$A:$N,0,MATCH($A$1,[2]Jul26A!$A$7:$N$7,0))),0)</f>
        <v>0</v>
      </c>
      <c r="I74" s="84">
        <f>IFERROR(SUMIF([2]Aug26A!$A:$A,$A74,INDEX([2]Aug26A!$A:$N,0,MATCH($A$1,[2]Aug26A!$A$7:$N$7,0))),0)</f>
        <v>0</v>
      </c>
      <c r="J74" s="117">
        <v>0</v>
      </c>
      <c r="K74" s="117">
        <v>0</v>
      </c>
      <c r="L74" s="117">
        <v>0</v>
      </c>
      <c r="M74" s="117">
        <v>0</v>
      </c>
      <c r="N74" s="84">
        <f t="shared" si="49"/>
        <v>0</v>
      </c>
      <c r="O74" s="105">
        <f t="shared" si="50"/>
        <v>0</v>
      </c>
      <c r="P74" s="84"/>
      <c r="Q74" s="84"/>
      <c r="R74" s="106" t="s">
        <v>99</v>
      </c>
      <c r="S74" s="107">
        <v>0</v>
      </c>
      <c r="T74" s="108">
        <v>0.05</v>
      </c>
      <c r="U74" s="104">
        <f t="shared" ref="U74:AF80" si="57">IF($R74="Manual","",IFERROR(IF($R74="YOY Growth",$N74*(1+$T74)/12,$S74/12),""))</f>
        <v>0</v>
      </c>
      <c r="V74" s="104">
        <f t="shared" si="57"/>
        <v>0</v>
      </c>
      <c r="W74" s="104">
        <f t="shared" si="57"/>
        <v>0</v>
      </c>
      <c r="X74" s="104">
        <f t="shared" si="57"/>
        <v>0</v>
      </c>
      <c r="Y74" s="104">
        <f t="shared" si="57"/>
        <v>0</v>
      </c>
      <c r="Z74" s="104">
        <f t="shared" si="57"/>
        <v>0</v>
      </c>
      <c r="AA74" s="104">
        <f t="shared" si="57"/>
        <v>0</v>
      </c>
      <c r="AB74" s="104">
        <f t="shared" si="57"/>
        <v>0</v>
      </c>
      <c r="AC74" s="104">
        <f t="shared" si="57"/>
        <v>0</v>
      </c>
      <c r="AD74" s="104">
        <f t="shared" si="57"/>
        <v>0</v>
      </c>
      <c r="AE74" s="104">
        <f t="shared" si="57"/>
        <v>0</v>
      </c>
      <c r="AF74" s="104">
        <f t="shared" si="57"/>
        <v>0</v>
      </c>
      <c r="AG74" s="84">
        <f t="shared" si="51"/>
        <v>0</v>
      </c>
      <c r="AH74" s="105" t="str">
        <f t="shared" si="52"/>
        <v/>
      </c>
      <c r="AJ74" s="84">
        <f t="shared" si="53"/>
        <v>0</v>
      </c>
    </row>
    <row r="75" spans="1:36" x14ac:dyDescent="0.3">
      <c r="A75" s="113" t="s">
        <v>161</v>
      </c>
      <c r="B75" s="84">
        <f>IFERROR(SUMIF([2]Jan26A!$A:$A,$A75,INDEX([2]Jan26A!$A:$N,0,MATCH($A$1,[2]Jan26A!$A$7:$N$7,0))),0)</f>
        <v>0</v>
      </c>
      <c r="C75" s="84">
        <f>IFERROR(SUMIF([2]Feb26A!$A:$A,$A75,INDEX([2]Feb26A!$A:$N,0,MATCH($A$1,[2]Feb26A!$A$7:$N$7,0))),0)</f>
        <v>0</v>
      </c>
      <c r="D75" s="84">
        <f>IFERROR(SUMIF([2]Mar26A!$A:$A,$A75,INDEX([2]Mar26A!$A:$N,0,MATCH($A$1,[2]Mar26A!$A$7:$N$7,0))),0)</f>
        <v>0</v>
      </c>
      <c r="E75" s="84">
        <f>IFERROR(SUMIF([2]Apr26A!$A:$A,$A75,INDEX([2]Apr26A!$A:$N,0,MATCH($A$1,[2]Apr26A!$A$7:$N$7,0))),0)</f>
        <v>0</v>
      </c>
      <c r="F75" s="84">
        <f>IFERROR(SUMIF([2]May26A!$A:$A,$A75,INDEX([2]May26A!$A:$N,0,MATCH($A$1,[2]May26A!$A$7:$N$7,0))),0)</f>
        <v>0</v>
      </c>
      <c r="G75" s="84">
        <f>IFERROR(SUMIF([2]Jun26A!$A:$A,$A75,INDEX([2]Jun26A!$A:$N,0,MATCH($A$1,[2]Jun26A!$A$7:$N$7,0))),0)</f>
        <v>0</v>
      </c>
      <c r="H75" s="84">
        <f>IFERROR(SUMIF([2]Jul26A!$A:$A,$A75,INDEX([2]Jul26A!$A:$N,0,MATCH($A$1,[2]Jul26A!$A$7:$N$7,0))),0)</f>
        <v>0</v>
      </c>
      <c r="I75" s="84">
        <f>IFERROR(SUMIF([2]Aug26A!$A:$A,$A75,INDEX([2]Aug26A!$A:$N,0,MATCH($A$1,[2]Aug26A!$A$7:$N$7,0))),0)</f>
        <v>0</v>
      </c>
      <c r="J75" s="117">
        <v>0</v>
      </c>
      <c r="K75" s="117">
        <v>0</v>
      </c>
      <c r="L75" s="117">
        <v>0</v>
      </c>
      <c r="M75" s="117">
        <v>0</v>
      </c>
      <c r="N75" s="84">
        <f t="shared" si="49"/>
        <v>0</v>
      </c>
      <c r="O75" s="105">
        <f t="shared" si="50"/>
        <v>0</v>
      </c>
      <c r="P75" s="84"/>
      <c r="Q75" s="84"/>
      <c r="R75" s="106" t="s">
        <v>99</v>
      </c>
      <c r="S75" s="107">
        <v>0</v>
      </c>
      <c r="T75" s="108">
        <v>0.05</v>
      </c>
      <c r="U75" s="104">
        <f t="shared" si="57"/>
        <v>0</v>
      </c>
      <c r="V75" s="104">
        <f t="shared" si="57"/>
        <v>0</v>
      </c>
      <c r="W75" s="104">
        <f t="shared" si="57"/>
        <v>0</v>
      </c>
      <c r="X75" s="104">
        <f t="shared" si="57"/>
        <v>0</v>
      </c>
      <c r="Y75" s="104">
        <f t="shared" si="57"/>
        <v>0</v>
      </c>
      <c r="Z75" s="104">
        <f t="shared" si="57"/>
        <v>0</v>
      </c>
      <c r="AA75" s="104">
        <f t="shared" si="57"/>
        <v>0</v>
      </c>
      <c r="AB75" s="104">
        <f t="shared" si="57"/>
        <v>0</v>
      </c>
      <c r="AC75" s="104">
        <f t="shared" si="57"/>
        <v>0</v>
      </c>
      <c r="AD75" s="104">
        <f t="shared" si="57"/>
        <v>0</v>
      </c>
      <c r="AE75" s="104">
        <f t="shared" si="57"/>
        <v>0</v>
      </c>
      <c r="AF75" s="104">
        <f t="shared" si="57"/>
        <v>0</v>
      </c>
      <c r="AG75" s="84">
        <f t="shared" si="51"/>
        <v>0</v>
      </c>
      <c r="AH75" s="105" t="str">
        <f t="shared" si="52"/>
        <v/>
      </c>
      <c r="AJ75" s="84">
        <f t="shared" si="53"/>
        <v>0</v>
      </c>
    </row>
    <row r="76" spans="1:36" x14ac:dyDescent="0.3">
      <c r="A76" s="113" t="s">
        <v>162</v>
      </c>
      <c r="B76" s="84">
        <f>IFERROR(SUMIF([2]Jan26A!$A:$A,$A76,INDEX([2]Jan26A!$A:$N,0,MATCH($A$1,[2]Jan26A!$A$7:$N$7,0))),0)</f>
        <v>341.94</v>
      </c>
      <c r="C76" s="84">
        <f>IFERROR(SUMIF([2]Feb26A!$A:$A,$A76,INDEX([2]Feb26A!$A:$N,0,MATCH($A$1,[2]Feb26A!$A$7:$N$7,0))),0)</f>
        <v>0</v>
      </c>
      <c r="D76" s="84">
        <f>IFERROR(SUMIF([2]Mar26A!$A:$A,$A76,INDEX([2]Mar26A!$A:$N,0,MATCH($A$1,[2]Mar26A!$A$7:$N$7,0))),0)</f>
        <v>0</v>
      </c>
      <c r="E76" s="84">
        <f>IFERROR(SUMIF([2]Apr26A!$A:$A,$A76,INDEX([2]Apr26A!$A:$N,0,MATCH($A$1,[2]Apr26A!$A$7:$N$7,0))),0)</f>
        <v>0</v>
      </c>
      <c r="F76" s="84">
        <f>IFERROR(SUMIF([2]May26A!$A:$A,$A76,INDEX([2]May26A!$A:$N,0,MATCH($A$1,[2]May26A!$A$7:$N$7,0))),0)</f>
        <v>0</v>
      </c>
      <c r="G76" s="84">
        <f>IFERROR(SUMIF([2]Jun26A!$A:$A,$A76,INDEX([2]Jun26A!$A:$N,0,MATCH($A$1,[2]Jun26A!$A$7:$N$7,0))),0)</f>
        <v>0</v>
      </c>
      <c r="H76" s="84">
        <f>IFERROR(SUMIF([2]Jul26A!$A:$A,$A76,INDEX([2]Jul26A!$A:$N,0,MATCH($A$1,[2]Jul26A!$A$7:$N$7,0))),0)</f>
        <v>0</v>
      </c>
      <c r="I76" s="84">
        <f>IFERROR(SUMIF([2]Aug26A!$A:$A,$A76,INDEX([2]Aug26A!$A:$N,0,MATCH($A$1,[2]Aug26A!$A$7:$N$7,0))),0)</f>
        <v>0</v>
      </c>
      <c r="J76" s="117">
        <v>0</v>
      </c>
      <c r="K76" s="117">
        <v>0</v>
      </c>
      <c r="L76" s="117">
        <v>0</v>
      </c>
      <c r="M76" s="117">
        <v>0</v>
      </c>
      <c r="N76" s="84">
        <f t="shared" si="49"/>
        <v>341.94</v>
      </c>
      <c r="O76" s="105">
        <f t="shared" si="50"/>
        <v>4.6059103526383193E-5</v>
      </c>
      <c r="P76" s="84"/>
      <c r="Q76" s="84"/>
      <c r="R76" s="106" t="s">
        <v>99</v>
      </c>
      <c r="S76" s="107">
        <v>0</v>
      </c>
      <c r="T76" s="108">
        <v>0.05</v>
      </c>
      <c r="U76" s="104">
        <f t="shared" si="57"/>
        <v>0</v>
      </c>
      <c r="V76" s="104">
        <f t="shared" si="57"/>
        <v>0</v>
      </c>
      <c r="W76" s="104">
        <f t="shared" si="57"/>
        <v>0</v>
      </c>
      <c r="X76" s="104">
        <f t="shared" si="57"/>
        <v>0</v>
      </c>
      <c r="Y76" s="104">
        <f t="shared" si="57"/>
        <v>0</v>
      </c>
      <c r="Z76" s="104">
        <f t="shared" si="57"/>
        <v>0</v>
      </c>
      <c r="AA76" s="104">
        <f t="shared" si="57"/>
        <v>0</v>
      </c>
      <c r="AB76" s="104">
        <f t="shared" si="57"/>
        <v>0</v>
      </c>
      <c r="AC76" s="104">
        <f t="shared" si="57"/>
        <v>0</v>
      </c>
      <c r="AD76" s="104">
        <f t="shared" si="57"/>
        <v>0</v>
      </c>
      <c r="AE76" s="104">
        <f t="shared" si="57"/>
        <v>0</v>
      </c>
      <c r="AF76" s="104">
        <f t="shared" si="57"/>
        <v>0</v>
      </c>
      <c r="AG76" s="84">
        <f t="shared" si="51"/>
        <v>0</v>
      </c>
      <c r="AH76" s="105" t="str">
        <f t="shared" si="52"/>
        <v/>
      </c>
      <c r="AJ76" s="84">
        <f t="shared" si="53"/>
        <v>341.94</v>
      </c>
    </row>
    <row r="77" spans="1:36" x14ac:dyDescent="0.3">
      <c r="A77" s="113" t="s">
        <v>163</v>
      </c>
      <c r="B77" s="84">
        <f>IFERROR(SUMIF([2]Jan26A!$A:$A,$A77,INDEX([2]Jan26A!$A:$N,0,MATCH($A$1,[2]Jan26A!$A$7:$N$7,0))),0)</f>
        <v>0</v>
      </c>
      <c r="C77" s="84">
        <f>IFERROR(SUMIF([2]Feb26A!$A:$A,$A77,INDEX([2]Feb26A!$A:$N,0,MATCH($A$1,[2]Feb26A!$A$7:$N$7,0))),0)</f>
        <v>0</v>
      </c>
      <c r="D77" s="84">
        <f>IFERROR(SUMIF([2]Mar26A!$A:$A,$A77,INDEX([2]Mar26A!$A:$N,0,MATCH($A$1,[2]Mar26A!$A$7:$N$7,0))),0)</f>
        <v>0</v>
      </c>
      <c r="E77" s="84">
        <f>IFERROR(SUMIF([2]Apr26A!$A:$A,$A77,INDEX([2]Apr26A!$A:$N,0,MATCH($A$1,[2]Apr26A!$A$7:$N$7,0))),0)</f>
        <v>0</v>
      </c>
      <c r="F77" s="84">
        <f>IFERROR(SUMIF([2]May26A!$A:$A,$A77,INDEX([2]May26A!$A:$N,0,MATCH($A$1,[2]May26A!$A$7:$N$7,0))),0)</f>
        <v>0</v>
      </c>
      <c r="G77" s="84">
        <f>IFERROR(SUMIF([2]Jun26A!$A:$A,$A77,INDEX([2]Jun26A!$A:$N,0,MATCH($A$1,[2]Jun26A!$A$7:$N$7,0))),0)</f>
        <v>0</v>
      </c>
      <c r="H77" s="84">
        <f>IFERROR(SUMIF([2]Jul26A!$A:$A,$A77,INDEX([2]Jul26A!$A:$N,0,MATCH($A$1,[2]Jul26A!$A$7:$N$7,0))),0)</f>
        <v>0</v>
      </c>
      <c r="I77" s="84">
        <f>IFERROR(SUMIF([2]Aug26A!$A:$A,$A77,INDEX([2]Aug26A!$A:$N,0,MATCH($A$1,[2]Aug26A!$A$7:$N$7,0))),0)</f>
        <v>0</v>
      </c>
      <c r="J77" s="117">
        <v>0</v>
      </c>
      <c r="K77" s="117">
        <v>0</v>
      </c>
      <c r="L77" s="117">
        <v>0</v>
      </c>
      <c r="M77" s="117">
        <v>0</v>
      </c>
      <c r="N77" s="84">
        <f t="shared" si="49"/>
        <v>0</v>
      </c>
      <c r="O77" s="105">
        <f t="shared" si="50"/>
        <v>0</v>
      </c>
      <c r="P77" s="84"/>
      <c r="Q77" s="84"/>
      <c r="R77" s="106" t="s">
        <v>99</v>
      </c>
      <c r="S77" s="107">
        <v>0</v>
      </c>
      <c r="T77" s="108">
        <v>0.05</v>
      </c>
      <c r="U77" s="104">
        <f t="shared" si="57"/>
        <v>0</v>
      </c>
      <c r="V77" s="104">
        <f t="shared" si="57"/>
        <v>0</v>
      </c>
      <c r="W77" s="104">
        <f t="shared" si="57"/>
        <v>0</v>
      </c>
      <c r="X77" s="104">
        <f t="shared" si="57"/>
        <v>0</v>
      </c>
      <c r="Y77" s="104">
        <f t="shared" si="57"/>
        <v>0</v>
      </c>
      <c r="Z77" s="104">
        <f t="shared" si="57"/>
        <v>0</v>
      </c>
      <c r="AA77" s="104">
        <f t="shared" si="57"/>
        <v>0</v>
      </c>
      <c r="AB77" s="104">
        <f t="shared" si="57"/>
        <v>0</v>
      </c>
      <c r="AC77" s="104">
        <f t="shared" si="57"/>
        <v>0</v>
      </c>
      <c r="AD77" s="104">
        <f t="shared" si="57"/>
        <v>0</v>
      </c>
      <c r="AE77" s="104">
        <f t="shared" si="57"/>
        <v>0</v>
      </c>
      <c r="AF77" s="104">
        <f t="shared" si="57"/>
        <v>0</v>
      </c>
      <c r="AG77" s="84">
        <f t="shared" si="51"/>
        <v>0</v>
      </c>
      <c r="AH77" s="105" t="str">
        <f t="shared" si="52"/>
        <v/>
      </c>
      <c r="AJ77" s="84">
        <f t="shared" si="53"/>
        <v>0</v>
      </c>
    </row>
    <row r="78" spans="1:36" x14ac:dyDescent="0.3">
      <c r="A78" s="113" t="s">
        <v>164</v>
      </c>
      <c r="B78" s="84">
        <f>IFERROR(SUMIF([2]Jan26A!$A:$A,$A78,INDEX([2]Jan26A!$A:$N,0,MATCH($A$1,[2]Jan26A!$A$7:$N$7,0))),0)</f>
        <v>0</v>
      </c>
      <c r="C78" s="84">
        <f>IFERROR(SUMIF([2]Feb26A!$A:$A,$A78,INDEX([2]Feb26A!$A:$N,0,MATCH($A$1,[2]Feb26A!$A$7:$N$7,0))),0)</f>
        <v>0</v>
      </c>
      <c r="D78" s="84">
        <f>IFERROR(SUMIF([2]Mar26A!$A:$A,$A78,INDEX([2]Mar26A!$A:$N,0,MATCH($A$1,[2]Mar26A!$A$7:$N$7,0))),0)</f>
        <v>0</v>
      </c>
      <c r="E78" s="84">
        <f>IFERROR(SUMIF([2]Apr26A!$A:$A,$A78,INDEX([2]Apr26A!$A:$N,0,MATCH($A$1,[2]Apr26A!$A$7:$N$7,0))),0)</f>
        <v>0</v>
      </c>
      <c r="F78" s="84">
        <f>IFERROR(SUMIF([2]May26A!$A:$A,$A78,INDEX([2]May26A!$A:$N,0,MATCH($A$1,[2]May26A!$A$7:$N$7,0))),0)</f>
        <v>0</v>
      </c>
      <c r="G78" s="84">
        <f>IFERROR(SUMIF([2]Jun26A!$A:$A,$A78,INDEX([2]Jun26A!$A:$N,0,MATCH($A$1,[2]Jun26A!$A$7:$N$7,0))),0)</f>
        <v>0</v>
      </c>
      <c r="H78" s="84">
        <f>IFERROR(SUMIF([2]Jul26A!$A:$A,$A78,INDEX([2]Jul26A!$A:$N,0,MATCH($A$1,[2]Jul26A!$A$7:$N$7,0))),0)</f>
        <v>0</v>
      </c>
      <c r="I78" s="84">
        <f>IFERROR(SUMIF([2]Aug26A!$A:$A,$A78,INDEX([2]Aug26A!$A:$N,0,MATCH($A$1,[2]Aug26A!$A$7:$N$7,0))),0)</f>
        <v>0</v>
      </c>
      <c r="J78" s="117">
        <v>0</v>
      </c>
      <c r="K78" s="117">
        <v>0</v>
      </c>
      <c r="L78" s="117">
        <v>0</v>
      </c>
      <c r="M78" s="117">
        <v>0</v>
      </c>
      <c r="N78" s="84">
        <f t="shared" si="49"/>
        <v>0</v>
      </c>
      <c r="O78" s="105">
        <f t="shared" si="50"/>
        <v>0</v>
      </c>
      <c r="P78" s="84"/>
      <c r="Q78" s="84"/>
      <c r="R78" s="106" t="s">
        <v>99</v>
      </c>
      <c r="S78" s="107">
        <v>0</v>
      </c>
      <c r="T78" s="108">
        <v>0.05</v>
      </c>
      <c r="U78" s="104">
        <f t="shared" si="57"/>
        <v>0</v>
      </c>
      <c r="V78" s="104">
        <f t="shared" si="57"/>
        <v>0</v>
      </c>
      <c r="W78" s="104">
        <f t="shared" si="57"/>
        <v>0</v>
      </c>
      <c r="X78" s="104">
        <f t="shared" si="57"/>
        <v>0</v>
      </c>
      <c r="Y78" s="104">
        <f t="shared" si="57"/>
        <v>0</v>
      </c>
      <c r="Z78" s="104">
        <f t="shared" si="57"/>
        <v>0</v>
      </c>
      <c r="AA78" s="104">
        <f t="shared" si="57"/>
        <v>0</v>
      </c>
      <c r="AB78" s="104">
        <f t="shared" si="57"/>
        <v>0</v>
      </c>
      <c r="AC78" s="104">
        <f t="shared" si="57"/>
        <v>0</v>
      </c>
      <c r="AD78" s="104">
        <f t="shared" si="57"/>
        <v>0</v>
      </c>
      <c r="AE78" s="104">
        <f t="shared" si="57"/>
        <v>0</v>
      </c>
      <c r="AF78" s="104">
        <f t="shared" si="57"/>
        <v>0</v>
      </c>
      <c r="AG78" s="84">
        <f t="shared" si="51"/>
        <v>0</v>
      </c>
      <c r="AH78" s="105" t="str">
        <f t="shared" si="52"/>
        <v/>
      </c>
      <c r="AJ78" s="84">
        <f t="shared" si="53"/>
        <v>0</v>
      </c>
    </row>
    <row r="79" spans="1:36" x14ac:dyDescent="0.3">
      <c r="A79" s="113" t="s">
        <v>165</v>
      </c>
      <c r="B79" s="84">
        <f>IFERROR(SUMIF([2]Jan26A!$A:$A,$A79,INDEX([2]Jan26A!$A:$N,0,MATCH($A$1,[2]Jan26A!$A$7:$N$7,0))),0)</f>
        <v>0</v>
      </c>
      <c r="C79" s="84">
        <f>IFERROR(SUMIF([2]Feb26A!$A:$A,$A79,INDEX([2]Feb26A!$A:$N,0,MATCH($A$1,[2]Feb26A!$A$7:$N$7,0))),0)</f>
        <v>0</v>
      </c>
      <c r="D79" s="84">
        <f>IFERROR(SUMIF([2]Mar26A!$A:$A,$A79,INDEX([2]Mar26A!$A:$N,0,MATCH($A$1,[2]Mar26A!$A$7:$N$7,0))),0)</f>
        <v>0</v>
      </c>
      <c r="E79" s="84">
        <f>IFERROR(SUMIF([2]Apr26A!$A:$A,$A79,INDEX([2]Apr26A!$A:$N,0,MATCH($A$1,[2]Apr26A!$A$7:$N$7,0))),0)</f>
        <v>0</v>
      </c>
      <c r="F79" s="84">
        <f>IFERROR(SUMIF([2]May26A!$A:$A,$A79,INDEX([2]May26A!$A:$N,0,MATCH($A$1,[2]May26A!$A$7:$N$7,0))),0)</f>
        <v>0</v>
      </c>
      <c r="G79" s="84">
        <f>IFERROR(SUMIF([2]Jun26A!$A:$A,$A79,INDEX([2]Jun26A!$A:$N,0,MATCH($A$1,[2]Jun26A!$A$7:$N$7,0))),0)</f>
        <v>0</v>
      </c>
      <c r="H79" s="84">
        <f>IFERROR(SUMIF([2]Jul26A!$A:$A,$A79,INDEX([2]Jul26A!$A:$N,0,MATCH($A$1,[2]Jul26A!$A$7:$N$7,0))),0)</f>
        <v>0</v>
      </c>
      <c r="I79" s="84">
        <f>IFERROR(SUMIF([2]Aug26A!$A:$A,$A79,INDEX([2]Aug26A!$A:$N,0,MATCH($A$1,[2]Aug26A!$A$7:$N$7,0))),0)</f>
        <v>0</v>
      </c>
      <c r="J79" s="117">
        <v>0</v>
      </c>
      <c r="K79" s="117">
        <v>0</v>
      </c>
      <c r="L79" s="117">
        <v>0</v>
      </c>
      <c r="M79" s="117">
        <v>0</v>
      </c>
      <c r="N79" s="84">
        <f t="shared" si="49"/>
        <v>0</v>
      </c>
      <c r="O79" s="105">
        <f t="shared" si="50"/>
        <v>0</v>
      </c>
      <c r="P79" s="84"/>
      <c r="Q79" s="84"/>
      <c r="R79" s="106" t="s">
        <v>99</v>
      </c>
      <c r="S79" s="107">
        <v>0</v>
      </c>
      <c r="T79" s="108">
        <v>0.05</v>
      </c>
      <c r="U79" s="104">
        <f t="shared" si="57"/>
        <v>0</v>
      </c>
      <c r="V79" s="104">
        <f t="shared" si="57"/>
        <v>0</v>
      </c>
      <c r="W79" s="104">
        <f t="shared" si="57"/>
        <v>0</v>
      </c>
      <c r="X79" s="104">
        <f t="shared" si="57"/>
        <v>0</v>
      </c>
      <c r="Y79" s="104">
        <f t="shared" si="57"/>
        <v>0</v>
      </c>
      <c r="Z79" s="104">
        <f t="shared" si="57"/>
        <v>0</v>
      </c>
      <c r="AA79" s="104">
        <f t="shared" si="57"/>
        <v>0</v>
      </c>
      <c r="AB79" s="104">
        <f t="shared" si="57"/>
        <v>0</v>
      </c>
      <c r="AC79" s="104">
        <f t="shared" si="57"/>
        <v>0</v>
      </c>
      <c r="AD79" s="104">
        <f t="shared" si="57"/>
        <v>0</v>
      </c>
      <c r="AE79" s="104">
        <f t="shared" si="57"/>
        <v>0</v>
      </c>
      <c r="AF79" s="104">
        <f t="shared" si="57"/>
        <v>0</v>
      </c>
      <c r="AG79" s="84">
        <f t="shared" si="51"/>
        <v>0</v>
      </c>
      <c r="AH79" s="105" t="str">
        <f t="shared" si="52"/>
        <v/>
      </c>
      <c r="AJ79" s="84">
        <f t="shared" si="53"/>
        <v>0</v>
      </c>
    </row>
    <row r="80" spans="1:36" x14ac:dyDescent="0.3">
      <c r="A80" s="113" t="s">
        <v>166</v>
      </c>
      <c r="B80" s="84">
        <f>IFERROR(SUMIF([2]Jan26A!$A:$A,$A80,INDEX([2]Jan26A!$A:$N,0,MATCH($A$1,[2]Jan26A!$A$7:$N$7,0))),0)</f>
        <v>0</v>
      </c>
      <c r="C80" s="84">
        <f>IFERROR(SUMIF([2]Feb26A!$A:$A,$A80,INDEX([2]Feb26A!$A:$N,0,MATCH($A$1,[2]Feb26A!$A$7:$N$7,0))),0)</f>
        <v>0</v>
      </c>
      <c r="D80" s="84">
        <f>IFERROR(SUMIF([2]Mar26A!$A:$A,$A80,INDEX([2]Mar26A!$A:$N,0,MATCH($A$1,[2]Mar26A!$A$7:$N$7,0))),0)</f>
        <v>20</v>
      </c>
      <c r="E80" s="84">
        <f>IFERROR(SUMIF([2]Apr26A!$A:$A,$A80,INDEX([2]Apr26A!$A:$N,0,MATCH($A$1,[2]Apr26A!$A$7:$N$7,0))),0)</f>
        <v>0</v>
      </c>
      <c r="F80" s="84">
        <f>IFERROR(SUMIF([2]May26A!$A:$A,$A80,INDEX([2]May26A!$A:$N,0,MATCH($A$1,[2]May26A!$A$7:$N$7,0))),0)</f>
        <v>0</v>
      </c>
      <c r="G80" s="84">
        <f>IFERROR(SUMIF([2]Jun26A!$A:$A,$A80,INDEX([2]Jun26A!$A:$N,0,MATCH($A$1,[2]Jun26A!$A$7:$N$7,0))),0)</f>
        <v>0</v>
      </c>
      <c r="H80" s="84">
        <f>IFERROR(SUMIF([2]Jul26A!$A:$A,$A80,INDEX([2]Jul26A!$A:$N,0,MATCH($A$1,[2]Jul26A!$A$7:$N$7,0))),0)</f>
        <v>0</v>
      </c>
      <c r="I80" s="84">
        <f>IFERROR(SUMIF([2]Aug26A!$A:$A,$A80,INDEX([2]Aug26A!$A:$N,0,MATCH($A$1,[2]Aug26A!$A$7:$N$7,0))),0)</f>
        <v>0</v>
      </c>
      <c r="J80" s="117">
        <v>0</v>
      </c>
      <c r="K80" s="117">
        <v>0</v>
      </c>
      <c r="L80" s="117">
        <v>0</v>
      </c>
      <c r="M80" s="117">
        <v>0</v>
      </c>
      <c r="N80" s="84">
        <f t="shared" si="49"/>
        <v>20</v>
      </c>
      <c r="O80" s="105">
        <f t="shared" si="50"/>
        <v>2.6939874554824351E-6</v>
      </c>
      <c r="P80" s="84"/>
      <c r="Q80" s="84"/>
      <c r="R80" s="106" t="s">
        <v>99</v>
      </c>
      <c r="S80" s="107">
        <v>0</v>
      </c>
      <c r="T80" s="108">
        <v>0.05</v>
      </c>
      <c r="U80" s="104">
        <f t="shared" si="57"/>
        <v>0</v>
      </c>
      <c r="V80" s="104">
        <f t="shared" si="57"/>
        <v>0</v>
      </c>
      <c r="W80" s="104">
        <f t="shared" si="57"/>
        <v>0</v>
      </c>
      <c r="X80" s="104">
        <f t="shared" si="57"/>
        <v>0</v>
      </c>
      <c r="Y80" s="104">
        <f t="shared" si="57"/>
        <v>0</v>
      </c>
      <c r="Z80" s="104">
        <f t="shared" si="57"/>
        <v>0</v>
      </c>
      <c r="AA80" s="104">
        <f t="shared" si="57"/>
        <v>0</v>
      </c>
      <c r="AB80" s="104">
        <f t="shared" si="57"/>
        <v>0</v>
      </c>
      <c r="AC80" s="104">
        <f t="shared" si="57"/>
        <v>0</v>
      </c>
      <c r="AD80" s="104">
        <f t="shared" si="57"/>
        <v>0</v>
      </c>
      <c r="AE80" s="104">
        <f t="shared" si="57"/>
        <v>0</v>
      </c>
      <c r="AF80" s="104">
        <f t="shared" si="57"/>
        <v>0</v>
      </c>
      <c r="AG80" s="84">
        <f t="shared" si="51"/>
        <v>0</v>
      </c>
      <c r="AH80" s="105" t="str">
        <f t="shared" si="52"/>
        <v/>
      </c>
      <c r="AJ80" s="84">
        <f t="shared" si="53"/>
        <v>20</v>
      </c>
    </row>
    <row r="81" spans="1:36" x14ac:dyDescent="0.3">
      <c r="A81" s="102" t="s">
        <v>167</v>
      </c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105"/>
      <c r="P81" s="84"/>
      <c r="Q81" s="84"/>
      <c r="R81" s="112"/>
      <c r="S81" s="112"/>
      <c r="T81" s="112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105"/>
      <c r="AJ81" s="84"/>
    </row>
    <row r="82" spans="1:36" x14ac:dyDescent="0.3">
      <c r="A82" s="103" t="s">
        <v>168</v>
      </c>
      <c r="B82" s="84">
        <f>IFERROR(SUMIF([2]Jan26A!$A:$A,$A82,INDEX([2]Jan26A!$A:$N,0,MATCH($A$1,[2]Jan26A!$A$7:$N$7,0))),0)</f>
        <v>0</v>
      </c>
      <c r="C82" s="84">
        <f>IFERROR(SUMIF([2]Feb26A!$A:$A,$A82,INDEX([2]Feb26A!$A:$N,0,MATCH($A$1,[2]Feb26A!$A$7:$N$7,0))),0)</f>
        <v>0</v>
      </c>
      <c r="D82" s="84">
        <f>IFERROR(SUMIF([2]Mar26A!$A:$A,$A82,INDEX([2]Mar26A!$A:$N,0,MATCH($A$1,[2]Mar26A!$A$7:$N$7,0))),0)</f>
        <v>0</v>
      </c>
      <c r="E82" s="84">
        <f>IFERROR(SUMIF([2]Apr26A!$A:$A,$A82,INDEX([2]Apr26A!$A:$N,0,MATCH($A$1,[2]Apr26A!$A$7:$N$7,0))),0)</f>
        <v>0</v>
      </c>
      <c r="F82" s="84">
        <f>IFERROR(SUMIF([2]May26A!$A:$A,$A82,INDEX([2]May26A!$A:$N,0,MATCH($A$1,[2]May26A!$A$7:$N$7,0))),0)</f>
        <v>0</v>
      </c>
      <c r="G82" s="84">
        <f>IFERROR(SUMIF([2]Jun26A!$A:$A,$A82,INDEX([2]Jun26A!$A:$N,0,MATCH($A$1,[2]Jun26A!$A$7:$N$7,0))),0)</f>
        <v>0</v>
      </c>
      <c r="H82" s="84">
        <f>IFERROR(SUMIF([2]Jul26A!$A:$A,$A82,INDEX([2]Jul26A!$A:$N,0,MATCH($A$1,[2]Jul26A!$A$7:$N$7,0))),0)</f>
        <v>0</v>
      </c>
      <c r="I82" s="84">
        <f>IFERROR(SUMIF([2]Aug26A!$A:$A,$A82,INDEX([2]Aug26A!$A:$N,0,MATCH($A$1,[2]Aug26A!$A$7:$N$7,0))),0)</f>
        <v>0</v>
      </c>
      <c r="J82" s="117">
        <v>0</v>
      </c>
      <c r="K82" s="117">
        <v>0</v>
      </c>
      <c r="L82" s="117">
        <v>0</v>
      </c>
      <c r="M82" s="117">
        <v>0</v>
      </c>
      <c r="N82" s="84">
        <f t="shared" ref="N82:N117" si="58">SUM(B82:M82)</f>
        <v>0</v>
      </c>
      <c r="O82" s="105">
        <f t="shared" ref="O82:O116" si="59">IFERROR(N82/N$16,"")</f>
        <v>0</v>
      </c>
      <c r="P82" s="84"/>
      <c r="Q82" s="84"/>
      <c r="R82" s="106" t="s">
        <v>99</v>
      </c>
      <c r="S82" s="107">
        <v>0</v>
      </c>
      <c r="T82" s="108">
        <v>0.05</v>
      </c>
      <c r="U82" s="104">
        <f t="shared" ref="U82:AF86" si="60">IF($R82="Manual","",IFERROR(IF($R82="YOY Growth",$N82*(1+$T82)/12,$S82/12),""))</f>
        <v>0</v>
      </c>
      <c r="V82" s="104">
        <f t="shared" si="60"/>
        <v>0</v>
      </c>
      <c r="W82" s="104">
        <f t="shared" si="60"/>
        <v>0</v>
      </c>
      <c r="X82" s="104">
        <f t="shared" si="60"/>
        <v>0</v>
      </c>
      <c r="Y82" s="104">
        <f t="shared" si="60"/>
        <v>0</v>
      </c>
      <c r="Z82" s="104">
        <f t="shared" si="60"/>
        <v>0</v>
      </c>
      <c r="AA82" s="104">
        <f t="shared" si="60"/>
        <v>0</v>
      </c>
      <c r="AB82" s="104">
        <f t="shared" si="60"/>
        <v>0</v>
      </c>
      <c r="AC82" s="104">
        <f t="shared" si="60"/>
        <v>0</v>
      </c>
      <c r="AD82" s="104">
        <f t="shared" si="60"/>
        <v>0</v>
      </c>
      <c r="AE82" s="104">
        <f t="shared" si="60"/>
        <v>0</v>
      </c>
      <c r="AF82" s="104">
        <f t="shared" si="60"/>
        <v>0</v>
      </c>
      <c r="AG82" s="84">
        <f t="shared" ref="AG82:AG117" si="61">SUM(U82:AF82)</f>
        <v>0</v>
      </c>
      <c r="AH82" s="105" t="str">
        <f t="shared" ref="AH82:AH116" si="62">IFERROR(AG82/AG$16,"")</f>
        <v/>
      </c>
      <c r="AJ82" s="84">
        <f t="shared" ref="AJ82:AJ116" si="63">N82-AG82</f>
        <v>0</v>
      </c>
    </row>
    <row r="83" spans="1:36" x14ac:dyDescent="0.3">
      <c r="A83" s="103" t="s">
        <v>169</v>
      </c>
      <c r="B83" s="84">
        <f>IFERROR(SUMIF([2]Jan26A!$A:$A,$A83,INDEX([2]Jan26A!$A:$N,0,MATCH($A$1,[2]Jan26A!$A$7:$N$7,0))),0)</f>
        <v>0</v>
      </c>
      <c r="C83" s="84">
        <f>IFERROR(SUMIF([2]Feb26A!$A:$A,$A83,INDEX([2]Feb26A!$A:$N,0,MATCH($A$1,[2]Feb26A!$A$7:$N$7,0))),0)</f>
        <v>0</v>
      </c>
      <c r="D83" s="84">
        <f>IFERROR(SUMIF([2]Mar26A!$A:$A,$A83,INDEX([2]Mar26A!$A:$N,0,MATCH($A$1,[2]Mar26A!$A$7:$N$7,0))),0)</f>
        <v>0</v>
      </c>
      <c r="E83" s="84">
        <f>IFERROR(SUMIF([2]Apr26A!$A:$A,$A83,INDEX([2]Apr26A!$A:$N,0,MATCH($A$1,[2]Apr26A!$A$7:$N$7,0))),0)</f>
        <v>0</v>
      </c>
      <c r="F83" s="84">
        <f>IFERROR(SUMIF([2]May26A!$A:$A,$A83,INDEX([2]May26A!$A:$N,0,MATCH($A$1,[2]May26A!$A$7:$N$7,0))),0)</f>
        <v>0</v>
      </c>
      <c r="G83" s="84">
        <f>IFERROR(SUMIF([2]Jun26A!$A:$A,$A83,INDEX([2]Jun26A!$A:$N,0,MATCH($A$1,[2]Jun26A!$A$7:$N$7,0))),0)</f>
        <v>0</v>
      </c>
      <c r="H83" s="84">
        <f>IFERROR(SUMIF([2]Jul26A!$A:$A,$A83,INDEX([2]Jul26A!$A:$N,0,MATCH($A$1,[2]Jul26A!$A$7:$N$7,0))),0)</f>
        <v>0</v>
      </c>
      <c r="I83" s="84">
        <f>IFERROR(SUMIF([2]Aug26A!$A:$A,$A83,INDEX([2]Aug26A!$A:$N,0,MATCH($A$1,[2]Aug26A!$A$7:$N$7,0))),0)</f>
        <v>0</v>
      </c>
      <c r="J83" s="117">
        <v>0</v>
      </c>
      <c r="K83" s="117">
        <v>0</v>
      </c>
      <c r="L83" s="117">
        <v>0</v>
      </c>
      <c r="M83" s="117">
        <v>0</v>
      </c>
      <c r="N83" s="84">
        <f t="shared" si="58"/>
        <v>0</v>
      </c>
      <c r="O83" s="105">
        <f t="shared" si="59"/>
        <v>0</v>
      </c>
      <c r="P83" s="84"/>
      <c r="Q83" s="84"/>
      <c r="R83" s="106" t="s">
        <v>99</v>
      </c>
      <c r="S83" s="107">
        <v>0</v>
      </c>
      <c r="T83" s="108">
        <v>0.05</v>
      </c>
      <c r="U83" s="104">
        <f t="shared" si="60"/>
        <v>0</v>
      </c>
      <c r="V83" s="104">
        <f t="shared" si="60"/>
        <v>0</v>
      </c>
      <c r="W83" s="104">
        <f t="shared" si="60"/>
        <v>0</v>
      </c>
      <c r="X83" s="104">
        <f t="shared" si="60"/>
        <v>0</v>
      </c>
      <c r="Y83" s="104">
        <f t="shared" si="60"/>
        <v>0</v>
      </c>
      <c r="Z83" s="104">
        <f t="shared" si="60"/>
        <v>0</v>
      </c>
      <c r="AA83" s="104">
        <f t="shared" si="60"/>
        <v>0</v>
      </c>
      <c r="AB83" s="104">
        <f t="shared" si="60"/>
        <v>0</v>
      </c>
      <c r="AC83" s="104">
        <f t="shared" si="60"/>
        <v>0</v>
      </c>
      <c r="AD83" s="104">
        <f t="shared" si="60"/>
        <v>0</v>
      </c>
      <c r="AE83" s="104">
        <f t="shared" si="60"/>
        <v>0</v>
      </c>
      <c r="AF83" s="104">
        <f t="shared" si="60"/>
        <v>0</v>
      </c>
      <c r="AG83" s="84">
        <f t="shared" si="61"/>
        <v>0</v>
      </c>
      <c r="AH83" s="105" t="str">
        <f t="shared" si="62"/>
        <v/>
      </c>
      <c r="AJ83" s="84">
        <f t="shared" si="63"/>
        <v>0</v>
      </c>
    </row>
    <row r="84" spans="1:36" x14ac:dyDescent="0.3">
      <c r="A84" s="103" t="s">
        <v>170</v>
      </c>
      <c r="B84" s="84">
        <f>IFERROR(SUMIF([2]Jan26A!$A:$A,$A84,INDEX([2]Jan26A!$A:$N,0,MATCH($A$1,[2]Jan26A!$A$7:$N$7,0))),0)</f>
        <v>0</v>
      </c>
      <c r="C84" s="84">
        <f>IFERROR(SUMIF([2]Feb26A!$A:$A,$A84,INDEX([2]Feb26A!$A:$N,0,MATCH($A$1,[2]Feb26A!$A$7:$N$7,0))),0)</f>
        <v>0</v>
      </c>
      <c r="D84" s="84">
        <f>IFERROR(SUMIF([2]Mar26A!$A:$A,$A84,INDEX([2]Mar26A!$A:$N,0,MATCH($A$1,[2]Mar26A!$A$7:$N$7,0))),0)</f>
        <v>0</v>
      </c>
      <c r="E84" s="84">
        <f>IFERROR(SUMIF([2]Apr26A!$A:$A,$A84,INDEX([2]Apr26A!$A:$N,0,MATCH($A$1,[2]Apr26A!$A$7:$N$7,0))),0)</f>
        <v>0</v>
      </c>
      <c r="F84" s="84">
        <f>IFERROR(SUMIF([2]May26A!$A:$A,$A84,INDEX([2]May26A!$A:$N,0,MATCH($A$1,[2]May26A!$A$7:$N$7,0))),0)</f>
        <v>0</v>
      </c>
      <c r="G84" s="84">
        <f>IFERROR(SUMIF([2]Jun26A!$A:$A,$A84,INDEX([2]Jun26A!$A:$N,0,MATCH($A$1,[2]Jun26A!$A$7:$N$7,0))),0)</f>
        <v>0</v>
      </c>
      <c r="H84" s="84">
        <f>IFERROR(SUMIF([2]Jul26A!$A:$A,$A84,INDEX([2]Jul26A!$A:$N,0,MATCH($A$1,[2]Jul26A!$A$7:$N$7,0))),0)</f>
        <v>0</v>
      </c>
      <c r="I84" s="84">
        <f>IFERROR(SUMIF([2]Aug26A!$A:$A,$A84,INDEX([2]Aug26A!$A:$N,0,MATCH($A$1,[2]Aug26A!$A$7:$N$7,0))),0)</f>
        <v>0</v>
      </c>
      <c r="J84" s="117">
        <v>0</v>
      </c>
      <c r="K84" s="117">
        <v>0</v>
      </c>
      <c r="L84" s="117">
        <v>0</v>
      </c>
      <c r="M84" s="117">
        <v>0</v>
      </c>
      <c r="N84" s="84">
        <f t="shared" si="58"/>
        <v>0</v>
      </c>
      <c r="O84" s="105">
        <f t="shared" si="59"/>
        <v>0</v>
      </c>
      <c r="P84" s="84"/>
      <c r="Q84" s="84"/>
      <c r="R84" s="106" t="s">
        <v>99</v>
      </c>
      <c r="S84" s="107">
        <v>0</v>
      </c>
      <c r="T84" s="108">
        <v>0.05</v>
      </c>
      <c r="U84" s="104">
        <f t="shared" si="60"/>
        <v>0</v>
      </c>
      <c r="V84" s="104">
        <f t="shared" si="60"/>
        <v>0</v>
      </c>
      <c r="W84" s="104">
        <f t="shared" si="60"/>
        <v>0</v>
      </c>
      <c r="X84" s="104">
        <f t="shared" si="60"/>
        <v>0</v>
      </c>
      <c r="Y84" s="104">
        <f t="shared" si="60"/>
        <v>0</v>
      </c>
      <c r="Z84" s="104">
        <f t="shared" si="60"/>
        <v>0</v>
      </c>
      <c r="AA84" s="104">
        <f t="shared" si="60"/>
        <v>0</v>
      </c>
      <c r="AB84" s="104">
        <f t="shared" si="60"/>
        <v>0</v>
      </c>
      <c r="AC84" s="104">
        <f t="shared" si="60"/>
        <v>0</v>
      </c>
      <c r="AD84" s="104">
        <f t="shared" si="60"/>
        <v>0</v>
      </c>
      <c r="AE84" s="104">
        <f t="shared" si="60"/>
        <v>0</v>
      </c>
      <c r="AF84" s="104">
        <f t="shared" si="60"/>
        <v>0</v>
      </c>
      <c r="AG84" s="84">
        <f t="shared" si="61"/>
        <v>0</v>
      </c>
      <c r="AH84" s="105" t="str">
        <f t="shared" si="62"/>
        <v/>
      </c>
      <c r="AJ84" s="84">
        <f t="shared" si="63"/>
        <v>0</v>
      </c>
    </row>
    <row r="85" spans="1:36" x14ac:dyDescent="0.3">
      <c r="A85" s="103" t="s">
        <v>171</v>
      </c>
      <c r="B85" s="84">
        <f>IFERROR(SUMIF([2]Jan26A!$A:$A,$A85,INDEX([2]Jan26A!$A:$N,0,MATCH($A$1,[2]Jan26A!$A$7:$N$7,0))),0)</f>
        <v>0</v>
      </c>
      <c r="C85" s="84">
        <f>IFERROR(SUMIF([2]Feb26A!$A:$A,$A85,INDEX([2]Feb26A!$A:$N,0,MATCH($A$1,[2]Feb26A!$A$7:$N$7,0))),0)</f>
        <v>0</v>
      </c>
      <c r="D85" s="84">
        <f>IFERROR(SUMIF([2]Mar26A!$A:$A,$A85,INDEX([2]Mar26A!$A:$N,0,MATCH($A$1,[2]Mar26A!$A$7:$N$7,0))),0)</f>
        <v>0</v>
      </c>
      <c r="E85" s="84">
        <f>IFERROR(SUMIF([2]Apr26A!$A:$A,$A85,INDEX([2]Apr26A!$A:$N,0,MATCH($A$1,[2]Apr26A!$A$7:$N$7,0))),0)</f>
        <v>0</v>
      </c>
      <c r="F85" s="84">
        <f>IFERROR(SUMIF([2]May26A!$A:$A,$A85,INDEX([2]May26A!$A:$N,0,MATCH($A$1,[2]May26A!$A$7:$N$7,0))),0)</f>
        <v>0</v>
      </c>
      <c r="G85" s="84">
        <f>IFERROR(SUMIF([2]Jun26A!$A:$A,$A85,INDEX([2]Jun26A!$A:$N,0,MATCH($A$1,[2]Jun26A!$A$7:$N$7,0))),0)</f>
        <v>0</v>
      </c>
      <c r="H85" s="84">
        <f>IFERROR(SUMIF([2]Jul26A!$A:$A,$A85,INDEX([2]Jul26A!$A:$N,0,MATCH($A$1,[2]Jul26A!$A$7:$N$7,0))),0)</f>
        <v>0</v>
      </c>
      <c r="I85" s="84">
        <f>IFERROR(SUMIF([2]Aug26A!$A:$A,$A85,INDEX([2]Aug26A!$A:$N,0,MATCH($A$1,[2]Aug26A!$A$7:$N$7,0))),0)</f>
        <v>0</v>
      </c>
      <c r="J85" s="117">
        <v>0</v>
      </c>
      <c r="K85" s="117">
        <v>0</v>
      </c>
      <c r="L85" s="117">
        <v>0</v>
      </c>
      <c r="M85" s="117">
        <v>0</v>
      </c>
      <c r="N85" s="84">
        <f t="shared" si="58"/>
        <v>0</v>
      </c>
      <c r="O85" s="105">
        <f t="shared" si="59"/>
        <v>0</v>
      </c>
      <c r="P85" s="84"/>
      <c r="Q85" s="84"/>
      <c r="R85" s="106" t="s">
        <v>99</v>
      </c>
      <c r="S85" s="107">
        <v>0</v>
      </c>
      <c r="T85" s="108">
        <v>0.05</v>
      </c>
      <c r="U85" s="104">
        <f t="shared" si="60"/>
        <v>0</v>
      </c>
      <c r="V85" s="104">
        <f t="shared" si="60"/>
        <v>0</v>
      </c>
      <c r="W85" s="104">
        <f t="shared" si="60"/>
        <v>0</v>
      </c>
      <c r="X85" s="104">
        <f t="shared" si="60"/>
        <v>0</v>
      </c>
      <c r="Y85" s="104">
        <f t="shared" si="60"/>
        <v>0</v>
      </c>
      <c r="Z85" s="104">
        <f t="shared" si="60"/>
        <v>0</v>
      </c>
      <c r="AA85" s="104">
        <f t="shared" si="60"/>
        <v>0</v>
      </c>
      <c r="AB85" s="104">
        <f t="shared" si="60"/>
        <v>0</v>
      </c>
      <c r="AC85" s="104">
        <f t="shared" si="60"/>
        <v>0</v>
      </c>
      <c r="AD85" s="104">
        <f t="shared" si="60"/>
        <v>0</v>
      </c>
      <c r="AE85" s="104">
        <f t="shared" si="60"/>
        <v>0</v>
      </c>
      <c r="AF85" s="104">
        <f t="shared" si="60"/>
        <v>0</v>
      </c>
      <c r="AG85" s="84">
        <f t="shared" si="61"/>
        <v>0</v>
      </c>
      <c r="AH85" s="105" t="str">
        <f t="shared" si="62"/>
        <v/>
      </c>
      <c r="AJ85" s="84">
        <f t="shared" si="63"/>
        <v>0</v>
      </c>
    </row>
    <row r="86" spans="1:36" x14ac:dyDescent="0.3">
      <c r="A86" s="103" t="s">
        <v>172</v>
      </c>
      <c r="B86" s="84">
        <f>IFERROR(SUMIF([2]Jan26A!$A:$A,$A86,INDEX([2]Jan26A!$A:$N,0,MATCH($A$1,[2]Jan26A!$A$7:$N$7,0))),0)</f>
        <v>0</v>
      </c>
      <c r="C86" s="84">
        <f>IFERROR(SUMIF([2]Feb26A!$A:$A,$A86,INDEX([2]Feb26A!$A:$N,0,MATCH($A$1,[2]Feb26A!$A$7:$N$7,0))),0)</f>
        <v>0</v>
      </c>
      <c r="D86" s="84">
        <f>IFERROR(SUMIF([2]Mar26A!$A:$A,$A86,INDEX([2]Mar26A!$A:$N,0,MATCH($A$1,[2]Mar26A!$A$7:$N$7,0))),0)</f>
        <v>0</v>
      </c>
      <c r="E86" s="84">
        <f>IFERROR(SUMIF([2]Apr26A!$A:$A,$A86,INDEX([2]Apr26A!$A:$N,0,MATCH($A$1,[2]Apr26A!$A$7:$N$7,0))),0)</f>
        <v>0</v>
      </c>
      <c r="F86" s="84">
        <f>IFERROR(SUMIF([2]May26A!$A:$A,$A86,INDEX([2]May26A!$A:$N,0,MATCH($A$1,[2]May26A!$A$7:$N$7,0))),0)</f>
        <v>0</v>
      </c>
      <c r="G86" s="84">
        <f>IFERROR(SUMIF([2]Jun26A!$A:$A,$A86,INDEX([2]Jun26A!$A:$N,0,MATCH($A$1,[2]Jun26A!$A$7:$N$7,0))),0)</f>
        <v>0</v>
      </c>
      <c r="H86" s="84">
        <f>IFERROR(SUMIF([2]Jul26A!$A:$A,$A86,INDEX([2]Jul26A!$A:$N,0,MATCH($A$1,[2]Jul26A!$A$7:$N$7,0))),0)</f>
        <v>0</v>
      </c>
      <c r="I86" s="84">
        <f>IFERROR(SUMIF([2]Aug26A!$A:$A,$A86,INDEX([2]Aug26A!$A:$N,0,MATCH($A$1,[2]Aug26A!$A$7:$N$7,0))),0)</f>
        <v>0</v>
      </c>
      <c r="J86" s="117">
        <v>0</v>
      </c>
      <c r="K86" s="117">
        <v>0</v>
      </c>
      <c r="L86" s="117">
        <v>0</v>
      </c>
      <c r="M86" s="117">
        <v>0</v>
      </c>
      <c r="N86" s="84">
        <f t="shared" si="58"/>
        <v>0</v>
      </c>
      <c r="O86" s="105">
        <f t="shared" si="59"/>
        <v>0</v>
      </c>
      <c r="P86" s="84"/>
      <c r="Q86" s="84"/>
      <c r="R86" s="106" t="s">
        <v>99</v>
      </c>
      <c r="S86" s="107">
        <v>0</v>
      </c>
      <c r="T86" s="108">
        <v>0.05</v>
      </c>
      <c r="U86" s="104">
        <f t="shared" si="60"/>
        <v>0</v>
      </c>
      <c r="V86" s="104">
        <f t="shared" si="60"/>
        <v>0</v>
      </c>
      <c r="W86" s="104">
        <f t="shared" si="60"/>
        <v>0</v>
      </c>
      <c r="X86" s="104">
        <f t="shared" si="60"/>
        <v>0</v>
      </c>
      <c r="Y86" s="104">
        <f t="shared" si="60"/>
        <v>0</v>
      </c>
      <c r="Z86" s="104">
        <f t="shared" si="60"/>
        <v>0</v>
      </c>
      <c r="AA86" s="104">
        <f t="shared" si="60"/>
        <v>0</v>
      </c>
      <c r="AB86" s="104">
        <f t="shared" si="60"/>
        <v>0</v>
      </c>
      <c r="AC86" s="104">
        <f t="shared" si="60"/>
        <v>0</v>
      </c>
      <c r="AD86" s="104">
        <f t="shared" si="60"/>
        <v>0</v>
      </c>
      <c r="AE86" s="104">
        <f t="shared" si="60"/>
        <v>0</v>
      </c>
      <c r="AF86" s="104">
        <f t="shared" si="60"/>
        <v>0</v>
      </c>
      <c r="AG86" s="84">
        <f t="shared" si="61"/>
        <v>0</v>
      </c>
      <c r="AH86" s="105" t="str">
        <f t="shared" si="62"/>
        <v/>
      </c>
      <c r="AJ86" s="84">
        <f t="shared" si="63"/>
        <v>0</v>
      </c>
    </row>
    <row r="87" spans="1:36" x14ac:dyDescent="0.3">
      <c r="A87" s="109" t="s">
        <v>173</v>
      </c>
      <c r="B87" s="110">
        <f t="shared" ref="B87:M87" si="64">SUM(B82:B86)</f>
        <v>0</v>
      </c>
      <c r="C87" s="110">
        <f t="shared" si="64"/>
        <v>0</v>
      </c>
      <c r="D87" s="110">
        <f t="shared" si="64"/>
        <v>0</v>
      </c>
      <c r="E87" s="110">
        <f t="shared" si="64"/>
        <v>0</v>
      </c>
      <c r="F87" s="110">
        <f t="shared" si="64"/>
        <v>0</v>
      </c>
      <c r="G87" s="110">
        <f t="shared" si="64"/>
        <v>0</v>
      </c>
      <c r="H87" s="110">
        <f t="shared" si="64"/>
        <v>0</v>
      </c>
      <c r="I87" s="110">
        <f t="shared" si="64"/>
        <v>0</v>
      </c>
      <c r="J87" s="110">
        <f t="shared" si="64"/>
        <v>0</v>
      </c>
      <c r="K87" s="110">
        <f t="shared" si="64"/>
        <v>0</v>
      </c>
      <c r="L87" s="110">
        <f t="shared" si="64"/>
        <v>0</v>
      </c>
      <c r="M87" s="110">
        <f t="shared" si="64"/>
        <v>0</v>
      </c>
      <c r="N87" s="110">
        <f t="shared" si="58"/>
        <v>0</v>
      </c>
      <c r="O87" s="111">
        <f t="shared" si="59"/>
        <v>0</v>
      </c>
      <c r="P87" s="84"/>
      <c r="Q87" s="84"/>
      <c r="R87" s="112"/>
      <c r="S87" s="112"/>
      <c r="T87" s="112"/>
      <c r="U87" s="110">
        <f t="shared" ref="U87:AF87" si="65">SUM(U82:U86)</f>
        <v>0</v>
      </c>
      <c r="V87" s="110">
        <f t="shared" si="65"/>
        <v>0</v>
      </c>
      <c r="W87" s="110">
        <f t="shared" si="65"/>
        <v>0</v>
      </c>
      <c r="X87" s="110">
        <f t="shared" si="65"/>
        <v>0</v>
      </c>
      <c r="Y87" s="110">
        <f t="shared" si="65"/>
        <v>0</v>
      </c>
      <c r="Z87" s="110">
        <f t="shared" si="65"/>
        <v>0</v>
      </c>
      <c r="AA87" s="110">
        <f t="shared" si="65"/>
        <v>0</v>
      </c>
      <c r="AB87" s="110">
        <f t="shared" si="65"/>
        <v>0</v>
      </c>
      <c r="AC87" s="110">
        <f t="shared" si="65"/>
        <v>0</v>
      </c>
      <c r="AD87" s="110">
        <f t="shared" si="65"/>
        <v>0</v>
      </c>
      <c r="AE87" s="110">
        <f t="shared" si="65"/>
        <v>0</v>
      </c>
      <c r="AF87" s="110">
        <f t="shared" si="65"/>
        <v>0</v>
      </c>
      <c r="AG87" s="110">
        <f t="shared" si="61"/>
        <v>0</v>
      </c>
      <c r="AH87" s="111" t="str">
        <f t="shared" si="62"/>
        <v/>
      </c>
      <c r="AJ87" s="110">
        <f t="shared" si="63"/>
        <v>0</v>
      </c>
    </row>
    <row r="88" spans="1:36" x14ac:dyDescent="0.3">
      <c r="A88" s="113" t="s">
        <v>174</v>
      </c>
      <c r="B88" s="84">
        <f>IFERROR(SUMIF([2]Jan26A!$A:$A,$A88,INDEX([2]Jan26A!$A:$N,0,MATCH($A$1,[2]Jan26A!$A$7:$N$7,0))),0)</f>
        <v>0</v>
      </c>
      <c r="C88" s="84">
        <f>IFERROR(SUMIF([2]Feb26A!$A:$A,$A88,INDEX([2]Feb26A!$A:$N,0,MATCH($A$1,[2]Feb26A!$A$7:$N$7,0))),0)</f>
        <v>0</v>
      </c>
      <c r="D88" s="84">
        <f>IFERROR(SUMIF([2]Mar26A!$A:$A,$A88,INDEX([2]Mar26A!$A:$N,0,MATCH($A$1,[2]Mar26A!$A$7:$N$7,0))),0)</f>
        <v>0</v>
      </c>
      <c r="E88" s="84">
        <f>IFERROR(SUMIF([2]Apr26A!$A:$A,$A88,INDEX([2]Apr26A!$A:$N,0,MATCH($A$1,[2]Apr26A!$A$7:$N$7,0))),0)</f>
        <v>0</v>
      </c>
      <c r="F88" s="84">
        <f>IFERROR(SUMIF([2]May26A!$A:$A,$A88,INDEX([2]May26A!$A:$N,0,MATCH($A$1,[2]May26A!$A$7:$N$7,0))),0)</f>
        <v>0</v>
      </c>
      <c r="G88" s="84">
        <f>IFERROR(SUMIF([2]Jun26A!$A:$A,$A88,INDEX([2]Jun26A!$A:$N,0,MATCH($A$1,[2]Jun26A!$A$7:$N$7,0))),0)</f>
        <v>0</v>
      </c>
      <c r="H88" s="84">
        <f>IFERROR(SUMIF([2]Jul26A!$A:$A,$A88,INDEX([2]Jul26A!$A:$N,0,MATCH($A$1,[2]Jul26A!$A$7:$N$7,0))),0)</f>
        <v>0</v>
      </c>
      <c r="I88" s="84">
        <f>IFERROR(SUMIF([2]Aug26A!$A:$A,$A88,INDEX([2]Aug26A!$A:$N,0,MATCH($A$1,[2]Aug26A!$A$7:$N$7,0))),0)</f>
        <v>0</v>
      </c>
      <c r="J88" s="117">
        <v>0</v>
      </c>
      <c r="K88" s="117">
        <v>0</v>
      </c>
      <c r="L88" s="117">
        <v>0</v>
      </c>
      <c r="M88" s="117">
        <v>0</v>
      </c>
      <c r="N88" s="84">
        <f t="shared" si="58"/>
        <v>0</v>
      </c>
      <c r="O88" s="105">
        <f t="shared" si="59"/>
        <v>0</v>
      </c>
      <c r="P88" s="84"/>
      <c r="Q88" s="84"/>
      <c r="R88" s="106" t="s">
        <v>99</v>
      </c>
      <c r="S88" s="107">
        <v>0</v>
      </c>
      <c r="T88" s="108">
        <v>0.05</v>
      </c>
      <c r="U88" s="104">
        <f t="shared" ref="U88:AF97" si="66">IF($R88="Manual","",IFERROR(IF($R88="YOY Growth",$N88*(1+$T88)/12,$S88/12),""))</f>
        <v>0</v>
      </c>
      <c r="V88" s="104">
        <f t="shared" si="66"/>
        <v>0</v>
      </c>
      <c r="W88" s="104">
        <f t="shared" si="66"/>
        <v>0</v>
      </c>
      <c r="X88" s="104">
        <f t="shared" si="66"/>
        <v>0</v>
      </c>
      <c r="Y88" s="104">
        <f t="shared" si="66"/>
        <v>0</v>
      </c>
      <c r="Z88" s="104">
        <f t="shared" si="66"/>
        <v>0</v>
      </c>
      <c r="AA88" s="104">
        <f t="shared" si="66"/>
        <v>0</v>
      </c>
      <c r="AB88" s="104">
        <f t="shared" si="66"/>
        <v>0</v>
      </c>
      <c r="AC88" s="104">
        <f t="shared" si="66"/>
        <v>0</v>
      </c>
      <c r="AD88" s="104">
        <f t="shared" si="66"/>
        <v>0</v>
      </c>
      <c r="AE88" s="104">
        <f t="shared" si="66"/>
        <v>0</v>
      </c>
      <c r="AF88" s="104">
        <f t="shared" si="66"/>
        <v>0</v>
      </c>
      <c r="AG88" s="84">
        <f t="shared" si="61"/>
        <v>0</v>
      </c>
      <c r="AH88" s="105" t="str">
        <f t="shared" si="62"/>
        <v/>
      </c>
      <c r="AJ88" s="84">
        <f t="shared" si="63"/>
        <v>0</v>
      </c>
    </row>
    <row r="89" spans="1:36" x14ac:dyDescent="0.3">
      <c r="A89" s="113" t="s">
        <v>175</v>
      </c>
      <c r="B89" s="84">
        <f>IFERROR(SUMIF([2]Jan26A!$A:$A,$A89,INDEX([2]Jan26A!$A:$N,0,MATCH($A$1,[2]Jan26A!$A$7:$N$7,0))),0)</f>
        <v>0</v>
      </c>
      <c r="C89" s="84">
        <f>IFERROR(SUMIF([2]Feb26A!$A:$A,$A89,INDEX([2]Feb26A!$A:$N,0,MATCH($A$1,[2]Feb26A!$A$7:$N$7,0))),0)</f>
        <v>0</v>
      </c>
      <c r="D89" s="84">
        <f>IFERROR(SUMIF([2]Mar26A!$A:$A,$A89,INDEX([2]Mar26A!$A:$N,0,MATCH($A$1,[2]Mar26A!$A$7:$N$7,0))),0)</f>
        <v>0</v>
      </c>
      <c r="E89" s="84">
        <f>IFERROR(SUMIF([2]Apr26A!$A:$A,$A89,INDEX([2]Apr26A!$A:$N,0,MATCH($A$1,[2]Apr26A!$A$7:$N$7,0))),0)</f>
        <v>0</v>
      </c>
      <c r="F89" s="84">
        <f>IFERROR(SUMIF([2]May26A!$A:$A,$A89,INDEX([2]May26A!$A:$N,0,MATCH($A$1,[2]May26A!$A$7:$N$7,0))),0)</f>
        <v>0</v>
      </c>
      <c r="G89" s="84">
        <f>IFERROR(SUMIF([2]Jun26A!$A:$A,$A89,INDEX([2]Jun26A!$A:$N,0,MATCH($A$1,[2]Jun26A!$A$7:$N$7,0))),0)</f>
        <v>0</v>
      </c>
      <c r="H89" s="84">
        <f>IFERROR(SUMIF([2]Jul26A!$A:$A,$A89,INDEX([2]Jul26A!$A:$N,0,MATCH($A$1,[2]Jul26A!$A$7:$N$7,0))),0)</f>
        <v>0</v>
      </c>
      <c r="I89" s="84">
        <f>IFERROR(SUMIF([2]Aug26A!$A:$A,$A89,INDEX([2]Aug26A!$A:$N,0,MATCH($A$1,[2]Aug26A!$A$7:$N$7,0))),0)</f>
        <v>0</v>
      </c>
      <c r="J89" s="117">
        <v>0</v>
      </c>
      <c r="K89" s="117">
        <v>0</v>
      </c>
      <c r="L89" s="117">
        <v>0</v>
      </c>
      <c r="M89" s="117">
        <v>0</v>
      </c>
      <c r="N89" s="84">
        <f t="shared" si="58"/>
        <v>0</v>
      </c>
      <c r="O89" s="105">
        <f t="shared" si="59"/>
        <v>0</v>
      </c>
      <c r="P89" s="84"/>
      <c r="Q89" s="84"/>
      <c r="R89" s="106" t="s">
        <v>99</v>
      </c>
      <c r="S89" s="107">
        <v>0</v>
      </c>
      <c r="T89" s="108">
        <v>0.05</v>
      </c>
      <c r="U89" s="104">
        <f t="shared" si="66"/>
        <v>0</v>
      </c>
      <c r="V89" s="104">
        <f t="shared" si="66"/>
        <v>0</v>
      </c>
      <c r="W89" s="104">
        <f t="shared" si="66"/>
        <v>0</v>
      </c>
      <c r="X89" s="104">
        <f t="shared" si="66"/>
        <v>0</v>
      </c>
      <c r="Y89" s="104">
        <f t="shared" si="66"/>
        <v>0</v>
      </c>
      <c r="Z89" s="104">
        <f t="shared" si="66"/>
        <v>0</v>
      </c>
      <c r="AA89" s="104">
        <f t="shared" si="66"/>
        <v>0</v>
      </c>
      <c r="AB89" s="104">
        <f t="shared" si="66"/>
        <v>0</v>
      </c>
      <c r="AC89" s="104">
        <f t="shared" si="66"/>
        <v>0</v>
      </c>
      <c r="AD89" s="104">
        <f t="shared" si="66"/>
        <v>0</v>
      </c>
      <c r="AE89" s="104">
        <f t="shared" si="66"/>
        <v>0</v>
      </c>
      <c r="AF89" s="104">
        <f t="shared" si="66"/>
        <v>0</v>
      </c>
      <c r="AG89" s="84">
        <f t="shared" si="61"/>
        <v>0</v>
      </c>
      <c r="AH89" s="105" t="str">
        <f t="shared" si="62"/>
        <v/>
      </c>
      <c r="AJ89" s="84">
        <f t="shared" si="63"/>
        <v>0</v>
      </c>
    </row>
    <row r="90" spans="1:36" x14ac:dyDescent="0.3">
      <c r="A90" s="113" t="s">
        <v>176</v>
      </c>
      <c r="B90" s="84">
        <f>IFERROR(SUMIF([2]Jan26A!$A:$A,$A90,INDEX([2]Jan26A!$A:$N,0,MATCH($A$1,[2]Jan26A!$A$7:$N$7,0))),0)</f>
        <v>0</v>
      </c>
      <c r="C90" s="84">
        <f>IFERROR(SUMIF([2]Feb26A!$A:$A,$A90,INDEX([2]Feb26A!$A:$N,0,MATCH($A$1,[2]Feb26A!$A$7:$N$7,0))),0)</f>
        <v>0</v>
      </c>
      <c r="D90" s="84">
        <f>IFERROR(SUMIF([2]Mar26A!$A:$A,$A90,INDEX([2]Mar26A!$A:$N,0,MATCH($A$1,[2]Mar26A!$A$7:$N$7,0))),0)</f>
        <v>0</v>
      </c>
      <c r="E90" s="84">
        <f>IFERROR(SUMIF([2]Apr26A!$A:$A,$A90,INDEX([2]Apr26A!$A:$N,0,MATCH($A$1,[2]Apr26A!$A$7:$N$7,0))),0)</f>
        <v>0</v>
      </c>
      <c r="F90" s="84">
        <f>IFERROR(SUMIF([2]May26A!$A:$A,$A90,INDEX([2]May26A!$A:$N,0,MATCH($A$1,[2]May26A!$A$7:$N$7,0))),0)</f>
        <v>0</v>
      </c>
      <c r="G90" s="84">
        <f>IFERROR(SUMIF([2]Jun26A!$A:$A,$A90,INDEX([2]Jun26A!$A:$N,0,MATCH($A$1,[2]Jun26A!$A$7:$N$7,0))),0)</f>
        <v>0</v>
      </c>
      <c r="H90" s="84">
        <f>IFERROR(SUMIF([2]Jul26A!$A:$A,$A90,INDEX([2]Jul26A!$A:$N,0,MATCH($A$1,[2]Jul26A!$A$7:$N$7,0))),0)</f>
        <v>0</v>
      </c>
      <c r="I90" s="84">
        <f>IFERROR(SUMIF([2]Aug26A!$A:$A,$A90,INDEX([2]Aug26A!$A:$N,0,MATCH($A$1,[2]Aug26A!$A$7:$N$7,0))),0)</f>
        <v>0</v>
      </c>
      <c r="J90" s="117">
        <v>0</v>
      </c>
      <c r="K90" s="117">
        <v>0</v>
      </c>
      <c r="L90" s="117">
        <v>0</v>
      </c>
      <c r="M90" s="117">
        <v>0</v>
      </c>
      <c r="N90" s="84">
        <f t="shared" si="58"/>
        <v>0</v>
      </c>
      <c r="O90" s="105">
        <f t="shared" si="59"/>
        <v>0</v>
      </c>
      <c r="P90" s="84"/>
      <c r="Q90" s="84"/>
      <c r="R90" s="106" t="s">
        <v>99</v>
      </c>
      <c r="S90" s="107">
        <v>0</v>
      </c>
      <c r="T90" s="108">
        <v>0.05</v>
      </c>
      <c r="U90" s="104">
        <f t="shared" si="66"/>
        <v>0</v>
      </c>
      <c r="V90" s="104">
        <f t="shared" si="66"/>
        <v>0</v>
      </c>
      <c r="W90" s="104">
        <f t="shared" si="66"/>
        <v>0</v>
      </c>
      <c r="X90" s="104">
        <f t="shared" si="66"/>
        <v>0</v>
      </c>
      <c r="Y90" s="104">
        <f t="shared" si="66"/>
        <v>0</v>
      </c>
      <c r="Z90" s="104">
        <f t="shared" si="66"/>
        <v>0</v>
      </c>
      <c r="AA90" s="104">
        <f t="shared" si="66"/>
        <v>0</v>
      </c>
      <c r="AB90" s="104">
        <f t="shared" si="66"/>
        <v>0</v>
      </c>
      <c r="AC90" s="104">
        <f t="shared" si="66"/>
        <v>0</v>
      </c>
      <c r="AD90" s="104">
        <f t="shared" si="66"/>
        <v>0</v>
      </c>
      <c r="AE90" s="104">
        <f t="shared" si="66"/>
        <v>0</v>
      </c>
      <c r="AF90" s="104">
        <f t="shared" si="66"/>
        <v>0</v>
      </c>
      <c r="AG90" s="84">
        <f t="shared" si="61"/>
        <v>0</v>
      </c>
      <c r="AH90" s="105" t="str">
        <f t="shared" si="62"/>
        <v/>
      </c>
      <c r="AJ90" s="84">
        <f t="shared" si="63"/>
        <v>0</v>
      </c>
    </row>
    <row r="91" spans="1:36" x14ac:dyDescent="0.3">
      <c r="A91" s="113" t="s">
        <v>177</v>
      </c>
      <c r="B91" s="84">
        <f>IFERROR(SUMIF([2]Jan26A!$A:$A,$A91,INDEX([2]Jan26A!$A:$N,0,MATCH($A$1,[2]Jan26A!$A$7:$N$7,0))),0)</f>
        <v>0</v>
      </c>
      <c r="C91" s="84">
        <f>IFERROR(SUMIF([2]Feb26A!$A:$A,$A91,INDEX([2]Feb26A!$A:$N,0,MATCH($A$1,[2]Feb26A!$A$7:$N$7,0))),0)</f>
        <v>0</v>
      </c>
      <c r="D91" s="84">
        <f>IFERROR(SUMIF([2]Mar26A!$A:$A,$A91,INDEX([2]Mar26A!$A:$N,0,MATCH($A$1,[2]Mar26A!$A$7:$N$7,0))),0)</f>
        <v>0</v>
      </c>
      <c r="E91" s="84">
        <f>IFERROR(SUMIF([2]Apr26A!$A:$A,$A91,INDEX([2]Apr26A!$A:$N,0,MATCH($A$1,[2]Apr26A!$A$7:$N$7,0))),0)</f>
        <v>0</v>
      </c>
      <c r="F91" s="84">
        <f>IFERROR(SUMIF([2]May26A!$A:$A,$A91,INDEX([2]May26A!$A:$N,0,MATCH($A$1,[2]May26A!$A$7:$N$7,0))),0)</f>
        <v>0</v>
      </c>
      <c r="G91" s="84">
        <f>IFERROR(SUMIF([2]Jun26A!$A:$A,$A91,INDEX([2]Jun26A!$A:$N,0,MATCH($A$1,[2]Jun26A!$A$7:$N$7,0))),0)</f>
        <v>0</v>
      </c>
      <c r="H91" s="84">
        <f>IFERROR(SUMIF([2]Jul26A!$A:$A,$A91,INDEX([2]Jul26A!$A:$N,0,MATCH($A$1,[2]Jul26A!$A$7:$N$7,0))),0)</f>
        <v>0</v>
      </c>
      <c r="I91" s="84">
        <f>IFERROR(SUMIF([2]Aug26A!$A:$A,$A91,INDEX([2]Aug26A!$A:$N,0,MATCH($A$1,[2]Aug26A!$A$7:$N$7,0))),0)</f>
        <v>0</v>
      </c>
      <c r="J91" s="117">
        <v>0</v>
      </c>
      <c r="K91" s="117">
        <v>0</v>
      </c>
      <c r="L91" s="117">
        <v>0</v>
      </c>
      <c r="M91" s="117">
        <v>0</v>
      </c>
      <c r="N91" s="84">
        <f t="shared" si="58"/>
        <v>0</v>
      </c>
      <c r="O91" s="105">
        <f t="shared" si="59"/>
        <v>0</v>
      </c>
      <c r="P91" s="84"/>
      <c r="Q91" s="84"/>
      <c r="R91" s="106" t="s">
        <v>99</v>
      </c>
      <c r="S91" s="107">
        <v>0</v>
      </c>
      <c r="T91" s="108">
        <v>0.05</v>
      </c>
      <c r="U91" s="104">
        <f t="shared" si="66"/>
        <v>0</v>
      </c>
      <c r="V91" s="104">
        <f t="shared" si="66"/>
        <v>0</v>
      </c>
      <c r="W91" s="104">
        <f t="shared" si="66"/>
        <v>0</v>
      </c>
      <c r="X91" s="104">
        <f t="shared" si="66"/>
        <v>0</v>
      </c>
      <c r="Y91" s="104">
        <f t="shared" si="66"/>
        <v>0</v>
      </c>
      <c r="Z91" s="104">
        <f t="shared" si="66"/>
        <v>0</v>
      </c>
      <c r="AA91" s="104">
        <f t="shared" si="66"/>
        <v>0</v>
      </c>
      <c r="AB91" s="104">
        <f t="shared" si="66"/>
        <v>0</v>
      </c>
      <c r="AC91" s="104">
        <f t="shared" si="66"/>
        <v>0</v>
      </c>
      <c r="AD91" s="104">
        <f t="shared" si="66"/>
        <v>0</v>
      </c>
      <c r="AE91" s="104">
        <f t="shared" si="66"/>
        <v>0</v>
      </c>
      <c r="AF91" s="104">
        <f t="shared" si="66"/>
        <v>0</v>
      </c>
      <c r="AG91" s="84">
        <f t="shared" si="61"/>
        <v>0</v>
      </c>
      <c r="AH91" s="105" t="str">
        <f t="shared" si="62"/>
        <v/>
      </c>
      <c r="AJ91" s="84">
        <f t="shared" si="63"/>
        <v>0</v>
      </c>
    </row>
    <row r="92" spans="1:36" x14ac:dyDescent="0.3">
      <c r="A92" s="113" t="s">
        <v>178</v>
      </c>
      <c r="B92" s="84">
        <f>IFERROR(SUMIF([2]Jan26A!$A:$A,$A92,INDEX([2]Jan26A!$A:$N,0,MATCH($A$1,[2]Jan26A!$A$7:$N$7,0))),0)</f>
        <v>2274.7199999999998</v>
      </c>
      <c r="C92" s="84">
        <f>IFERROR(SUMIF([2]Feb26A!$A:$A,$A92,INDEX([2]Feb26A!$A:$N,0,MATCH($A$1,[2]Feb26A!$A$7:$N$7,0))),0)</f>
        <v>1469.25</v>
      </c>
      <c r="D92" s="84">
        <f>IFERROR(SUMIF([2]Mar26A!$A:$A,$A92,INDEX([2]Mar26A!$A:$N,0,MATCH($A$1,[2]Mar26A!$A$7:$N$7,0))),0)</f>
        <v>2581.6</v>
      </c>
      <c r="E92" s="84">
        <f>IFERROR(SUMIF([2]Apr26A!$A:$A,$A92,INDEX([2]Apr26A!$A:$N,0,MATCH($A$1,[2]Apr26A!$A$7:$N$7,0))),0)</f>
        <v>762.9</v>
      </c>
      <c r="F92" s="84">
        <f>IFERROR(SUMIF([2]May26A!$A:$A,$A92,INDEX([2]May26A!$A:$N,0,MATCH($A$1,[2]May26A!$A$7:$N$7,0))),0)</f>
        <v>9578.0300000000007</v>
      </c>
      <c r="G92" s="84">
        <f>IFERROR(SUMIF([2]Jun26A!$A:$A,$A92,INDEX([2]Jun26A!$A:$N,0,MATCH($A$1,[2]Jun26A!$A$7:$N$7,0))),0)</f>
        <v>2948.97</v>
      </c>
      <c r="H92" s="84">
        <f>IFERROR(SUMIF([2]Jul26A!$A:$A,$A92,INDEX([2]Jul26A!$A:$N,0,MATCH($A$1,[2]Jul26A!$A$7:$N$7,0))),0)</f>
        <v>0</v>
      </c>
      <c r="I92" s="84">
        <f>IFERROR(SUMIF([2]Aug26A!$A:$A,$A92,INDEX([2]Aug26A!$A:$N,0,MATCH($A$1,[2]Aug26A!$A$7:$N$7,0))),0)</f>
        <v>796.11</v>
      </c>
      <c r="J92" s="117">
        <v>0</v>
      </c>
      <c r="K92" s="117">
        <v>0</v>
      </c>
      <c r="L92" s="117">
        <v>0</v>
      </c>
      <c r="M92" s="117">
        <v>0</v>
      </c>
      <c r="N92" s="84">
        <f t="shared" si="58"/>
        <v>20411.580000000002</v>
      </c>
      <c r="O92" s="105">
        <f t="shared" si="59"/>
        <v>2.7494270233288085E-3</v>
      </c>
      <c r="P92" s="84"/>
      <c r="Q92" s="84"/>
      <c r="R92" s="106" t="s">
        <v>99</v>
      </c>
      <c r="S92" s="107">
        <v>0</v>
      </c>
      <c r="T92" s="108">
        <v>0.05</v>
      </c>
      <c r="U92" s="104">
        <f t="shared" si="66"/>
        <v>0</v>
      </c>
      <c r="V92" s="104">
        <f t="shared" si="66"/>
        <v>0</v>
      </c>
      <c r="W92" s="104">
        <f t="shared" si="66"/>
        <v>0</v>
      </c>
      <c r="X92" s="104">
        <f t="shared" si="66"/>
        <v>0</v>
      </c>
      <c r="Y92" s="104">
        <f t="shared" si="66"/>
        <v>0</v>
      </c>
      <c r="Z92" s="104">
        <f t="shared" si="66"/>
        <v>0</v>
      </c>
      <c r="AA92" s="104">
        <f t="shared" si="66"/>
        <v>0</v>
      </c>
      <c r="AB92" s="104">
        <f t="shared" si="66"/>
        <v>0</v>
      </c>
      <c r="AC92" s="104">
        <f t="shared" si="66"/>
        <v>0</v>
      </c>
      <c r="AD92" s="104">
        <f t="shared" si="66"/>
        <v>0</v>
      </c>
      <c r="AE92" s="104">
        <f t="shared" si="66"/>
        <v>0</v>
      </c>
      <c r="AF92" s="104">
        <f t="shared" si="66"/>
        <v>0</v>
      </c>
      <c r="AG92" s="84">
        <f t="shared" si="61"/>
        <v>0</v>
      </c>
      <c r="AH92" s="105" t="str">
        <f t="shared" si="62"/>
        <v/>
      </c>
      <c r="AJ92" s="84">
        <f t="shared" si="63"/>
        <v>20411.580000000002</v>
      </c>
    </row>
    <row r="93" spans="1:36" x14ac:dyDescent="0.3">
      <c r="A93" s="113" t="s">
        <v>179</v>
      </c>
      <c r="B93" s="84">
        <f>IFERROR(SUMIF([2]Jan26A!$A:$A,$A93,INDEX([2]Jan26A!$A:$N,0,MATCH($A$1,[2]Jan26A!$A$7:$N$7,0))),0)</f>
        <v>0</v>
      </c>
      <c r="C93" s="84">
        <f>IFERROR(SUMIF([2]Feb26A!$A:$A,$A93,INDEX([2]Feb26A!$A:$N,0,MATCH($A$1,[2]Feb26A!$A$7:$N$7,0))),0)</f>
        <v>0</v>
      </c>
      <c r="D93" s="84">
        <f>IFERROR(SUMIF([2]Mar26A!$A:$A,$A93,INDEX([2]Mar26A!$A:$N,0,MATCH($A$1,[2]Mar26A!$A$7:$N$7,0))),0)</f>
        <v>0</v>
      </c>
      <c r="E93" s="84">
        <f>IFERROR(SUMIF([2]Apr26A!$A:$A,$A93,INDEX([2]Apr26A!$A:$N,0,MATCH($A$1,[2]Apr26A!$A$7:$N$7,0))),0)</f>
        <v>0</v>
      </c>
      <c r="F93" s="84">
        <f>IFERROR(SUMIF([2]May26A!$A:$A,$A93,INDEX([2]May26A!$A:$N,0,MATCH($A$1,[2]May26A!$A$7:$N$7,0))),0)</f>
        <v>0</v>
      </c>
      <c r="G93" s="84">
        <f>IFERROR(SUMIF([2]Jun26A!$A:$A,$A93,INDEX([2]Jun26A!$A:$N,0,MATCH($A$1,[2]Jun26A!$A$7:$N$7,0))),0)</f>
        <v>530</v>
      </c>
      <c r="H93" s="84">
        <f>IFERROR(SUMIF([2]Jul26A!$A:$A,$A93,INDEX([2]Jul26A!$A:$N,0,MATCH($A$1,[2]Jul26A!$A$7:$N$7,0))),0)</f>
        <v>0</v>
      </c>
      <c r="I93" s="84">
        <f>IFERROR(SUMIF([2]Aug26A!$A:$A,$A93,INDEX([2]Aug26A!$A:$N,0,MATCH($A$1,[2]Aug26A!$A$7:$N$7,0))),0)</f>
        <v>0</v>
      </c>
      <c r="J93" s="117">
        <v>0</v>
      </c>
      <c r="K93" s="117">
        <v>0</v>
      </c>
      <c r="L93" s="117">
        <v>0</v>
      </c>
      <c r="M93" s="117">
        <v>0</v>
      </c>
      <c r="N93" s="84">
        <f t="shared" si="58"/>
        <v>530</v>
      </c>
      <c r="O93" s="105">
        <f t="shared" si="59"/>
        <v>7.1390667570284526E-5</v>
      </c>
      <c r="P93" s="84"/>
      <c r="Q93" s="84"/>
      <c r="R93" s="106" t="s">
        <v>99</v>
      </c>
      <c r="S93" s="107">
        <v>0</v>
      </c>
      <c r="T93" s="108">
        <v>0.05</v>
      </c>
      <c r="U93" s="104">
        <f t="shared" si="66"/>
        <v>0</v>
      </c>
      <c r="V93" s="104">
        <f t="shared" si="66"/>
        <v>0</v>
      </c>
      <c r="W93" s="104">
        <f t="shared" si="66"/>
        <v>0</v>
      </c>
      <c r="X93" s="104">
        <f t="shared" si="66"/>
        <v>0</v>
      </c>
      <c r="Y93" s="104">
        <f t="shared" si="66"/>
        <v>0</v>
      </c>
      <c r="Z93" s="104">
        <f t="shared" si="66"/>
        <v>0</v>
      </c>
      <c r="AA93" s="104">
        <f t="shared" si="66"/>
        <v>0</v>
      </c>
      <c r="AB93" s="104">
        <f t="shared" si="66"/>
        <v>0</v>
      </c>
      <c r="AC93" s="104">
        <f t="shared" si="66"/>
        <v>0</v>
      </c>
      <c r="AD93" s="104">
        <f t="shared" si="66"/>
        <v>0</v>
      </c>
      <c r="AE93" s="104">
        <f t="shared" si="66"/>
        <v>0</v>
      </c>
      <c r="AF93" s="104">
        <f t="shared" si="66"/>
        <v>0</v>
      </c>
      <c r="AG93" s="84">
        <f t="shared" si="61"/>
        <v>0</v>
      </c>
      <c r="AH93" s="105" t="str">
        <f t="shared" si="62"/>
        <v/>
      </c>
      <c r="AJ93" s="84">
        <f t="shared" si="63"/>
        <v>530</v>
      </c>
    </row>
    <row r="94" spans="1:36" x14ac:dyDescent="0.3">
      <c r="A94" s="113" t="s">
        <v>180</v>
      </c>
      <c r="B94" s="84">
        <f>IFERROR(SUMIF([2]Jan26A!$A:$A,$A94,INDEX([2]Jan26A!$A:$N,0,MATCH($A$1,[2]Jan26A!$A$7:$N$7,0))),0)</f>
        <v>0</v>
      </c>
      <c r="C94" s="84">
        <f>IFERROR(SUMIF([2]Feb26A!$A:$A,$A94,INDEX([2]Feb26A!$A:$N,0,MATCH($A$1,[2]Feb26A!$A$7:$N$7,0))),0)</f>
        <v>0</v>
      </c>
      <c r="D94" s="84">
        <f>IFERROR(SUMIF([2]Mar26A!$A:$A,$A94,INDEX([2]Mar26A!$A:$N,0,MATCH($A$1,[2]Mar26A!$A$7:$N$7,0))),0)</f>
        <v>0</v>
      </c>
      <c r="E94" s="84">
        <f>IFERROR(SUMIF([2]Apr26A!$A:$A,$A94,INDEX([2]Apr26A!$A:$N,0,MATCH($A$1,[2]Apr26A!$A$7:$N$7,0))),0)</f>
        <v>0</v>
      </c>
      <c r="F94" s="84">
        <f>IFERROR(SUMIF([2]May26A!$A:$A,$A94,INDEX([2]May26A!$A:$N,0,MATCH($A$1,[2]May26A!$A$7:$N$7,0))),0)</f>
        <v>0</v>
      </c>
      <c r="G94" s="84">
        <f>IFERROR(SUMIF([2]Jun26A!$A:$A,$A94,INDEX([2]Jun26A!$A:$N,0,MATCH($A$1,[2]Jun26A!$A$7:$N$7,0))),0)</f>
        <v>0</v>
      </c>
      <c r="H94" s="84">
        <f>IFERROR(SUMIF([2]Jul26A!$A:$A,$A94,INDEX([2]Jul26A!$A:$N,0,MATCH($A$1,[2]Jul26A!$A$7:$N$7,0))),0)</f>
        <v>0</v>
      </c>
      <c r="I94" s="84">
        <f>IFERROR(SUMIF([2]Aug26A!$A:$A,$A94,INDEX([2]Aug26A!$A:$N,0,MATCH($A$1,[2]Aug26A!$A$7:$N$7,0))),0)</f>
        <v>0</v>
      </c>
      <c r="J94" s="117">
        <v>0</v>
      </c>
      <c r="K94" s="117">
        <v>0</v>
      </c>
      <c r="L94" s="117">
        <v>0</v>
      </c>
      <c r="M94" s="117">
        <v>0</v>
      </c>
      <c r="N94" s="84">
        <f t="shared" si="58"/>
        <v>0</v>
      </c>
      <c r="O94" s="105">
        <f t="shared" si="59"/>
        <v>0</v>
      </c>
      <c r="P94" s="84"/>
      <c r="Q94" s="84"/>
      <c r="R94" s="106" t="s">
        <v>99</v>
      </c>
      <c r="S94" s="107">
        <v>0</v>
      </c>
      <c r="T94" s="108">
        <v>0.05</v>
      </c>
      <c r="U94" s="104">
        <f t="shared" si="66"/>
        <v>0</v>
      </c>
      <c r="V94" s="104">
        <f t="shared" si="66"/>
        <v>0</v>
      </c>
      <c r="W94" s="104">
        <f t="shared" si="66"/>
        <v>0</v>
      </c>
      <c r="X94" s="104">
        <f t="shared" si="66"/>
        <v>0</v>
      </c>
      <c r="Y94" s="104">
        <f t="shared" si="66"/>
        <v>0</v>
      </c>
      <c r="Z94" s="104">
        <f t="shared" si="66"/>
        <v>0</v>
      </c>
      <c r="AA94" s="104">
        <f t="shared" si="66"/>
        <v>0</v>
      </c>
      <c r="AB94" s="104">
        <f t="shared" si="66"/>
        <v>0</v>
      </c>
      <c r="AC94" s="104">
        <f t="shared" si="66"/>
        <v>0</v>
      </c>
      <c r="AD94" s="104">
        <f t="shared" si="66"/>
        <v>0</v>
      </c>
      <c r="AE94" s="104">
        <f t="shared" si="66"/>
        <v>0</v>
      </c>
      <c r="AF94" s="104">
        <f t="shared" si="66"/>
        <v>0</v>
      </c>
      <c r="AG94" s="84">
        <f t="shared" si="61"/>
        <v>0</v>
      </c>
      <c r="AH94" s="105" t="str">
        <f t="shared" si="62"/>
        <v/>
      </c>
      <c r="AJ94" s="84">
        <f t="shared" si="63"/>
        <v>0</v>
      </c>
    </row>
    <row r="95" spans="1:36" x14ac:dyDescent="0.3">
      <c r="A95" s="113" t="s">
        <v>181</v>
      </c>
      <c r="B95" s="84">
        <f>IFERROR(SUMIF([2]Jan26A!$A:$A,$A95,INDEX([2]Jan26A!$A:$N,0,MATCH($A$1,[2]Jan26A!$A$7:$N$7,0))),0)</f>
        <v>0</v>
      </c>
      <c r="C95" s="84">
        <f>IFERROR(SUMIF([2]Feb26A!$A:$A,$A95,INDEX([2]Feb26A!$A:$N,0,MATCH($A$1,[2]Feb26A!$A$7:$N$7,0))),0)</f>
        <v>0</v>
      </c>
      <c r="D95" s="84">
        <f>IFERROR(SUMIF([2]Mar26A!$A:$A,$A95,INDEX([2]Mar26A!$A:$N,0,MATCH($A$1,[2]Mar26A!$A$7:$N$7,0))),0)</f>
        <v>316.43</v>
      </c>
      <c r="E95" s="84">
        <f>IFERROR(SUMIF([2]Apr26A!$A:$A,$A95,INDEX([2]Apr26A!$A:$N,0,MATCH($A$1,[2]Apr26A!$A$7:$N$7,0))),0)</f>
        <v>0</v>
      </c>
      <c r="F95" s="84">
        <f>IFERROR(SUMIF([2]May26A!$A:$A,$A95,INDEX([2]May26A!$A:$N,0,MATCH($A$1,[2]May26A!$A$7:$N$7,0))),0)</f>
        <v>0</v>
      </c>
      <c r="G95" s="84">
        <f>IFERROR(SUMIF([2]Jun26A!$A:$A,$A95,INDEX([2]Jun26A!$A:$N,0,MATCH($A$1,[2]Jun26A!$A$7:$N$7,0))),0)</f>
        <v>-3257.19</v>
      </c>
      <c r="H95" s="84">
        <f>IFERROR(SUMIF([2]Jul26A!$A:$A,$A95,INDEX([2]Jul26A!$A:$N,0,MATCH($A$1,[2]Jul26A!$A$7:$N$7,0))),0)</f>
        <v>0</v>
      </c>
      <c r="I95" s="84">
        <f>IFERROR(SUMIF([2]Aug26A!$A:$A,$A95,INDEX([2]Aug26A!$A:$N,0,MATCH($A$1,[2]Aug26A!$A$7:$N$7,0))),0)</f>
        <v>0</v>
      </c>
      <c r="J95" s="117">
        <v>2000</v>
      </c>
      <c r="K95" s="117">
        <v>2000</v>
      </c>
      <c r="L95" s="117">
        <v>2000</v>
      </c>
      <c r="M95" s="117">
        <v>2000</v>
      </c>
      <c r="N95" s="84">
        <f t="shared" si="58"/>
        <v>5059.24</v>
      </c>
      <c r="O95" s="105">
        <f t="shared" si="59"/>
        <v>6.8147645471374775E-4</v>
      </c>
      <c r="P95" s="84"/>
      <c r="Q95" s="84"/>
      <c r="R95" s="106" t="s">
        <v>99</v>
      </c>
      <c r="S95" s="107">
        <v>0</v>
      </c>
      <c r="T95" s="108">
        <v>0.05</v>
      </c>
      <c r="U95" s="104">
        <f t="shared" si="66"/>
        <v>0</v>
      </c>
      <c r="V95" s="104">
        <f t="shared" si="66"/>
        <v>0</v>
      </c>
      <c r="W95" s="104">
        <f t="shared" si="66"/>
        <v>0</v>
      </c>
      <c r="X95" s="104">
        <f t="shared" si="66"/>
        <v>0</v>
      </c>
      <c r="Y95" s="104">
        <f t="shared" si="66"/>
        <v>0</v>
      </c>
      <c r="Z95" s="104">
        <f t="shared" si="66"/>
        <v>0</v>
      </c>
      <c r="AA95" s="104">
        <f t="shared" si="66"/>
        <v>0</v>
      </c>
      <c r="AB95" s="104">
        <f t="shared" si="66"/>
        <v>0</v>
      </c>
      <c r="AC95" s="104">
        <f t="shared" si="66"/>
        <v>0</v>
      </c>
      <c r="AD95" s="104">
        <f t="shared" si="66"/>
        <v>0</v>
      </c>
      <c r="AE95" s="104">
        <f t="shared" si="66"/>
        <v>0</v>
      </c>
      <c r="AF95" s="104">
        <f t="shared" si="66"/>
        <v>0</v>
      </c>
      <c r="AG95" s="84">
        <f t="shared" si="61"/>
        <v>0</v>
      </c>
      <c r="AH95" s="105" t="str">
        <f t="shared" si="62"/>
        <v/>
      </c>
      <c r="AJ95" s="84">
        <f t="shared" si="63"/>
        <v>5059.24</v>
      </c>
    </row>
    <row r="96" spans="1:36" x14ac:dyDescent="0.3">
      <c r="A96" s="113" t="s">
        <v>182</v>
      </c>
      <c r="B96" s="84">
        <f>IFERROR(SUMIF([2]Jan26A!$A:$A,$A96,INDEX([2]Jan26A!$A:$N,0,MATCH($A$1,[2]Jan26A!$A$7:$N$7,0))),0)</f>
        <v>0</v>
      </c>
      <c r="C96" s="84">
        <f>IFERROR(SUMIF([2]Feb26A!$A:$A,$A96,INDEX([2]Feb26A!$A:$N,0,MATCH($A$1,[2]Feb26A!$A$7:$N$7,0))),0)</f>
        <v>15.09</v>
      </c>
      <c r="D96" s="84">
        <f>IFERROR(SUMIF([2]Mar26A!$A:$A,$A96,INDEX([2]Mar26A!$A:$N,0,MATCH($A$1,[2]Mar26A!$A$7:$N$7,0))),0)</f>
        <v>665.79</v>
      </c>
      <c r="E96" s="84">
        <f>IFERROR(SUMIF([2]Apr26A!$A:$A,$A96,INDEX([2]Apr26A!$A:$N,0,MATCH($A$1,[2]Apr26A!$A$7:$N$7,0))),0)</f>
        <v>9525.44</v>
      </c>
      <c r="F96" s="84">
        <f>IFERROR(SUMIF([2]May26A!$A:$A,$A96,INDEX([2]May26A!$A:$N,0,MATCH($A$1,[2]May26A!$A$7:$N$7,0))),0)</f>
        <v>1129.75</v>
      </c>
      <c r="G96" s="84">
        <f>IFERROR(SUMIF([2]Jun26A!$A:$A,$A96,INDEX([2]Jun26A!$A:$N,0,MATCH($A$1,[2]Jun26A!$A$7:$N$7,0))),0)</f>
        <v>-801</v>
      </c>
      <c r="H96" s="84">
        <f>IFERROR(SUMIF([2]Jul26A!$A:$A,$A96,INDEX([2]Jul26A!$A:$N,0,MATCH($A$1,[2]Jul26A!$A$7:$N$7,0))),0)</f>
        <v>561.23</v>
      </c>
      <c r="I96" s="84">
        <f>IFERROR(SUMIF([2]Aug26A!$A:$A,$A96,INDEX([2]Aug26A!$A:$N,0,MATCH($A$1,[2]Aug26A!$A$7:$N$7,0))),0)</f>
        <v>273.43</v>
      </c>
      <c r="J96" s="117">
        <v>500</v>
      </c>
      <c r="K96" s="117">
        <v>500</v>
      </c>
      <c r="L96" s="117">
        <v>500</v>
      </c>
      <c r="M96" s="117">
        <v>500</v>
      </c>
      <c r="N96" s="84">
        <f t="shared" si="58"/>
        <v>13369.73</v>
      </c>
      <c r="O96" s="105">
        <f t="shared" si="59"/>
        <v>1.8008942451593589E-3</v>
      </c>
      <c r="P96" s="84"/>
      <c r="Q96" s="84"/>
      <c r="R96" s="106" t="s">
        <v>99</v>
      </c>
      <c r="S96" s="107">
        <v>0</v>
      </c>
      <c r="T96" s="108">
        <v>0.05</v>
      </c>
      <c r="U96" s="104">
        <f t="shared" si="66"/>
        <v>0</v>
      </c>
      <c r="V96" s="104">
        <f t="shared" si="66"/>
        <v>0</v>
      </c>
      <c r="W96" s="104">
        <f t="shared" si="66"/>
        <v>0</v>
      </c>
      <c r="X96" s="104">
        <f t="shared" si="66"/>
        <v>0</v>
      </c>
      <c r="Y96" s="104">
        <f t="shared" si="66"/>
        <v>0</v>
      </c>
      <c r="Z96" s="104">
        <f t="shared" si="66"/>
        <v>0</v>
      </c>
      <c r="AA96" s="104">
        <f t="shared" si="66"/>
        <v>0</v>
      </c>
      <c r="AB96" s="104">
        <f t="shared" si="66"/>
        <v>0</v>
      </c>
      <c r="AC96" s="104">
        <f t="shared" si="66"/>
        <v>0</v>
      </c>
      <c r="AD96" s="104">
        <f t="shared" si="66"/>
        <v>0</v>
      </c>
      <c r="AE96" s="104">
        <f t="shared" si="66"/>
        <v>0</v>
      </c>
      <c r="AF96" s="104">
        <f t="shared" si="66"/>
        <v>0</v>
      </c>
      <c r="AG96" s="84">
        <f t="shared" si="61"/>
        <v>0</v>
      </c>
      <c r="AH96" s="105" t="str">
        <f t="shared" si="62"/>
        <v/>
      </c>
      <c r="AJ96" s="84">
        <f t="shared" si="63"/>
        <v>13369.73</v>
      </c>
    </row>
    <row r="97" spans="1:36" x14ac:dyDescent="0.3">
      <c r="A97" s="113" t="s">
        <v>183</v>
      </c>
      <c r="B97" s="84">
        <f>IFERROR(SUMIF([2]Jan26A!$A:$A,$A97,INDEX([2]Jan26A!$A:$N,0,MATCH($A$1,[2]Jan26A!$A$7:$N$7,0))),0)</f>
        <v>0</v>
      </c>
      <c r="C97" s="84">
        <f>IFERROR(SUMIF([2]Feb26A!$A:$A,$A97,INDEX([2]Feb26A!$A:$N,0,MATCH($A$1,[2]Feb26A!$A$7:$N$7,0))),0)</f>
        <v>0</v>
      </c>
      <c r="D97" s="84">
        <f>IFERROR(SUMIF([2]Mar26A!$A:$A,$A97,INDEX([2]Mar26A!$A:$N,0,MATCH($A$1,[2]Mar26A!$A$7:$N$7,0))),0)</f>
        <v>0</v>
      </c>
      <c r="E97" s="84">
        <f>IFERROR(SUMIF([2]Apr26A!$A:$A,$A97,INDEX([2]Apr26A!$A:$N,0,MATCH($A$1,[2]Apr26A!$A$7:$N$7,0))),0)</f>
        <v>0</v>
      </c>
      <c r="F97" s="84">
        <f>IFERROR(SUMIF([2]May26A!$A:$A,$A97,INDEX([2]May26A!$A:$N,0,MATCH($A$1,[2]May26A!$A$7:$N$7,0))),0)</f>
        <v>0</v>
      </c>
      <c r="G97" s="84">
        <f>IFERROR(SUMIF([2]Jun26A!$A:$A,$A97,INDEX([2]Jun26A!$A:$N,0,MATCH($A$1,[2]Jun26A!$A$7:$N$7,0))),0)</f>
        <v>0</v>
      </c>
      <c r="H97" s="84">
        <f>IFERROR(SUMIF([2]Jul26A!$A:$A,$A97,INDEX([2]Jul26A!$A:$N,0,MATCH($A$1,[2]Jul26A!$A$7:$N$7,0))),0)</f>
        <v>0</v>
      </c>
      <c r="I97" s="84">
        <f>IFERROR(SUMIF([2]Aug26A!$A:$A,$A97,INDEX([2]Aug26A!$A:$N,0,MATCH($A$1,[2]Aug26A!$A$7:$N$7,0))),0)</f>
        <v>0</v>
      </c>
      <c r="J97" s="117">
        <v>0</v>
      </c>
      <c r="K97" s="117">
        <v>0</v>
      </c>
      <c r="L97" s="117">
        <v>0</v>
      </c>
      <c r="M97" s="117">
        <v>0</v>
      </c>
      <c r="N97" s="84">
        <f t="shared" si="58"/>
        <v>0</v>
      </c>
      <c r="O97" s="105">
        <f t="shared" si="59"/>
        <v>0</v>
      </c>
      <c r="P97" s="84"/>
      <c r="Q97" s="84"/>
      <c r="R97" s="106" t="s">
        <v>99</v>
      </c>
      <c r="S97" s="107">
        <v>0</v>
      </c>
      <c r="T97" s="108">
        <v>0.05</v>
      </c>
      <c r="U97" s="104">
        <f t="shared" si="66"/>
        <v>0</v>
      </c>
      <c r="V97" s="104">
        <f t="shared" si="66"/>
        <v>0</v>
      </c>
      <c r="W97" s="104">
        <f t="shared" si="66"/>
        <v>0</v>
      </c>
      <c r="X97" s="104">
        <f t="shared" si="66"/>
        <v>0</v>
      </c>
      <c r="Y97" s="104">
        <f t="shared" si="66"/>
        <v>0</v>
      </c>
      <c r="Z97" s="104">
        <f t="shared" si="66"/>
        <v>0</v>
      </c>
      <c r="AA97" s="104">
        <f t="shared" si="66"/>
        <v>0</v>
      </c>
      <c r="AB97" s="104">
        <f t="shared" si="66"/>
        <v>0</v>
      </c>
      <c r="AC97" s="104">
        <f t="shared" si="66"/>
        <v>0</v>
      </c>
      <c r="AD97" s="104">
        <f t="shared" si="66"/>
        <v>0</v>
      </c>
      <c r="AE97" s="104">
        <f t="shared" si="66"/>
        <v>0</v>
      </c>
      <c r="AF97" s="104">
        <f t="shared" si="66"/>
        <v>0</v>
      </c>
      <c r="AG97" s="84">
        <f t="shared" si="61"/>
        <v>0</v>
      </c>
      <c r="AH97" s="105" t="str">
        <f t="shared" si="62"/>
        <v/>
      </c>
      <c r="AJ97" s="84">
        <f t="shared" si="63"/>
        <v>0</v>
      </c>
    </row>
    <row r="98" spans="1:36" x14ac:dyDescent="0.3">
      <c r="A98" s="113" t="s">
        <v>184</v>
      </c>
      <c r="B98" s="84">
        <f>IFERROR(SUMIF([2]Jan26A!$A:$A,$A98,INDEX([2]Jan26A!$A:$N,0,MATCH($A$1,[2]Jan26A!$A$7:$N$7,0))),0)</f>
        <v>0</v>
      </c>
      <c r="C98" s="84">
        <f>IFERROR(SUMIF([2]Feb26A!$A:$A,$A98,INDEX([2]Feb26A!$A:$N,0,MATCH($A$1,[2]Feb26A!$A$7:$N$7,0))),0)</f>
        <v>0</v>
      </c>
      <c r="D98" s="84">
        <f>IFERROR(SUMIF([2]Mar26A!$A:$A,$A98,INDEX([2]Mar26A!$A:$N,0,MATCH($A$1,[2]Mar26A!$A$7:$N$7,0))),0)</f>
        <v>0</v>
      </c>
      <c r="E98" s="84">
        <f>IFERROR(SUMIF([2]Apr26A!$A:$A,$A98,INDEX([2]Apr26A!$A:$N,0,MATCH($A$1,[2]Apr26A!$A$7:$N$7,0))),0)</f>
        <v>0</v>
      </c>
      <c r="F98" s="84">
        <f>IFERROR(SUMIF([2]May26A!$A:$A,$A98,INDEX([2]May26A!$A:$N,0,MATCH($A$1,[2]May26A!$A$7:$N$7,0))),0)</f>
        <v>0</v>
      </c>
      <c r="G98" s="84">
        <f>IFERROR(SUMIF([2]Jun26A!$A:$A,$A98,INDEX([2]Jun26A!$A:$N,0,MATCH($A$1,[2]Jun26A!$A$7:$N$7,0))),0)</f>
        <v>0</v>
      </c>
      <c r="H98" s="84">
        <f>IFERROR(SUMIF([2]Jul26A!$A:$A,$A98,INDEX([2]Jul26A!$A:$N,0,MATCH($A$1,[2]Jul26A!$A$7:$N$7,0))),0)</f>
        <v>0</v>
      </c>
      <c r="I98" s="84">
        <f>IFERROR(SUMIF([2]Aug26A!$A:$A,$A98,INDEX([2]Aug26A!$A:$N,0,MATCH($A$1,[2]Aug26A!$A$7:$N$7,0))),0)</f>
        <v>0</v>
      </c>
      <c r="J98" s="117">
        <v>630000</v>
      </c>
      <c r="K98" s="117">
        <v>2000</v>
      </c>
      <c r="L98" s="117">
        <v>2000</v>
      </c>
      <c r="M98" s="117">
        <v>2000</v>
      </c>
      <c r="N98" s="84">
        <f t="shared" si="58"/>
        <v>636000</v>
      </c>
      <c r="O98" s="105">
        <f t="shared" si="59"/>
        <v>8.5668801084341439E-2</v>
      </c>
      <c r="P98" s="84"/>
      <c r="Q98" s="84"/>
      <c r="R98" s="106" t="s">
        <v>99</v>
      </c>
      <c r="S98" s="107">
        <v>0</v>
      </c>
      <c r="T98" s="108">
        <v>0.05</v>
      </c>
      <c r="U98" s="104">
        <f t="shared" ref="U98:AF107" si="67">IF($R98="Manual","",IFERROR(IF($R98="YOY Growth",$N98*(1+$T98)/12,$S98/12),""))</f>
        <v>0</v>
      </c>
      <c r="V98" s="104">
        <f t="shared" si="67"/>
        <v>0</v>
      </c>
      <c r="W98" s="104">
        <f t="shared" si="67"/>
        <v>0</v>
      </c>
      <c r="X98" s="104">
        <f t="shared" si="67"/>
        <v>0</v>
      </c>
      <c r="Y98" s="104">
        <f t="shared" si="67"/>
        <v>0</v>
      </c>
      <c r="Z98" s="104">
        <f t="shared" si="67"/>
        <v>0</v>
      </c>
      <c r="AA98" s="104">
        <f t="shared" si="67"/>
        <v>0</v>
      </c>
      <c r="AB98" s="104">
        <f t="shared" si="67"/>
        <v>0</v>
      </c>
      <c r="AC98" s="104">
        <f t="shared" si="67"/>
        <v>0</v>
      </c>
      <c r="AD98" s="104">
        <f t="shared" si="67"/>
        <v>0</v>
      </c>
      <c r="AE98" s="104">
        <f t="shared" si="67"/>
        <v>0</v>
      </c>
      <c r="AF98" s="104">
        <f t="shared" si="67"/>
        <v>0</v>
      </c>
      <c r="AG98" s="84">
        <f t="shared" si="61"/>
        <v>0</v>
      </c>
      <c r="AH98" s="105" t="str">
        <f t="shared" si="62"/>
        <v/>
      </c>
      <c r="AJ98" s="84">
        <f t="shared" si="63"/>
        <v>636000</v>
      </c>
    </row>
    <row r="99" spans="1:36" x14ac:dyDescent="0.3">
      <c r="A99" s="113" t="s">
        <v>185</v>
      </c>
      <c r="B99" s="84">
        <f>IFERROR(SUMIF([2]Jan26A!$A:$A,$A99,INDEX([2]Jan26A!$A:$N,0,MATCH($A$1,[2]Jan26A!$A$7:$N$7,0))),0)</f>
        <v>4876.8</v>
      </c>
      <c r="C99" s="84">
        <f>IFERROR(SUMIF([2]Feb26A!$A:$A,$A99,INDEX([2]Feb26A!$A:$N,0,MATCH($A$1,[2]Feb26A!$A$7:$N$7,0))),0)</f>
        <v>0</v>
      </c>
      <c r="D99" s="84">
        <f>IFERROR(SUMIF([2]Mar26A!$A:$A,$A99,INDEX([2]Mar26A!$A:$N,0,MATCH($A$1,[2]Mar26A!$A$7:$N$7,0))),0)</f>
        <v>0</v>
      </c>
      <c r="E99" s="84">
        <f>IFERROR(SUMIF([2]Apr26A!$A:$A,$A99,INDEX([2]Apr26A!$A:$N,0,MATCH($A$1,[2]Apr26A!$A$7:$N$7,0))),0)</f>
        <v>448.44</v>
      </c>
      <c r="F99" s="84">
        <f>IFERROR(SUMIF([2]May26A!$A:$A,$A99,INDEX([2]May26A!$A:$N,0,MATCH($A$1,[2]May26A!$A$7:$N$7,0))),0)</f>
        <v>577.79999999999995</v>
      </c>
      <c r="G99" s="84">
        <f>IFERROR(SUMIF([2]Jun26A!$A:$A,$A99,INDEX([2]Jun26A!$A:$N,0,MATCH($A$1,[2]Jun26A!$A$7:$N$7,0))),0)</f>
        <v>448.44</v>
      </c>
      <c r="H99" s="84">
        <f>IFERROR(SUMIF([2]Jul26A!$A:$A,$A99,INDEX([2]Jul26A!$A:$N,0,MATCH($A$1,[2]Jul26A!$A$7:$N$7,0))),0)</f>
        <v>448.44</v>
      </c>
      <c r="I99" s="84">
        <f>IFERROR(SUMIF([2]Aug26A!$A:$A,$A99,INDEX([2]Aug26A!$A:$N,0,MATCH($A$1,[2]Aug26A!$A$7:$N$7,0))),0)</f>
        <v>448.44</v>
      </c>
      <c r="J99" s="117">
        <v>1600</v>
      </c>
      <c r="K99" s="117">
        <v>1600</v>
      </c>
      <c r="L99" s="117">
        <v>1600</v>
      </c>
      <c r="M99" s="117">
        <v>1600</v>
      </c>
      <c r="N99" s="84">
        <f t="shared" si="58"/>
        <v>13648.359999999999</v>
      </c>
      <c r="O99" s="105">
        <f t="shared" si="59"/>
        <v>1.8384255313954124E-3</v>
      </c>
      <c r="P99" s="84"/>
      <c r="Q99" s="84"/>
      <c r="R99" s="106" t="s">
        <v>99</v>
      </c>
      <c r="S99" s="107">
        <v>0</v>
      </c>
      <c r="T99" s="108">
        <v>0.05</v>
      </c>
      <c r="U99" s="104">
        <f t="shared" si="67"/>
        <v>0</v>
      </c>
      <c r="V99" s="104">
        <f t="shared" si="67"/>
        <v>0</v>
      </c>
      <c r="W99" s="104">
        <f t="shared" si="67"/>
        <v>0</v>
      </c>
      <c r="X99" s="104">
        <f t="shared" si="67"/>
        <v>0</v>
      </c>
      <c r="Y99" s="104">
        <f t="shared" si="67"/>
        <v>0</v>
      </c>
      <c r="Z99" s="104">
        <f t="shared" si="67"/>
        <v>0</v>
      </c>
      <c r="AA99" s="104">
        <f t="shared" si="67"/>
        <v>0</v>
      </c>
      <c r="AB99" s="104">
        <f t="shared" si="67"/>
        <v>0</v>
      </c>
      <c r="AC99" s="104">
        <f t="shared" si="67"/>
        <v>0</v>
      </c>
      <c r="AD99" s="104">
        <f t="shared" si="67"/>
        <v>0</v>
      </c>
      <c r="AE99" s="104">
        <f t="shared" si="67"/>
        <v>0</v>
      </c>
      <c r="AF99" s="104">
        <f t="shared" si="67"/>
        <v>0</v>
      </c>
      <c r="AG99" s="84">
        <f t="shared" si="61"/>
        <v>0</v>
      </c>
      <c r="AH99" s="105" t="str">
        <f t="shared" si="62"/>
        <v/>
      </c>
      <c r="AJ99" s="84">
        <f t="shared" si="63"/>
        <v>13648.359999999999</v>
      </c>
    </row>
    <row r="100" spans="1:36" x14ac:dyDescent="0.3">
      <c r="A100" s="113" t="s">
        <v>186</v>
      </c>
      <c r="B100" s="84">
        <f>IFERROR(SUMIF([2]Jan26A!$A:$A,$A100,INDEX([2]Jan26A!$A:$N,0,MATCH($A$1,[2]Jan26A!$A$7:$N$7,0))),0)</f>
        <v>0</v>
      </c>
      <c r="C100" s="84">
        <f>IFERROR(SUMIF([2]Feb26A!$A:$A,$A100,INDEX([2]Feb26A!$A:$N,0,MATCH($A$1,[2]Feb26A!$A$7:$N$7,0))),0)</f>
        <v>0</v>
      </c>
      <c r="D100" s="84">
        <f>IFERROR(SUMIF([2]Mar26A!$A:$A,$A100,INDEX([2]Mar26A!$A:$N,0,MATCH($A$1,[2]Mar26A!$A$7:$N$7,0))),0)</f>
        <v>0</v>
      </c>
      <c r="E100" s="84">
        <f>IFERROR(SUMIF([2]Apr26A!$A:$A,$A100,INDEX([2]Apr26A!$A:$N,0,MATCH($A$1,[2]Apr26A!$A$7:$N$7,0))),0)</f>
        <v>0</v>
      </c>
      <c r="F100" s="84">
        <f>IFERROR(SUMIF([2]May26A!$A:$A,$A100,INDEX([2]May26A!$A:$N,0,MATCH($A$1,[2]May26A!$A$7:$N$7,0))),0)</f>
        <v>0</v>
      </c>
      <c r="G100" s="84">
        <f>IFERROR(SUMIF([2]Jun26A!$A:$A,$A100,INDEX([2]Jun26A!$A:$N,0,MATCH($A$1,[2]Jun26A!$A$7:$N$7,0))),0)</f>
        <v>0</v>
      </c>
      <c r="H100" s="84">
        <f>IFERROR(SUMIF([2]Jul26A!$A:$A,$A100,INDEX([2]Jul26A!$A:$N,0,MATCH($A$1,[2]Jul26A!$A$7:$N$7,0))),0)</f>
        <v>0</v>
      </c>
      <c r="I100" s="84">
        <f>IFERROR(SUMIF([2]Aug26A!$A:$A,$A100,INDEX([2]Aug26A!$A:$N,0,MATCH($A$1,[2]Aug26A!$A$7:$N$7,0))),0)</f>
        <v>0</v>
      </c>
      <c r="J100" s="117">
        <v>0</v>
      </c>
      <c r="K100" s="117">
        <v>0</v>
      </c>
      <c r="L100" s="117">
        <v>0</v>
      </c>
      <c r="M100" s="117">
        <v>0</v>
      </c>
      <c r="N100" s="84">
        <f t="shared" si="58"/>
        <v>0</v>
      </c>
      <c r="O100" s="105">
        <f t="shared" si="59"/>
        <v>0</v>
      </c>
      <c r="P100" s="84"/>
      <c r="Q100" s="84"/>
      <c r="R100" s="106" t="s">
        <v>99</v>
      </c>
      <c r="S100" s="107">
        <v>0</v>
      </c>
      <c r="T100" s="108">
        <v>0.05</v>
      </c>
      <c r="U100" s="104">
        <f t="shared" si="67"/>
        <v>0</v>
      </c>
      <c r="V100" s="104">
        <f t="shared" si="67"/>
        <v>0</v>
      </c>
      <c r="W100" s="104">
        <f t="shared" si="67"/>
        <v>0</v>
      </c>
      <c r="X100" s="104">
        <f t="shared" si="67"/>
        <v>0</v>
      </c>
      <c r="Y100" s="104">
        <f t="shared" si="67"/>
        <v>0</v>
      </c>
      <c r="Z100" s="104">
        <f t="shared" si="67"/>
        <v>0</v>
      </c>
      <c r="AA100" s="104">
        <f t="shared" si="67"/>
        <v>0</v>
      </c>
      <c r="AB100" s="104">
        <f t="shared" si="67"/>
        <v>0</v>
      </c>
      <c r="AC100" s="104">
        <f t="shared" si="67"/>
        <v>0</v>
      </c>
      <c r="AD100" s="104">
        <f t="shared" si="67"/>
        <v>0</v>
      </c>
      <c r="AE100" s="104">
        <f t="shared" si="67"/>
        <v>0</v>
      </c>
      <c r="AF100" s="104">
        <f t="shared" si="67"/>
        <v>0</v>
      </c>
      <c r="AG100" s="84">
        <f t="shared" si="61"/>
        <v>0</v>
      </c>
      <c r="AH100" s="105" t="str">
        <f t="shared" si="62"/>
        <v/>
      </c>
      <c r="AJ100" s="84">
        <f t="shared" si="63"/>
        <v>0</v>
      </c>
    </row>
    <row r="101" spans="1:36" x14ac:dyDescent="0.3">
      <c r="A101" s="113" t="s">
        <v>187</v>
      </c>
      <c r="B101" s="84">
        <f>IFERROR(SUMIF([2]Jan26A!$A:$A,$A101,INDEX([2]Jan26A!$A:$N,0,MATCH($A$1,[2]Jan26A!$A$7:$N$7,0))),0)</f>
        <v>2546.6999999999998</v>
      </c>
      <c r="C101" s="84">
        <f>IFERROR(SUMIF([2]Feb26A!$A:$A,$A101,INDEX([2]Feb26A!$A:$N,0,MATCH($A$1,[2]Feb26A!$A$7:$N$7,0))),0)</f>
        <v>1667.4</v>
      </c>
      <c r="D101" s="84">
        <f>IFERROR(SUMIF([2]Mar26A!$A:$A,$A101,INDEX([2]Mar26A!$A:$N,0,MATCH($A$1,[2]Mar26A!$A$7:$N$7,0))),0)</f>
        <v>2505.7399999999998</v>
      </c>
      <c r="E101" s="84">
        <f>IFERROR(SUMIF([2]Apr26A!$A:$A,$A101,INDEX([2]Apr26A!$A:$N,0,MATCH($A$1,[2]Apr26A!$A$7:$N$7,0))),0)</f>
        <v>2170.39</v>
      </c>
      <c r="F101" s="84">
        <f>IFERROR(SUMIF([2]May26A!$A:$A,$A101,INDEX([2]May26A!$A:$N,0,MATCH($A$1,[2]May26A!$A$7:$N$7,0))),0)</f>
        <v>2114.52</v>
      </c>
      <c r="G101" s="84">
        <f>IFERROR(SUMIF([2]Jun26A!$A:$A,$A101,INDEX([2]Jun26A!$A:$N,0,MATCH($A$1,[2]Jun26A!$A$7:$N$7,0))),0)</f>
        <v>2730.36</v>
      </c>
      <c r="H101" s="84">
        <f>IFERROR(SUMIF([2]Jul26A!$A:$A,$A101,INDEX([2]Jul26A!$A:$N,0,MATCH($A$1,[2]Jul26A!$A$7:$N$7,0))),0)</f>
        <v>2114.5100000000002</v>
      </c>
      <c r="I101" s="84">
        <f>IFERROR(SUMIF([2]Aug26A!$A:$A,$A101,INDEX([2]Aug26A!$A:$N,0,MATCH($A$1,[2]Aug26A!$A$7:$N$7,0))),0)</f>
        <v>0</v>
      </c>
      <c r="J101" s="117">
        <v>2200</v>
      </c>
      <c r="K101" s="117">
        <v>2200</v>
      </c>
      <c r="L101" s="117">
        <v>2200</v>
      </c>
      <c r="M101" s="117">
        <v>2200</v>
      </c>
      <c r="N101" s="84">
        <f t="shared" si="58"/>
        <v>24649.620000000003</v>
      </c>
      <c r="O101" s="105">
        <f t="shared" si="59"/>
        <v>3.3202883531204476E-3</v>
      </c>
      <c r="P101" s="84"/>
      <c r="Q101" s="84"/>
      <c r="R101" s="106" t="s">
        <v>99</v>
      </c>
      <c r="S101" s="107">
        <v>0</v>
      </c>
      <c r="T101" s="108">
        <v>0.05</v>
      </c>
      <c r="U101" s="104">
        <f t="shared" si="67"/>
        <v>0</v>
      </c>
      <c r="V101" s="104">
        <f t="shared" si="67"/>
        <v>0</v>
      </c>
      <c r="W101" s="104">
        <f t="shared" si="67"/>
        <v>0</v>
      </c>
      <c r="X101" s="104">
        <f t="shared" si="67"/>
        <v>0</v>
      </c>
      <c r="Y101" s="104">
        <f t="shared" si="67"/>
        <v>0</v>
      </c>
      <c r="Z101" s="104">
        <f t="shared" si="67"/>
        <v>0</v>
      </c>
      <c r="AA101" s="104">
        <f t="shared" si="67"/>
        <v>0</v>
      </c>
      <c r="AB101" s="104">
        <f t="shared" si="67"/>
        <v>0</v>
      </c>
      <c r="AC101" s="104">
        <f t="shared" si="67"/>
        <v>0</v>
      </c>
      <c r="AD101" s="104">
        <f t="shared" si="67"/>
        <v>0</v>
      </c>
      <c r="AE101" s="104">
        <f t="shared" si="67"/>
        <v>0</v>
      </c>
      <c r="AF101" s="104">
        <f t="shared" si="67"/>
        <v>0</v>
      </c>
      <c r="AG101" s="84">
        <f t="shared" si="61"/>
        <v>0</v>
      </c>
      <c r="AH101" s="105" t="str">
        <f t="shared" si="62"/>
        <v/>
      </c>
      <c r="AJ101" s="84">
        <f t="shared" si="63"/>
        <v>24649.620000000003</v>
      </c>
    </row>
    <row r="102" spans="1:36" x14ac:dyDescent="0.3">
      <c r="A102" s="113" t="s">
        <v>188</v>
      </c>
      <c r="B102" s="84">
        <f>IFERROR(SUMIF([2]Jan26A!$A:$A,$A102,INDEX([2]Jan26A!$A:$N,0,MATCH($A$1,[2]Jan26A!$A$7:$N$7,0))),0)</f>
        <v>0</v>
      </c>
      <c r="C102" s="84">
        <f>IFERROR(SUMIF([2]Feb26A!$A:$A,$A102,INDEX([2]Feb26A!$A:$N,0,MATCH($A$1,[2]Feb26A!$A$7:$N$7,0))),0)</f>
        <v>0</v>
      </c>
      <c r="D102" s="84">
        <f>IFERROR(SUMIF([2]Mar26A!$A:$A,$A102,INDEX([2]Mar26A!$A:$N,0,MATCH($A$1,[2]Mar26A!$A$7:$N$7,0))),0)</f>
        <v>0</v>
      </c>
      <c r="E102" s="84">
        <f>IFERROR(SUMIF([2]Apr26A!$A:$A,$A102,INDEX([2]Apr26A!$A:$N,0,MATCH($A$1,[2]Apr26A!$A$7:$N$7,0))),0)</f>
        <v>0</v>
      </c>
      <c r="F102" s="84">
        <f>IFERROR(SUMIF([2]May26A!$A:$A,$A102,INDEX([2]May26A!$A:$N,0,MATCH($A$1,[2]May26A!$A$7:$N$7,0))),0)</f>
        <v>21.59</v>
      </c>
      <c r="G102" s="84">
        <f>IFERROR(SUMIF([2]Jun26A!$A:$A,$A102,INDEX([2]Jun26A!$A:$N,0,MATCH($A$1,[2]Jun26A!$A$7:$N$7,0))),0)</f>
        <v>0</v>
      </c>
      <c r="H102" s="84">
        <f>IFERROR(SUMIF([2]Jul26A!$A:$A,$A102,INDEX([2]Jul26A!$A:$N,0,MATCH($A$1,[2]Jul26A!$A$7:$N$7,0))),0)</f>
        <v>0</v>
      </c>
      <c r="I102" s="84">
        <f>IFERROR(SUMIF([2]Aug26A!$A:$A,$A102,INDEX([2]Aug26A!$A:$N,0,MATCH($A$1,[2]Aug26A!$A$7:$N$7,0))),0)</f>
        <v>0</v>
      </c>
      <c r="J102" s="117">
        <v>0</v>
      </c>
      <c r="K102" s="117">
        <v>0</v>
      </c>
      <c r="L102" s="117">
        <v>0</v>
      </c>
      <c r="M102" s="117">
        <v>0</v>
      </c>
      <c r="N102" s="84">
        <f t="shared" si="58"/>
        <v>21.59</v>
      </c>
      <c r="O102" s="105">
        <f t="shared" si="59"/>
        <v>2.9081594581932887E-6</v>
      </c>
      <c r="P102" s="84"/>
      <c r="Q102" s="84"/>
      <c r="R102" s="106" t="s">
        <v>99</v>
      </c>
      <c r="S102" s="107">
        <v>0</v>
      </c>
      <c r="T102" s="108">
        <v>0.05</v>
      </c>
      <c r="U102" s="104">
        <f t="shared" si="67"/>
        <v>0</v>
      </c>
      <c r="V102" s="104">
        <f t="shared" si="67"/>
        <v>0</v>
      </c>
      <c r="W102" s="104">
        <f t="shared" si="67"/>
        <v>0</v>
      </c>
      <c r="X102" s="104">
        <f t="shared" si="67"/>
        <v>0</v>
      </c>
      <c r="Y102" s="104">
        <f t="shared" si="67"/>
        <v>0</v>
      </c>
      <c r="Z102" s="104">
        <f t="shared" si="67"/>
        <v>0</v>
      </c>
      <c r="AA102" s="104">
        <f t="shared" si="67"/>
        <v>0</v>
      </c>
      <c r="AB102" s="104">
        <f t="shared" si="67"/>
        <v>0</v>
      </c>
      <c r="AC102" s="104">
        <f t="shared" si="67"/>
        <v>0</v>
      </c>
      <c r="AD102" s="104">
        <f t="shared" si="67"/>
        <v>0</v>
      </c>
      <c r="AE102" s="104">
        <f t="shared" si="67"/>
        <v>0</v>
      </c>
      <c r="AF102" s="104">
        <f t="shared" si="67"/>
        <v>0</v>
      </c>
      <c r="AG102" s="84">
        <f t="shared" si="61"/>
        <v>0</v>
      </c>
      <c r="AH102" s="105" t="str">
        <f t="shared" si="62"/>
        <v/>
      </c>
      <c r="AJ102" s="84">
        <f t="shared" si="63"/>
        <v>21.59</v>
      </c>
    </row>
    <row r="103" spans="1:36" x14ac:dyDescent="0.3">
      <c r="A103" s="113" t="s">
        <v>189</v>
      </c>
      <c r="B103" s="84">
        <f>IFERROR(SUMIF([2]Jan26A!$A:$A,$A103,INDEX([2]Jan26A!$A:$N,0,MATCH($A$1,[2]Jan26A!$A$7:$N$7,0))),0)</f>
        <v>0</v>
      </c>
      <c r="C103" s="84">
        <f>IFERROR(SUMIF([2]Feb26A!$A:$A,$A103,INDEX([2]Feb26A!$A:$N,0,MATCH($A$1,[2]Feb26A!$A$7:$N$7,0))),0)</f>
        <v>0</v>
      </c>
      <c r="D103" s="84">
        <f>IFERROR(SUMIF([2]Mar26A!$A:$A,$A103,INDEX([2]Mar26A!$A:$N,0,MATCH($A$1,[2]Mar26A!$A$7:$N$7,0))),0)</f>
        <v>0</v>
      </c>
      <c r="E103" s="84">
        <f>IFERROR(SUMIF([2]Apr26A!$A:$A,$A103,INDEX([2]Apr26A!$A:$N,0,MATCH($A$1,[2]Apr26A!$A$7:$N$7,0))),0)</f>
        <v>0</v>
      </c>
      <c r="F103" s="84">
        <f>IFERROR(SUMIF([2]May26A!$A:$A,$A103,INDEX([2]May26A!$A:$N,0,MATCH($A$1,[2]May26A!$A$7:$N$7,0))),0)</f>
        <v>0</v>
      </c>
      <c r="G103" s="84">
        <f>IFERROR(SUMIF([2]Jun26A!$A:$A,$A103,INDEX([2]Jun26A!$A:$N,0,MATCH($A$1,[2]Jun26A!$A$7:$N$7,0))),0)</f>
        <v>0</v>
      </c>
      <c r="H103" s="84">
        <f>IFERROR(SUMIF([2]Jul26A!$A:$A,$A103,INDEX([2]Jul26A!$A:$N,0,MATCH($A$1,[2]Jul26A!$A$7:$N$7,0))),0)</f>
        <v>0</v>
      </c>
      <c r="I103" s="84">
        <f>IFERROR(SUMIF([2]Aug26A!$A:$A,$A103,INDEX([2]Aug26A!$A:$N,0,MATCH($A$1,[2]Aug26A!$A$7:$N$7,0))),0)</f>
        <v>0</v>
      </c>
      <c r="J103" s="117">
        <v>0</v>
      </c>
      <c r="K103" s="117">
        <v>0</v>
      </c>
      <c r="L103" s="117">
        <v>0</v>
      </c>
      <c r="M103" s="117">
        <v>0</v>
      </c>
      <c r="N103" s="84">
        <f t="shared" si="58"/>
        <v>0</v>
      </c>
      <c r="O103" s="105">
        <f t="shared" si="59"/>
        <v>0</v>
      </c>
      <c r="P103" s="84"/>
      <c r="Q103" s="84"/>
      <c r="R103" s="106" t="s">
        <v>99</v>
      </c>
      <c r="S103" s="107">
        <v>0</v>
      </c>
      <c r="T103" s="108">
        <v>0.05</v>
      </c>
      <c r="U103" s="104">
        <f t="shared" si="67"/>
        <v>0</v>
      </c>
      <c r="V103" s="104">
        <f t="shared" si="67"/>
        <v>0</v>
      </c>
      <c r="W103" s="104">
        <f t="shared" si="67"/>
        <v>0</v>
      </c>
      <c r="X103" s="104">
        <f t="shared" si="67"/>
        <v>0</v>
      </c>
      <c r="Y103" s="104">
        <f t="shared" si="67"/>
        <v>0</v>
      </c>
      <c r="Z103" s="104">
        <f t="shared" si="67"/>
        <v>0</v>
      </c>
      <c r="AA103" s="104">
        <f t="shared" si="67"/>
        <v>0</v>
      </c>
      <c r="AB103" s="104">
        <f t="shared" si="67"/>
        <v>0</v>
      </c>
      <c r="AC103" s="104">
        <f t="shared" si="67"/>
        <v>0</v>
      </c>
      <c r="AD103" s="104">
        <f t="shared" si="67"/>
        <v>0</v>
      </c>
      <c r="AE103" s="104">
        <f t="shared" si="67"/>
        <v>0</v>
      </c>
      <c r="AF103" s="104">
        <f t="shared" si="67"/>
        <v>0</v>
      </c>
      <c r="AG103" s="84">
        <f t="shared" si="61"/>
        <v>0</v>
      </c>
      <c r="AH103" s="105" t="str">
        <f t="shared" si="62"/>
        <v/>
      </c>
      <c r="AJ103" s="84">
        <f t="shared" si="63"/>
        <v>0</v>
      </c>
    </row>
    <row r="104" spans="1:36" x14ac:dyDescent="0.3">
      <c r="A104" s="113" t="s">
        <v>190</v>
      </c>
      <c r="B104" s="84">
        <f>IFERROR(SUMIF([2]Jan26A!$A:$A,$A104,INDEX([2]Jan26A!$A:$N,0,MATCH($A$1,[2]Jan26A!$A$7:$N$7,0))),0)</f>
        <v>0</v>
      </c>
      <c r="C104" s="84">
        <f>IFERROR(SUMIF([2]Feb26A!$A:$A,$A104,INDEX([2]Feb26A!$A:$N,0,MATCH($A$1,[2]Feb26A!$A$7:$N$7,0))),0)</f>
        <v>0</v>
      </c>
      <c r="D104" s="84">
        <f>IFERROR(SUMIF([2]Mar26A!$A:$A,$A104,INDEX([2]Mar26A!$A:$N,0,MATCH($A$1,[2]Mar26A!$A$7:$N$7,0))),0)</f>
        <v>0</v>
      </c>
      <c r="E104" s="84">
        <f>IFERROR(SUMIF([2]Apr26A!$A:$A,$A104,INDEX([2]Apr26A!$A:$N,0,MATCH($A$1,[2]Apr26A!$A$7:$N$7,0))),0)</f>
        <v>2070.0500000000002</v>
      </c>
      <c r="F104" s="84">
        <f>IFERROR(SUMIF([2]May26A!$A:$A,$A104,INDEX([2]May26A!$A:$N,0,MATCH($A$1,[2]May26A!$A$7:$N$7,0))),0)</f>
        <v>0</v>
      </c>
      <c r="G104" s="84">
        <f>IFERROR(SUMIF([2]Jun26A!$A:$A,$A104,INDEX([2]Jun26A!$A:$N,0,MATCH($A$1,[2]Jun26A!$A$7:$N$7,0))),0)</f>
        <v>78.84</v>
      </c>
      <c r="H104" s="84">
        <f>IFERROR(SUMIF([2]Jul26A!$A:$A,$A104,INDEX([2]Jul26A!$A:$N,0,MATCH($A$1,[2]Jul26A!$A$7:$N$7,0))),0)</f>
        <v>0</v>
      </c>
      <c r="I104" s="84">
        <f>IFERROR(SUMIF([2]Aug26A!$A:$A,$A104,INDEX([2]Aug26A!$A:$N,0,MATCH($A$1,[2]Aug26A!$A$7:$N$7,0))),0)</f>
        <v>0</v>
      </c>
      <c r="J104" s="117">
        <v>0</v>
      </c>
      <c r="K104" s="117">
        <v>0</v>
      </c>
      <c r="L104" s="117">
        <v>0</v>
      </c>
      <c r="M104" s="117">
        <v>0</v>
      </c>
      <c r="N104" s="84">
        <f t="shared" si="58"/>
        <v>2148.8900000000003</v>
      </c>
      <c r="O104" s="105">
        <f t="shared" si="59"/>
        <v>2.8945413516058257E-4</v>
      </c>
      <c r="P104" s="84"/>
      <c r="Q104" s="84"/>
      <c r="R104" s="106" t="s">
        <v>99</v>
      </c>
      <c r="S104" s="107">
        <v>0</v>
      </c>
      <c r="T104" s="108">
        <v>0.05</v>
      </c>
      <c r="U104" s="104">
        <f t="shared" si="67"/>
        <v>0</v>
      </c>
      <c r="V104" s="104">
        <f t="shared" si="67"/>
        <v>0</v>
      </c>
      <c r="W104" s="104">
        <f t="shared" si="67"/>
        <v>0</v>
      </c>
      <c r="X104" s="104">
        <f t="shared" si="67"/>
        <v>0</v>
      </c>
      <c r="Y104" s="104">
        <f t="shared" si="67"/>
        <v>0</v>
      </c>
      <c r="Z104" s="104">
        <f t="shared" si="67"/>
        <v>0</v>
      </c>
      <c r="AA104" s="104">
        <f t="shared" si="67"/>
        <v>0</v>
      </c>
      <c r="AB104" s="104">
        <f t="shared" si="67"/>
        <v>0</v>
      </c>
      <c r="AC104" s="104">
        <f t="shared" si="67"/>
        <v>0</v>
      </c>
      <c r="AD104" s="104">
        <f t="shared" si="67"/>
        <v>0</v>
      </c>
      <c r="AE104" s="104">
        <f t="shared" si="67"/>
        <v>0</v>
      </c>
      <c r="AF104" s="104">
        <f t="shared" si="67"/>
        <v>0</v>
      </c>
      <c r="AG104" s="84">
        <f t="shared" si="61"/>
        <v>0</v>
      </c>
      <c r="AH104" s="105" t="str">
        <f t="shared" si="62"/>
        <v/>
      </c>
      <c r="AJ104" s="84">
        <f t="shared" si="63"/>
        <v>2148.8900000000003</v>
      </c>
    </row>
    <row r="105" spans="1:36" x14ac:dyDescent="0.3">
      <c r="A105" s="113" t="s">
        <v>191</v>
      </c>
      <c r="B105" s="84">
        <f>IFERROR(SUMIF([2]Jan26A!$A:$A,$A105,INDEX([2]Jan26A!$A:$N,0,MATCH($A$1,[2]Jan26A!$A$7:$N$7,0))),0)</f>
        <v>0</v>
      </c>
      <c r="C105" s="84">
        <f>IFERROR(SUMIF([2]Feb26A!$A:$A,$A105,INDEX([2]Feb26A!$A:$N,0,MATCH($A$1,[2]Feb26A!$A$7:$N$7,0))),0)</f>
        <v>0</v>
      </c>
      <c r="D105" s="84">
        <f>IFERROR(SUMIF([2]Mar26A!$A:$A,$A105,INDEX([2]Mar26A!$A:$N,0,MATCH($A$1,[2]Mar26A!$A$7:$N$7,0))),0)</f>
        <v>0</v>
      </c>
      <c r="E105" s="84">
        <f>IFERROR(SUMIF([2]Apr26A!$A:$A,$A105,INDEX([2]Apr26A!$A:$N,0,MATCH($A$1,[2]Apr26A!$A$7:$N$7,0))),0)</f>
        <v>0</v>
      </c>
      <c r="F105" s="84">
        <f>IFERROR(SUMIF([2]May26A!$A:$A,$A105,INDEX([2]May26A!$A:$N,0,MATCH($A$1,[2]May26A!$A$7:$N$7,0))),0)</f>
        <v>0</v>
      </c>
      <c r="G105" s="84">
        <f>IFERROR(SUMIF([2]Jun26A!$A:$A,$A105,INDEX([2]Jun26A!$A:$N,0,MATCH($A$1,[2]Jun26A!$A$7:$N$7,0))),0)</f>
        <v>0</v>
      </c>
      <c r="H105" s="84">
        <f>IFERROR(SUMIF([2]Jul26A!$A:$A,$A105,INDEX([2]Jul26A!$A:$N,0,MATCH($A$1,[2]Jul26A!$A$7:$N$7,0))),0)</f>
        <v>0</v>
      </c>
      <c r="I105" s="84">
        <f>IFERROR(SUMIF([2]Aug26A!$A:$A,$A105,INDEX([2]Aug26A!$A:$N,0,MATCH($A$1,[2]Aug26A!$A$7:$N$7,0))),0)</f>
        <v>0</v>
      </c>
      <c r="J105" s="117">
        <v>0</v>
      </c>
      <c r="K105" s="117">
        <v>0</v>
      </c>
      <c r="L105" s="117">
        <v>0</v>
      </c>
      <c r="M105" s="117">
        <v>0</v>
      </c>
      <c r="N105" s="84">
        <f t="shared" si="58"/>
        <v>0</v>
      </c>
      <c r="O105" s="105">
        <f t="shared" si="59"/>
        <v>0</v>
      </c>
      <c r="P105" s="84"/>
      <c r="Q105" s="84"/>
      <c r="R105" s="106" t="s">
        <v>99</v>
      </c>
      <c r="S105" s="107">
        <v>0</v>
      </c>
      <c r="T105" s="108">
        <v>0.05</v>
      </c>
      <c r="U105" s="104">
        <f t="shared" si="67"/>
        <v>0</v>
      </c>
      <c r="V105" s="104">
        <f t="shared" si="67"/>
        <v>0</v>
      </c>
      <c r="W105" s="104">
        <f t="shared" si="67"/>
        <v>0</v>
      </c>
      <c r="X105" s="104">
        <f t="shared" si="67"/>
        <v>0</v>
      </c>
      <c r="Y105" s="104">
        <f t="shared" si="67"/>
        <v>0</v>
      </c>
      <c r="Z105" s="104">
        <f t="shared" si="67"/>
        <v>0</v>
      </c>
      <c r="AA105" s="104">
        <f t="shared" si="67"/>
        <v>0</v>
      </c>
      <c r="AB105" s="104">
        <f t="shared" si="67"/>
        <v>0</v>
      </c>
      <c r="AC105" s="104">
        <f t="shared" si="67"/>
        <v>0</v>
      </c>
      <c r="AD105" s="104">
        <f t="shared" si="67"/>
        <v>0</v>
      </c>
      <c r="AE105" s="104">
        <f t="shared" si="67"/>
        <v>0</v>
      </c>
      <c r="AF105" s="104">
        <f t="shared" si="67"/>
        <v>0</v>
      </c>
      <c r="AG105" s="84">
        <f t="shared" si="61"/>
        <v>0</v>
      </c>
      <c r="AH105" s="105" t="str">
        <f t="shared" si="62"/>
        <v/>
      </c>
      <c r="AJ105" s="84">
        <f t="shared" si="63"/>
        <v>0</v>
      </c>
    </row>
    <row r="106" spans="1:36" x14ac:dyDescent="0.3">
      <c r="A106" s="113" t="s">
        <v>192</v>
      </c>
      <c r="B106" s="84">
        <f>IFERROR(SUMIF([2]Jan26A!$A:$A,$A106,INDEX([2]Jan26A!$A:$N,0,MATCH($A$1,[2]Jan26A!$A$7:$N$7,0))),0)</f>
        <v>0</v>
      </c>
      <c r="C106" s="84">
        <f>IFERROR(SUMIF([2]Feb26A!$A:$A,$A106,INDEX([2]Feb26A!$A:$N,0,MATCH($A$1,[2]Feb26A!$A$7:$N$7,0))),0)</f>
        <v>0</v>
      </c>
      <c r="D106" s="84">
        <f>IFERROR(SUMIF([2]Mar26A!$A:$A,$A106,INDEX([2]Mar26A!$A:$N,0,MATCH($A$1,[2]Mar26A!$A$7:$N$7,0))),0)</f>
        <v>0</v>
      </c>
      <c r="E106" s="84">
        <f>IFERROR(SUMIF([2]Apr26A!$A:$A,$A106,INDEX([2]Apr26A!$A:$N,0,MATCH($A$1,[2]Apr26A!$A$7:$N$7,0))),0)</f>
        <v>0</v>
      </c>
      <c r="F106" s="84">
        <f>IFERROR(SUMIF([2]May26A!$A:$A,$A106,INDEX([2]May26A!$A:$N,0,MATCH($A$1,[2]May26A!$A$7:$N$7,0))),0)</f>
        <v>0</v>
      </c>
      <c r="G106" s="84">
        <f>IFERROR(SUMIF([2]Jun26A!$A:$A,$A106,INDEX([2]Jun26A!$A:$N,0,MATCH($A$1,[2]Jun26A!$A$7:$N$7,0))),0)</f>
        <v>0</v>
      </c>
      <c r="H106" s="84">
        <f>IFERROR(SUMIF([2]Jul26A!$A:$A,$A106,INDEX([2]Jul26A!$A:$N,0,MATCH($A$1,[2]Jul26A!$A$7:$N$7,0))),0)</f>
        <v>0</v>
      </c>
      <c r="I106" s="84">
        <f>IFERROR(SUMIF([2]Aug26A!$A:$A,$A106,INDEX([2]Aug26A!$A:$N,0,MATCH($A$1,[2]Aug26A!$A$7:$N$7,0))),0)</f>
        <v>0</v>
      </c>
      <c r="J106" s="117">
        <v>0</v>
      </c>
      <c r="K106" s="117">
        <v>0</v>
      </c>
      <c r="L106" s="117">
        <v>0</v>
      </c>
      <c r="M106" s="117">
        <v>0</v>
      </c>
      <c r="N106" s="84">
        <f t="shared" si="58"/>
        <v>0</v>
      </c>
      <c r="O106" s="105">
        <f t="shared" si="59"/>
        <v>0</v>
      </c>
      <c r="P106" s="84"/>
      <c r="Q106" s="84"/>
      <c r="R106" s="106" t="s">
        <v>99</v>
      </c>
      <c r="S106" s="107">
        <v>0</v>
      </c>
      <c r="T106" s="108">
        <v>0.05</v>
      </c>
      <c r="U106" s="104">
        <f t="shared" si="67"/>
        <v>0</v>
      </c>
      <c r="V106" s="104">
        <f t="shared" si="67"/>
        <v>0</v>
      </c>
      <c r="W106" s="104">
        <f t="shared" si="67"/>
        <v>0</v>
      </c>
      <c r="X106" s="104">
        <f t="shared" si="67"/>
        <v>0</v>
      </c>
      <c r="Y106" s="104">
        <f t="shared" si="67"/>
        <v>0</v>
      </c>
      <c r="Z106" s="104">
        <f t="shared" si="67"/>
        <v>0</v>
      </c>
      <c r="AA106" s="104">
        <f t="shared" si="67"/>
        <v>0</v>
      </c>
      <c r="AB106" s="104">
        <f t="shared" si="67"/>
        <v>0</v>
      </c>
      <c r="AC106" s="104">
        <f t="shared" si="67"/>
        <v>0</v>
      </c>
      <c r="AD106" s="104">
        <f t="shared" si="67"/>
        <v>0</v>
      </c>
      <c r="AE106" s="104">
        <f t="shared" si="67"/>
        <v>0</v>
      </c>
      <c r="AF106" s="104">
        <f t="shared" si="67"/>
        <v>0</v>
      </c>
      <c r="AG106" s="84">
        <f t="shared" si="61"/>
        <v>0</v>
      </c>
      <c r="AH106" s="105" t="str">
        <f t="shared" si="62"/>
        <v/>
      </c>
      <c r="AJ106" s="84">
        <f t="shared" si="63"/>
        <v>0</v>
      </c>
    </row>
    <row r="107" spans="1:36" x14ac:dyDescent="0.3">
      <c r="A107" s="113" t="s">
        <v>193</v>
      </c>
      <c r="B107" s="84">
        <f>IFERROR(SUMIF([2]Jan26A!$A:$A,$A107,INDEX([2]Jan26A!$A:$N,0,MATCH($A$1,[2]Jan26A!$A$7:$N$7,0))),0)</f>
        <v>4830.25</v>
      </c>
      <c r="C107" s="84">
        <f>IFERROR(SUMIF([2]Feb26A!$A:$A,$A107,INDEX([2]Feb26A!$A:$N,0,MATCH($A$1,[2]Feb26A!$A$7:$N$7,0))),0)</f>
        <v>5363.35</v>
      </c>
      <c r="D107" s="84">
        <f>IFERROR(SUMIF([2]Mar26A!$A:$A,$A107,INDEX([2]Mar26A!$A:$N,0,MATCH($A$1,[2]Mar26A!$A$7:$N$7,0))),0)</f>
        <v>4304.45</v>
      </c>
      <c r="E107" s="84">
        <f>IFERROR(SUMIF([2]Apr26A!$A:$A,$A107,INDEX([2]Apr26A!$A:$N,0,MATCH($A$1,[2]Apr26A!$A$7:$N$7,0))),0)</f>
        <v>4118.95</v>
      </c>
      <c r="F107" s="84">
        <f>IFERROR(SUMIF([2]May26A!$A:$A,$A107,INDEX([2]May26A!$A:$N,0,MATCH($A$1,[2]May26A!$A$7:$N$7,0))),0)</f>
        <v>5555.2</v>
      </c>
      <c r="G107" s="84">
        <f>IFERROR(SUMIF([2]Jun26A!$A:$A,$A107,INDEX([2]Jun26A!$A:$N,0,MATCH($A$1,[2]Jun26A!$A$7:$N$7,0))),0)</f>
        <v>4469.1099999999997</v>
      </c>
      <c r="H107" s="84">
        <f>IFERROR(SUMIF([2]Jul26A!$A:$A,$A107,INDEX([2]Jul26A!$A:$N,0,MATCH($A$1,[2]Jul26A!$A$7:$N$7,0))),0)</f>
        <v>0</v>
      </c>
      <c r="I107" s="84">
        <f>IFERROR(SUMIF([2]Aug26A!$A:$A,$A107,INDEX([2]Aug26A!$A:$N,0,MATCH($A$1,[2]Aug26A!$A$7:$N$7,0))),0)</f>
        <v>7531.48</v>
      </c>
      <c r="J107" s="117">
        <v>4800</v>
      </c>
      <c r="K107" s="117">
        <v>4800</v>
      </c>
      <c r="L107" s="117">
        <v>4800</v>
      </c>
      <c r="M107" s="117">
        <v>4800</v>
      </c>
      <c r="N107" s="84">
        <f t="shared" si="58"/>
        <v>55372.79</v>
      </c>
      <c r="O107" s="105">
        <f t="shared" si="59"/>
        <v>7.458680081753162E-3</v>
      </c>
      <c r="P107" s="84"/>
      <c r="Q107" s="84"/>
      <c r="R107" s="106" t="s">
        <v>99</v>
      </c>
      <c r="S107" s="107">
        <v>0</v>
      </c>
      <c r="T107" s="108">
        <v>0.05</v>
      </c>
      <c r="U107" s="104">
        <f t="shared" si="67"/>
        <v>0</v>
      </c>
      <c r="V107" s="104">
        <f t="shared" si="67"/>
        <v>0</v>
      </c>
      <c r="W107" s="104">
        <f t="shared" si="67"/>
        <v>0</v>
      </c>
      <c r="X107" s="104">
        <f t="shared" si="67"/>
        <v>0</v>
      </c>
      <c r="Y107" s="104">
        <f t="shared" si="67"/>
        <v>0</v>
      </c>
      <c r="Z107" s="104">
        <f t="shared" si="67"/>
        <v>0</v>
      </c>
      <c r="AA107" s="104">
        <f t="shared" si="67"/>
        <v>0</v>
      </c>
      <c r="AB107" s="104">
        <f t="shared" si="67"/>
        <v>0</v>
      </c>
      <c r="AC107" s="104">
        <f t="shared" si="67"/>
        <v>0</v>
      </c>
      <c r="AD107" s="104">
        <f t="shared" si="67"/>
        <v>0</v>
      </c>
      <c r="AE107" s="104">
        <f t="shared" si="67"/>
        <v>0</v>
      </c>
      <c r="AF107" s="104">
        <f t="shared" si="67"/>
        <v>0</v>
      </c>
      <c r="AG107" s="84">
        <f t="shared" si="61"/>
        <v>0</v>
      </c>
      <c r="AH107" s="105" t="str">
        <f t="shared" si="62"/>
        <v/>
      </c>
      <c r="AJ107" s="84">
        <f t="shared" si="63"/>
        <v>55372.79</v>
      </c>
    </row>
    <row r="108" spans="1:36" x14ac:dyDescent="0.3">
      <c r="A108" s="113" t="s">
        <v>194</v>
      </c>
      <c r="B108" s="84">
        <f>IFERROR(SUMIF([2]Jan26A!$A:$A,$A108,INDEX([2]Jan26A!$A:$N,0,MATCH($A$1,[2]Jan26A!$A$7:$N$7,0))),0)</f>
        <v>0</v>
      </c>
      <c r="C108" s="84">
        <f>IFERROR(SUMIF([2]Feb26A!$A:$A,$A108,INDEX([2]Feb26A!$A:$N,0,MATCH($A$1,[2]Feb26A!$A$7:$N$7,0))),0)</f>
        <v>0</v>
      </c>
      <c r="D108" s="84">
        <f>IFERROR(SUMIF([2]Mar26A!$A:$A,$A108,INDEX([2]Mar26A!$A:$N,0,MATCH($A$1,[2]Mar26A!$A$7:$N$7,0))),0)</f>
        <v>0</v>
      </c>
      <c r="E108" s="84">
        <f>IFERROR(SUMIF([2]Apr26A!$A:$A,$A108,INDEX([2]Apr26A!$A:$N,0,MATCH($A$1,[2]Apr26A!$A$7:$N$7,0))),0)</f>
        <v>0</v>
      </c>
      <c r="F108" s="84">
        <f>IFERROR(SUMIF([2]May26A!$A:$A,$A108,INDEX([2]May26A!$A:$N,0,MATCH($A$1,[2]May26A!$A$7:$N$7,0))),0)</f>
        <v>0</v>
      </c>
      <c r="G108" s="84">
        <f>IFERROR(SUMIF([2]Jun26A!$A:$A,$A108,INDEX([2]Jun26A!$A:$N,0,MATCH($A$1,[2]Jun26A!$A$7:$N$7,0))),0)</f>
        <v>0</v>
      </c>
      <c r="H108" s="84">
        <f>IFERROR(SUMIF([2]Jul26A!$A:$A,$A108,INDEX([2]Jul26A!$A:$N,0,MATCH($A$1,[2]Jul26A!$A$7:$N$7,0))),0)</f>
        <v>0</v>
      </c>
      <c r="I108" s="84">
        <f>IFERROR(SUMIF([2]Aug26A!$A:$A,$A108,INDEX([2]Aug26A!$A:$N,0,MATCH($A$1,[2]Aug26A!$A$7:$N$7,0))),0)</f>
        <v>0</v>
      </c>
      <c r="J108" s="117">
        <v>0</v>
      </c>
      <c r="K108" s="117">
        <v>0</v>
      </c>
      <c r="L108" s="117">
        <v>0</v>
      </c>
      <c r="M108" s="117">
        <v>0</v>
      </c>
      <c r="N108" s="84">
        <f t="shared" si="58"/>
        <v>0</v>
      </c>
      <c r="O108" s="105">
        <f t="shared" si="59"/>
        <v>0</v>
      </c>
      <c r="P108" s="84"/>
      <c r="Q108" s="84"/>
      <c r="R108" s="106" t="s">
        <v>99</v>
      </c>
      <c r="S108" s="107">
        <v>0</v>
      </c>
      <c r="T108" s="108">
        <v>0.05</v>
      </c>
      <c r="U108" s="104">
        <f t="shared" ref="U108:AF115" si="68">IF($R108="Manual","",IFERROR(IF($R108="YOY Growth",$N108*(1+$T108)/12,$S108/12),""))</f>
        <v>0</v>
      </c>
      <c r="V108" s="104">
        <f t="shared" si="68"/>
        <v>0</v>
      </c>
      <c r="W108" s="104">
        <f t="shared" si="68"/>
        <v>0</v>
      </c>
      <c r="X108" s="104">
        <f t="shared" si="68"/>
        <v>0</v>
      </c>
      <c r="Y108" s="104">
        <f t="shared" si="68"/>
        <v>0</v>
      </c>
      <c r="Z108" s="104">
        <f t="shared" si="68"/>
        <v>0</v>
      </c>
      <c r="AA108" s="104">
        <f t="shared" si="68"/>
        <v>0</v>
      </c>
      <c r="AB108" s="104">
        <f t="shared" si="68"/>
        <v>0</v>
      </c>
      <c r="AC108" s="104">
        <f t="shared" si="68"/>
        <v>0</v>
      </c>
      <c r="AD108" s="104">
        <f t="shared" si="68"/>
        <v>0</v>
      </c>
      <c r="AE108" s="104">
        <f t="shared" si="68"/>
        <v>0</v>
      </c>
      <c r="AF108" s="104">
        <f t="shared" si="68"/>
        <v>0</v>
      </c>
      <c r="AG108" s="84">
        <f t="shared" si="61"/>
        <v>0</v>
      </c>
      <c r="AH108" s="105" t="str">
        <f t="shared" si="62"/>
        <v/>
      </c>
      <c r="AJ108" s="84">
        <f t="shared" si="63"/>
        <v>0</v>
      </c>
    </row>
    <row r="109" spans="1:36" x14ac:dyDescent="0.3">
      <c r="A109" s="113" t="s">
        <v>195</v>
      </c>
      <c r="B109" s="84">
        <f>IFERROR(SUMIF([2]Jan26A!$A:$A,$A109,INDEX([2]Jan26A!$A:$N,0,MATCH($A$1,[2]Jan26A!$A$7:$N$7,0))),0)</f>
        <v>0</v>
      </c>
      <c r="C109" s="84">
        <f>IFERROR(SUMIF([2]Feb26A!$A:$A,$A109,INDEX([2]Feb26A!$A:$N,0,MATCH($A$1,[2]Feb26A!$A$7:$N$7,0))),0)</f>
        <v>0</v>
      </c>
      <c r="D109" s="84">
        <f>IFERROR(SUMIF([2]Mar26A!$A:$A,$A109,INDEX([2]Mar26A!$A:$N,0,MATCH($A$1,[2]Mar26A!$A$7:$N$7,0))),0)</f>
        <v>0</v>
      </c>
      <c r="E109" s="84">
        <f>IFERROR(SUMIF([2]Apr26A!$A:$A,$A109,INDEX([2]Apr26A!$A:$N,0,MATCH($A$1,[2]Apr26A!$A$7:$N$7,0))),0)</f>
        <v>0</v>
      </c>
      <c r="F109" s="84">
        <f>IFERROR(SUMIF([2]May26A!$A:$A,$A109,INDEX([2]May26A!$A:$N,0,MATCH($A$1,[2]May26A!$A$7:$N$7,0))),0)</f>
        <v>0</v>
      </c>
      <c r="G109" s="84">
        <f>IFERROR(SUMIF([2]Jun26A!$A:$A,$A109,INDEX([2]Jun26A!$A:$N,0,MATCH($A$1,[2]Jun26A!$A$7:$N$7,0))),0)</f>
        <v>0</v>
      </c>
      <c r="H109" s="84">
        <f>IFERROR(SUMIF([2]Jul26A!$A:$A,$A109,INDEX([2]Jul26A!$A:$N,0,MATCH($A$1,[2]Jul26A!$A$7:$N$7,0))),0)</f>
        <v>0</v>
      </c>
      <c r="I109" s="84">
        <f>IFERROR(SUMIF([2]Aug26A!$A:$A,$A109,INDEX([2]Aug26A!$A:$N,0,MATCH($A$1,[2]Aug26A!$A$7:$N$7,0))),0)</f>
        <v>0</v>
      </c>
      <c r="J109" s="117">
        <v>0</v>
      </c>
      <c r="K109" s="117">
        <v>0</v>
      </c>
      <c r="L109" s="117">
        <v>0</v>
      </c>
      <c r="M109" s="117">
        <v>0</v>
      </c>
      <c r="N109" s="84">
        <f t="shared" si="58"/>
        <v>0</v>
      </c>
      <c r="O109" s="105">
        <f t="shared" si="59"/>
        <v>0</v>
      </c>
      <c r="P109" s="84"/>
      <c r="Q109" s="84"/>
      <c r="R109" s="106" t="s">
        <v>99</v>
      </c>
      <c r="S109" s="107">
        <v>0</v>
      </c>
      <c r="T109" s="108">
        <v>0.05</v>
      </c>
      <c r="U109" s="104">
        <f t="shared" si="68"/>
        <v>0</v>
      </c>
      <c r="V109" s="104">
        <f t="shared" si="68"/>
        <v>0</v>
      </c>
      <c r="W109" s="104">
        <f t="shared" si="68"/>
        <v>0</v>
      </c>
      <c r="X109" s="104">
        <f t="shared" si="68"/>
        <v>0</v>
      </c>
      <c r="Y109" s="104">
        <f t="shared" si="68"/>
        <v>0</v>
      </c>
      <c r="Z109" s="104">
        <f t="shared" si="68"/>
        <v>0</v>
      </c>
      <c r="AA109" s="104">
        <f t="shared" si="68"/>
        <v>0</v>
      </c>
      <c r="AB109" s="104">
        <f t="shared" si="68"/>
        <v>0</v>
      </c>
      <c r="AC109" s="104">
        <f t="shared" si="68"/>
        <v>0</v>
      </c>
      <c r="AD109" s="104">
        <f t="shared" si="68"/>
        <v>0</v>
      </c>
      <c r="AE109" s="104">
        <f t="shared" si="68"/>
        <v>0</v>
      </c>
      <c r="AF109" s="104">
        <f t="shared" si="68"/>
        <v>0</v>
      </c>
      <c r="AG109" s="84">
        <f t="shared" si="61"/>
        <v>0</v>
      </c>
      <c r="AH109" s="105" t="str">
        <f t="shared" si="62"/>
        <v/>
      </c>
      <c r="AJ109" s="84">
        <f t="shared" si="63"/>
        <v>0</v>
      </c>
    </row>
    <row r="110" spans="1:36" x14ac:dyDescent="0.3">
      <c r="A110" s="113" t="s">
        <v>196</v>
      </c>
      <c r="B110" s="84">
        <f>IFERROR(SUMIF([2]Jan26A!$A:$A,$A110,INDEX([2]Jan26A!$A:$N,0,MATCH($A$1,[2]Jan26A!$A$7:$N$7,0))),0)</f>
        <v>0</v>
      </c>
      <c r="C110" s="84">
        <f>IFERROR(SUMIF([2]Feb26A!$A:$A,$A110,INDEX([2]Feb26A!$A:$N,0,MATCH($A$1,[2]Feb26A!$A$7:$N$7,0))),0)</f>
        <v>0</v>
      </c>
      <c r="D110" s="84">
        <f>IFERROR(SUMIF([2]Mar26A!$A:$A,$A110,INDEX([2]Mar26A!$A:$N,0,MATCH($A$1,[2]Mar26A!$A$7:$N$7,0))),0)</f>
        <v>0</v>
      </c>
      <c r="E110" s="84">
        <f>IFERROR(SUMIF([2]Apr26A!$A:$A,$A110,INDEX([2]Apr26A!$A:$N,0,MATCH($A$1,[2]Apr26A!$A$7:$N$7,0))),0)</f>
        <v>0</v>
      </c>
      <c r="F110" s="84">
        <f>IFERROR(SUMIF([2]May26A!$A:$A,$A110,INDEX([2]May26A!$A:$N,0,MATCH($A$1,[2]May26A!$A$7:$N$7,0))),0)</f>
        <v>0</v>
      </c>
      <c r="G110" s="84">
        <f>IFERROR(SUMIF([2]Jun26A!$A:$A,$A110,INDEX([2]Jun26A!$A:$N,0,MATCH($A$1,[2]Jun26A!$A$7:$N$7,0))),0)</f>
        <v>0</v>
      </c>
      <c r="H110" s="84">
        <f>IFERROR(SUMIF([2]Jul26A!$A:$A,$A110,INDEX([2]Jul26A!$A:$N,0,MATCH($A$1,[2]Jul26A!$A$7:$N$7,0))),0)</f>
        <v>0</v>
      </c>
      <c r="I110" s="84">
        <f>IFERROR(SUMIF([2]Aug26A!$A:$A,$A110,INDEX([2]Aug26A!$A:$N,0,MATCH($A$1,[2]Aug26A!$A$7:$N$7,0))),0)</f>
        <v>0</v>
      </c>
      <c r="J110" s="117">
        <v>0</v>
      </c>
      <c r="K110" s="117">
        <v>0</v>
      </c>
      <c r="L110" s="117">
        <v>0</v>
      </c>
      <c r="M110" s="117">
        <v>0</v>
      </c>
      <c r="N110" s="84">
        <f t="shared" si="58"/>
        <v>0</v>
      </c>
      <c r="O110" s="105">
        <f t="shared" si="59"/>
        <v>0</v>
      </c>
      <c r="P110" s="84"/>
      <c r="Q110" s="84"/>
      <c r="R110" s="106" t="s">
        <v>99</v>
      </c>
      <c r="S110" s="107">
        <v>0</v>
      </c>
      <c r="T110" s="108">
        <v>0.05</v>
      </c>
      <c r="U110" s="104">
        <f t="shared" si="68"/>
        <v>0</v>
      </c>
      <c r="V110" s="104">
        <f t="shared" si="68"/>
        <v>0</v>
      </c>
      <c r="W110" s="104">
        <f t="shared" si="68"/>
        <v>0</v>
      </c>
      <c r="X110" s="104">
        <f t="shared" si="68"/>
        <v>0</v>
      </c>
      <c r="Y110" s="104">
        <f t="shared" si="68"/>
        <v>0</v>
      </c>
      <c r="Z110" s="104">
        <f t="shared" si="68"/>
        <v>0</v>
      </c>
      <c r="AA110" s="104">
        <f t="shared" si="68"/>
        <v>0</v>
      </c>
      <c r="AB110" s="104">
        <f t="shared" si="68"/>
        <v>0</v>
      </c>
      <c r="AC110" s="104">
        <f t="shared" si="68"/>
        <v>0</v>
      </c>
      <c r="AD110" s="104">
        <f t="shared" si="68"/>
        <v>0</v>
      </c>
      <c r="AE110" s="104">
        <f t="shared" si="68"/>
        <v>0</v>
      </c>
      <c r="AF110" s="104">
        <f t="shared" si="68"/>
        <v>0</v>
      </c>
      <c r="AG110" s="84">
        <f t="shared" si="61"/>
        <v>0</v>
      </c>
      <c r="AH110" s="105" t="str">
        <f t="shared" si="62"/>
        <v/>
      </c>
      <c r="AJ110" s="84">
        <f t="shared" si="63"/>
        <v>0</v>
      </c>
    </row>
    <row r="111" spans="1:36" x14ac:dyDescent="0.3">
      <c r="A111" s="113" t="s">
        <v>197</v>
      </c>
      <c r="B111" s="84">
        <f>IFERROR(SUMIF([2]Jan26A!$A:$A,$A111,INDEX([2]Jan26A!$A:$N,0,MATCH($A$1,[2]Jan26A!$A$7:$N$7,0))),0)</f>
        <v>0</v>
      </c>
      <c r="C111" s="84">
        <f>IFERROR(SUMIF([2]Feb26A!$A:$A,$A111,INDEX([2]Feb26A!$A:$N,0,MATCH($A$1,[2]Feb26A!$A$7:$N$7,0))),0)</f>
        <v>0</v>
      </c>
      <c r="D111" s="84">
        <f>IFERROR(SUMIF([2]Mar26A!$A:$A,$A111,INDEX([2]Mar26A!$A:$N,0,MATCH($A$1,[2]Mar26A!$A$7:$N$7,0))),0)</f>
        <v>0</v>
      </c>
      <c r="E111" s="84">
        <f>IFERROR(SUMIF([2]Apr26A!$A:$A,$A111,INDEX([2]Apr26A!$A:$N,0,MATCH($A$1,[2]Apr26A!$A$7:$N$7,0))),0)</f>
        <v>0</v>
      </c>
      <c r="F111" s="84">
        <f>IFERROR(SUMIF([2]May26A!$A:$A,$A111,INDEX([2]May26A!$A:$N,0,MATCH($A$1,[2]May26A!$A$7:$N$7,0))),0)</f>
        <v>0</v>
      </c>
      <c r="G111" s="84">
        <f>IFERROR(SUMIF([2]Jun26A!$A:$A,$A111,INDEX([2]Jun26A!$A:$N,0,MATCH($A$1,[2]Jun26A!$A$7:$N$7,0))),0)</f>
        <v>0</v>
      </c>
      <c r="H111" s="84">
        <f>IFERROR(SUMIF([2]Jul26A!$A:$A,$A111,INDEX([2]Jul26A!$A:$N,0,MATCH($A$1,[2]Jul26A!$A$7:$N$7,0))),0)</f>
        <v>0</v>
      </c>
      <c r="I111" s="84">
        <f>IFERROR(SUMIF([2]Aug26A!$A:$A,$A111,INDEX([2]Aug26A!$A:$N,0,MATCH($A$1,[2]Aug26A!$A$7:$N$7,0))),0)</f>
        <v>0</v>
      </c>
      <c r="J111" s="117">
        <v>0</v>
      </c>
      <c r="K111" s="117">
        <v>0</v>
      </c>
      <c r="L111" s="117">
        <v>0</v>
      </c>
      <c r="M111" s="117">
        <v>0</v>
      </c>
      <c r="N111" s="84">
        <f t="shared" si="58"/>
        <v>0</v>
      </c>
      <c r="O111" s="105">
        <f t="shared" si="59"/>
        <v>0</v>
      </c>
      <c r="P111" s="84"/>
      <c r="Q111" s="84"/>
      <c r="R111" s="106" t="s">
        <v>99</v>
      </c>
      <c r="S111" s="107">
        <v>0</v>
      </c>
      <c r="T111" s="108">
        <v>0.05</v>
      </c>
      <c r="U111" s="104">
        <f t="shared" si="68"/>
        <v>0</v>
      </c>
      <c r="V111" s="104">
        <f t="shared" si="68"/>
        <v>0</v>
      </c>
      <c r="W111" s="104">
        <f t="shared" si="68"/>
        <v>0</v>
      </c>
      <c r="X111" s="104">
        <f t="shared" si="68"/>
        <v>0</v>
      </c>
      <c r="Y111" s="104">
        <f t="shared" si="68"/>
        <v>0</v>
      </c>
      <c r="Z111" s="104">
        <f t="shared" si="68"/>
        <v>0</v>
      </c>
      <c r="AA111" s="104">
        <f t="shared" si="68"/>
        <v>0</v>
      </c>
      <c r="AB111" s="104">
        <f t="shared" si="68"/>
        <v>0</v>
      </c>
      <c r="AC111" s="104">
        <f t="shared" si="68"/>
        <v>0</v>
      </c>
      <c r="AD111" s="104">
        <f t="shared" si="68"/>
        <v>0</v>
      </c>
      <c r="AE111" s="104">
        <f t="shared" si="68"/>
        <v>0</v>
      </c>
      <c r="AF111" s="104">
        <f t="shared" si="68"/>
        <v>0</v>
      </c>
      <c r="AG111" s="84">
        <f t="shared" si="61"/>
        <v>0</v>
      </c>
      <c r="AH111" s="105" t="str">
        <f t="shared" si="62"/>
        <v/>
      </c>
      <c r="AJ111" s="84">
        <f t="shared" si="63"/>
        <v>0</v>
      </c>
    </row>
    <row r="112" spans="1:36" x14ac:dyDescent="0.3">
      <c r="A112" s="113" t="s">
        <v>198</v>
      </c>
      <c r="B112" s="84">
        <f>IFERROR(SUMIF([2]Jan26A!$A:$A,$A112,INDEX([2]Jan26A!$A:$N,0,MATCH($A$1,[2]Jan26A!$A$7:$N$7,0))),0)</f>
        <v>0</v>
      </c>
      <c r="C112" s="84">
        <f>IFERROR(SUMIF([2]Feb26A!$A:$A,$A112,INDEX([2]Feb26A!$A:$N,0,MATCH($A$1,[2]Feb26A!$A$7:$N$7,0))),0)</f>
        <v>0</v>
      </c>
      <c r="D112" s="84">
        <f>IFERROR(SUMIF([2]Mar26A!$A:$A,$A112,INDEX([2]Mar26A!$A:$N,0,MATCH($A$1,[2]Mar26A!$A$7:$N$7,0))),0)</f>
        <v>0</v>
      </c>
      <c r="E112" s="84">
        <f>IFERROR(SUMIF([2]Apr26A!$A:$A,$A112,INDEX([2]Apr26A!$A:$N,0,MATCH($A$1,[2]Apr26A!$A$7:$N$7,0))),0)</f>
        <v>0</v>
      </c>
      <c r="F112" s="84">
        <f>IFERROR(SUMIF([2]May26A!$A:$A,$A112,INDEX([2]May26A!$A:$N,0,MATCH($A$1,[2]May26A!$A$7:$N$7,0))),0)</f>
        <v>0</v>
      </c>
      <c r="G112" s="84">
        <f>IFERROR(SUMIF([2]Jun26A!$A:$A,$A112,INDEX([2]Jun26A!$A:$N,0,MATCH($A$1,[2]Jun26A!$A$7:$N$7,0))),0)</f>
        <v>0</v>
      </c>
      <c r="H112" s="84">
        <f>IFERROR(SUMIF([2]Jul26A!$A:$A,$A112,INDEX([2]Jul26A!$A:$N,0,MATCH($A$1,[2]Jul26A!$A$7:$N$7,0))),0)</f>
        <v>0</v>
      </c>
      <c r="I112" s="84">
        <f>IFERROR(SUMIF([2]Aug26A!$A:$A,$A112,INDEX([2]Aug26A!$A:$N,0,MATCH($A$1,[2]Aug26A!$A$7:$N$7,0))),0)</f>
        <v>0</v>
      </c>
      <c r="J112" s="117">
        <v>0</v>
      </c>
      <c r="K112" s="117">
        <v>0</v>
      </c>
      <c r="L112" s="117">
        <v>0</v>
      </c>
      <c r="M112" s="117">
        <v>0</v>
      </c>
      <c r="N112" s="84">
        <f t="shared" si="58"/>
        <v>0</v>
      </c>
      <c r="O112" s="105">
        <f t="shared" si="59"/>
        <v>0</v>
      </c>
      <c r="P112" s="84"/>
      <c r="Q112" s="84"/>
      <c r="R112" s="106" t="s">
        <v>99</v>
      </c>
      <c r="S112" s="107">
        <v>0</v>
      </c>
      <c r="T112" s="108">
        <v>0.05</v>
      </c>
      <c r="U112" s="104">
        <f t="shared" si="68"/>
        <v>0</v>
      </c>
      <c r="V112" s="104">
        <f t="shared" si="68"/>
        <v>0</v>
      </c>
      <c r="W112" s="104">
        <f t="shared" si="68"/>
        <v>0</v>
      </c>
      <c r="X112" s="104">
        <f t="shared" si="68"/>
        <v>0</v>
      </c>
      <c r="Y112" s="104">
        <f t="shared" si="68"/>
        <v>0</v>
      </c>
      <c r="Z112" s="104">
        <f t="shared" si="68"/>
        <v>0</v>
      </c>
      <c r="AA112" s="104">
        <f t="shared" si="68"/>
        <v>0</v>
      </c>
      <c r="AB112" s="104">
        <f t="shared" si="68"/>
        <v>0</v>
      </c>
      <c r="AC112" s="104">
        <f t="shared" si="68"/>
        <v>0</v>
      </c>
      <c r="AD112" s="104">
        <f t="shared" si="68"/>
        <v>0</v>
      </c>
      <c r="AE112" s="104">
        <f t="shared" si="68"/>
        <v>0</v>
      </c>
      <c r="AF112" s="104">
        <f t="shared" si="68"/>
        <v>0</v>
      </c>
      <c r="AG112" s="84">
        <f t="shared" si="61"/>
        <v>0</v>
      </c>
      <c r="AH112" s="105" t="str">
        <f t="shared" si="62"/>
        <v/>
      </c>
      <c r="AJ112" s="84">
        <f t="shared" si="63"/>
        <v>0</v>
      </c>
    </row>
    <row r="113" spans="1:36" x14ac:dyDescent="0.3">
      <c r="A113" s="113" t="s">
        <v>199</v>
      </c>
      <c r="B113" s="84">
        <f>IFERROR(SUMIF([2]Jan26A!$A:$A,$A113,INDEX([2]Jan26A!$A:$N,0,MATCH($A$1,[2]Jan26A!$A$7:$N$7,0))),0)</f>
        <v>0</v>
      </c>
      <c r="C113" s="84">
        <f>IFERROR(SUMIF([2]Feb26A!$A:$A,$A113,INDEX([2]Feb26A!$A:$N,0,MATCH($A$1,[2]Feb26A!$A$7:$N$7,0))),0)</f>
        <v>0</v>
      </c>
      <c r="D113" s="84">
        <f>IFERROR(SUMIF([2]Mar26A!$A:$A,$A113,INDEX([2]Mar26A!$A:$N,0,MATCH($A$1,[2]Mar26A!$A$7:$N$7,0))),0)</f>
        <v>0</v>
      </c>
      <c r="E113" s="84">
        <f>IFERROR(SUMIF([2]Apr26A!$A:$A,$A113,INDEX([2]Apr26A!$A:$N,0,MATCH($A$1,[2]Apr26A!$A$7:$N$7,0))),0)</f>
        <v>0</v>
      </c>
      <c r="F113" s="84">
        <f>IFERROR(SUMIF([2]May26A!$A:$A,$A113,INDEX([2]May26A!$A:$N,0,MATCH($A$1,[2]May26A!$A$7:$N$7,0))),0)</f>
        <v>0</v>
      </c>
      <c r="G113" s="84">
        <f>IFERROR(SUMIF([2]Jun26A!$A:$A,$A113,INDEX([2]Jun26A!$A:$N,0,MATCH($A$1,[2]Jun26A!$A$7:$N$7,0))),0)</f>
        <v>0</v>
      </c>
      <c r="H113" s="84">
        <f>IFERROR(SUMIF([2]Jul26A!$A:$A,$A113,INDEX([2]Jul26A!$A:$N,0,MATCH($A$1,[2]Jul26A!$A$7:$N$7,0))),0)</f>
        <v>0</v>
      </c>
      <c r="I113" s="84">
        <f>IFERROR(SUMIF([2]Aug26A!$A:$A,$A113,INDEX([2]Aug26A!$A:$N,0,MATCH($A$1,[2]Aug26A!$A$7:$N$7,0))),0)</f>
        <v>0</v>
      </c>
      <c r="J113" s="117">
        <v>0</v>
      </c>
      <c r="K113" s="117">
        <v>0</v>
      </c>
      <c r="L113" s="117">
        <v>0</v>
      </c>
      <c r="M113" s="117">
        <v>0</v>
      </c>
      <c r="N113" s="84">
        <f t="shared" si="58"/>
        <v>0</v>
      </c>
      <c r="O113" s="105">
        <f t="shared" si="59"/>
        <v>0</v>
      </c>
      <c r="P113" s="84"/>
      <c r="Q113" s="84"/>
      <c r="R113" s="106" t="s">
        <v>99</v>
      </c>
      <c r="S113" s="107">
        <v>0</v>
      </c>
      <c r="T113" s="108">
        <v>0.05</v>
      </c>
      <c r="U113" s="104">
        <f t="shared" si="68"/>
        <v>0</v>
      </c>
      <c r="V113" s="104">
        <f t="shared" si="68"/>
        <v>0</v>
      </c>
      <c r="W113" s="104">
        <f t="shared" si="68"/>
        <v>0</v>
      </c>
      <c r="X113" s="104">
        <f t="shared" si="68"/>
        <v>0</v>
      </c>
      <c r="Y113" s="104">
        <f t="shared" si="68"/>
        <v>0</v>
      </c>
      <c r="Z113" s="104">
        <f t="shared" si="68"/>
        <v>0</v>
      </c>
      <c r="AA113" s="104">
        <f t="shared" si="68"/>
        <v>0</v>
      </c>
      <c r="AB113" s="104">
        <f t="shared" si="68"/>
        <v>0</v>
      </c>
      <c r="AC113" s="104">
        <f t="shared" si="68"/>
        <v>0</v>
      </c>
      <c r="AD113" s="104">
        <f t="shared" si="68"/>
        <v>0</v>
      </c>
      <c r="AE113" s="104">
        <f t="shared" si="68"/>
        <v>0</v>
      </c>
      <c r="AF113" s="104">
        <f t="shared" si="68"/>
        <v>0</v>
      </c>
      <c r="AG113" s="84">
        <f t="shared" si="61"/>
        <v>0</v>
      </c>
      <c r="AH113" s="105" t="str">
        <f t="shared" si="62"/>
        <v/>
      </c>
      <c r="AJ113" s="84">
        <f t="shared" si="63"/>
        <v>0</v>
      </c>
    </row>
    <row r="114" spans="1:36" x14ac:dyDescent="0.3">
      <c r="A114" s="113" t="s">
        <v>200</v>
      </c>
      <c r="B114" s="84">
        <f>IFERROR(SUMIF([2]Jan26A!$A:$A,$A114,INDEX([2]Jan26A!$A:$N,0,MATCH($A$1,[2]Jan26A!$A$7:$N$7,0))),0)</f>
        <v>0</v>
      </c>
      <c r="C114" s="84">
        <f>IFERROR(SUMIF([2]Feb26A!$A:$A,$A114,INDEX([2]Feb26A!$A:$N,0,MATCH($A$1,[2]Feb26A!$A$7:$N$7,0))),0)</f>
        <v>0</v>
      </c>
      <c r="D114" s="84">
        <f>IFERROR(SUMIF([2]Mar26A!$A:$A,$A114,INDEX([2]Mar26A!$A:$N,0,MATCH($A$1,[2]Mar26A!$A$7:$N$7,0))),0)</f>
        <v>0</v>
      </c>
      <c r="E114" s="84">
        <f>IFERROR(SUMIF([2]Apr26A!$A:$A,$A114,INDEX([2]Apr26A!$A:$N,0,MATCH($A$1,[2]Apr26A!$A$7:$N$7,0))),0)</f>
        <v>0</v>
      </c>
      <c r="F114" s="84">
        <f>IFERROR(SUMIF([2]May26A!$A:$A,$A114,INDEX([2]May26A!$A:$N,0,MATCH($A$1,[2]May26A!$A$7:$N$7,0))),0)</f>
        <v>0</v>
      </c>
      <c r="G114" s="84">
        <f>IFERROR(SUMIF([2]Jun26A!$A:$A,$A114,INDEX([2]Jun26A!$A:$N,0,MATCH($A$1,[2]Jun26A!$A$7:$N$7,0))),0)</f>
        <v>0</v>
      </c>
      <c r="H114" s="84">
        <f>IFERROR(SUMIF([2]Jul26A!$A:$A,$A114,INDEX([2]Jul26A!$A:$N,0,MATCH($A$1,[2]Jul26A!$A$7:$N$7,0))),0)</f>
        <v>0</v>
      </c>
      <c r="I114" s="84">
        <f>IFERROR(SUMIF([2]Aug26A!$A:$A,$A114,INDEX([2]Aug26A!$A:$N,0,MATCH($A$1,[2]Aug26A!$A$7:$N$7,0))),0)</f>
        <v>0</v>
      </c>
      <c r="J114" s="117">
        <v>0</v>
      </c>
      <c r="K114" s="117">
        <v>0</v>
      </c>
      <c r="L114" s="117">
        <v>0</v>
      </c>
      <c r="M114" s="117">
        <v>0</v>
      </c>
      <c r="N114" s="84">
        <f t="shared" si="58"/>
        <v>0</v>
      </c>
      <c r="O114" s="105">
        <f t="shared" si="59"/>
        <v>0</v>
      </c>
      <c r="P114" s="84"/>
      <c r="Q114" s="84"/>
      <c r="R114" s="106" t="s">
        <v>99</v>
      </c>
      <c r="S114" s="107">
        <v>0</v>
      </c>
      <c r="T114" s="108">
        <v>0.05</v>
      </c>
      <c r="U114" s="104">
        <f t="shared" si="68"/>
        <v>0</v>
      </c>
      <c r="V114" s="104">
        <f t="shared" si="68"/>
        <v>0</v>
      </c>
      <c r="W114" s="104">
        <f t="shared" si="68"/>
        <v>0</v>
      </c>
      <c r="X114" s="104">
        <f t="shared" si="68"/>
        <v>0</v>
      </c>
      <c r="Y114" s="104">
        <f t="shared" si="68"/>
        <v>0</v>
      </c>
      <c r="Z114" s="104">
        <f t="shared" si="68"/>
        <v>0</v>
      </c>
      <c r="AA114" s="104">
        <f t="shared" si="68"/>
        <v>0</v>
      </c>
      <c r="AB114" s="104">
        <f t="shared" si="68"/>
        <v>0</v>
      </c>
      <c r="AC114" s="104">
        <f t="shared" si="68"/>
        <v>0</v>
      </c>
      <c r="AD114" s="104">
        <f t="shared" si="68"/>
        <v>0</v>
      </c>
      <c r="AE114" s="104">
        <f t="shared" si="68"/>
        <v>0</v>
      </c>
      <c r="AF114" s="104">
        <f t="shared" si="68"/>
        <v>0</v>
      </c>
      <c r="AG114" s="84">
        <f t="shared" si="61"/>
        <v>0</v>
      </c>
      <c r="AH114" s="105" t="str">
        <f t="shared" si="62"/>
        <v/>
      </c>
      <c r="AJ114" s="84">
        <f t="shared" si="63"/>
        <v>0</v>
      </c>
    </row>
    <row r="115" spans="1:36" x14ac:dyDescent="0.3">
      <c r="A115" s="113" t="s">
        <v>201</v>
      </c>
      <c r="B115" s="84">
        <f>IFERROR(SUMIF([2]Jan26A!$A:$A,$A115,INDEX([2]Jan26A!$A:$N,0,MATCH($A$1,[2]Jan26A!$A$7:$N$7,0))),0)</f>
        <v>0</v>
      </c>
      <c r="C115" s="84">
        <f>IFERROR(SUMIF([2]Feb26A!$A:$A,$A115,INDEX([2]Feb26A!$A:$N,0,MATCH($A$1,[2]Feb26A!$A$7:$N$7,0))),0)</f>
        <v>0</v>
      </c>
      <c r="D115" s="84">
        <f>IFERROR(SUMIF([2]Mar26A!$A:$A,$A115,INDEX([2]Mar26A!$A:$N,0,MATCH($A$1,[2]Mar26A!$A$7:$N$7,0))),0)</f>
        <v>0</v>
      </c>
      <c r="E115" s="84">
        <f>IFERROR(SUMIF([2]Apr26A!$A:$A,$A115,INDEX([2]Apr26A!$A:$N,0,MATCH($A$1,[2]Apr26A!$A$7:$N$7,0))),0)</f>
        <v>0</v>
      </c>
      <c r="F115" s="84">
        <f>IFERROR(SUMIF([2]May26A!$A:$A,$A115,INDEX([2]May26A!$A:$N,0,MATCH($A$1,[2]May26A!$A$7:$N$7,0))),0)</f>
        <v>0</v>
      </c>
      <c r="G115" s="84">
        <f>IFERROR(SUMIF([2]Jun26A!$A:$A,$A115,INDEX([2]Jun26A!$A:$N,0,MATCH($A$1,[2]Jun26A!$A$7:$N$7,0))),0)</f>
        <v>0</v>
      </c>
      <c r="H115" s="84">
        <f>IFERROR(SUMIF([2]Jul26A!$A:$A,$A115,INDEX([2]Jul26A!$A:$N,0,MATCH($A$1,[2]Jul26A!$A$7:$N$7,0))),0)</f>
        <v>0</v>
      </c>
      <c r="I115" s="84">
        <f>IFERROR(SUMIF([2]Aug26A!$A:$A,$A115,INDEX([2]Aug26A!$A:$N,0,MATCH($A$1,[2]Aug26A!$A$7:$N$7,0))),0)</f>
        <v>0</v>
      </c>
      <c r="J115" s="117">
        <v>0</v>
      </c>
      <c r="K115" s="117">
        <v>0</v>
      </c>
      <c r="L115" s="117">
        <v>0</v>
      </c>
      <c r="M115" s="117">
        <v>0</v>
      </c>
      <c r="N115" s="84">
        <f t="shared" si="58"/>
        <v>0</v>
      </c>
      <c r="O115" s="105">
        <f t="shared" si="59"/>
        <v>0</v>
      </c>
      <c r="P115" s="84"/>
      <c r="Q115" s="84"/>
      <c r="R115" s="106" t="s">
        <v>99</v>
      </c>
      <c r="S115" s="107">
        <v>0</v>
      </c>
      <c r="T115" s="108">
        <v>0.05</v>
      </c>
      <c r="U115" s="104">
        <f t="shared" si="68"/>
        <v>0</v>
      </c>
      <c r="V115" s="104">
        <f t="shared" si="68"/>
        <v>0</v>
      </c>
      <c r="W115" s="104">
        <f t="shared" si="68"/>
        <v>0</v>
      </c>
      <c r="X115" s="104">
        <f t="shared" si="68"/>
        <v>0</v>
      </c>
      <c r="Y115" s="104">
        <f t="shared" si="68"/>
        <v>0</v>
      </c>
      <c r="Z115" s="104">
        <f t="shared" si="68"/>
        <v>0</v>
      </c>
      <c r="AA115" s="104">
        <f t="shared" si="68"/>
        <v>0</v>
      </c>
      <c r="AB115" s="104">
        <f t="shared" si="68"/>
        <v>0</v>
      </c>
      <c r="AC115" s="104">
        <f t="shared" si="68"/>
        <v>0</v>
      </c>
      <c r="AD115" s="104">
        <f t="shared" si="68"/>
        <v>0</v>
      </c>
      <c r="AE115" s="104">
        <f t="shared" si="68"/>
        <v>0</v>
      </c>
      <c r="AF115" s="104">
        <f t="shared" si="68"/>
        <v>0</v>
      </c>
      <c r="AG115" s="84">
        <f t="shared" si="61"/>
        <v>0</v>
      </c>
      <c r="AH115" s="105" t="str">
        <f t="shared" si="62"/>
        <v/>
      </c>
      <c r="AJ115" s="84">
        <f t="shared" si="63"/>
        <v>0</v>
      </c>
    </row>
    <row r="116" spans="1:36" x14ac:dyDescent="0.3">
      <c r="A116" s="114" t="s">
        <v>202</v>
      </c>
      <c r="B116" s="110">
        <f t="shared" ref="B116:M116" si="69">B73+SUM(B74:B80)+B87+SUM(B88:B115)</f>
        <v>-129450.89999999997</v>
      </c>
      <c r="C116" s="110">
        <f t="shared" si="69"/>
        <v>-157034.36000000002</v>
      </c>
      <c r="D116" s="110">
        <f t="shared" si="69"/>
        <v>10394.009999999998</v>
      </c>
      <c r="E116" s="110">
        <f t="shared" si="69"/>
        <v>19096.170000000002</v>
      </c>
      <c r="F116" s="110">
        <f t="shared" si="69"/>
        <v>18976.89</v>
      </c>
      <c r="G116" s="110">
        <f t="shared" si="69"/>
        <v>7147.53</v>
      </c>
      <c r="H116" s="110">
        <f t="shared" si="69"/>
        <v>3124.1800000000003</v>
      </c>
      <c r="I116" s="110">
        <f t="shared" si="69"/>
        <v>9049.4599999999991</v>
      </c>
      <c r="J116" s="110">
        <f t="shared" si="69"/>
        <v>641100</v>
      </c>
      <c r="K116" s="110">
        <f t="shared" si="69"/>
        <v>13100</v>
      </c>
      <c r="L116" s="110">
        <f t="shared" si="69"/>
        <v>13100</v>
      </c>
      <c r="M116" s="110">
        <f t="shared" si="69"/>
        <v>13100</v>
      </c>
      <c r="N116" s="110">
        <f t="shared" si="58"/>
        <v>461702.98</v>
      </c>
      <c r="O116" s="111">
        <f t="shared" si="59"/>
        <v>6.2191101813942877E-2</v>
      </c>
      <c r="P116" s="84"/>
      <c r="Q116" s="84"/>
      <c r="R116" s="112"/>
      <c r="S116" s="112"/>
      <c r="T116" s="112"/>
      <c r="U116" s="110">
        <f t="shared" ref="U116:AF116" si="70">U73+SUM(U74:U80)+U87+SUM(U88:U115)</f>
        <v>0</v>
      </c>
      <c r="V116" s="110">
        <f t="shared" si="70"/>
        <v>0</v>
      </c>
      <c r="W116" s="110">
        <f t="shared" si="70"/>
        <v>0</v>
      </c>
      <c r="X116" s="110">
        <f t="shared" si="70"/>
        <v>0</v>
      </c>
      <c r="Y116" s="110">
        <f t="shared" si="70"/>
        <v>0</v>
      </c>
      <c r="Z116" s="110">
        <f t="shared" si="70"/>
        <v>0</v>
      </c>
      <c r="AA116" s="110">
        <f t="shared" si="70"/>
        <v>0</v>
      </c>
      <c r="AB116" s="110">
        <f t="shared" si="70"/>
        <v>0</v>
      </c>
      <c r="AC116" s="110">
        <f t="shared" si="70"/>
        <v>0</v>
      </c>
      <c r="AD116" s="110">
        <f t="shared" si="70"/>
        <v>0</v>
      </c>
      <c r="AE116" s="110">
        <f t="shared" si="70"/>
        <v>0</v>
      </c>
      <c r="AF116" s="110">
        <f t="shared" si="70"/>
        <v>0</v>
      </c>
      <c r="AG116" s="110">
        <f t="shared" si="61"/>
        <v>0</v>
      </c>
      <c r="AH116" s="111" t="str">
        <f t="shared" si="62"/>
        <v/>
      </c>
      <c r="AJ116" s="110">
        <f t="shared" si="63"/>
        <v>461702.98</v>
      </c>
    </row>
    <row r="117" spans="1:36" x14ac:dyDescent="0.3">
      <c r="A117" s="122" t="s">
        <v>203</v>
      </c>
      <c r="B117" s="110">
        <f t="shared" ref="B117:M117" si="71">B64-B116</f>
        <v>477751.37000000005</v>
      </c>
      <c r="C117" s="110">
        <f t="shared" si="71"/>
        <v>470547.08000000007</v>
      </c>
      <c r="D117" s="110">
        <f t="shared" si="71"/>
        <v>418698.66</v>
      </c>
      <c r="E117" s="110">
        <f t="shared" si="71"/>
        <v>524738.34</v>
      </c>
      <c r="F117" s="110">
        <f t="shared" si="71"/>
        <v>299402.81999999995</v>
      </c>
      <c r="G117" s="110">
        <f t="shared" si="71"/>
        <v>263771.59999999998</v>
      </c>
      <c r="H117" s="110">
        <f t="shared" si="71"/>
        <v>461452.17</v>
      </c>
      <c r="I117" s="110">
        <f t="shared" si="71"/>
        <v>172203.55000000002</v>
      </c>
      <c r="J117" s="110">
        <f t="shared" si="71"/>
        <v>-179477.57714285725</v>
      </c>
      <c r="K117" s="110">
        <f t="shared" si="71"/>
        <v>539749.80380952382</v>
      </c>
      <c r="L117" s="110">
        <f t="shared" si="71"/>
        <v>565603.37523809518</v>
      </c>
      <c r="M117" s="110">
        <f t="shared" si="71"/>
        <v>586456.94666666666</v>
      </c>
      <c r="N117" s="110">
        <f t="shared" si="58"/>
        <v>4600898.1385714281</v>
      </c>
      <c r="O117" s="111">
        <f>IFERROR(N117/N$16,"")</f>
        <v>0.61973809346319575</v>
      </c>
      <c r="P117" s="84"/>
      <c r="Q117" s="84"/>
      <c r="R117" s="112"/>
      <c r="S117" s="112"/>
      <c r="T117" s="112"/>
      <c r="U117" s="110">
        <f t="shared" ref="U117:AF117" si="72">U64-U116</f>
        <v>-53996.687320622674</v>
      </c>
      <c r="V117" s="110">
        <f t="shared" si="72"/>
        <v>-53996.687320622674</v>
      </c>
      <c r="W117" s="110">
        <f t="shared" si="72"/>
        <v>-53996.687320622674</v>
      </c>
      <c r="X117" s="110">
        <f t="shared" si="72"/>
        <v>-53996.687320622674</v>
      </c>
      <c r="Y117" s="110">
        <f t="shared" si="72"/>
        <v>-53996.687320622674</v>
      </c>
      <c r="Z117" s="110">
        <f t="shared" si="72"/>
        <v>-53996.687320622674</v>
      </c>
      <c r="AA117" s="110">
        <f t="shared" si="72"/>
        <v>-53996.687320622674</v>
      </c>
      <c r="AB117" s="110">
        <f t="shared" si="72"/>
        <v>-53996.687320622674</v>
      </c>
      <c r="AC117" s="110">
        <f t="shared" si="72"/>
        <v>-53996.687320622674</v>
      </c>
      <c r="AD117" s="110">
        <f t="shared" si="72"/>
        <v>-55616.587940241363</v>
      </c>
      <c r="AE117" s="110">
        <f t="shared" si="72"/>
        <v>-55616.587940241363</v>
      </c>
      <c r="AF117" s="110">
        <f t="shared" si="72"/>
        <v>-55616.587940241363</v>
      </c>
      <c r="AG117" s="110">
        <f t="shared" si="61"/>
        <v>-652819.9497063281</v>
      </c>
      <c r="AH117" s="111" t="str">
        <f>IFERROR(AG117/AG$16,"")</f>
        <v/>
      </c>
      <c r="AJ117" s="110">
        <f>AG117-N117</f>
        <v>-5253718.0882777562</v>
      </c>
    </row>
    <row r="118" spans="1:36" x14ac:dyDescent="0.3">
      <c r="A118" s="100" t="s">
        <v>204</v>
      </c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105"/>
      <c r="P118" s="84"/>
      <c r="Q118" s="84"/>
      <c r="R118" s="112"/>
      <c r="S118" s="112"/>
      <c r="T118" s="112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105"/>
      <c r="AJ118" s="84"/>
    </row>
    <row r="119" spans="1:36" x14ac:dyDescent="0.3">
      <c r="A119" s="101" t="s">
        <v>205</v>
      </c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105"/>
      <c r="P119" s="84"/>
      <c r="Q119" s="84"/>
      <c r="R119" s="112"/>
      <c r="S119" s="112"/>
      <c r="T119" s="112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105"/>
      <c r="AJ119" s="84"/>
    </row>
    <row r="120" spans="1:36" x14ac:dyDescent="0.3">
      <c r="A120" s="113" t="s">
        <v>206</v>
      </c>
      <c r="B120" s="84">
        <f>IFERROR(SUMIF([2]Jan26A!$A:$A,$A120,INDEX([2]Jan26A!$A:$N,0,MATCH($A$1,[2]Jan26A!$A$7:$N$7,0))),0)</f>
        <v>0</v>
      </c>
      <c r="C120" s="84">
        <f>IFERROR(SUMIF([2]Feb26A!$A:$A,$A120,INDEX([2]Feb26A!$A:$N,0,MATCH($A$1,[2]Feb26A!$A$7:$N$7,0))),0)</f>
        <v>0</v>
      </c>
      <c r="D120" s="84">
        <f>IFERROR(SUMIF([2]Mar26A!$A:$A,$A120,INDEX([2]Mar26A!$A:$N,0,MATCH($A$1,[2]Mar26A!$A$7:$N$7,0))),0)</f>
        <v>0</v>
      </c>
      <c r="E120" s="84">
        <f>IFERROR(SUMIF([2]Apr26A!$A:$A,$A120,INDEX([2]Apr26A!$A:$N,0,MATCH($A$1,[2]Apr26A!$A$7:$N$7,0))),0)</f>
        <v>0</v>
      </c>
      <c r="F120" s="84">
        <f>IFERROR(SUMIF([2]May26A!$A:$A,$A120,INDEX([2]May26A!$A:$N,0,MATCH($A$1,[2]May26A!$A$7:$N$7,0))),0)</f>
        <v>0</v>
      </c>
      <c r="G120" s="84">
        <f>IFERROR(SUMIF([2]Jun26A!$A:$A,$A120,INDEX([2]Jun26A!$A:$N,0,MATCH($A$1,[2]Jun26A!$A$7:$N$7,0))),0)</f>
        <v>0</v>
      </c>
      <c r="H120" s="84">
        <f>IFERROR(SUMIF([2]Jul26A!$A:$A,$A120,INDEX([2]Jul26A!$A:$N,0,MATCH($A$1,[2]Jul26A!$A$7:$N$7,0))),0)</f>
        <v>0</v>
      </c>
      <c r="I120" s="84">
        <f>IFERROR(SUMIF([2]Aug26A!$A:$A,$A120,INDEX([2]Aug26A!$A:$N,0,MATCH($A$1,[2]Aug26A!$A$7:$N$7,0))),0)</f>
        <v>0</v>
      </c>
      <c r="J120" s="117">
        <v>0</v>
      </c>
      <c r="K120" s="117">
        <v>0</v>
      </c>
      <c r="L120" s="117">
        <v>0</v>
      </c>
      <c r="M120" s="117">
        <v>0</v>
      </c>
      <c r="N120" s="84">
        <f>SUM(B120:M120)</f>
        <v>0</v>
      </c>
      <c r="O120" s="105">
        <f>IFERROR(N120/N$16,"")</f>
        <v>0</v>
      </c>
      <c r="P120" s="84"/>
      <c r="Q120" s="84"/>
      <c r="R120" s="106" t="s">
        <v>99</v>
      </c>
      <c r="S120" s="107">
        <v>0</v>
      </c>
      <c r="T120" s="108">
        <v>0.05</v>
      </c>
      <c r="U120" s="104">
        <f t="shared" ref="U120:AF121" si="73">IF($R120="Manual","",IFERROR(IF($R120="YOY Growth",$N120*(1+$T120)/12,$S120/12),""))</f>
        <v>0</v>
      </c>
      <c r="V120" s="104">
        <f t="shared" si="73"/>
        <v>0</v>
      </c>
      <c r="W120" s="104">
        <f t="shared" si="73"/>
        <v>0</v>
      </c>
      <c r="X120" s="104">
        <f t="shared" si="73"/>
        <v>0</v>
      </c>
      <c r="Y120" s="104">
        <f t="shared" si="73"/>
        <v>0</v>
      </c>
      <c r="Z120" s="104">
        <f t="shared" si="73"/>
        <v>0</v>
      </c>
      <c r="AA120" s="104">
        <f t="shared" si="73"/>
        <v>0</v>
      </c>
      <c r="AB120" s="104">
        <f t="shared" si="73"/>
        <v>0</v>
      </c>
      <c r="AC120" s="104">
        <f t="shared" si="73"/>
        <v>0</v>
      </c>
      <c r="AD120" s="104">
        <f t="shared" si="73"/>
        <v>0</v>
      </c>
      <c r="AE120" s="104">
        <f t="shared" si="73"/>
        <v>0</v>
      </c>
      <c r="AF120" s="104">
        <f t="shared" si="73"/>
        <v>0</v>
      </c>
      <c r="AG120" s="84">
        <f>SUM(U120:AF120)</f>
        <v>0</v>
      </c>
      <c r="AH120" s="105" t="str">
        <f>IFERROR(AG120/AG$16,"")</f>
        <v/>
      </c>
      <c r="AJ120" s="84">
        <f>AG120-N120</f>
        <v>0</v>
      </c>
    </row>
    <row r="121" spans="1:36" x14ac:dyDescent="0.3">
      <c r="A121" s="113" t="s">
        <v>207</v>
      </c>
      <c r="B121" s="84">
        <f>IFERROR(SUMIF([2]Jan26A!$A:$A,$A121,INDEX([2]Jan26A!$A:$N,0,MATCH($A$1,[2]Jan26A!$A$7:$N$7,0))),0)</f>
        <v>0</v>
      </c>
      <c r="C121" s="84">
        <f>IFERROR(SUMIF([2]Feb26A!$A:$A,$A121,INDEX([2]Feb26A!$A:$N,0,MATCH($A$1,[2]Feb26A!$A$7:$N$7,0))),0)</f>
        <v>0</v>
      </c>
      <c r="D121" s="84">
        <f>IFERROR(SUMIF([2]Mar26A!$A:$A,$A121,INDEX([2]Mar26A!$A:$N,0,MATCH($A$1,[2]Mar26A!$A$7:$N$7,0))),0)</f>
        <v>0</v>
      </c>
      <c r="E121" s="84">
        <f>IFERROR(SUMIF([2]Apr26A!$A:$A,$A121,INDEX([2]Apr26A!$A:$N,0,MATCH($A$1,[2]Apr26A!$A$7:$N$7,0))),0)</f>
        <v>104811.32</v>
      </c>
      <c r="F121" s="84">
        <f>IFERROR(SUMIF([2]May26A!$A:$A,$A121,INDEX([2]May26A!$A:$N,0,MATCH($A$1,[2]May26A!$A$7:$N$7,0))),0)</f>
        <v>0</v>
      </c>
      <c r="G121" s="84">
        <f>IFERROR(SUMIF([2]Jun26A!$A:$A,$A121,INDEX([2]Jun26A!$A:$N,0,MATCH($A$1,[2]Jun26A!$A$7:$N$7,0))),0)</f>
        <v>0</v>
      </c>
      <c r="H121" s="84">
        <f>IFERROR(SUMIF([2]Jul26A!$A:$A,$A121,INDEX([2]Jul26A!$A:$N,0,MATCH($A$1,[2]Jul26A!$A$7:$N$7,0))),0)</f>
        <v>0</v>
      </c>
      <c r="I121" s="84">
        <f>IFERROR(SUMIF([2]Aug26A!$A:$A,$A121,INDEX([2]Aug26A!$A:$N,0,MATCH($A$1,[2]Aug26A!$A$7:$N$7,0))),0)</f>
        <v>0</v>
      </c>
      <c r="J121" s="117">
        <v>0</v>
      </c>
      <c r="K121" s="117">
        <v>0</v>
      </c>
      <c r="L121" s="117">
        <v>0</v>
      </c>
      <c r="M121" s="117">
        <v>0</v>
      </c>
      <c r="N121" s="84">
        <f>SUM(B121:M121)</f>
        <v>104811.32</v>
      </c>
      <c r="O121" s="105">
        <f>IFERROR(N121/N$16,"")</f>
        <v>1.4118019063627764E-2</v>
      </c>
      <c r="P121" s="84"/>
      <c r="Q121" s="84"/>
      <c r="R121" s="106" t="s">
        <v>99</v>
      </c>
      <c r="S121" s="107">
        <v>0</v>
      </c>
      <c r="T121" s="108">
        <v>0.05</v>
      </c>
      <c r="U121" s="104">
        <f t="shared" si="73"/>
        <v>0</v>
      </c>
      <c r="V121" s="104">
        <f t="shared" si="73"/>
        <v>0</v>
      </c>
      <c r="W121" s="104">
        <f t="shared" si="73"/>
        <v>0</v>
      </c>
      <c r="X121" s="104">
        <f t="shared" si="73"/>
        <v>0</v>
      </c>
      <c r="Y121" s="104">
        <f t="shared" si="73"/>
        <v>0</v>
      </c>
      <c r="Z121" s="104">
        <f t="shared" si="73"/>
        <v>0</v>
      </c>
      <c r="AA121" s="104">
        <f t="shared" si="73"/>
        <v>0</v>
      </c>
      <c r="AB121" s="104">
        <f t="shared" si="73"/>
        <v>0</v>
      </c>
      <c r="AC121" s="104">
        <f t="shared" si="73"/>
        <v>0</v>
      </c>
      <c r="AD121" s="104">
        <f t="shared" si="73"/>
        <v>0</v>
      </c>
      <c r="AE121" s="104">
        <f t="shared" si="73"/>
        <v>0</v>
      </c>
      <c r="AF121" s="104">
        <f t="shared" si="73"/>
        <v>0</v>
      </c>
      <c r="AG121" s="84">
        <f>SUM(U121:AF121)</f>
        <v>0</v>
      </c>
      <c r="AH121" s="105" t="str">
        <f>IFERROR(AG121/AG$16,"")</f>
        <v/>
      </c>
      <c r="AJ121" s="84">
        <f>AG121-N121</f>
        <v>-104811.32</v>
      </c>
    </row>
    <row r="122" spans="1:36" x14ac:dyDescent="0.3">
      <c r="A122" s="114" t="s">
        <v>208</v>
      </c>
      <c r="B122" s="110">
        <f t="shared" ref="B122:M122" si="74">SUM(B120:B121)</f>
        <v>0</v>
      </c>
      <c r="C122" s="110">
        <f t="shared" si="74"/>
        <v>0</v>
      </c>
      <c r="D122" s="110">
        <f t="shared" si="74"/>
        <v>0</v>
      </c>
      <c r="E122" s="110">
        <f t="shared" si="74"/>
        <v>104811.32</v>
      </c>
      <c r="F122" s="110">
        <f t="shared" si="74"/>
        <v>0</v>
      </c>
      <c r="G122" s="110">
        <f t="shared" si="74"/>
        <v>0</v>
      </c>
      <c r="H122" s="110">
        <f t="shared" si="74"/>
        <v>0</v>
      </c>
      <c r="I122" s="110">
        <f t="shared" si="74"/>
        <v>0</v>
      </c>
      <c r="J122" s="110">
        <f t="shared" si="74"/>
        <v>0</v>
      </c>
      <c r="K122" s="110">
        <f t="shared" si="74"/>
        <v>0</v>
      </c>
      <c r="L122" s="110">
        <f t="shared" si="74"/>
        <v>0</v>
      </c>
      <c r="M122" s="110">
        <f t="shared" si="74"/>
        <v>0</v>
      </c>
      <c r="N122" s="110">
        <f>SUM(B122:M122)</f>
        <v>104811.32</v>
      </c>
      <c r="O122" s="111">
        <f>IFERROR(N122/N$16,"")</f>
        <v>1.4118019063627764E-2</v>
      </c>
      <c r="P122" s="84"/>
      <c r="Q122" s="84"/>
      <c r="R122" s="112"/>
      <c r="S122" s="112"/>
      <c r="T122" s="112"/>
      <c r="U122" s="110">
        <f t="shared" ref="U122:AF122" si="75">SUM(U120:U121)</f>
        <v>0</v>
      </c>
      <c r="V122" s="110">
        <f t="shared" si="75"/>
        <v>0</v>
      </c>
      <c r="W122" s="110">
        <f t="shared" si="75"/>
        <v>0</v>
      </c>
      <c r="X122" s="110">
        <f t="shared" si="75"/>
        <v>0</v>
      </c>
      <c r="Y122" s="110">
        <f t="shared" si="75"/>
        <v>0</v>
      </c>
      <c r="Z122" s="110">
        <f t="shared" si="75"/>
        <v>0</v>
      </c>
      <c r="AA122" s="110">
        <f t="shared" si="75"/>
        <v>0</v>
      </c>
      <c r="AB122" s="110">
        <f t="shared" si="75"/>
        <v>0</v>
      </c>
      <c r="AC122" s="110">
        <f t="shared" si="75"/>
        <v>0</v>
      </c>
      <c r="AD122" s="110">
        <f t="shared" si="75"/>
        <v>0</v>
      </c>
      <c r="AE122" s="110">
        <f t="shared" si="75"/>
        <v>0</v>
      </c>
      <c r="AF122" s="110">
        <f t="shared" si="75"/>
        <v>0</v>
      </c>
      <c r="AG122" s="110">
        <f>SUM(U122:AF122)</f>
        <v>0</v>
      </c>
      <c r="AH122" s="111" t="str">
        <f>IFERROR(AG122/AG$16,"")</f>
        <v/>
      </c>
      <c r="AJ122" s="110">
        <f>AG122-N122</f>
        <v>-104811.32</v>
      </c>
    </row>
    <row r="123" spans="1:36" x14ac:dyDescent="0.3">
      <c r="A123" s="101" t="s">
        <v>209</v>
      </c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105"/>
      <c r="P123" s="84"/>
      <c r="Q123" s="84"/>
      <c r="R123" s="112"/>
      <c r="S123" s="112"/>
      <c r="T123" s="112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105"/>
      <c r="AJ123" s="84"/>
    </row>
    <row r="124" spans="1:36" x14ac:dyDescent="0.3">
      <c r="A124" s="161" t="s">
        <v>210</v>
      </c>
      <c r="B124" s="84">
        <f>IFERROR(SUMIF([2]Jan26A!$A:$A,$A124,INDEX([2]Jan26A!$A:$N,0,MATCH($A$1,[2]Jan26A!$A$7:$N$7,0))),0)</f>
        <v>0</v>
      </c>
      <c r="C124" s="84">
        <f>IFERROR(SUMIF([2]Feb26A!$A:$A,$A124,INDEX([2]Feb26A!$A:$N,0,MATCH($A$1,[2]Feb26A!$A$7:$N$7,0))),0)</f>
        <v>0</v>
      </c>
      <c r="D124" s="84">
        <f>IFERROR(SUMIF([2]Mar26A!$A:$A,$A124,INDEX([2]Mar26A!$A:$N,0,MATCH($A$1,[2]Mar26A!$A$7:$N$7,0))),0)</f>
        <v>0</v>
      </c>
      <c r="E124" s="84">
        <f>IFERROR(SUMIF([2]Apr26A!$A:$A,$A124,INDEX([2]Apr26A!$A:$N,0,MATCH($A$1,[2]Apr26A!$A$7:$N$7,0))),0)</f>
        <v>0</v>
      </c>
      <c r="F124" s="84">
        <f>IFERROR(SUMIF([2]May26A!$A:$A,$A124,INDEX([2]May26A!$A:$N,0,MATCH($A$1,[2]May26A!$A$7:$N$7,0))),0)</f>
        <v>0</v>
      </c>
      <c r="G124" s="84">
        <f>IFERROR(SUMIF([2]Jun26A!$A:$A,$A124,INDEX([2]Jun26A!$A:$N,0,MATCH($A$1,[2]Jun26A!$A$7:$N$7,0))),0)</f>
        <v>0</v>
      </c>
      <c r="H124" s="84">
        <f>IFERROR(SUMIF([2]Jul26A!$A:$A,$A124,INDEX([2]Jul26A!$A:$N,0,MATCH($A$1,[2]Jul26A!$A$7:$N$7,0))),0)</f>
        <v>0</v>
      </c>
      <c r="I124" s="84">
        <f>IFERROR(SUMIF([2]Aug26A!$A:$A,$A124,INDEX([2]Aug26A!$A:$N,0,MATCH($A$1,[2]Aug26A!$A$7:$N$7,0))),0)</f>
        <v>0</v>
      </c>
      <c r="J124" s="117"/>
      <c r="K124" s="117"/>
      <c r="L124" s="117"/>
      <c r="M124" s="117"/>
      <c r="N124" s="84">
        <v>0</v>
      </c>
      <c r="O124" s="105">
        <f t="shared" ref="O124:O132" si="76">IFERROR(N124/N$16,"")</f>
        <v>0</v>
      </c>
      <c r="P124" s="84"/>
      <c r="Q124" s="84"/>
      <c r="R124" s="106" t="s">
        <v>99</v>
      </c>
      <c r="S124" s="107">
        <v>0</v>
      </c>
      <c r="T124" s="108">
        <v>0.05</v>
      </c>
      <c r="U124" s="104">
        <f t="shared" ref="U124:AF129" si="77">IF($R124="Manual","",IFERROR(IF($R124="YOY Growth",$N124*(1+$T124)/12,$S124/12),""))</f>
        <v>0</v>
      </c>
      <c r="V124" s="104">
        <f t="shared" si="77"/>
        <v>0</v>
      </c>
      <c r="W124" s="104">
        <f t="shared" si="77"/>
        <v>0</v>
      </c>
      <c r="X124" s="104">
        <f t="shared" si="77"/>
        <v>0</v>
      </c>
      <c r="Y124" s="104">
        <f t="shared" si="77"/>
        <v>0</v>
      </c>
      <c r="Z124" s="104">
        <f t="shared" si="77"/>
        <v>0</v>
      </c>
      <c r="AA124" s="104">
        <f t="shared" si="77"/>
        <v>0</v>
      </c>
      <c r="AB124" s="104">
        <f t="shared" si="77"/>
        <v>0</v>
      </c>
      <c r="AC124" s="104">
        <f t="shared" si="77"/>
        <v>0</v>
      </c>
      <c r="AD124" s="104">
        <f t="shared" si="77"/>
        <v>0</v>
      </c>
      <c r="AE124" s="104">
        <f t="shared" si="77"/>
        <v>0</v>
      </c>
      <c r="AF124" s="104">
        <f t="shared" si="77"/>
        <v>0</v>
      </c>
      <c r="AG124" s="84">
        <f t="shared" ref="AG124:AG132" si="78">SUM(U124:AF124)</f>
        <v>0</v>
      </c>
      <c r="AH124" s="105" t="str">
        <f t="shared" ref="AH124:AH132" si="79">IFERROR(AG124/AG$16,"")</f>
        <v/>
      </c>
      <c r="AJ124" s="84">
        <f>N124-AG124</f>
        <v>0</v>
      </c>
    </row>
    <row r="125" spans="1:36" x14ac:dyDescent="0.3">
      <c r="A125" s="113" t="s">
        <v>211</v>
      </c>
      <c r="B125" s="84">
        <f>IFERROR(SUMIF([2]Jan26A!$A:$A,$A125,INDEX([2]Jan26A!$A:$N,0,MATCH($A$1,[2]Jan26A!$A$7:$N$7,0))),0)</f>
        <v>0</v>
      </c>
      <c r="C125" s="84">
        <f>IFERROR(SUMIF([2]Feb26A!$A:$A,$A125,INDEX([2]Feb26A!$A:$N,0,MATCH($A$1,[2]Feb26A!$A$7:$N$7,0))),0)</f>
        <v>0</v>
      </c>
      <c r="D125" s="84">
        <f>IFERROR(SUMIF([2]Mar26A!$A:$A,$A125,INDEX([2]Mar26A!$A:$N,0,MATCH($A$1,[2]Mar26A!$A$7:$N$7,0))),0)</f>
        <v>0</v>
      </c>
      <c r="E125" s="84">
        <f>IFERROR(SUMIF([2]Apr26A!$A:$A,$A125,INDEX([2]Apr26A!$A:$N,0,MATCH($A$1,[2]Apr26A!$A$7:$N$7,0))),0)</f>
        <v>0</v>
      </c>
      <c r="F125" s="84">
        <f>IFERROR(SUMIF([2]May26A!$A:$A,$A125,INDEX([2]May26A!$A:$N,0,MATCH($A$1,[2]May26A!$A$7:$N$7,0))),0)</f>
        <v>0</v>
      </c>
      <c r="G125" s="84">
        <f>IFERROR(SUMIF([2]Jun26A!$A:$A,$A125,INDEX([2]Jun26A!$A:$N,0,MATCH($A$1,[2]Jun26A!$A$7:$N$7,0))),0)</f>
        <v>0</v>
      </c>
      <c r="H125" s="84">
        <f>IFERROR(SUMIF([2]Jul26A!$A:$A,$A125,INDEX([2]Jul26A!$A:$N,0,MATCH($A$1,[2]Jul26A!$A$7:$N$7,0))),0)</f>
        <v>0</v>
      </c>
      <c r="I125" s="84">
        <f>IFERROR(SUMIF([2]Aug26A!$A:$A,$A125,INDEX([2]Aug26A!$A:$N,0,MATCH($A$1,[2]Aug26A!$A$7:$N$7,0))),0)</f>
        <v>0</v>
      </c>
      <c r="J125" s="117">
        <v>0</v>
      </c>
      <c r="K125" s="117">
        <v>0</v>
      </c>
      <c r="L125" s="117">
        <v>0</v>
      </c>
      <c r="M125" s="117">
        <v>0</v>
      </c>
      <c r="N125" s="84">
        <f t="shared" ref="N125:N132" si="80">SUM(B125:M125)</f>
        <v>0</v>
      </c>
      <c r="O125" s="105">
        <f t="shared" si="76"/>
        <v>0</v>
      </c>
      <c r="P125" s="84"/>
      <c r="Q125" s="84"/>
      <c r="R125" s="106" t="s">
        <v>99</v>
      </c>
      <c r="S125" s="107">
        <v>0</v>
      </c>
      <c r="T125" s="108">
        <v>0.05</v>
      </c>
      <c r="U125" s="104">
        <f t="shared" si="77"/>
        <v>0</v>
      </c>
      <c r="V125" s="104">
        <f t="shared" si="77"/>
        <v>0</v>
      </c>
      <c r="W125" s="104">
        <f t="shared" si="77"/>
        <v>0</v>
      </c>
      <c r="X125" s="104">
        <f t="shared" si="77"/>
        <v>0</v>
      </c>
      <c r="Y125" s="104">
        <f t="shared" si="77"/>
        <v>0</v>
      </c>
      <c r="Z125" s="104">
        <f t="shared" si="77"/>
        <v>0</v>
      </c>
      <c r="AA125" s="104">
        <f t="shared" si="77"/>
        <v>0</v>
      </c>
      <c r="AB125" s="104">
        <f t="shared" si="77"/>
        <v>0</v>
      </c>
      <c r="AC125" s="104">
        <f t="shared" si="77"/>
        <v>0</v>
      </c>
      <c r="AD125" s="104">
        <f t="shared" si="77"/>
        <v>0</v>
      </c>
      <c r="AE125" s="104">
        <f t="shared" si="77"/>
        <v>0</v>
      </c>
      <c r="AF125" s="104">
        <f t="shared" si="77"/>
        <v>0</v>
      </c>
      <c r="AG125" s="84">
        <f t="shared" si="78"/>
        <v>0</v>
      </c>
      <c r="AH125" s="105" t="str">
        <f t="shared" si="79"/>
        <v/>
      </c>
      <c r="AJ125" s="84">
        <f>N125-AG125</f>
        <v>0</v>
      </c>
    </row>
    <row r="126" spans="1:36" x14ac:dyDescent="0.3">
      <c r="A126" s="113" t="s">
        <v>212</v>
      </c>
      <c r="B126" s="84">
        <f>IFERROR(SUMIF([2]Jan26A!$A:$A,$A126,INDEX([2]Jan26A!$A:$N,0,MATCH($A$1,[2]Jan26A!$A$7:$N$7,0))),0)</f>
        <v>0</v>
      </c>
      <c r="C126" s="84">
        <f>IFERROR(SUMIF([2]Feb26A!$A:$A,$A126,INDEX([2]Feb26A!$A:$N,0,MATCH($A$1,[2]Feb26A!$A$7:$N$7,0))),0)</f>
        <v>0</v>
      </c>
      <c r="D126" s="84">
        <f>IFERROR(SUMIF([2]Mar26A!$A:$A,$A126,INDEX([2]Mar26A!$A:$N,0,MATCH($A$1,[2]Mar26A!$A$7:$N$7,0))),0)</f>
        <v>0</v>
      </c>
      <c r="E126" s="84">
        <f>IFERROR(SUMIF([2]Apr26A!$A:$A,$A126,INDEX([2]Apr26A!$A:$N,0,MATCH($A$1,[2]Apr26A!$A$7:$N$7,0))),0)</f>
        <v>0</v>
      </c>
      <c r="F126" s="84">
        <f>IFERROR(SUMIF([2]May26A!$A:$A,$A126,INDEX([2]May26A!$A:$N,0,MATCH($A$1,[2]May26A!$A$7:$N$7,0))),0)</f>
        <v>0</v>
      </c>
      <c r="G126" s="84">
        <f>IFERROR(SUMIF([2]Jun26A!$A:$A,$A126,INDEX([2]Jun26A!$A:$N,0,MATCH($A$1,[2]Jun26A!$A$7:$N$7,0))),0)</f>
        <v>0</v>
      </c>
      <c r="H126" s="84">
        <f>IFERROR(SUMIF([2]Jul26A!$A:$A,$A126,INDEX([2]Jul26A!$A:$N,0,MATCH($A$1,[2]Jul26A!$A$7:$N$7,0))),0)</f>
        <v>0</v>
      </c>
      <c r="I126" s="84">
        <f>IFERROR(SUMIF([2]Aug26A!$A:$A,$A126,INDEX([2]Aug26A!$A:$N,0,MATCH($A$1,[2]Aug26A!$A$7:$N$7,0))),0)</f>
        <v>0</v>
      </c>
      <c r="J126" s="117">
        <v>5000</v>
      </c>
      <c r="K126" s="117">
        <v>5000</v>
      </c>
      <c r="L126" s="117">
        <v>5000</v>
      </c>
      <c r="M126" s="117">
        <v>5000</v>
      </c>
      <c r="N126" s="84">
        <f t="shared" si="80"/>
        <v>20000</v>
      </c>
      <c r="O126" s="105">
        <f t="shared" si="76"/>
        <v>2.6939874554824353E-3</v>
      </c>
      <c r="P126" s="84"/>
      <c r="Q126" s="84"/>
      <c r="R126" s="106" t="s">
        <v>99</v>
      </c>
      <c r="S126" s="107">
        <v>0</v>
      </c>
      <c r="T126" s="108">
        <v>0.05</v>
      </c>
      <c r="U126" s="104">
        <f t="shared" si="77"/>
        <v>0</v>
      </c>
      <c r="V126" s="104">
        <f t="shared" si="77"/>
        <v>0</v>
      </c>
      <c r="W126" s="104">
        <f t="shared" si="77"/>
        <v>0</v>
      </c>
      <c r="X126" s="104">
        <f t="shared" si="77"/>
        <v>0</v>
      </c>
      <c r="Y126" s="104">
        <f t="shared" si="77"/>
        <v>0</v>
      </c>
      <c r="Z126" s="104">
        <f t="shared" si="77"/>
        <v>0</v>
      </c>
      <c r="AA126" s="104">
        <f t="shared" si="77"/>
        <v>0</v>
      </c>
      <c r="AB126" s="104">
        <f t="shared" si="77"/>
        <v>0</v>
      </c>
      <c r="AC126" s="104">
        <f t="shared" si="77"/>
        <v>0</v>
      </c>
      <c r="AD126" s="104">
        <f t="shared" si="77"/>
        <v>0</v>
      </c>
      <c r="AE126" s="104">
        <f t="shared" si="77"/>
        <v>0</v>
      </c>
      <c r="AF126" s="104">
        <f t="shared" si="77"/>
        <v>0</v>
      </c>
      <c r="AG126" s="84">
        <f t="shared" si="78"/>
        <v>0</v>
      </c>
      <c r="AH126" s="105" t="str">
        <f t="shared" si="79"/>
        <v/>
      </c>
      <c r="AJ126" s="84">
        <f>N126-AG126</f>
        <v>20000</v>
      </c>
    </row>
    <row r="127" spans="1:36" x14ac:dyDescent="0.3">
      <c r="A127" s="113" t="s">
        <v>213</v>
      </c>
      <c r="B127" s="84">
        <f>IFERROR(SUMIF([2]Jan26A!$A:$A,$A127,INDEX([2]Jan26A!$A:$N,0,MATCH($A$1,[2]Jan26A!$A$7:$N$7,0))),0)</f>
        <v>0</v>
      </c>
      <c r="C127" s="84">
        <f>IFERROR(SUMIF([2]Feb26A!$A:$A,$A127,INDEX([2]Feb26A!$A:$N,0,MATCH($A$1,[2]Feb26A!$A$7:$N$7,0))),0)</f>
        <v>0</v>
      </c>
      <c r="D127" s="84">
        <f>IFERROR(SUMIF([2]Mar26A!$A:$A,$A127,INDEX([2]Mar26A!$A:$N,0,MATCH($A$1,[2]Mar26A!$A$7:$N$7,0))),0)</f>
        <v>0</v>
      </c>
      <c r="E127" s="84">
        <f>IFERROR(SUMIF([2]Apr26A!$A:$A,$A127,INDEX([2]Apr26A!$A:$N,0,MATCH($A$1,[2]Apr26A!$A$7:$N$7,0))),0)</f>
        <v>0</v>
      </c>
      <c r="F127" s="84">
        <f>IFERROR(SUMIF([2]May26A!$A:$A,$A127,INDEX([2]May26A!$A:$N,0,MATCH($A$1,[2]May26A!$A$7:$N$7,0))),0)</f>
        <v>0</v>
      </c>
      <c r="G127" s="84">
        <f>IFERROR(SUMIF([2]Jun26A!$A:$A,$A127,INDEX([2]Jun26A!$A:$N,0,MATCH($A$1,[2]Jun26A!$A$7:$N$7,0))),0)</f>
        <v>0</v>
      </c>
      <c r="H127" s="84">
        <f>IFERROR(SUMIF([2]Jul26A!$A:$A,$A127,INDEX([2]Jul26A!$A:$N,0,MATCH($A$1,[2]Jul26A!$A$7:$N$7,0))),0)</f>
        <v>0</v>
      </c>
      <c r="I127" s="84">
        <f>IFERROR(SUMIF([2]Aug26A!$A:$A,$A127,INDEX([2]Aug26A!$A:$N,0,MATCH($A$1,[2]Aug26A!$A$7:$N$7,0))),0)</f>
        <v>0</v>
      </c>
      <c r="J127" s="117">
        <f>'[2]BS CF'!W$229</f>
        <v>0</v>
      </c>
      <c r="K127" s="117">
        <f>'[2]BS CF'!X$229</f>
        <v>0</v>
      </c>
      <c r="L127" s="117">
        <f>'[2]BS CF'!Y$229</f>
        <v>0</v>
      </c>
      <c r="M127" s="117">
        <f>'[2]BS CF'!Z$229</f>
        <v>0</v>
      </c>
      <c r="N127" s="84"/>
      <c r="O127" s="105"/>
      <c r="P127" s="84"/>
      <c r="Q127" s="84"/>
      <c r="R127" s="106" t="s">
        <v>99</v>
      </c>
      <c r="S127" s="107">
        <v>0</v>
      </c>
      <c r="T127" s="108">
        <v>0.05</v>
      </c>
      <c r="U127" s="104">
        <f t="shared" si="77"/>
        <v>0</v>
      </c>
      <c r="V127" s="104">
        <f t="shared" si="77"/>
        <v>0</v>
      </c>
      <c r="W127" s="104">
        <f t="shared" si="77"/>
        <v>0</v>
      </c>
      <c r="X127" s="104">
        <f t="shared" si="77"/>
        <v>0</v>
      </c>
      <c r="Y127" s="104">
        <f t="shared" si="77"/>
        <v>0</v>
      </c>
      <c r="Z127" s="104">
        <f t="shared" si="77"/>
        <v>0</v>
      </c>
      <c r="AA127" s="104">
        <f t="shared" si="77"/>
        <v>0</v>
      </c>
      <c r="AB127" s="104">
        <f t="shared" si="77"/>
        <v>0</v>
      </c>
      <c r="AC127" s="104">
        <f t="shared" si="77"/>
        <v>0</v>
      </c>
      <c r="AD127" s="104">
        <f t="shared" si="77"/>
        <v>0</v>
      </c>
      <c r="AE127" s="104">
        <f t="shared" si="77"/>
        <v>0</v>
      </c>
      <c r="AF127" s="104">
        <f t="shared" si="77"/>
        <v>0</v>
      </c>
      <c r="AG127" s="84"/>
      <c r="AH127" s="105"/>
      <c r="AJ127" s="84"/>
    </row>
    <row r="128" spans="1:36" x14ac:dyDescent="0.3">
      <c r="A128" s="113" t="s">
        <v>214</v>
      </c>
      <c r="B128" s="84">
        <f>IFERROR(SUMIF([2]Jan26A!$A:$A,$A128,INDEX([2]Jan26A!$A:$N,0,MATCH($A$1,[2]Jan26A!$A$7:$N$7,0))),0)</f>
        <v>0</v>
      </c>
      <c r="C128" s="84">
        <f>IFERROR(SUMIF([2]Feb26A!$A:$A,$A128,INDEX([2]Feb26A!$A:$N,0,MATCH($A$1,[2]Feb26A!$A$7:$N$7,0))),0)</f>
        <v>0</v>
      </c>
      <c r="D128" s="84">
        <f>IFERROR(SUMIF([2]Mar26A!$A:$A,$A128,INDEX([2]Mar26A!$A:$N,0,MATCH($A$1,[2]Mar26A!$A$7:$N$7,0))),0)</f>
        <v>0</v>
      </c>
      <c r="E128" s="84">
        <f>IFERROR(SUMIF([2]Apr26A!$A:$A,$A128,INDEX([2]Apr26A!$A:$N,0,MATCH($A$1,[2]Apr26A!$A$7:$N$7,0))),0)</f>
        <v>0</v>
      </c>
      <c r="F128" s="84">
        <f>IFERROR(SUMIF([2]May26A!$A:$A,$A128,INDEX([2]May26A!$A:$N,0,MATCH($A$1,[2]May26A!$A$7:$N$7,0))),0)</f>
        <v>0</v>
      </c>
      <c r="G128" s="84">
        <f>IFERROR(SUMIF([2]Jun26A!$A:$A,$A128,INDEX([2]Jun26A!$A:$N,0,MATCH($A$1,[2]Jun26A!$A$7:$N$7,0))),0)</f>
        <v>0</v>
      </c>
      <c r="H128" s="84">
        <f>IFERROR(SUMIF([2]Jul26A!$A:$A,$A128,INDEX([2]Jul26A!$A:$N,0,MATCH($A$1,[2]Jul26A!$A$7:$N$7,0))),0)</f>
        <v>0</v>
      </c>
      <c r="I128" s="84">
        <f>IFERROR(SUMIF([2]Aug26A!$A:$A,$A128,INDEX([2]Aug26A!$A:$N,0,MATCH($A$1,[2]Aug26A!$A$7:$N$7,0))),0)</f>
        <v>0</v>
      </c>
      <c r="J128" s="117">
        <v>0</v>
      </c>
      <c r="K128" s="117">
        <v>0</v>
      </c>
      <c r="L128" s="117">
        <v>0</v>
      </c>
      <c r="M128" s="117">
        <v>0</v>
      </c>
      <c r="N128" s="84">
        <f t="shared" si="80"/>
        <v>0</v>
      </c>
      <c r="O128" s="105">
        <f t="shared" si="76"/>
        <v>0</v>
      </c>
      <c r="P128" s="84"/>
      <c r="Q128" s="84"/>
      <c r="R128" s="106" t="s">
        <v>99</v>
      </c>
      <c r="S128" s="107">
        <v>0</v>
      </c>
      <c r="T128" s="108">
        <v>0.05</v>
      </c>
      <c r="U128" s="104">
        <f t="shared" si="77"/>
        <v>0</v>
      </c>
      <c r="V128" s="104">
        <f t="shared" si="77"/>
        <v>0</v>
      </c>
      <c r="W128" s="104">
        <f t="shared" si="77"/>
        <v>0</v>
      </c>
      <c r="X128" s="104">
        <f t="shared" si="77"/>
        <v>0</v>
      </c>
      <c r="Y128" s="104">
        <f t="shared" si="77"/>
        <v>0</v>
      </c>
      <c r="Z128" s="104">
        <f t="shared" si="77"/>
        <v>0</v>
      </c>
      <c r="AA128" s="104">
        <f t="shared" si="77"/>
        <v>0</v>
      </c>
      <c r="AB128" s="104">
        <f t="shared" si="77"/>
        <v>0</v>
      </c>
      <c r="AC128" s="104">
        <f t="shared" si="77"/>
        <v>0</v>
      </c>
      <c r="AD128" s="104">
        <f t="shared" si="77"/>
        <v>0</v>
      </c>
      <c r="AE128" s="104">
        <f t="shared" si="77"/>
        <v>0</v>
      </c>
      <c r="AF128" s="104">
        <f t="shared" si="77"/>
        <v>0</v>
      </c>
      <c r="AG128" s="84">
        <f t="shared" si="78"/>
        <v>0</v>
      </c>
      <c r="AH128" s="105" t="str">
        <f t="shared" si="79"/>
        <v/>
      </c>
      <c r="AJ128" s="84">
        <f>N128-AG128</f>
        <v>0</v>
      </c>
    </row>
    <row r="129" spans="1:36" x14ac:dyDescent="0.3">
      <c r="A129" s="113" t="s">
        <v>215</v>
      </c>
      <c r="B129" s="84">
        <f>IFERROR(SUMIF([2]Jan26A!$A:$A,$A129,INDEX([2]Jan26A!$A:$N,0,MATCH($A$1,[2]Jan26A!$A$7:$N$7,0))),0)</f>
        <v>0</v>
      </c>
      <c r="C129" s="84">
        <f>IFERROR(SUMIF([2]Feb26A!$A:$A,$A129,INDEX([2]Feb26A!$A:$N,0,MATCH($A$1,[2]Feb26A!$A$7:$N$7,0))),0)</f>
        <v>0</v>
      </c>
      <c r="D129" s="84">
        <f>IFERROR(SUMIF([2]Mar26A!$A:$A,$A129,INDEX([2]Mar26A!$A:$N,0,MATCH($A$1,[2]Mar26A!$A$7:$N$7,0))),0)</f>
        <v>0</v>
      </c>
      <c r="E129" s="84">
        <f>IFERROR(SUMIF([2]Apr26A!$A:$A,$A129,INDEX([2]Apr26A!$A:$N,0,MATCH($A$1,[2]Apr26A!$A$7:$N$7,0))),0)</f>
        <v>0</v>
      </c>
      <c r="F129" s="84">
        <f>IFERROR(SUMIF([2]May26A!$A:$A,$A129,INDEX([2]May26A!$A:$N,0,MATCH($A$1,[2]May26A!$A$7:$N$7,0))),0)</f>
        <v>0</v>
      </c>
      <c r="G129" s="84">
        <f>IFERROR(SUMIF([2]Jun26A!$A:$A,$A129,INDEX([2]Jun26A!$A:$N,0,MATCH($A$1,[2]Jun26A!$A$7:$N$7,0))),0)</f>
        <v>0</v>
      </c>
      <c r="H129" s="84">
        <f>IFERROR(SUMIF([2]Jul26A!$A:$A,$A129,INDEX([2]Jul26A!$A:$N,0,MATCH($A$1,[2]Jul26A!$A$7:$N$7,0))),0)</f>
        <v>0</v>
      </c>
      <c r="I129" s="84">
        <f>IFERROR(SUMIF([2]Aug26A!$A:$A,$A129,INDEX([2]Aug26A!$A:$N,0,MATCH($A$1,[2]Aug26A!$A$7:$N$7,0))),0)</f>
        <v>0</v>
      </c>
      <c r="J129" s="117">
        <v>0</v>
      </c>
      <c r="K129" s="117">
        <v>0</v>
      </c>
      <c r="L129" s="117">
        <v>0</v>
      </c>
      <c r="M129" s="117">
        <v>0</v>
      </c>
      <c r="N129" s="84">
        <f t="shared" si="80"/>
        <v>0</v>
      </c>
      <c r="O129" s="105">
        <f t="shared" si="76"/>
        <v>0</v>
      </c>
      <c r="P129" s="84"/>
      <c r="Q129" s="84"/>
      <c r="R129" s="106" t="s">
        <v>99</v>
      </c>
      <c r="S129" s="107">
        <v>0</v>
      </c>
      <c r="T129" s="108">
        <v>0.05</v>
      </c>
      <c r="U129" s="104">
        <f t="shared" si="77"/>
        <v>0</v>
      </c>
      <c r="V129" s="104">
        <f t="shared" si="77"/>
        <v>0</v>
      </c>
      <c r="W129" s="104">
        <f t="shared" si="77"/>
        <v>0</v>
      </c>
      <c r="X129" s="104">
        <f t="shared" si="77"/>
        <v>0</v>
      </c>
      <c r="Y129" s="104">
        <f t="shared" si="77"/>
        <v>0</v>
      </c>
      <c r="Z129" s="104">
        <f t="shared" si="77"/>
        <v>0</v>
      </c>
      <c r="AA129" s="104">
        <f t="shared" si="77"/>
        <v>0</v>
      </c>
      <c r="AB129" s="104">
        <f t="shared" si="77"/>
        <v>0</v>
      </c>
      <c r="AC129" s="104">
        <f t="shared" si="77"/>
        <v>0</v>
      </c>
      <c r="AD129" s="104">
        <f t="shared" si="77"/>
        <v>0</v>
      </c>
      <c r="AE129" s="104">
        <f t="shared" si="77"/>
        <v>0</v>
      </c>
      <c r="AF129" s="104">
        <f t="shared" si="77"/>
        <v>0</v>
      </c>
      <c r="AG129" s="84">
        <f t="shared" si="78"/>
        <v>0</v>
      </c>
      <c r="AH129" s="105" t="str">
        <f t="shared" si="79"/>
        <v/>
      </c>
      <c r="AJ129" s="84">
        <f>N129-AG129</f>
        <v>0</v>
      </c>
    </row>
    <row r="130" spans="1:36" x14ac:dyDescent="0.3">
      <c r="A130" s="114" t="s">
        <v>216</v>
      </c>
      <c r="B130" s="110">
        <f t="shared" ref="B130:M130" si="81">SUM(B124:B129)</f>
        <v>0</v>
      </c>
      <c r="C130" s="110">
        <f t="shared" si="81"/>
        <v>0</v>
      </c>
      <c r="D130" s="110">
        <f t="shared" si="81"/>
        <v>0</v>
      </c>
      <c r="E130" s="110">
        <f t="shared" si="81"/>
        <v>0</v>
      </c>
      <c r="F130" s="110">
        <f t="shared" si="81"/>
        <v>0</v>
      </c>
      <c r="G130" s="110">
        <f t="shared" si="81"/>
        <v>0</v>
      </c>
      <c r="H130" s="110">
        <f t="shared" si="81"/>
        <v>0</v>
      </c>
      <c r="I130" s="110">
        <f t="shared" si="81"/>
        <v>0</v>
      </c>
      <c r="J130" s="110">
        <f t="shared" si="81"/>
        <v>5000</v>
      </c>
      <c r="K130" s="110">
        <f t="shared" si="81"/>
        <v>5000</v>
      </c>
      <c r="L130" s="110">
        <f t="shared" si="81"/>
        <v>5000</v>
      </c>
      <c r="M130" s="110">
        <f t="shared" si="81"/>
        <v>5000</v>
      </c>
      <c r="N130" s="110">
        <f t="shared" si="80"/>
        <v>20000</v>
      </c>
      <c r="O130" s="111">
        <f t="shared" si="76"/>
        <v>2.6939874554824353E-3</v>
      </c>
      <c r="P130" s="84"/>
      <c r="Q130" s="84"/>
      <c r="R130" s="112"/>
      <c r="S130" s="112"/>
      <c r="T130" s="112"/>
      <c r="U130" s="110">
        <f t="shared" ref="U130:AF130" si="82">SUM(U124:U129)</f>
        <v>0</v>
      </c>
      <c r="V130" s="110">
        <f t="shared" si="82"/>
        <v>0</v>
      </c>
      <c r="W130" s="110">
        <f t="shared" si="82"/>
        <v>0</v>
      </c>
      <c r="X130" s="110">
        <f t="shared" si="82"/>
        <v>0</v>
      </c>
      <c r="Y130" s="110">
        <f t="shared" si="82"/>
        <v>0</v>
      </c>
      <c r="Z130" s="110">
        <f t="shared" si="82"/>
        <v>0</v>
      </c>
      <c r="AA130" s="110">
        <f t="shared" si="82"/>
        <v>0</v>
      </c>
      <c r="AB130" s="110">
        <f t="shared" si="82"/>
        <v>0</v>
      </c>
      <c r="AC130" s="110">
        <f t="shared" si="82"/>
        <v>0</v>
      </c>
      <c r="AD130" s="110">
        <f t="shared" si="82"/>
        <v>0</v>
      </c>
      <c r="AE130" s="110">
        <f t="shared" si="82"/>
        <v>0</v>
      </c>
      <c r="AF130" s="110">
        <f t="shared" si="82"/>
        <v>0</v>
      </c>
      <c r="AG130" s="110">
        <f t="shared" si="78"/>
        <v>0</v>
      </c>
      <c r="AH130" s="111" t="str">
        <f t="shared" si="79"/>
        <v/>
      </c>
      <c r="AJ130" s="110">
        <f>N130-AG130</f>
        <v>20000</v>
      </c>
    </row>
    <row r="131" spans="1:36" x14ac:dyDescent="0.3">
      <c r="A131" s="122" t="s">
        <v>217</v>
      </c>
      <c r="B131" s="110">
        <f t="shared" ref="B131:M131" si="83">B122-B130</f>
        <v>0</v>
      </c>
      <c r="C131" s="110">
        <f t="shared" si="83"/>
        <v>0</v>
      </c>
      <c r="D131" s="110">
        <f t="shared" si="83"/>
        <v>0</v>
      </c>
      <c r="E131" s="110">
        <f t="shared" si="83"/>
        <v>104811.32</v>
      </c>
      <c r="F131" s="110">
        <f t="shared" si="83"/>
        <v>0</v>
      </c>
      <c r="G131" s="110">
        <f t="shared" si="83"/>
        <v>0</v>
      </c>
      <c r="H131" s="110">
        <f t="shared" si="83"/>
        <v>0</v>
      </c>
      <c r="I131" s="110">
        <f t="shared" si="83"/>
        <v>0</v>
      </c>
      <c r="J131" s="110">
        <f t="shared" si="83"/>
        <v>-5000</v>
      </c>
      <c r="K131" s="110">
        <f t="shared" si="83"/>
        <v>-5000</v>
      </c>
      <c r="L131" s="110">
        <f t="shared" si="83"/>
        <v>-5000</v>
      </c>
      <c r="M131" s="110">
        <f t="shared" si="83"/>
        <v>-5000</v>
      </c>
      <c r="N131" s="110">
        <f t="shared" si="80"/>
        <v>84811.32</v>
      </c>
      <c r="O131" s="111">
        <f t="shared" si="76"/>
        <v>1.1424031608145329E-2</v>
      </c>
      <c r="P131" s="84"/>
      <c r="Q131" s="84"/>
      <c r="R131" s="112"/>
      <c r="S131" s="112"/>
      <c r="T131" s="112"/>
      <c r="U131" s="110">
        <f t="shared" ref="U131:AF131" si="84">U122-U130</f>
        <v>0</v>
      </c>
      <c r="V131" s="110">
        <f t="shared" si="84"/>
        <v>0</v>
      </c>
      <c r="W131" s="110">
        <f t="shared" si="84"/>
        <v>0</v>
      </c>
      <c r="X131" s="110">
        <f t="shared" si="84"/>
        <v>0</v>
      </c>
      <c r="Y131" s="110">
        <f t="shared" si="84"/>
        <v>0</v>
      </c>
      <c r="Z131" s="110">
        <f t="shared" si="84"/>
        <v>0</v>
      </c>
      <c r="AA131" s="110">
        <f t="shared" si="84"/>
        <v>0</v>
      </c>
      <c r="AB131" s="110">
        <f t="shared" si="84"/>
        <v>0</v>
      </c>
      <c r="AC131" s="110">
        <f t="shared" si="84"/>
        <v>0</v>
      </c>
      <c r="AD131" s="110">
        <f t="shared" si="84"/>
        <v>0</v>
      </c>
      <c r="AE131" s="110">
        <f t="shared" si="84"/>
        <v>0</v>
      </c>
      <c r="AF131" s="110">
        <f t="shared" si="84"/>
        <v>0</v>
      </c>
      <c r="AG131" s="110">
        <f t="shared" si="78"/>
        <v>0</v>
      </c>
      <c r="AH131" s="111" t="str">
        <f t="shared" si="79"/>
        <v/>
      </c>
      <c r="AJ131" s="110">
        <f>AG131-N131</f>
        <v>-84811.32</v>
      </c>
    </row>
    <row r="132" spans="1:36" ht="14.4" thickBot="1" x14ac:dyDescent="0.35">
      <c r="A132" s="122" t="s">
        <v>218</v>
      </c>
      <c r="B132" s="123">
        <f t="shared" ref="B132:M132" si="85">B117+B131</f>
        <v>477751.37000000005</v>
      </c>
      <c r="C132" s="123">
        <f t="shared" si="85"/>
        <v>470547.08000000007</v>
      </c>
      <c r="D132" s="123">
        <f t="shared" si="85"/>
        <v>418698.66</v>
      </c>
      <c r="E132" s="123">
        <f t="shared" si="85"/>
        <v>629549.65999999992</v>
      </c>
      <c r="F132" s="123">
        <f t="shared" si="85"/>
        <v>299402.81999999995</v>
      </c>
      <c r="G132" s="123">
        <f t="shared" si="85"/>
        <v>263771.59999999998</v>
      </c>
      <c r="H132" s="123">
        <f t="shared" si="85"/>
        <v>461452.17</v>
      </c>
      <c r="I132" s="123">
        <f t="shared" si="85"/>
        <v>172203.55000000002</v>
      </c>
      <c r="J132" s="123">
        <f t="shared" si="85"/>
        <v>-184477.57714285725</v>
      </c>
      <c r="K132" s="123">
        <f t="shared" si="85"/>
        <v>534749.80380952382</v>
      </c>
      <c r="L132" s="123">
        <f t="shared" si="85"/>
        <v>560603.37523809518</v>
      </c>
      <c r="M132" s="123">
        <f t="shared" si="85"/>
        <v>581456.94666666666</v>
      </c>
      <c r="N132" s="123">
        <f t="shared" si="80"/>
        <v>4685709.4585714275</v>
      </c>
      <c r="O132" s="124">
        <f t="shared" si="76"/>
        <v>0.63116212507134095</v>
      </c>
      <c r="P132" s="84"/>
      <c r="Q132" s="84"/>
      <c r="R132" s="112"/>
      <c r="S132" s="112"/>
      <c r="T132" s="112"/>
      <c r="U132" s="123">
        <f t="shared" ref="U132:AF132" si="86">U117+U131</f>
        <v>-53996.687320622674</v>
      </c>
      <c r="V132" s="123">
        <f t="shared" si="86"/>
        <v>-53996.687320622674</v>
      </c>
      <c r="W132" s="123">
        <f t="shared" si="86"/>
        <v>-53996.687320622674</v>
      </c>
      <c r="X132" s="123">
        <f t="shared" si="86"/>
        <v>-53996.687320622674</v>
      </c>
      <c r="Y132" s="123">
        <f t="shared" si="86"/>
        <v>-53996.687320622674</v>
      </c>
      <c r="Z132" s="123">
        <f t="shared" si="86"/>
        <v>-53996.687320622674</v>
      </c>
      <c r="AA132" s="123">
        <f t="shared" si="86"/>
        <v>-53996.687320622674</v>
      </c>
      <c r="AB132" s="123">
        <f t="shared" si="86"/>
        <v>-53996.687320622674</v>
      </c>
      <c r="AC132" s="123">
        <f t="shared" si="86"/>
        <v>-53996.687320622674</v>
      </c>
      <c r="AD132" s="123">
        <f t="shared" si="86"/>
        <v>-55616.587940241363</v>
      </c>
      <c r="AE132" s="123">
        <f t="shared" si="86"/>
        <v>-55616.587940241363</v>
      </c>
      <c r="AF132" s="123">
        <f t="shared" si="86"/>
        <v>-55616.587940241363</v>
      </c>
      <c r="AG132" s="123">
        <f t="shared" si="78"/>
        <v>-652819.9497063281</v>
      </c>
      <c r="AH132" s="124" t="str">
        <f t="shared" si="79"/>
        <v/>
      </c>
      <c r="AJ132" s="123">
        <f>AG132-N132</f>
        <v>-5338529.4082777556</v>
      </c>
    </row>
    <row r="133" spans="1:36" ht="14.4" thickTop="1" x14ac:dyDescent="0.3">
      <c r="B133" s="163"/>
      <c r="C133" s="163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4"/>
      <c r="P133" s="163"/>
      <c r="Q133" s="163"/>
      <c r="R133" s="112"/>
      <c r="S133" s="112"/>
      <c r="T133" s="112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2"/>
      <c r="AH133" s="84"/>
    </row>
    <row r="134" spans="1:36" x14ac:dyDescent="0.3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105"/>
      <c r="P134" s="84"/>
      <c r="Q134" s="84"/>
      <c r="R134" s="112"/>
      <c r="S134" s="112"/>
      <c r="T134" s="112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</row>
    <row r="135" spans="1:36" x14ac:dyDescent="0.3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105"/>
      <c r="P135" s="84"/>
      <c r="Q135" s="84"/>
      <c r="R135" s="112"/>
      <c r="S135" s="112"/>
      <c r="T135" s="112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</row>
    <row r="136" spans="1:36" x14ac:dyDescent="0.3">
      <c r="B136" s="150"/>
      <c r="C136" s="150"/>
      <c r="D136" s="150"/>
      <c r="E136" s="150"/>
      <c r="F136" s="150"/>
      <c r="G136" s="150"/>
      <c r="H136" s="150"/>
      <c r="I136" s="150"/>
      <c r="J136" s="150"/>
      <c r="K136" s="150"/>
      <c r="L136" s="150"/>
      <c r="M136" s="150"/>
      <c r="N136" s="150"/>
      <c r="O136" s="105"/>
      <c r="P136" s="84"/>
      <c r="Q136" s="84"/>
      <c r="R136" s="112"/>
      <c r="S136" s="112"/>
      <c r="T136" s="112"/>
      <c r="U136" s="150"/>
      <c r="V136" s="150"/>
      <c r="W136" s="150"/>
      <c r="X136" s="150"/>
      <c r="Y136" s="150"/>
      <c r="Z136" s="150"/>
      <c r="AA136" s="150"/>
      <c r="AB136" s="150"/>
      <c r="AC136" s="150"/>
      <c r="AD136" s="150"/>
      <c r="AE136" s="150"/>
      <c r="AF136" s="150"/>
      <c r="AG136" s="150"/>
      <c r="AH136" s="84"/>
    </row>
    <row r="137" spans="1:36" x14ac:dyDescent="0.3">
      <c r="A137" s="125" t="s">
        <v>219</v>
      </c>
      <c r="B137" s="84">
        <f t="shared" ref="B137:N140" si="87">SUMIF($A$9:$A$132,"*"&amp;$A137&amp;"*",B$9:B$132)</f>
        <v>-142290.68</v>
      </c>
      <c r="C137" s="84">
        <f t="shared" si="87"/>
        <v>-125160.03000000001</v>
      </c>
      <c r="D137" s="84">
        <f t="shared" si="87"/>
        <v>-53487.1</v>
      </c>
      <c r="E137" s="84">
        <f t="shared" si="87"/>
        <v>21646.720000000001</v>
      </c>
      <c r="F137" s="84">
        <f t="shared" si="87"/>
        <v>17259.93</v>
      </c>
      <c r="G137" s="84">
        <f t="shared" si="87"/>
        <v>17454.2</v>
      </c>
      <c r="H137" s="84">
        <f t="shared" si="87"/>
        <v>20023.740000000002</v>
      </c>
      <c r="I137" s="84">
        <f t="shared" si="87"/>
        <v>14849.42</v>
      </c>
      <c r="J137" s="84">
        <f t="shared" si="87"/>
        <v>17500</v>
      </c>
      <c r="K137" s="84">
        <f t="shared" si="87"/>
        <v>17500</v>
      </c>
      <c r="L137" s="84">
        <f t="shared" si="87"/>
        <v>17500</v>
      </c>
      <c r="M137" s="84">
        <f t="shared" si="87"/>
        <v>17500</v>
      </c>
      <c r="N137" s="84">
        <f t="shared" si="87"/>
        <v>-159703.79999999999</v>
      </c>
      <c r="O137" s="105"/>
      <c r="R137" s="112"/>
      <c r="S137" s="112"/>
      <c r="T137" s="112"/>
      <c r="U137" s="84">
        <f t="shared" ref="U137:AG140" si="88">SUMIF($A$9:$A$132,"*"&amp;$A137&amp;"*",U$9:U$132)</f>
        <v>43450</v>
      </c>
      <c r="V137" s="84">
        <f t="shared" si="88"/>
        <v>43450</v>
      </c>
      <c r="W137" s="84">
        <f t="shared" si="88"/>
        <v>43450</v>
      </c>
      <c r="X137" s="84">
        <f t="shared" si="88"/>
        <v>43450</v>
      </c>
      <c r="Y137" s="84">
        <f t="shared" si="88"/>
        <v>43450</v>
      </c>
      <c r="Z137" s="84">
        <f t="shared" si="88"/>
        <v>43450</v>
      </c>
      <c r="AA137" s="84">
        <f t="shared" si="88"/>
        <v>43450</v>
      </c>
      <c r="AB137" s="84">
        <f t="shared" si="88"/>
        <v>43450</v>
      </c>
      <c r="AC137" s="84">
        <f t="shared" si="88"/>
        <v>43450</v>
      </c>
      <c r="AD137" s="84">
        <f t="shared" si="88"/>
        <v>44753.500000000007</v>
      </c>
      <c r="AE137" s="84">
        <f t="shared" si="88"/>
        <v>44753.500000000007</v>
      </c>
      <c r="AF137" s="84">
        <f t="shared" si="88"/>
        <v>44753.500000000007</v>
      </c>
      <c r="AG137" s="84">
        <f t="shared" si="88"/>
        <v>525310.5</v>
      </c>
      <c r="AH137" s="162"/>
      <c r="AJ137" s="84"/>
    </row>
    <row r="138" spans="1:36" x14ac:dyDescent="0.3">
      <c r="A138" s="125" t="s">
        <v>220</v>
      </c>
      <c r="B138" s="84">
        <f t="shared" si="87"/>
        <v>0</v>
      </c>
      <c r="C138" s="84">
        <f t="shared" si="87"/>
        <v>0</v>
      </c>
      <c r="D138" s="84">
        <f t="shared" si="87"/>
        <v>0</v>
      </c>
      <c r="E138" s="84">
        <f t="shared" si="87"/>
        <v>0</v>
      </c>
      <c r="F138" s="84">
        <f t="shared" si="87"/>
        <v>0</v>
      </c>
      <c r="G138" s="84">
        <f t="shared" si="87"/>
        <v>0</v>
      </c>
      <c r="H138" s="84">
        <f t="shared" si="87"/>
        <v>0</v>
      </c>
      <c r="I138" s="84">
        <f t="shared" si="87"/>
        <v>0</v>
      </c>
      <c r="J138" s="84">
        <f t="shared" si="87"/>
        <v>0</v>
      </c>
      <c r="K138" s="84">
        <f t="shared" si="87"/>
        <v>0</v>
      </c>
      <c r="L138" s="84">
        <f t="shared" si="87"/>
        <v>0</v>
      </c>
      <c r="M138" s="84">
        <f t="shared" si="87"/>
        <v>0</v>
      </c>
      <c r="N138" s="84">
        <f t="shared" si="87"/>
        <v>0</v>
      </c>
      <c r="O138" s="150"/>
      <c r="P138" s="84"/>
      <c r="Q138" s="84"/>
      <c r="R138" s="112"/>
      <c r="S138" s="112"/>
      <c r="T138" s="112"/>
      <c r="U138" s="84">
        <f t="shared" si="88"/>
        <v>0</v>
      </c>
      <c r="V138" s="84">
        <f t="shared" si="88"/>
        <v>0</v>
      </c>
      <c r="W138" s="84">
        <f t="shared" si="88"/>
        <v>0</v>
      </c>
      <c r="X138" s="84">
        <f t="shared" si="88"/>
        <v>0</v>
      </c>
      <c r="Y138" s="84">
        <f t="shared" si="88"/>
        <v>0</v>
      </c>
      <c r="Z138" s="84">
        <f t="shared" si="88"/>
        <v>0</v>
      </c>
      <c r="AA138" s="84">
        <f t="shared" si="88"/>
        <v>0</v>
      </c>
      <c r="AB138" s="84">
        <f t="shared" si="88"/>
        <v>0</v>
      </c>
      <c r="AC138" s="84">
        <f t="shared" si="88"/>
        <v>0</v>
      </c>
      <c r="AD138" s="84">
        <f t="shared" si="88"/>
        <v>0</v>
      </c>
      <c r="AE138" s="84">
        <f t="shared" si="88"/>
        <v>0</v>
      </c>
      <c r="AF138" s="84">
        <f t="shared" si="88"/>
        <v>0</v>
      </c>
      <c r="AG138" s="84">
        <f t="shared" si="88"/>
        <v>0</v>
      </c>
      <c r="AH138" s="84"/>
    </row>
    <row r="139" spans="1:36" x14ac:dyDescent="0.3">
      <c r="A139" s="125" t="s">
        <v>21</v>
      </c>
      <c r="B139" s="84">
        <f t="shared" si="87"/>
        <v>1615.95</v>
      </c>
      <c r="C139" s="84">
        <f t="shared" si="87"/>
        <v>1065.32</v>
      </c>
      <c r="D139" s="84">
        <f t="shared" si="87"/>
        <v>-1003.17</v>
      </c>
      <c r="E139" s="84">
        <f t="shared" si="87"/>
        <v>703.54</v>
      </c>
      <c r="F139" s="84">
        <f t="shared" si="87"/>
        <v>618.04</v>
      </c>
      <c r="G139" s="84">
        <f t="shared" si="87"/>
        <v>634.79</v>
      </c>
      <c r="H139" s="84">
        <f t="shared" si="87"/>
        <v>768.4</v>
      </c>
      <c r="I139" s="84">
        <f t="shared" si="87"/>
        <v>592.79</v>
      </c>
      <c r="J139" s="84">
        <f t="shared" si="87"/>
        <v>648</v>
      </c>
      <c r="K139" s="84">
        <f t="shared" si="87"/>
        <v>648</v>
      </c>
      <c r="L139" s="84">
        <f t="shared" si="87"/>
        <v>648</v>
      </c>
      <c r="M139" s="84">
        <f t="shared" si="87"/>
        <v>648</v>
      </c>
      <c r="N139" s="84">
        <f t="shared" si="87"/>
        <v>7587.66</v>
      </c>
      <c r="O139" s="150"/>
      <c r="P139" s="84"/>
      <c r="Q139" s="84"/>
      <c r="R139" s="112"/>
      <c r="S139" s="112"/>
      <c r="T139" s="112"/>
      <c r="U139" s="84">
        <f t="shared" si="88"/>
        <v>1580.2285696279405</v>
      </c>
      <c r="V139" s="84">
        <f t="shared" si="88"/>
        <v>1580.2285696279405</v>
      </c>
      <c r="W139" s="84">
        <f t="shared" si="88"/>
        <v>1580.2285696279405</v>
      </c>
      <c r="X139" s="84">
        <f t="shared" si="88"/>
        <v>1580.2285696279405</v>
      </c>
      <c r="Y139" s="84">
        <f t="shared" si="88"/>
        <v>1580.2285696279405</v>
      </c>
      <c r="Z139" s="84">
        <f t="shared" si="88"/>
        <v>1580.2285696279405</v>
      </c>
      <c r="AA139" s="84">
        <f t="shared" si="88"/>
        <v>1580.2285696279405</v>
      </c>
      <c r="AB139" s="84">
        <f t="shared" si="88"/>
        <v>1580.2285696279405</v>
      </c>
      <c r="AC139" s="84">
        <f t="shared" si="88"/>
        <v>1580.2285696279405</v>
      </c>
      <c r="AD139" s="84">
        <f t="shared" si="88"/>
        <v>1627.635426716779</v>
      </c>
      <c r="AE139" s="84">
        <f t="shared" si="88"/>
        <v>1627.635426716779</v>
      </c>
      <c r="AF139" s="84">
        <f t="shared" si="88"/>
        <v>1627.635426716779</v>
      </c>
      <c r="AG139" s="84">
        <f t="shared" si="88"/>
        <v>19104.963406801799</v>
      </c>
      <c r="AH139" s="84"/>
      <c r="AJ139" s="84"/>
    </row>
    <row r="140" spans="1:36" x14ac:dyDescent="0.3">
      <c r="A140" s="125" t="s">
        <v>23</v>
      </c>
      <c r="B140" s="84">
        <f t="shared" si="87"/>
        <v>32768.46</v>
      </c>
      <c r="C140" s="84">
        <f t="shared" si="87"/>
        <v>-7281.23</v>
      </c>
      <c r="D140" s="84">
        <f t="shared" si="87"/>
        <v>3057.92</v>
      </c>
      <c r="E140" s="84">
        <f t="shared" si="87"/>
        <v>2876.74</v>
      </c>
      <c r="F140" s="84">
        <f t="shared" si="87"/>
        <v>4138.12</v>
      </c>
      <c r="G140" s="84">
        <f t="shared" si="87"/>
        <v>3992.14</v>
      </c>
      <c r="H140" s="84">
        <f t="shared" si="87"/>
        <v>-6793.75</v>
      </c>
      <c r="I140" s="84">
        <f t="shared" si="87"/>
        <v>2732.36</v>
      </c>
      <c r="J140" s="84">
        <f t="shared" si="87"/>
        <v>4000</v>
      </c>
      <c r="K140" s="84">
        <f t="shared" si="87"/>
        <v>4000</v>
      </c>
      <c r="L140" s="84">
        <f t="shared" si="87"/>
        <v>4000</v>
      </c>
      <c r="M140" s="84">
        <f t="shared" si="87"/>
        <v>4000</v>
      </c>
      <c r="N140" s="84">
        <f t="shared" si="87"/>
        <v>51490.76</v>
      </c>
      <c r="O140" s="150"/>
      <c r="P140" s="84"/>
      <c r="Q140" s="84"/>
      <c r="R140" s="112"/>
      <c r="S140" s="112"/>
      <c r="T140" s="112"/>
      <c r="U140" s="84">
        <f t="shared" si="88"/>
        <v>8966.4587509947323</v>
      </c>
      <c r="V140" s="84">
        <f t="shared" si="88"/>
        <v>8966.4587509947323</v>
      </c>
      <c r="W140" s="84">
        <f t="shared" si="88"/>
        <v>8966.4587509947323</v>
      </c>
      <c r="X140" s="84">
        <f t="shared" si="88"/>
        <v>8966.4587509947323</v>
      </c>
      <c r="Y140" s="84">
        <f t="shared" si="88"/>
        <v>8966.4587509947323</v>
      </c>
      <c r="Z140" s="84">
        <f t="shared" si="88"/>
        <v>8966.4587509947323</v>
      </c>
      <c r="AA140" s="84">
        <f t="shared" si="88"/>
        <v>8966.4587509947323</v>
      </c>
      <c r="AB140" s="84">
        <f t="shared" si="88"/>
        <v>8966.4587509947323</v>
      </c>
      <c r="AC140" s="84">
        <f t="shared" si="88"/>
        <v>8966.4587509947323</v>
      </c>
      <c r="AD140" s="84">
        <f t="shared" si="88"/>
        <v>9235.4525135245767</v>
      </c>
      <c r="AE140" s="84">
        <f t="shared" si="88"/>
        <v>9235.4525135245767</v>
      </c>
      <c r="AF140" s="84">
        <f t="shared" si="88"/>
        <v>9235.4525135245767</v>
      </c>
      <c r="AG140" s="84">
        <f t="shared" si="88"/>
        <v>108404.48629952632</v>
      </c>
      <c r="AH140" s="84"/>
      <c r="AJ140" s="84"/>
    </row>
    <row r="141" spans="1:36" x14ac:dyDescent="0.3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150"/>
      <c r="P141" s="84"/>
      <c r="Q141" s="84"/>
      <c r="R141" s="112"/>
      <c r="S141" s="112"/>
      <c r="T141" s="112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J141" s="84"/>
    </row>
    <row r="142" spans="1:36" x14ac:dyDescent="0.3">
      <c r="A142" s="83" t="s">
        <v>221</v>
      </c>
      <c r="B142" s="105">
        <f>IFERROR(SUM(B139:B140)/SUM(B137:B138),"")</f>
        <v>-0.2416490665446254</v>
      </c>
      <c r="C142" s="105">
        <f>IFERROR(SUM(C139:C140)/SUM(C137:C138),"")</f>
        <v>4.9663698546572731E-2</v>
      </c>
      <c r="D142" s="105">
        <f>IFERROR(SUM(D139:D140)/SUM(D137:D138),"")</f>
        <v>-3.8415804932404263E-2</v>
      </c>
      <c r="E142" s="105">
        <f t="shared" ref="E142:N142" si="89">IFERROR(SUM(E139:E140)/SUM(E137:E138),"")</f>
        <v>0.16539595837152232</v>
      </c>
      <c r="F142" s="105">
        <f t="shared" si="89"/>
        <v>0.27556079312025017</v>
      </c>
      <c r="G142" s="105">
        <f t="shared" si="89"/>
        <v>0.26508977781851933</v>
      </c>
      <c r="H142" s="105">
        <f t="shared" si="89"/>
        <v>-0.30091031945081187</v>
      </c>
      <c r="I142" s="105">
        <f t="shared" si="89"/>
        <v>0.22392457079131711</v>
      </c>
      <c r="J142" s="105">
        <f t="shared" si="89"/>
        <v>0.2656</v>
      </c>
      <c r="K142" s="105">
        <f t="shared" si="89"/>
        <v>0.2656</v>
      </c>
      <c r="L142" s="105">
        <f t="shared" si="89"/>
        <v>0.2656</v>
      </c>
      <c r="M142" s="105">
        <f t="shared" si="89"/>
        <v>0.2656</v>
      </c>
      <c r="N142" s="105">
        <f t="shared" si="89"/>
        <v>-0.36992494856102359</v>
      </c>
      <c r="O142" s="105"/>
      <c r="P142" s="162"/>
      <c r="Q142" s="162"/>
      <c r="R142" s="112"/>
      <c r="S142" s="112"/>
      <c r="T142" s="112"/>
      <c r="U142" s="105">
        <f t="shared" ref="U142:AG142" si="90">IFERROR(SUM(U139:U140)/SUM(U137:U138),"")</f>
        <v>0.24273158390385902</v>
      </c>
      <c r="V142" s="105">
        <f t="shared" si="90"/>
        <v>0.24273158390385902</v>
      </c>
      <c r="W142" s="105">
        <f t="shared" si="90"/>
        <v>0.24273158390385902</v>
      </c>
      <c r="X142" s="105">
        <f t="shared" si="90"/>
        <v>0.24273158390385902</v>
      </c>
      <c r="Y142" s="105">
        <f t="shared" si="90"/>
        <v>0.24273158390385902</v>
      </c>
      <c r="Z142" s="105">
        <f t="shared" si="90"/>
        <v>0.24273158390385902</v>
      </c>
      <c r="AA142" s="105">
        <f t="shared" si="90"/>
        <v>0.24273158390385902</v>
      </c>
      <c r="AB142" s="105">
        <f t="shared" si="90"/>
        <v>0.24273158390385902</v>
      </c>
      <c r="AC142" s="105">
        <f t="shared" si="90"/>
        <v>0.24273158390385902</v>
      </c>
      <c r="AD142" s="105">
        <f t="shared" si="90"/>
        <v>0.24273158390385902</v>
      </c>
      <c r="AE142" s="105">
        <f t="shared" si="90"/>
        <v>0.24273158390385902</v>
      </c>
      <c r="AF142" s="105">
        <f t="shared" si="90"/>
        <v>0.24273158390385902</v>
      </c>
      <c r="AG142" s="105">
        <f t="shared" si="90"/>
        <v>0.24273158390385902</v>
      </c>
      <c r="AH142" s="162"/>
      <c r="AI142" s="162"/>
      <c r="AJ142" s="162"/>
    </row>
    <row r="143" spans="1:36" x14ac:dyDescent="0.3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105"/>
      <c r="P143" s="84"/>
      <c r="Q143" s="84"/>
      <c r="R143" s="112"/>
      <c r="S143" s="112"/>
      <c r="T143" s="112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</row>
    <row r="144" spans="1:36" x14ac:dyDescent="0.3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105"/>
      <c r="P144" s="84"/>
      <c r="Q144" s="84"/>
      <c r="R144" s="112"/>
      <c r="S144" s="112"/>
      <c r="T144" s="112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</row>
    <row r="145" spans="15:20" x14ac:dyDescent="0.3">
      <c r="O145" s="105"/>
      <c r="R145" s="126"/>
      <c r="S145" s="126"/>
      <c r="T145" s="126"/>
    </row>
    <row r="146" spans="15:20" x14ac:dyDescent="0.3">
      <c r="O146" s="105"/>
      <c r="R146" s="126"/>
      <c r="S146" s="126"/>
      <c r="T146" s="126"/>
    </row>
    <row r="147" spans="15:20" x14ac:dyDescent="0.3">
      <c r="O147" s="105"/>
      <c r="R147" s="126"/>
      <c r="S147" s="126"/>
      <c r="T147" s="126"/>
    </row>
    <row r="148" spans="15:20" x14ac:dyDescent="0.3">
      <c r="O148" s="105"/>
      <c r="R148" s="126"/>
      <c r="S148" s="126"/>
      <c r="T148" s="126"/>
    </row>
    <row r="149" spans="15:20" x14ac:dyDescent="0.3">
      <c r="O149" s="105"/>
      <c r="R149" s="126"/>
      <c r="S149" s="126"/>
      <c r="T149" s="126"/>
    </row>
    <row r="150" spans="15:20" x14ac:dyDescent="0.3">
      <c r="O150" s="105"/>
      <c r="R150" s="126"/>
      <c r="S150" s="126"/>
      <c r="T150" s="126"/>
    </row>
    <row r="151" spans="15:20" x14ac:dyDescent="0.3">
      <c r="O151" s="105"/>
      <c r="R151" s="126"/>
      <c r="S151" s="126"/>
      <c r="T151" s="126"/>
    </row>
    <row r="152" spans="15:20" x14ac:dyDescent="0.3">
      <c r="O152" s="105"/>
      <c r="R152" s="126"/>
      <c r="S152" s="126"/>
      <c r="T152" s="126"/>
    </row>
    <row r="153" spans="15:20" x14ac:dyDescent="0.3">
      <c r="O153" s="105"/>
      <c r="R153" s="126"/>
      <c r="S153" s="126"/>
      <c r="T153" s="126"/>
    </row>
    <row r="154" spans="15:20" x14ac:dyDescent="0.3">
      <c r="O154" s="105"/>
      <c r="R154" s="126"/>
      <c r="S154" s="126"/>
      <c r="T154" s="126"/>
    </row>
    <row r="155" spans="15:20" x14ac:dyDescent="0.3">
      <c r="O155" s="105"/>
      <c r="R155" s="126"/>
      <c r="S155" s="126"/>
      <c r="T155" s="126"/>
    </row>
    <row r="156" spans="15:20" x14ac:dyDescent="0.3">
      <c r="O156" s="105"/>
      <c r="R156" s="126"/>
      <c r="S156" s="126"/>
      <c r="T156" s="126"/>
    </row>
    <row r="157" spans="15:20" x14ac:dyDescent="0.3">
      <c r="O157" s="105"/>
      <c r="R157" s="126"/>
      <c r="S157" s="126"/>
      <c r="T157" s="126"/>
    </row>
    <row r="158" spans="15:20" x14ac:dyDescent="0.3">
      <c r="O158" s="105"/>
      <c r="R158" s="126"/>
      <c r="S158" s="126"/>
      <c r="T158" s="126"/>
    </row>
    <row r="159" spans="15:20" x14ac:dyDescent="0.3">
      <c r="O159" s="105"/>
      <c r="R159" s="126"/>
      <c r="S159" s="126"/>
      <c r="T159" s="126"/>
    </row>
    <row r="160" spans="15:20" x14ac:dyDescent="0.3">
      <c r="O160" s="105"/>
      <c r="R160" s="126"/>
      <c r="S160" s="126"/>
      <c r="T160" s="126"/>
    </row>
    <row r="161" spans="15:20" x14ac:dyDescent="0.3">
      <c r="O161" s="105"/>
      <c r="R161" s="126"/>
      <c r="S161" s="126"/>
      <c r="T161" s="126"/>
    </row>
    <row r="162" spans="15:20" x14ac:dyDescent="0.3">
      <c r="O162" s="105"/>
      <c r="R162" s="126"/>
      <c r="S162" s="126"/>
      <c r="T162" s="126"/>
    </row>
    <row r="163" spans="15:20" x14ac:dyDescent="0.3">
      <c r="O163" s="105"/>
      <c r="R163" s="126"/>
      <c r="S163" s="126"/>
      <c r="T163" s="126"/>
    </row>
    <row r="164" spans="15:20" x14ac:dyDescent="0.3">
      <c r="O164" s="105"/>
      <c r="R164" s="126"/>
      <c r="S164" s="126"/>
      <c r="T164" s="126"/>
    </row>
    <row r="165" spans="15:20" x14ac:dyDescent="0.3">
      <c r="O165" s="105"/>
    </row>
    <row r="166" spans="15:20" x14ac:dyDescent="0.3">
      <c r="O166" s="105"/>
    </row>
    <row r="167" spans="15:20" x14ac:dyDescent="0.3">
      <c r="O167" s="105"/>
    </row>
    <row r="168" spans="15:20" x14ac:dyDescent="0.3">
      <c r="O168" s="105"/>
    </row>
    <row r="169" spans="15:20" x14ac:dyDescent="0.3">
      <c r="O169" s="105"/>
    </row>
    <row r="170" spans="15:20" x14ac:dyDescent="0.3">
      <c r="O170" s="105"/>
    </row>
    <row r="171" spans="15:20" x14ac:dyDescent="0.3">
      <c r="O171" s="105"/>
    </row>
    <row r="172" spans="15:20" x14ac:dyDescent="0.3">
      <c r="O172" s="105"/>
    </row>
    <row r="173" spans="15:20" x14ac:dyDescent="0.3">
      <c r="O173" s="105"/>
    </row>
    <row r="174" spans="15:20" x14ac:dyDescent="0.3">
      <c r="O174" s="105"/>
    </row>
    <row r="175" spans="15:20" x14ac:dyDescent="0.3">
      <c r="O175" s="105"/>
    </row>
    <row r="176" spans="15:20" x14ac:dyDescent="0.3">
      <c r="O176" s="105"/>
    </row>
    <row r="177" spans="15:15" x14ac:dyDescent="0.3">
      <c r="O177" s="105"/>
    </row>
    <row r="178" spans="15:15" x14ac:dyDescent="0.3">
      <c r="O178" s="105"/>
    </row>
    <row r="179" spans="15:15" x14ac:dyDescent="0.3">
      <c r="O179" s="105"/>
    </row>
    <row r="180" spans="15:15" x14ac:dyDescent="0.3">
      <c r="O180" s="105"/>
    </row>
    <row r="181" spans="15:15" x14ac:dyDescent="0.3">
      <c r="O181" s="105"/>
    </row>
    <row r="182" spans="15:15" x14ac:dyDescent="0.3">
      <c r="O182" s="105"/>
    </row>
    <row r="183" spans="15:15" x14ac:dyDescent="0.3">
      <c r="O183" s="105"/>
    </row>
    <row r="184" spans="15:15" x14ac:dyDescent="0.3">
      <c r="O184" s="105"/>
    </row>
    <row r="185" spans="15:15" x14ac:dyDescent="0.3">
      <c r="O185" s="105"/>
    </row>
    <row r="186" spans="15:15" x14ac:dyDescent="0.3">
      <c r="O186" s="105"/>
    </row>
    <row r="187" spans="15:15" x14ac:dyDescent="0.3">
      <c r="O187" s="105"/>
    </row>
    <row r="188" spans="15:15" x14ac:dyDescent="0.3">
      <c r="O188" s="105"/>
    </row>
    <row r="189" spans="15:15" x14ac:dyDescent="0.3">
      <c r="O189" s="105"/>
    </row>
    <row r="190" spans="15:15" x14ac:dyDescent="0.3">
      <c r="O190" s="105"/>
    </row>
    <row r="191" spans="15:15" x14ac:dyDescent="0.3">
      <c r="O191" s="105"/>
    </row>
    <row r="192" spans="15:15" x14ac:dyDescent="0.3">
      <c r="O192" s="105"/>
    </row>
    <row r="193" spans="15:15" x14ac:dyDescent="0.3">
      <c r="O193" s="105"/>
    </row>
    <row r="194" spans="15:15" x14ac:dyDescent="0.3">
      <c r="O194" s="105"/>
    </row>
    <row r="195" spans="15:15" x14ac:dyDescent="0.3">
      <c r="O195" s="105"/>
    </row>
    <row r="196" spans="15:15" x14ac:dyDescent="0.3">
      <c r="O196" s="105"/>
    </row>
    <row r="197" spans="15:15" x14ac:dyDescent="0.3">
      <c r="O197" s="105"/>
    </row>
    <row r="198" spans="15:15" x14ac:dyDescent="0.3">
      <c r="O198" s="105"/>
    </row>
    <row r="199" spans="15:15" x14ac:dyDescent="0.3">
      <c r="O199" s="105"/>
    </row>
    <row r="200" spans="15:15" x14ac:dyDescent="0.3">
      <c r="O200" s="105"/>
    </row>
  </sheetData>
  <conditionalFormatting sqref="S12:S13">
    <cfRule type="expression" dxfId="59" priority="38">
      <formula>AND(NOT(_xlfn.ISFORMULA(S12)),ISNUMBER(S12))</formula>
    </cfRule>
  </conditionalFormatting>
  <conditionalFormatting sqref="S15">
    <cfRule type="expression" dxfId="58" priority="37">
      <formula>AND(NOT(_xlfn.ISFORMULA(S15)),ISNUMBER(S15))</formula>
    </cfRule>
  </conditionalFormatting>
  <conditionalFormatting sqref="S19:S22">
    <cfRule type="expression" dxfId="57" priority="33">
      <formula>AND(NOT(_xlfn.ISFORMULA(S19)),ISNUMBER(S19))</formula>
    </cfRule>
  </conditionalFormatting>
  <conditionalFormatting sqref="S24:S26">
    <cfRule type="expression" dxfId="56" priority="30">
      <formula>AND(NOT(_xlfn.ISFORMULA(S24)),ISNUMBER(S24))</formula>
    </cfRule>
  </conditionalFormatting>
  <conditionalFormatting sqref="S28:S31">
    <cfRule type="expression" dxfId="55" priority="26">
      <formula>AND(NOT(_xlfn.ISFORMULA(S28)),ISNUMBER(S28))</formula>
    </cfRule>
  </conditionalFormatting>
  <conditionalFormatting sqref="S38:S42">
    <cfRule type="expression" dxfId="54" priority="21">
      <formula>AND(NOT(_xlfn.ISFORMULA(S38)),ISNUMBER(S38))</formula>
    </cfRule>
  </conditionalFormatting>
  <conditionalFormatting sqref="S44:S50">
    <cfRule type="expression" dxfId="53" priority="14">
      <formula>AND(NOT(_xlfn.ISFORMULA(S44)),ISNUMBER(S44))</formula>
    </cfRule>
  </conditionalFormatting>
  <conditionalFormatting sqref="S58:S60">
    <cfRule type="expression" dxfId="52" priority="11">
      <formula>AND(NOT(_xlfn.ISFORMULA(S58)),ISNUMBER(S58))</formula>
    </cfRule>
  </conditionalFormatting>
  <conditionalFormatting sqref="S62">
    <cfRule type="expression" dxfId="51" priority="10">
      <formula>AND(NOT(_xlfn.ISFORMULA(S62)),ISNUMBER(S62))</formula>
    </cfRule>
  </conditionalFormatting>
  <conditionalFormatting sqref="S70:S72">
    <cfRule type="expression" dxfId="50" priority="7">
      <formula>AND(NOT(_xlfn.ISFORMULA(S70)),ISNUMBER(S70))</formula>
    </cfRule>
  </conditionalFormatting>
  <conditionalFormatting sqref="S74:S80">
    <cfRule type="expression" dxfId="49" priority="5">
      <formula>AND(NOT(_xlfn.ISFORMULA(S74)),ISNUMBER(S74))</formula>
    </cfRule>
  </conditionalFormatting>
  <conditionalFormatting sqref="S82:S86">
    <cfRule type="expression" dxfId="48" priority="4">
      <formula>AND(NOT(_xlfn.ISFORMULA(S82)),ISNUMBER(S82))</formula>
    </cfRule>
  </conditionalFormatting>
  <conditionalFormatting sqref="S88:S115">
    <cfRule type="expression" dxfId="47" priority="3">
      <formula>AND(NOT(_xlfn.ISFORMULA(S88)),ISNUMBER(S88))</formula>
    </cfRule>
  </conditionalFormatting>
  <conditionalFormatting sqref="S120:S121">
    <cfRule type="expression" dxfId="46" priority="2">
      <formula>AND(NOT(_xlfn.ISFORMULA(S120)),ISNUMBER(S120))</formula>
    </cfRule>
  </conditionalFormatting>
  <conditionalFormatting sqref="S124:S129">
    <cfRule type="expression" dxfId="45" priority="1">
      <formula>AND(NOT(_xlfn.ISFORMULA(S124)),ISNUMBER(S124))</formula>
    </cfRule>
  </conditionalFormatting>
  <dataValidations count="2">
    <dataValidation type="decimal" allowBlank="1" showInputMessage="1" showErrorMessage="1" errorTitle="Numbers only" error="Please enter a number (no text)." sqref="S12:AF13 S15:AF15 S19:AF22 S24:AF26 S28:AF31 S38:AF42 S44:AF50 S58:AF60 S62:AF62 S70:AF72 S74:AF80 S82:AF86 S88:AF115 S120:AF121 S124:AF129" xr:uid="{458CE792-0DDD-4730-8B46-607EFF648B85}">
      <formula1>-1000000000000000</formula1>
      <formula2>1000000000000000</formula2>
    </dataValidation>
    <dataValidation type="list" allowBlank="1" showInputMessage="1" showErrorMessage="1" sqref="R12:R13 R15 R19:R22 R24:R26 R28:R31 R38:R42 R44:R50 R58:R60 R62 R70:R72 R74:R80 R82:R86 R88:R115 R120:R121 R124:R129" xr:uid="{4D01BB48-E698-4D0F-999E-834020EE4B0C}">
      <formula1>"Even,YOY Growth,Manual"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180A4-ED75-403B-B2EC-159D8CBBC2C3}">
  <sheetPr>
    <tabColor theme="9" tint="0.59999389629810485"/>
  </sheetPr>
  <dimension ref="A1:AJ200"/>
  <sheetViews>
    <sheetView zoomScale="80" zoomScaleNormal="80" workbookViewId="0">
      <pane xSplit="1" ySplit="8" topLeftCell="B24" activePane="bottomRight" state="frozen"/>
      <selection activeCell="B9" sqref="B9"/>
      <selection pane="topRight" activeCell="B9" sqref="B9"/>
      <selection pane="bottomLeft" activeCell="B9" sqref="B9"/>
      <selection pane="bottomRight" activeCell="B9" sqref="B9"/>
    </sheetView>
  </sheetViews>
  <sheetFormatPr defaultColWidth="7.44140625" defaultRowHeight="13.8" outlineLevelCol="1" x14ac:dyDescent="0.3"/>
  <cols>
    <col min="1" max="1" width="54.77734375" style="83" customWidth="1"/>
    <col min="2" max="13" width="11.33203125" style="83" customWidth="1" outlineLevel="1"/>
    <col min="14" max="14" width="14.21875" style="83" customWidth="1"/>
    <col min="15" max="15" width="12.77734375" style="83" customWidth="1"/>
    <col min="16" max="17" width="7.5546875" style="83" customWidth="1"/>
    <col min="18" max="18" width="15" style="83" customWidth="1"/>
    <col min="19" max="19" width="13.6640625" style="83" customWidth="1"/>
    <col min="20" max="20" width="12.77734375" style="83" customWidth="1"/>
    <col min="21" max="32" width="11.33203125" style="83" customWidth="1" outlineLevel="1"/>
    <col min="33" max="33" width="14.21875" style="83" customWidth="1"/>
    <col min="34" max="34" width="12.77734375" style="83" customWidth="1"/>
    <col min="35" max="35" width="7.44140625" style="83"/>
    <col min="36" max="36" width="13.109375" style="83" customWidth="1"/>
    <col min="37" max="16384" width="7.44140625" style="83"/>
  </cols>
  <sheetData>
    <row r="1" spans="1:36" ht="21" x14ac:dyDescent="0.4">
      <c r="A1" s="82" t="s">
        <v>19</v>
      </c>
      <c r="H1" s="84"/>
      <c r="I1" s="84"/>
      <c r="J1" s="84"/>
      <c r="K1" s="84"/>
      <c r="L1" s="84"/>
      <c r="M1" s="84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</row>
    <row r="2" spans="1:36" ht="15.6" x14ac:dyDescent="0.3">
      <c r="A2" s="86" t="s">
        <v>69</v>
      </c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</row>
    <row r="4" spans="1:36" ht="14.4" x14ac:dyDescent="0.3">
      <c r="A4" s="87" t="s">
        <v>70</v>
      </c>
    </row>
    <row r="5" spans="1:36" x14ac:dyDescent="0.3"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</row>
    <row r="7" spans="1:36" x14ac:dyDescent="0.3">
      <c r="A7" s="89"/>
      <c r="B7" s="90" t="s">
        <v>71</v>
      </c>
      <c r="C7" s="90" t="s">
        <v>71</v>
      </c>
      <c r="D7" s="90" t="s">
        <v>71</v>
      </c>
      <c r="E7" s="90" t="s">
        <v>71</v>
      </c>
      <c r="F7" s="90" t="s">
        <v>71</v>
      </c>
      <c r="G7" s="90" t="s">
        <v>71</v>
      </c>
      <c r="H7" s="90" t="s">
        <v>71</v>
      </c>
      <c r="I7" s="90" t="s">
        <v>71</v>
      </c>
      <c r="J7" s="91" t="s">
        <v>72</v>
      </c>
      <c r="K7" s="91" t="s">
        <v>72</v>
      </c>
      <c r="L7" s="91" t="s">
        <v>72</v>
      </c>
      <c r="M7" s="91" t="s">
        <v>72</v>
      </c>
      <c r="N7" s="91" t="s">
        <v>72</v>
      </c>
      <c r="O7" s="91" t="s">
        <v>72</v>
      </c>
      <c r="R7" s="92"/>
      <c r="S7" s="93" t="s">
        <v>73</v>
      </c>
      <c r="T7" s="93" t="s">
        <v>74</v>
      </c>
      <c r="U7" s="94" t="s">
        <v>75</v>
      </c>
      <c r="V7" s="94" t="s">
        <v>75</v>
      </c>
      <c r="W7" s="94" t="s">
        <v>75</v>
      </c>
      <c r="X7" s="94" t="s">
        <v>75</v>
      </c>
      <c r="Y7" s="94" t="s">
        <v>75</v>
      </c>
      <c r="Z7" s="94" t="s">
        <v>75</v>
      </c>
      <c r="AA7" s="94" t="s">
        <v>75</v>
      </c>
      <c r="AB7" s="94" t="s">
        <v>75</v>
      </c>
      <c r="AC7" s="94" t="s">
        <v>75</v>
      </c>
      <c r="AD7" s="94" t="s">
        <v>75</v>
      </c>
      <c r="AE7" s="94" t="s">
        <v>75</v>
      </c>
      <c r="AF7" s="94" t="s">
        <v>75</v>
      </c>
      <c r="AG7" s="94" t="s">
        <v>75</v>
      </c>
      <c r="AH7" s="94" t="s">
        <v>75</v>
      </c>
      <c r="AJ7" s="95" t="s">
        <v>74</v>
      </c>
    </row>
    <row r="8" spans="1:36" x14ac:dyDescent="0.3">
      <c r="A8" s="89" t="s">
        <v>76</v>
      </c>
      <c r="B8" s="96" t="s">
        <v>77</v>
      </c>
      <c r="C8" s="96" t="s">
        <v>78</v>
      </c>
      <c r="D8" s="96" t="s">
        <v>79</v>
      </c>
      <c r="E8" s="96" t="s">
        <v>80</v>
      </c>
      <c r="F8" s="96" t="s">
        <v>81</v>
      </c>
      <c r="G8" s="96" t="s">
        <v>82</v>
      </c>
      <c r="H8" s="96" t="s">
        <v>83</v>
      </c>
      <c r="I8" s="96" t="s">
        <v>84</v>
      </c>
      <c r="J8" s="96" t="s">
        <v>85</v>
      </c>
      <c r="K8" s="96" t="s">
        <v>86</v>
      </c>
      <c r="L8" s="96" t="s">
        <v>87</v>
      </c>
      <c r="M8" s="96" t="s">
        <v>88</v>
      </c>
      <c r="N8" s="90">
        <v>2026</v>
      </c>
      <c r="O8" s="90" t="s">
        <v>89</v>
      </c>
      <c r="R8" s="92" t="s">
        <v>90</v>
      </c>
      <c r="S8" s="93" t="s">
        <v>91</v>
      </c>
      <c r="T8" s="93" t="s">
        <v>92</v>
      </c>
      <c r="U8" s="97" t="s">
        <v>77</v>
      </c>
      <c r="V8" s="97" t="s">
        <v>78</v>
      </c>
      <c r="W8" s="97" t="s">
        <v>79</v>
      </c>
      <c r="X8" s="97" t="s">
        <v>80</v>
      </c>
      <c r="Y8" s="97" t="s">
        <v>81</v>
      </c>
      <c r="Z8" s="97" t="s">
        <v>82</v>
      </c>
      <c r="AA8" s="97" t="s">
        <v>83</v>
      </c>
      <c r="AB8" s="97" t="s">
        <v>84</v>
      </c>
      <c r="AC8" s="97" t="s">
        <v>85</v>
      </c>
      <c r="AD8" s="97" t="s">
        <v>86</v>
      </c>
      <c r="AE8" s="97" t="s">
        <v>87</v>
      </c>
      <c r="AF8" s="97" t="s">
        <v>88</v>
      </c>
      <c r="AG8" s="98" t="s">
        <v>93</v>
      </c>
      <c r="AH8" s="94" t="s">
        <v>89</v>
      </c>
      <c r="AJ8" s="99" t="s">
        <v>94</v>
      </c>
    </row>
    <row r="9" spans="1:36" x14ac:dyDescent="0.3">
      <c r="A9" s="100" t="s">
        <v>95</v>
      </c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6" x14ac:dyDescent="0.3">
      <c r="A10" s="101" t="s">
        <v>96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</row>
    <row r="11" spans="1:36" x14ac:dyDescent="0.3">
      <c r="A11" s="102" t="s">
        <v>97</v>
      </c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</row>
    <row r="12" spans="1:36" x14ac:dyDescent="0.3">
      <c r="A12" s="103" t="s">
        <v>98</v>
      </c>
      <c r="B12" s="84">
        <f>IFERROR(SUMIF([2]Jan26A!$A:$A,$A12,INDEX([2]Jan26A!$A:$N,0,MATCH($A$1,[2]Jan26A!$A$7:$N$7,0))),0)</f>
        <v>0</v>
      </c>
      <c r="C12" s="84">
        <f>IFERROR(SUMIF([2]Feb26A!$A:$A,$A12,INDEX([2]Feb26A!$A:$N,0,MATCH($A$1,[2]Feb26A!$A$7:$N$7,0))),0)</f>
        <v>0</v>
      </c>
      <c r="D12" s="84">
        <f>IFERROR(SUMIF([2]Mar26A!$A:$A,$A12,INDEX([2]Mar26A!$A:$N,0,MATCH($A$1,[2]Mar26A!$A$7:$N$7,0))),0)</f>
        <v>0</v>
      </c>
      <c r="E12" s="84">
        <f>IFERROR(SUMIF([2]Apr26A!$A:$A,$A12,INDEX([2]Apr26A!$A:$N,0,MATCH($A$1,[2]Apr26A!$A$7:$N$7,0))),0)</f>
        <v>0</v>
      </c>
      <c r="F12" s="84">
        <f>IFERROR(SUMIF([2]May26A!$A:$A,$A12,INDEX([2]May26A!$A:$N,0,MATCH($A$1,[2]May26A!$A$7:$N$7,0))),0)</f>
        <v>0</v>
      </c>
      <c r="G12" s="84">
        <f>IFERROR(SUMIF([2]Jun26A!$A:$A,$A12,INDEX([2]Jun26A!$A:$N,0,MATCH($A$1,[2]Jun26A!$A$7:$N$7,0))),0)</f>
        <v>0</v>
      </c>
      <c r="H12" s="84">
        <f>IFERROR(SUMIF([2]Jul26A!$A:$A,$A12,INDEX([2]Jul26A!$A:$N,0,MATCH($A$1,[2]Jul26A!$A$7:$N$7,0))),0)</f>
        <v>0</v>
      </c>
      <c r="I12" s="84">
        <f>IFERROR(SUMIF([2]Aug26A!$A:$A,$A12,INDEX([2]Aug26A!$A:$N,0,MATCH($A$1,[2]Aug26A!$A$7:$N$7,0))),0)</f>
        <v>0</v>
      </c>
      <c r="J12" s="104"/>
      <c r="K12" s="104"/>
      <c r="L12" s="104"/>
      <c r="M12" s="104"/>
      <c r="N12" s="84">
        <f>SUM(B12:M12)</f>
        <v>0</v>
      </c>
      <c r="O12" s="105" t="str">
        <f>IFERROR(N12/N$16,"")</f>
        <v/>
      </c>
      <c r="P12" s="84"/>
      <c r="Q12" s="84"/>
      <c r="R12" s="106" t="s">
        <v>99</v>
      </c>
      <c r="S12" s="107"/>
      <c r="T12" s="108">
        <v>0.05</v>
      </c>
      <c r="U12" s="104">
        <f t="shared" ref="U12:AF13" si="0">IF($R12="Manual","",IFERROR(IF($R12="YOY Growth",$N12*(1+$T12)/12,$S12/12),""))</f>
        <v>0</v>
      </c>
      <c r="V12" s="104">
        <f t="shared" si="0"/>
        <v>0</v>
      </c>
      <c r="W12" s="104">
        <f t="shared" si="0"/>
        <v>0</v>
      </c>
      <c r="X12" s="104">
        <f t="shared" si="0"/>
        <v>0</v>
      </c>
      <c r="Y12" s="104">
        <f t="shared" si="0"/>
        <v>0</v>
      </c>
      <c r="Z12" s="104">
        <f t="shared" si="0"/>
        <v>0</v>
      </c>
      <c r="AA12" s="104">
        <f t="shared" si="0"/>
        <v>0</v>
      </c>
      <c r="AB12" s="104">
        <f t="shared" si="0"/>
        <v>0</v>
      </c>
      <c r="AC12" s="104">
        <f t="shared" si="0"/>
        <v>0</v>
      </c>
      <c r="AD12" s="104">
        <f t="shared" si="0"/>
        <v>0</v>
      </c>
      <c r="AE12" s="104">
        <f t="shared" si="0"/>
        <v>0</v>
      </c>
      <c r="AF12" s="104">
        <f t="shared" si="0"/>
        <v>0</v>
      </c>
      <c r="AG12" s="84">
        <f>SUM(U12:AF12)</f>
        <v>0</v>
      </c>
      <c r="AH12" s="105" t="str">
        <f>IFERROR(AG12/AG$16,"")</f>
        <v/>
      </c>
      <c r="AJ12" s="84">
        <f>AG12-N12</f>
        <v>0</v>
      </c>
    </row>
    <row r="13" spans="1:36" x14ac:dyDescent="0.3">
      <c r="A13" s="103" t="s">
        <v>100</v>
      </c>
      <c r="B13" s="84">
        <f>IFERROR(SUMIF([2]Jan26A!$A:$A,$A13,INDEX([2]Jan26A!$A:$N,0,MATCH($A$1,[2]Jan26A!$A$7:$N$7,0))),0)</f>
        <v>0</v>
      </c>
      <c r="C13" s="84">
        <f>IFERROR(SUMIF([2]Feb26A!$A:$A,$A13,INDEX([2]Feb26A!$A:$N,0,MATCH($A$1,[2]Feb26A!$A$7:$N$7,0))),0)</f>
        <v>0</v>
      </c>
      <c r="D13" s="84">
        <f>IFERROR(SUMIF([2]Mar26A!$A:$A,$A13,INDEX([2]Mar26A!$A:$N,0,MATCH($A$1,[2]Mar26A!$A$7:$N$7,0))),0)</f>
        <v>0</v>
      </c>
      <c r="E13" s="84">
        <f>IFERROR(SUMIF([2]Apr26A!$A:$A,$A13,INDEX([2]Apr26A!$A:$N,0,MATCH($A$1,[2]Apr26A!$A$7:$N$7,0))),0)</f>
        <v>0</v>
      </c>
      <c r="F13" s="84">
        <f>IFERROR(SUMIF([2]May26A!$A:$A,$A13,INDEX([2]May26A!$A:$N,0,MATCH($A$1,[2]May26A!$A$7:$N$7,0))),0)</f>
        <v>0</v>
      </c>
      <c r="G13" s="84">
        <f>IFERROR(SUMIF([2]Jun26A!$A:$A,$A13,INDEX([2]Jun26A!$A:$N,0,MATCH($A$1,[2]Jun26A!$A$7:$N$7,0))),0)</f>
        <v>0</v>
      </c>
      <c r="H13" s="84">
        <f>IFERROR(SUMIF([2]Jul26A!$A:$A,$A13,INDEX([2]Jul26A!$A:$N,0,MATCH($A$1,[2]Jul26A!$A$7:$N$7,0))),0)</f>
        <v>0</v>
      </c>
      <c r="I13" s="84">
        <f>IFERROR(SUMIF([2]Aug26A!$A:$A,$A13,INDEX([2]Aug26A!$A:$N,0,MATCH($A$1,[2]Aug26A!$A$7:$N$7,0))),0)</f>
        <v>0</v>
      </c>
      <c r="J13" s="104"/>
      <c r="K13" s="104"/>
      <c r="L13" s="104"/>
      <c r="M13" s="104"/>
      <c r="N13" s="84">
        <f>SUM(B13:M13)</f>
        <v>0</v>
      </c>
      <c r="O13" s="105" t="str">
        <f>IFERROR(N13/N$16,"")</f>
        <v/>
      </c>
      <c r="P13" s="84"/>
      <c r="Q13" s="84"/>
      <c r="R13" s="106" t="s">
        <v>99</v>
      </c>
      <c r="S13" s="107">
        <v>0</v>
      </c>
      <c r="T13" s="108">
        <v>0.05</v>
      </c>
      <c r="U13" s="104">
        <f t="shared" si="0"/>
        <v>0</v>
      </c>
      <c r="V13" s="104">
        <f t="shared" si="0"/>
        <v>0</v>
      </c>
      <c r="W13" s="104">
        <f t="shared" si="0"/>
        <v>0</v>
      </c>
      <c r="X13" s="104">
        <f t="shared" si="0"/>
        <v>0</v>
      </c>
      <c r="Y13" s="104">
        <f t="shared" si="0"/>
        <v>0</v>
      </c>
      <c r="Z13" s="104">
        <f t="shared" si="0"/>
        <v>0</v>
      </c>
      <c r="AA13" s="104">
        <f t="shared" si="0"/>
        <v>0</v>
      </c>
      <c r="AB13" s="104">
        <f t="shared" si="0"/>
        <v>0</v>
      </c>
      <c r="AC13" s="104">
        <f t="shared" si="0"/>
        <v>0</v>
      </c>
      <c r="AD13" s="104">
        <f t="shared" si="0"/>
        <v>0</v>
      </c>
      <c r="AE13" s="104">
        <f t="shared" si="0"/>
        <v>0</v>
      </c>
      <c r="AF13" s="104">
        <f t="shared" si="0"/>
        <v>0</v>
      </c>
      <c r="AG13" s="84">
        <f>SUM(U13:AF13)</f>
        <v>0</v>
      </c>
      <c r="AH13" s="105" t="str">
        <f>IFERROR(AG13/AG$16,"")</f>
        <v/>
      </c>
      <c r="AJ13" s="84">
        <f>AG13-N13</f>
        <v>0</v>
      </c>
    </row>
    <row r="14" spans="1:36" x14ac:dyDescent="0.3">
      <c r="A14" s="109" t="s">
        <v>101</v>
      </c>
      <c r="B14" s="110">
        <f t="shared" ref="B14:M14" si="1">SUM(B12:B13)</f>
        <v>0</v>
      </c>
      <c r="C14" s="110">
        <f t="shared" si="1"/>
        <v>0</v>
      </c>
      <c r="D14" s="110">
        <f t="shared" si="1"/>
        <v>0</v>
      </c>
      <c r="E14" s="110">
        <f t="shared" si="1"/>
        <v>0</v>
      </c>
      <c r="F14" s="110">
        <f t="shared" si="1"/>
        <v>0</v>
      </c>
      <c r="G14" s="110">
        <f t="shared" si="1"/>
        <v>0</v>
      </c>
      <c r="H14" s="110">
        <f t="shared" si="1"/>
        <v>0</v>
      </c>
      <c r="I14" s="110">
        <f t="shared" si="1"/>
        <v>0</v>
      </c>
      <c r="J14" s="110">
        <f t="shared" si="1"/>
        <v>0</v>
      </c>
      <c r="K14" s="110">
        <f t="shared" si="1"/>
        <v>0</v>
      </c>
      <c r="L14" s="110">
        <f t="shared" si="1"/>
        <v>0</v>
      </c>
      <c r="M14" s="110">
        <f t="shared" si="1"/>
        <v>0</v>
      </c>
      <c r="N14" s="110">
        <f>SUM(B14:M14)</f>
        <v>0</v>
      </c>
      <c r="O14" s="111">
        <f>SUM(O12:O13)</f>
        <v>0</v>
      </c>
      <c r="P14" s="84"/>
      <c r="Q14" s="84"/>
      <c r="R14" s="112"/>
      <c r="S14" s="112"/>
      <c r="T14" s="112"/>
      <c r="U14" s="110">
        <f t="shared" ref="U14:AF14" si="2">SUM(U12:U13)</f>
        <v>0</v>
      </c>
      <c r="V14" s="110">
        <f t="shared" si="2"/>
        <v>0</v>
      </c>
      <c r="W14" s="110">
        <f t="shared" si="2"/>
        <v>0</v>
      </c>
      <c r="X14" s="110">
        <f t="shared" si="2"/>
        <v>0</v>
      </c>
      <c r="Y14" s="110">
        <f t="shared" si="2"/>
        <v>0</v>
      </c>
      <c r="Z14" s="110">
        <f t="shared" si="2"/>
        <v>0</v>
      </c>
      <c r="AA14" s="110">
        <f t="shared" si="2"/>
        <v>0</v>
      </c>
      <c r="AB14" s="110">
        <f t="shared" si="2"/>
        <v>0</v>
      </c>
      <c r="AC14" s="110">
        <f t="shared" si="2"/>
        <v>0</v>
      </c>
      <c r="AD14" s="110">
        <f t="shared" si="2"/>
        <v>0</v>
      </c>
      <c r="AE14" s="110">
        <f t="shared" si="2"/>
        <v>0</v>
      </c>
      <c r="AF14" s="110">
        <f t="shared" si="2"/>
        <v>0</v>
      </c>
      <c r="AG14" s="110">
        <f>SUM(U14:AF14)</f>
        <v>0</v>
      </c>
      <c r="AH14" s="111">
        <f>SUM(AH12:AH13)</f>
        <v>0</v>
      </c>
      <c r="AJ14" s="110">
        <f>AG14-N14</f>
        <v>0</v>
      </c>
    </row>
    <row r="15" spans="1:36" x14ac:dyDescent="0.3">
      <c r="A15" s="113" t="s">
        <v>102</v>
      </c>
      <c r="B15" s="84">
        <f>IFERROR(SUMIF([2]Jan26A!$A:$A,$A15,INDEX([2]Jan26A!$A:$N,0,MATCH($A$1,[2]Jan26A!$A$7:$N$7,0))),0)</f>
        <v>0</v>
      </c>
      <c r="C15" s="84">
        <f>IFERROR(SUMIF([2]Feb26A!$A:$A,$A15,INDEX([2]Feb26A!$A:$N,0,MATCH($A$1,[2]Feb26A!$A$7:$N$7,0))),0)</f>
        <v>0</v>
      </c>
      <c r="D15" s="84">
        <f>IFERROR(SUMIF([2]Mar26A!$A:$A,$A15,INDEX([2]Mar26A!$A:$N,0,MATCH($A$1,[2]Mar26A!$A$7:$N$7,0))),0)</f>
        <v>0</v>
      </c>
      <c r="E15" s="84">
        <f>IFERROR(SUMIF([2]Apr26A!$A:$A,$A15,INDEX([2]Apr26A!$A:$N,0,MATCH($A$1,[2]Apr26A!$A$7:$N$7,0))),0)</f>
        <v>0</v>
      </c>
      <c r="F15" s="84">
        <f>IFERROR(SUMIF([2]May26A!$A:$A,$A15,INDEX([2]May26A!$A:$N,0,MATCH($A$1,[2]May26A!$A$7:$N$7,0))),0)</f>
        <v>0</v>
      </c>
      <c r="G15" s="84">
        <f>IFERROR(SUMIF([2]Jun26A!$A:$A,$A15,INDEX([2]Jun26A!$A:$N,0,MATCH($A$1,[2]Jun26A!$A$7:$N$7,0))),0)</f>
        <v>0</v>
      </c>
      <c r="H15" s="84">
        <f>IFERROR(SUMIF([2]Jul26A!$A:$A,$A15,INDEX([2]Jul26A!$A:$N,0,MATCH($A$1,[2]Jul26A!$A$7:$N$7,0))),0)</f>
        <v>0</v>
      </c>
      <c r="I15" s="84">
        <f>IFERROR(SUMIF([2]Aug26A!$A:$A,$A15,INDEX([2]Aug26A!$A:$N,0,MATCH($A$1,[2]Aug26A!$A$7:$N$7,0))),0)</f>
        <v>0</v>
      </c>
      <c r="J15" s="104"/>
      <c r="K15" s="104"/>
      <c r="L15" s="104"/>
      <c r="M15" s="104"/>
      <c r="N15" s="84">
        <f>SUM(B15:M15)</f>
        <v>0</v>
      </c>
      <c r="O15" s="105" t="str">
        <f>IFERROR(N15/N$16,"")</f>
        <v/>
      </c>
      <c r="P15" s="84"/>
      <c r="Q15" s="84"/>
      <c r="R15" s="106" t="s">
        <v>99</v>
      </c>
      <c r="S15" s="107">
        <v>0</v>
      </c>
      <c r="T15" s="108">
        <v>0.05</v>
      </c>
      <c r="U15" s="104">
        <f t="shared" ref="U15:AF15" si="3">IF($R15="Manual","",IFERROR(IF($R15="YOY Growth",$N15*(1+$T15)/12,$S15/12),""))</f>
        <v>0</v>
      </c>
      <c r="V15" s="104">
        <f t="shared" si="3"/>
        <v>0</v>
      </c>
      <c r="W15" s="104">
        <f t="shared" si="3"/>
        <v>0</v>
      </c>
      <c r="X15" s="104">
        <f t="shared" si="3"/>
        <v>0</v>
      </c>
      <c r="Y15" s="104">
        <f t="shared" si="3"/>
        <v>0</v>
      </c>
      <c r="Z15" s="104">
        <f t="shared" si="3"/>
        <v>0</v>
      </c>
      <c r="AA15" s="104">
        <f t="shared" si="3"/>
        <v>0</v>
      </c>
      <c r="AB15" s="104">
        <f t="shared" si="3"/>
        <v>0</v>
      </c>
      <c r="AC15" s="104">
        <f t="shared" si="3"/>
        <v>0</v>
      </c>
      <c r="AD15" s="104">
        <f t="shared" si="3"/>
        <v>0</v>
      </c>
      <c r="AE15" s="104">
        <f t="shared" si="3"/>
        <v>0</v>
      </c>
      <c r="AF15" s="104">
        <f t="shared" si="3"/>
        <v>0</v>
      </c>
      <c r="AG15" s="84">
        <f>SUM(U15:AF15)</f>
        <v>0</v>
      </c>
      <c r="AH15" s="105" t="str">
        <f>IFERROR(AG15/AG$16,"")</f>
        <v/>
      </c>
      <c r="AJ15" s="84">
        <f>AG15-N15</f>
        <v>0</v>
      </c>
    </row>
    <row r="16" spans="1:36" x14ac:dyDescent="0.3">
      <c r="A16" s="114" t="s">
        <v>103</v>
      </c>
      <c r="B16" s="110">
        <f t="shared" ref="B16:M16" si="4">B14+B15</f>
        <v>0</v>
      </c>
      <c r="C16" s="110">
        <f t="shared" si="4"/>
        <v>0</v>
      </c>
      <c r="D16" s="110">
        <f t="shared" si="4"/>
        <v>0</v>
      </c>
      <c r="E16" s="110">
        <f t="shared" si="4"/>
        <v>0</v>
      </c>
      <c r="F16" s="110">
        <f t="shared" si="4"/>
        <v>0</v>
      </c>
      <c r="G16" s="110">
        <f t="shared" si="4"/>
        <v>0</v>
      </c>
      <c r="H16" s="110">
        <f t="shared" si="4"/>
        <v>0</v>
      </c>
      <c r="I16" s="110">
        <f t="shared" si="4"/>
        <v>0</v>
      </c>
      <c r="J16" s="110">
        <f t="shared" si="4"/>
        <v>0</v>
      </c>
      <c r="K16" s="110">
        <f t="shared" si="4"/>
        <v>0</v>
      </c>
      <c r="L16" s="110">
        <f t="shared" si="4"/>
        <v>0</v>
      </c>
      <c r="M16" s="110">
        <f t="shared" si="4"/>
        <v>0</v>
      </c>
      <c r="N16" s="110">
        <f>SUM(B16:M16)</f>
        <v>0</v>
      </c>
      <c r="O16" s="111">
        <f>SUM(O14:O15)</f>
        <v>0</v>
      </c>
      <c r="P16" s="84"/>
      <c r="Q16" s="84"/>
      <c r="R16" s="112"/>
      <c r="S16" s="112"/>
      <c r="T16" s="112"/>
      <c r="U16" s="110">
        <f t="shared" ref="U16:AF16" si="5">U14+U15</f>
        <v>0</v>
      </c>
      <c r="V16" s="110">
        <f t="shared" si="5"/>
        <v>0</v>
      </c>
      <c r="W16" s="110">
        <f t="shared" si="5"/>
        <v>0</v>
      </c>
      <c r="X16" s="110">
        <f t="shared" si="5"/>
        <v>0</v>
      </c>
      <c r="Y16" s="110">
        <f t="shared" si="5"/>
        <v>0</v>
      </c>
      <c r="Z16" s="110">
        <f t="shared" si="5"/>
        <v>0</v>
      </c>
      <c r="AA16" s="110">
        <f t="shared" si="5"/>
        <v>0</v>
      </c>
      <c r="AB16" s="110">
        <f t="shared" si="5"/>
        <v>0</v>
      </c>
      <c r="AC16" s="110">
        <f t="shared" si="5"/>
        <v>0</v>
      </c>
      <c r="AD16" s="110">
        <f t="shared" si="5"/>
        <v>0</v>
      </c>
      <c r="AE16" s="110">
        <f t="shared" si="5"/>
        <v>0</v>
      </c>
      <c r="AF16" s="110">
        <f t="shared" si="5"/>
        <v>0</v>
      </c>
      <c r="AG16" s="110">
        <f>SUM(U16:AF16)</f>
        <v>0</v>
      </c>
      <c r="AH16" s="111">
        <f>SUM(AH14:AH15)</f>
        <v>0</v>
      </c>
      <c r="AJ16" s="110">
        <f>AG16-N16</f>
        <v>0</v>
      </c>
    </row>
    <row r="17" spans="1:36" x14ac:dyDescent="0.3">
      <c r="A17" s="101" t="s">
        <v>104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105"/>
      <c r="P17" s="84"/>
      <c r="Q17" s="84"/>
      <c r="R17" s="112"/>
      <c r="S17" s="112"/>
      <c r="T17" s="112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105"/>
      <c r="AJ17" s="84"/>
    </row>
    <row r="18" spans="1:36" x14ac:dyDescent="0.3">
      <c r="A18" s="102" t="s">
        <v>105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105"/>
      <c r="P18" s="84"/>
      <c r="Q18" s="84"/>
      <c r="R18" s="112"/>
      <c r="S18" s="112"/>
      <c r="T18" s="112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105"/>
      <c r="AJ18" s="84"/>
    </row>
    <row r="19" spans="1:36" x14ac:dyDescent="0.3">
      <c r="A19" s="103" t="s">
        <v>106</v>
      </c>
      <c r="B19" s="84">
        <f>IFERROR(SUMIF([2]Jan26A!$A:$A,$A19,INDEX([2]Jan26A!$A:$N,0,MATCH($A$1,[2]Jan26A!$A$7:$N$7,0))),0)</f>
        <v>0</v>
      </c>
      <c r="C19" s="84">
        <f>IFERROR(SUMIF([2]Feb26A!$A:$A,$A19,INDEX([2]Feb26A!$A:$N,0,MATCH($A$1,[2]Feb26A!$A$7:$N$7,0))),0)</f>
        <v>0</v>
      </c>
      <c r="D19" s="84">
        <f>IFERROR(SUMIF([2]Mar26A!$A:$A,$A19,INDEX([2]Mar26A!$A:$N,0,MATCH($A$1,[2]Mar26A!$A$7:$N$7,0))),0)</f>
        <v>0</v>
      </c>
      <c r="E19" s="84">
        <f>IFERROR(SUMIF([2]Apr26A!$A:$A,$A19,INDEX([2]Apr26A!$A:$N,0,MATCH($A$1,[2]Apr26A!$A$7:$N$7,0))),0)</f>
        <v>0</v>
      </c>
      <c r="F19" s="84">
        <f>IFERROR(SUMIF([2]May26A!$A:$A,$A19,INDEX([2]May26A!$A:$N,0,MATCH($A$1,[2]May26A!$A$7:$N$7,0))),0)</f>
        <v>0</v>
      </c>
      <c r="G19" s="84">
        <f>IFERROR(SUMIF([2]Jun26A!$A:$A,$A19,INDEX([2]Jun26A!$A:$N,0,MATCH($A$1,[2]Jun26A!$A$7:$N$7,0))),0)</f>
        <v>0</v>
      </c>
      <c r="H19" s="84">
        <f>IFERROR(SUMIF([2]Jul26A!$A:$A,$A19,INDEX([2]Jul26A!$A:$N,0,MATCH($A$1,[2]Jul26A!$A$7:$N$7,0))),0)</f>
        <v>0</v>
      </c>
      <c r="I19" s="84">
        <f>IFERROR(SUMIF([2]Aug26A!$A:$A,$A19,INDEX([2]Aug26A!$A:$N,0,MATCH($A$1,[2]Aug26A!$A$7:$N$7,0))),0)</f>
        <v>0</v>
      </c>
      <c r="J19" s="104"/>
      <c r="K19" s="104"/>
      <c r="L19" s="104"/>
      <c r="M19" s="104"/>
      <c r="N19" s="84">
        <f>SUM(B19:M19)</f>
        <v>0</v>
      </c>
      <c r="O19" s="105" t="str">
        <f>IFERROR(N19/N$16,"")</f>
        <v/>
      </c>
      <c r="P19" s="84"/>
      <c r="Q19" s="84"/>
      <c r="R19" s="106" t="s">
        <v>99</v>
      </c>
      <c r="S19" s="107">
        <v>0</v>
      </c>
      <c r="T19" s="108">
        <v>0.05</v>
      </c>
      <c r="U19" s="104">
        <f t="shared" ref="U19:AF22" si="6">IF($R19="Manual","",IFERROR(IF($R19="YOY Growth",$N19*(1+$T19)/12,$S19/12),""))</f>
        <v>0</v>
      </c>
      <c r="V19" s="104">
        <f t="shared" si="6"/>
        <v>0</v>
      </c>
      <c r="W19" s="104">
        <f t="shared" si="6"/>
        <v>0</v>
      </c>
      <c r="X19" s="104">
        <f t="shared" si="6"/>
        <v>0</v>
      </c>
      <c r="Y19" s="104">
        <f t="shared" si="6"/>
        <v>0</v>
      </c>
      <c r="Z19" s="104">
        <f t="shared" si="6"/>
        <v>0</v>
      </c>
      <c r="AA19" s="104">
        <f t="shared" si="6"/>
        <v>0</v>
      </c>
      <c r="AB19" s="104">
        <f t="shared" si="6"/>
        <v>0</v>
      </c>
      <c r="AC19" s="104">
        <f t="shared" si="6"/>
        <v>0</v>
      </c>
      <c r="AD19" s="104">
        <f t="shared" si="6"/>
        <v>0</v>
      </c>
      <c r="AE19" s="104">
        <f t="shared" si="6"/>
        <v>0</v>
      </c>
      <c r="AF19" s="104">
        <f t="shared" si="6"/>
        <v>0</v>
      </c>
      <c r="AG19" s="84">
        <f>SUM(U19:AF19)</f>
        <v>0</v>
      </c>
      <c r="AH19" s="105" t="str">
        <f>IFERROR(AG19/AG$16,"")</f>
        <v/>
      </c>
      <c r="AJ19" s="84">
        <f>N19-AG19</f>
        <v>0</v>
      </c>
    </row>
    <row r="20" spans="1:36" x14ac:dyDescent="0.3">
      <c r="A20" s="103" t="s">
        <v>107</v>
      </c>
      <c r="B20" s="84">
        <f>IFERROR(SUMIF([2]Jan26A!$A:$A,$A20,INDEX([2]Jan26A!$A:$N,0,MATCH($A$1,[2]Jan26A!$A$7:$N$7,0))),0)</f>
        <v>0</v>
      </c>
      <c r="C20" s="84">
        <f>IFERROR(SUMIF([2]Feb26A!$A:$A,$A20,INDEX([2]Feb26A!$A:$N,0,MATCH($A$1,[2]Feb26A!$A$7:$N$7,0))),0)</f>
        <v>0</v>
      </c>
      <c r="D20" s="84">
        <f>IFERROR(SUMIF([2]Mar26A!$A:$A,$A20,INDEX([2]Mar26A!$A:$N,0,MATCH($A$1,[2]Mar26A!$A$7:$N$7,0))),0)</f>
        <v>0</v>
      </c>
      <c r="E20" s="84">
        <f>IFERROR(SUMIF([2]Apr26A!$A:$A,$A20,INDEX([2]Apr26A!$A:$N,0,MATCH($A$1,[2]Apr26A!$A$7:$N$7,0))),0)</f>
        <v>0</v>
      </c>
      <c r="F20" s="84">
        <f>IFERROR(SUMIF([2]May26A!$A:$A,$A20,INDEX([2]May26A!$A:$N,0,MATCH($A$1,[2]May26A!$A$7:$N$7,0))),0)</f>
        <v>0</v>
      </c>
      <c r="G20" s="84">
        <f>IFERROR(SUMIF([2]Jun26A!$A:$A,$A20,INDEX([2]Jun26A!$A:$N,0,MATCH($A$1,[2]Jun26A!$A$7:$N$7,0))),0)</f>
        <v>0</v>
      </c>
      <c r="H20" s="84">
        <f>IFERROR(SUMIF([2]Jul26A!$A:$A,$A20,INDEX([2]Jul26A!$A:$N,0,MATCH($A$1,[2]Jul26A!$A$7:$N$7,0))),0)</f>
        <v>0</v>
      </c>
      <c r="I20" s="84">
        <f>IFERROR(SUMIF([2]Aug26A!$A:$A,$A20,INDEX([2]Aug26A!$A:$N,0,MATCH($A$1,[2]Aug26A!$A$7:$N$7,0))),0)</f>
        <v>0</v>
      </c>
      <c r="J20" s="104"/>
      <c r="K20" s="104"/>
      <c r="L20" s="104"/>
      <c r="M20" s="104"/>
      <c r="N20" s="84">
        <f>SUM(B20:M20)</f>
        <v>0</v>
      </c>
      <c r="O20" s="105" t="str">
        <f>IFERROR(N20/N$16,"")</f>
        <v/>
      </c>
      <c r="P20" s="84"/>
      <c r="Q20" s="84"/>
      <c r="R20" s="106" t="s">
        <v>99</v>
      </c>
      <c r="S20" s="107">
        <v>0</v>
      </c>
      <c r="T20" s="108">
        <v>0.05</v>
      </c>
      <c r="U20" s="104">
        <f t="shared" si="6"/>
        <v>0</v>
      </c>
      <c r="V20" s="104">
        <f t="shared" si="6"/>
        <v>0</v>
      </c>
      <c r="W20" s="104">
        <f t="shared" si="6"/>
        <v>0</v>
      </c>
      <c r="X20" s="104">
        <f t="shared" si="6"/>
        <v>0</v>
      </c>
      <c r="Y20" s="104">
        <f t="shared" si="6"/>
        <v>0</v>
      </c>
      <c r="Z20" s="104">
        <f t="shared" si="6"/>
        <v>0</v>
      </c>
      <c r="AA20" s="104">
        <f t="shared" si="6"/>
        <v>0</v>
      </c>
      <c r="AB20" s="104">
        <f t="shared" si="6"/>
        <v>0</v>
      </c>
      <c r="AC20" s="104">
        <f t="shared" si="6"/>
        <v>0</v>
      </c>
      <c r="AD20" s="104">
        <f t="shared" si="6"/>
        <v>0</v>
      </c>
      <c r="AE20" s="104">
        <f t="shared" si="6"/>
        <v>0</v>
      </c>
      <c r="AF20" s="104">
        <f t="shared" si="6"/>
        <v>0</v>
      </c>
      <c r="AG20" s="84">
        <f>SUM(U20:AF20)</f>
        <v>0</v>
      </c>
      <c r="AH20" s="105" t="str">
        <f>IFERROR(AG20/AG$16,"")</f>
        <v/>
      </c>
      <c r="AJ20" s="84">
        <f>N20-AG20</f>
        <v>0</v>
      </c>
    </row>
    <row r="21" spans="1:36" x14ac:dyDescent="0.3">
      <c r="A21" s="103" t="s">
        <v>108</v>
      </c>
      <c r="B21" s="84">
        <f>IFERROR(SUMIF([2]Jan26A!$A:$A,$A21,INDEX([2]Jan26A!$A:$N,0,MATCH($A$1,[2]Jan26A!$A$7:$N$7,0))),0)</f>
        <v>0</v>
      </c>
      <c r="C21" s="84">
        <f>IFERROR(SUMIF([2]Feb26A!$A:$A,$A21,INDEX([2]Feb26A!$A:$N,0,MATCH($A$1,[2]Feb26A!$A$7:$N$7,0))),0)</f>
        <v>0</v>
      </c>
      <c r="D21" s="84">
        <f>IFERROR(SUMIF([2]Mar26A!$A:$A,$A21,INDEX([2]Mar26A!$A:$N,0,MATCH($A$1,[2]Mar26A!$A$7:$N$7,0))),0)</f>
        <v>0</v>
      </c>
      <c r="E21" s="84">
        <f>IFERROR(SUMIF([2]Apr26A!$A:$A,$A21,INDEX([2]Apr26A!$A:$N,0,MATCH($A$1,[2]Apr26A!$A$7:$N$7,0))),0)</f>
        <v>0</v>
      </c>
      <c r="F21" s="84">
        <f>IFERROR(SUMIF([2]May26A!$A:$A,$A21,INDEX([2]May26A!$A:$N,0,MATCH($A$1,[2]May26A!$A$7:$N$7,0))),0)</f>
        <v>0</v>
      </c>
      <c r="G21" s="84">
        <f>IFERROR(SUMIF([2]Jun26A!$A:$A,$A21,INDEX([2]Jun26A!$A:$N,0,MATCH($A$1,[2]Jun26A!$A$7:$N$7,0))),0)</f>
        <v>0</v>
      </c>
      <c r="H21" s="84">
        <f>IFERROR(SUMIF([2]Jul26A!$A:$A,$A21,INDEX([2]Jul26A!$A:$N,0,MATCH($A$1,[2]Jul26A!$A$7:$N$7,0))),0)</f>
        <v>0</v>
      </c>
      <c r="I21" s="84">
        <f>IFERROR(SUMIF([2]Aug26A!$A:$A,$A21,INDEX([2]Aug26A!$A:$N,0,MATCH($A$1,[2]Aug26A!$A$7:$N$7,0))),0)</f>
        <v>0</v>
      </c>
      <c r="J21" s="104"/>
      <c r="K21" s="104"/>
      <c r="L21" s="104"/>
      <c r="M21" s="104"/>
      <c r="N21" s="84">
        <f>SUM(B21:M21)</f>
        <v>0</v>
      </c>
      <c r="O21" s="105" t="str">
        <f>IFERROR(N21/N$16,"")</f>
        <v/>
      </c>
      <c r="P21" s="84"/>
      <c r="Q21" s="84"/>
      <c r="R21" s="106" t="s">
        <v>99</v>
      </c>
      <c r="S21" s="107">
        <v>0</v>
      </c>
      <c r="T21" s="108">
        <v>0.05</v>
      </c>
      <c r="U21" s="104">
        <f t="shared" si="6"/>
        <v>0</v>
      </c>
      <c r="V21" s="104">
        <f t="shared" si="6"/>
        <v>0</v>
      </c>
      <c r="W21" s="104">
        <f t="shared" si="6"/>
        <v>0</v>
      </c>
      <c r="X21" s="104">
        <f t="shared" si="6"/>
        <v>0</v>
      </c>
      <c r="Y21" s="104">
        <f t="shared" si="6"/>
        <v>0</v>
      </c>
      <c r="Z21" s="104">
        <f t="shared" si="6"/>
        <v>0</v>
      </c>
      <c r="AA21" s="104">
        <f t="shared" si="6"/>
        <v>0</v>
      </c>
      <c r="AB21" s="104">
        <f t="shared" si="6"/>
        <v>0</v>
      </c>
      <c r="AC21" s="104">
        <f t="shared" si="6"/>
        <v>0</v>
      </c>
      <c r="AD21" s="104">
        <f t="shared" si="6"/>
        <v>0</v>
      </c>
      <c r="AE21" s="104">
        <f t="shared" si="6"/>
        <v>0</v>
      </c>
      <c r="AF21" s="104">
        <f t="shared" si="6"/>
        <v>0</v>
      </c>
      <c r="AG21" s="84">
        <f>SUM(U21:AF21)</f>
        <v>0</v>
      </c>
      <c r="AH21" s="105" t="str">
        <f>IFERROR(AG21/AG$16,"")</f>
        <v/>
      </c>
      <c r="AJ21" s="84">
        <f>N21-AG21</f>
        <v>0</v>
      </c>
    </row>
    <row r="22" spans="1:36" x14ac:dyDescent="0.3">
      <c r="A22" s="103" t="s">
        <v>109</v>
      </c>
      <c r="B22" s="84">
        <f>IFERROR(SUMIF([2]Jan26A!$A:$A,$A22,INDEX([2]Jan26A!$A:$N,0,MATCH($A$1,[2]Jan26A!$A$7:$N$7,0))),0)</f>
        <v>0</v>
      </c>
      <c r="C22" s="84">
        <f>IFERROR(SUMIF([2]Feb26A!$A:$A,$A22,INDEX([2]Feb26A!$A:$N,0,MATCH($A$1,[2]Feb26A!$A$7:$N$7,0))),0)</f>
        <v>0</v>
      </c>
      <c r="D22" s="84">
        <f>IFERROR(SUMIF([2]Mar26A!$A:$A,$A22,INDEX([2]Mar26A!$A:$N,0,MATCH($A$1,[2]Mar26A!$A$7:$N$7,0))),0)</f>
        <v>0</v>
      </c>
      <c r="E22" s="84">
        <f>IFERROR(SUMIF([2]Apr26A!$A:$A,$A22,INDEX([2]Apr26A!$A:$N,0,MATCH($A$1,[2]Apr26A!$A$7:$N$7,0))),0)</f>
        <v>0</v>
      </c>
      <c r="F22" s="84">
        <f>IFERROR(SUMIF([2]May26A!$A:$A,$A22,INDEX([2]May26A!$A:$N,0,MATCH($A$1,[2]May26A!$A$7:$N$7,0))),0)</f>
        <v>0</v>
      </c>
      <c r="G22" s="84">
        <f>IFERROR(SUMIF([2]Jun26A!$A:$A,$A22,INDEX([2]Jun26A!$A:$N,0,MATCH($A$1,[2]Jun26A!$A$7:$N$7,0))),0)</f>
        <v>0</v>
      </c>
      <c r="H22" s="84">
        <f>IFERROR(SUMIF([2]Jul26A!$A:$A,$A22,INDEX([2]Jul26A!$A:$N,0,MATCH($A$1,[2]Jul26A!$A$7:$N$7,0))),0)</f>
        <v>0</v>
      </c>
      <c r="I22" s="84">
        <f>IFERROR(SUMIF([2]Aug26A!$A:$A,$A22,INDEX([2]Aug26A!$A:$N,0,MATCH($A$1,[2]Aug26A!$A$7:$N$7,0))),0)</f>
        <v>0</v>
      </c>
      <c r="J22" s="104"/>
      <c r="K22" s="104"/>
      <c r="L22" s="104"/>
      <c r="M22" s="104"/>
      <c r="N22" s="84">
        <f>SUM(B22:M22)</f>
        <v>0</v>
      </c>
      <c r="O22" s="105" t="str">
        <f>IFERROR(N22/N$16,"")</f>
        <v/>
      </c>
      <c r="P22" s="84"/>
      <c r="Q22" s="84"/>
      <c r="R22" s="106" t="s">
        <v>99</v>
      </c>
      <c r="S22" s="107">
        <v>0</v>
      </c>
      <c r="T22" s="108">
        <v>0.05</v>
      </c>
      <c r="U22" s="104">
        <f t="shared" si="6"/>
        <v>0</v>
      </c>
      <c r="V22" s="104">
        <f t="shared" si="6"/>
        <v>0</v>
      </c>
      <c r="W22" s="104">
        <f t="shared" si="6"/>
        <v>0</v>
      </c>
      <c r="X22" s="104">
        <f t="shared" si="6"/>
        <v>0</v>
      </c>
      <c r="Y22" s="104">
        <f t="shared" si="6"/>
        <v>0</v>
      </c>
      <c r="Z22" s="104">
        <f t="shared" si="6"/>
        <v>0</v>
      </c>
      <c r="AA22" s="104">
        <f t="shared" si="6"/>
        <v>0</v>
      </c>
      <c r="AB22" s="104">
        <f t="shared" si="6"/>
        <v>0</v>
      </c>
      <c r="AC22" s="104">
        <f t="shared" si="6"/>
        <v>0</v>
      </c>
      <c r="AD22" s="104">
        <f t="shared" si="6"/>
        <v>0</v>
      </c>
      <c r="AE22" s="104">
        <f t="shared" si="6"/>
        <v>0</v>
      </c>
      <c r="AF22" s="104">
        <f t="shared" si="6"/>
        <v>0</v>
      </c>
      <c r="AG22" s="84">
        <f>SUM(U22:AF22)</f>
        <v>0</v>
      </c>
      <c r="AH22" s="105" t="str">
        <f>IFERROR(AG22/AG$16,"")</f>
        <v/>
      </c>
      <c r="AJ22" s="84">
        <f>N22-AG22</f>
        <v>0</v>
      </c>
    </row>
    <row r="23" spans="1:36" x14ac:dyDescent="0.3">
      <c r="A23" s="115" t="s">
        <v>110</v>
      </c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105"/>
      <c r="P23" s="84"/>
      <c r="Q23" s="84"/>
      <c r="R23" s="112"/>
      <c r="S23" s="112"/>
      <c r="T23" s="112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105"/>
      <c r="AJ23" s="84"/>
    </row>
    <row r="24" spans="1:36" x14ac:dyDescent="0.3">
      <c r="A24" s="116" t="s">
        <v>110</v>
      </c>
      <c r="B24" s="84">
        <f>IFERROR(SUMIF([2]Jan26A!$A:$A,$A24,INDEX([2]Jan26A!$A:$N,0,MATCH($A$1,[2]Jan26A!$A$7:$N$7,0))),0)</f>
        <v>0</v>
      </c>
      <c r="C24" s="84">
        <f>IFERROR(SUMIF([2]Feb26A!$A:$A,$A24,INDEX([2]Feb26A!$A:$N,0,MATCH($A$1,[2]Feb26A!$A$7:$N$7,0))),0)</f>
        <v>0</v>
      </c>
      <c r="D24" s="84">
        <f>IFERROR(SUMIF([2]Mar26A!$A:$A,$A24,INDEX([2]Mar26A!$A:$N,0,MATCH($A$1,[2]Mar26A!$A$7:$N$7,0))),0)</f>
        <v>0</v>
      </c>
      <c r="E24" s="84">
        <f>IFERROR(SUMIF([2]Apr26A!$A:$A,$A24,INDEX([2]Apr26A!$A:$N,0,MATCH($A$1,[2]Apr26A!$A$7:$N$7,0))),0)</f>
        <v>0</v>
      </c>
      <c r="F24" s="84">
        <f>IFERROR(SUMIF([2]May26A!$A:$A,$A24,INDEX([2]May26A!$A:$N,0,MATCH($A$1,[2]May26A!$A$7:$N$7,0))),0)</f>
        <v>0</v>
      </c>
      <c r="G24" s="84">
        <f>IFERROR(SUMIF([2]Jun26A!$A:$A,$A24,INDEX([2]Jun26A!$A:$N,0,MATCH($A$1,[2]Jun26A!$A$7:$N$7,0))),0)</f>
        <v>0</v>
      </c>
      <c r="H24" s="84">
        <f>IFERROR(SUMIF([2]Jul26A!$A:$A,$A24,INDEX([2]Jul26A!$A:$N,0,MATCH($A$1,[2]Jul26A!$A$7:$N$7,0))),0)</f>
        <v>0</v>
      </c>
      <c r="I24" s="84">
        <f>IFERROR(SUMIF([2]Aug26A!$A:$A,$A24,INDEX([2]Aug26A!$A:$N,0,MATCH($A$1,[2]Aug26A!$A$7:$N$7,0))),0)</f>
        <v>0</v>
      </c>
      <c r="J24" s="117">
        <v>0</v>
      </c>
      <c r="K24" s="117">
        <v>0</v>
      </c>
      <c r="L24" s="117">
        <v>0</v>
      </c>
      <c r="M24" s="117">
        <v>0</v>
      </c>
      <c r="N24" s="84">
        <f t="shared" ref="N24:N31" si="7">SUM(B24:M24)</f>
        <v>0</v>
      </c>
      <c r="O24" s="105" t="str">
        <f t="shared" ref="O24:O31" si="8">IFERROR(N24/N$16,"")</f>
        <v/>
      </c>
      <c r="P24" s="84"/>
      <c r="Q24" s="84"/>
      <c r="R24" s="106" t="s">
        <v>99</v>
      </c>
      <c r="S24" s="107">
        <v>0</v>
      </c>
      <c r="T24" s="108">
        <v>0.05</v>
      </c>
      <c r="U24" s="104">
        <f t="shared" ref="U24:AF26" si="9">IF($R24="Manual","",IFERROR(IF($R24="YOY Growth",$N24*(1+$T24)/12,$S24/12),""))</f>
        <v>0</v>
      </c>
      <c r="V24" s="104">
        <f t="shared" si="9"/>
        <v>0</v>
      </c>
      <c r="W24" s="104">
        <f t="shared" si="9"/>
        <v>0</v>
      </c>
      <c r="X24" s="104">
        <f t="shared" si="9"/>
        <v>0</v>
      </c>
      <c r="Y24" s="104">
        <f t="shared" si="9"/>
        <v>0</v>
      </c>
      <c r="Z24" s="104">
        <f t="shared" si="9"/>
        <v>0</v>
      </c>
      <c r="AA24" s="104">
        <f t="shared" si="9"/>
        <v>0</v>
      </c>
      <c r="AB24" s="104">
        <f t="shared" si="9"/>
        <v>0</v>
      </c>
      <c r="AC24" s="104">
        <f t="shared" si="9"/>
        <v>0</v>
      </c>
      <c r="AD24" s="104">
        <f t="shared" si="9"/>
        <v>0</v>
      </c>
      <c r="AE24" s="104">
        <f t="shared" si="9"/>
        <v>0</v>
      </c>
      <c r="AF24" s="104">
        <f t="shared" si="9"/>
        <v>0</v>
      </c>
      <c r="AG24" s="84">
        <f t="shared" ref="AG24:AG31" si="10">SUM(U24:AF24)</f>
        <v>0</v>
      </c>
      <c r="AH24" s="105" t="str">
        <f t="shared" ref="AH24:AH31" si="11">IFERROR(AG24/AG$16,"")</f>
        <v/>
      </c>
      <c r="AJ24" s="84">
        <f t="shared" ref="AJ24:AJ31" si="12">N24-AG24</f>
        <v>0</v>
      </c>
    </row>
    <row r="25" spans="1:36" x14ac:dyDescent="0.3">
      <c r="A25" s="116" t="s">
        <v>111</v>
      </c>
      <c r="B25" s="84">
        <f>IFERROR(SUMIF([2]Jan26A!$A:$A,$A25,INDEX([2]Jan26A!$A:$N,0,MATCH($A$1,[2]Jan26A!$A$7:$N$7,0))),0)</f>
        <v>0</v>
      </c>
      <c r="C25" s="84">
        <f>IFERROR(SUMIF([2]Feb26A!$A:$A,$A25,INDEX([2]Feb26A!$A:$N,0,MATCH($A$1,[2]Feb26A!$A$7:$N$7,0))),0)</f>
        <v>0</v>
      </c>
      <c r="D25" s="84">
        <f>IFERROR(SUMIF([2]Mar26A!$A:$A,$A25,INDEX([2]Mar26A!$A:$N,0,MATCH($A$1,[2]Mar26A!$A$7:$N$7,0))),0)</f>
        <v>0</v>
      </c>
      <c r="E25" s="84">
        <f>IFERROR(SUMIF([2]Apr26A!$A:$A,$A25,INDEX([2]Apr26A!$A:$N,0,MATCH($A$1,[2]Apr26A!$A$7:$N$7,0))),0)</f>
        <v>0</v>
      </c>
      <c r="F25" s="84">
        <f>IFERROR(SUMIF([2]May26A!$A:$A,$A25,INDEX([2]May26A!$A:$N,0,MATCH($A$1,[2]May26A!$A$7:$N$7,0))),0)</f>
        <v>0</v>
      </c>
      <c r="G25" s="84">
        <f>IFERROR(SUMIF([2]Jun26A!$A:$A,$A25,INDEX([2]Jun26A!$A:$N,0,MATCH($A$1,[2]Jun26A!$A$7:$N$7,0))),0)</f>
        <v>0</v>
      </c>
      <c r="H25" s="84">
        <f>IFERROR(SUMIF([2]Jul26A!$A:$A,$A25,INDEX([2]Jul26A!$A:$N,0,MATCH($A$1,[2]Jul26A!$A$7:$N$7,0))),0)</f>
        <v>0</v>
      </c>
      <c r="I25" s="84">
        <f>IFERROR(SUMIF([2]Aug26A!$A:$A,$A25,INDEX([2]Aug26A!$A:$N,0,MATCH($A$1,[2]Aug26A!$A$7:$N$7,0))),0)</f>
        <v>0</v>
      </c>
      <c r="J25" s="117">
        <v>0</v>
      </c>
      <c r="K25" s="117">
        <v>0</v>
      </c>
      <c r="L25" s="117">
        <v>0</v>
      </c>
      <c r="M25" s="117">
        <v>0</v>
      </c>
      <c r="N25" s="84">
        <f t="shared" si="7"/>
        <v>0</v>
      </c>
      <c r="O25" s="105" t="str">
        <f t="shared" si="8"/>
        <v/>
      </c>
      <c r="P25" s="84"/>
      <c r="Q25" s="84"/>
      <c r="R25" s="106" t="s">
        <v>99</v>
      </c>
      <c r="S25" s="107">
        <v>0</v>
      </c>
      <c r="T25" s="108">
        <v>0.05</v>
      </c>
      <c r="U25" s="104">
        <f t="shared" si="9"/>
        <v>0</v>
      </c>
      <c r="V25" s="104">
        <f t="shared" si="9"/>
        <v>0</v>
      </c>
      <c r="W25" s="104">
        <f t="shared" si="9"/>
        <v>0</v>
      </c>
      <c r="X25" s="104">
        <f t="shared" si="9"/>
        <v>0</v>
      </c>
      <c r="Y25" s="104">
        <f t="shared" si="9"/>
        <v>0</v>
      </c>
      <c r="Z25" s="104">
        <f t="shared" si="9"/>
        <v>0</v>
      </c>
      <c r="AA25" s="104">
        <f t="shared" si="9"/>
        <v>0</v>
      </c>
      <c r="AB25" s="104">
        <f t="shared" si="9"/>
        <v>0</v>
      </c>
      <c r="AC25" s="104">
        <f t="shared" si="9"/>
        <v>0</v>
      </c>
      <c r="AD25" s="104">
        <f t="shared" si="9"/>
        <v>0</v>
      </c>
      <c r="AE25" s="104">
        <f t="shared" si="9"/>
        <v>0</v>
      </c>
      <c r="AF25" s="104">
        <f t="shared" si="9"/>
        <v>0</v>
      </c>
      <c r="AG25" s="84">
        <f t="shared" si="10"/>
        <v>0</v>
      </c>
      <c r="AH25" s="105" t="str">
        <f t="shared" si="11"/>
        <v/>
      </c>
      <c r="AJ25" s="84">
        <f t="shared" si="12"/>
        <v>0</v>
      </c>
    </row>
    <row r="26" spans="1:36" x14ac:dyDescent="0.3">
      <c r="A26" s="116" t="s">
        <v>112</v>
      </c>
      <c r="B26" s="84">
        <f>IFERROR(SUMIF([2]Jan26A!$A:$A,$A26,INDEX([2]Jan26A!$A:$N,0,MATCH($A$1,[2]Jan26A!$A$7:$N$7,0))),0)</f>
        <v>0</v>
      </c>
      <c r="C26" s="84">
        <f>IFERROR(SUMIF([2]Feb26A!$A:$A,$A26,INDEX([2]Feb26A!$A:$N,0,MATCH($A$1,[2]Feb26A!$A$7:$N$7,0))),0)</f>
        <v>0</v>
      </c>
      <c r="D26" s="84">
        <f>IFERROR(SUMIF([2]Mar26A!$A:$A,$A26,INDEX([2]Mar26A!$A:$N,0,MATCH($A$1,[2]Mar26A!$A$7:$N$7,0))),0)</f>
        <v>0</v>
      </c>
      <c r="E26" s="84">
        <f>IFERROR(SUMIF([2]Apr26A!$A:$A,$A26,INDEX([2]Apr26A!$A:$N,0,MATCH($A$1,[2]Apr26A!$A$7:$N$7,0))),0)</f>
        <v>0</v>
      </c>
      <c r="F26" s="84">
        <f>IFERROR(SUMIF([2]May26A!$A:$A,$A26,INDEX([2]May26A!$A:$N,0,MATCH($A$1,[2]May26A!$A$7:$N$7,0))),0)</f>
        <v>0</v>
      </c>
      <c r="G26" s="84">
        <f>IFERROR(SUMIF([2]Jun26A!$A:$A,$A26,INDEX([2]Jun26A!$A:$N,0,MATCH($A$1,[2]Jun26A!$A$7:$N$7,0))),0)</f>
        <v>0</v>
      </c>
      <c r="H26" s="84">
        <f>IFERROR(SUMIF([2]Jul26A!$A:$A,$A26,INDEX([2]Jul26A!$A:$N,0,MATCH($A$1,[2]Jul26A!$A$7:$N$7,0))),0)</f>
        <v>0</v>
      </c>
      <c r="I26" s="84">
        <f>IFERROR(SUMIF([2]Aug26A!$A:$A,$A26,INDEX([2]Aug26A!$A:$N,0,MATCH($A$1,[2]Aug26A!$A$7:$N$7,0))),0)</f>
        <v>0</v>
      </c>
      <c r="J26" s="117">
        <v>0</v>
      </c>
      <c r="K26" s="117">
        <v>0</v>
      </c>
      <c r="L26" s="117">
        <v>0</v>
      </c>
      <c r="M26" s="117">
        <v>0</v>
      </c>
      <c r="N26" s="84">
        <f t="shared" si="7"/>
        <v>0</v>
      </c>
      <c r="O26" s="105" t="str">
        <f t="shared" si="8"/>
        <v/>
      </c>
      <c r="P26" s="84"/>
      <c r="Q26" s="84"/>
      <c r="R26" s="106" t="s">
        <v>99</v>
      </c>
      <c r="S26" s="107">
        <v>0</v>
      </c>
      <c r="T26" s="108">
        <v>0.05</v>
      </c>
      <c r="U26" s="104">
        <f t="shared" si="9"/>
        <v>0</v>
      </c>
      <c r="V26" s="104">
        <f t="shared" si="9"/>
        <v>0</v>
      </c>
      <c r="W26" s="104">
        <f t="shared" si="9"/>
        <v>0</v>
      </c>
      <c r="X26" s="104">
        <f t="shared" si="9"/>
        <v>0</v>
      </c>
      <c r="Y26" s="104">
        <f t="shared" si="9"/>
        <v>0</v>
      </c>
      <c r="Z26" s="104">
        <f t="shared" si="9"/>
        <v>0</v>
      </c>
      <c r="AA26" s="104">
        <f t="shared" si="9"/>
        <v>0</v>
      </c>
      <c r="AB26" s="104">
        <f t="shared" si="9"/>
        <v>0</v>
      </c>
      <c r="AC26" s="104">
        <f t="shared" si="9"/>
        <v>0</v>
      </c>
      <c r="AD26" s="104">
        <f t="shared" si="9"/>
        <v>0</v>
      </c>
      <c r="AE26" s="104">
        <f t="shared" si="9"/>
        <v>0</v>
      </c>
      <c r="AF26" s="104">
        <f t="shared" si="9"/>
        <v>0</v>
      </c>
      <c r="AG26" s="84">
        <f t="shared" si="10"/>
        <v>0</v>
      </c>
      <c r="AH26" s="105" t="str">
        <f t="shared" si="11"/>
        <v/>
      </c>
      <c r="AJ26" s="84">
        <f t="shared" si="12"/>
        <v>0</v>
      </c>
    </row>
    <row r="27" spans="1:36" x14ac:dyDescent="0.3">
      <c r="A27" s="118" t="s">
        <v>113</v>
      </c>
      <c r="B27" s="110">
        <f t="shared" ref="B27:M27" si="13">SUM(B24:B26)</f>
        <v>0</v>
      </c>
      <c r="C27" s="110">
        <f t="shared" si="13"/>
        <v>0</v>
      </c>
      <c r="D27" s="110">
        <f t="shared" si="13"/>
        <v>0</v>
      </c>
      <c r="E27" s="110">
        <f t="shared" si="13"/>
        <v>0</v>
      </c>
      <c r="F27" s="110">
        <f t="shared" si="13"/>
        <v>0</v>
      </c>
      <c r="G27" s="110">
        <f t="shared" si="13"/>
        <v>0</v>
      </c>
      <c r="H27" s="110">
        <f t="shared" si="13"/>
        <v>0</v>
      </c>
      <c r="I27" s="110">
        <f t="shared" si="13"/>
        <v>0</v>
      </c>
      <c r="J27" s="110">
        <f t="shared" si="13"/>
        <v>0</v>
      </c>
      <c r="K27" s="110">
        <f t="shared" si="13"/>
        <v>0</v>
      </c>
      <c r="L27" s="110">
        <f t="shared" si="13"/>
        <v>0</v>
      </c>
      <c r="M27" s="110">
        <f t="shared" si="13"/>
        <v>0</v>
      </c>
      <c r="N27" s="110">
        <f t="shared" si="7"/>
        <v>0</v>
      </c>
      <c r="O27" s="111" t="str">
        <f t="shared" si="8"/>
        <v/>
      </c>
      <c r="P27" s="84"/>
      <c r="Q27" s="84"/>
      <c r="R27" s="112"/>
      <c r="S27" s="112"/>
      <c r="T27" s="112"/>
      <c r="U27" s="110">
        <f t="shared" ref="U27:AF27" si="14">SUM(U24:U26)</f>
        <v>0</v>
      </c>
      <c r="V27" s="110">
        <f t="shared" si="14"/>
        <v>0</v>
      </c>
      <c r="W27" s="110">
        <f t="shared" si="14"/>
        <v>0</v>
      </c>
      <c r="X27" s="110">
        <f t="shared" si="14"/>
        <v>0</v>
      </c>
      <c r="Y27" s="110">
        <f t="shared" si="14"/>
        <v>0</v>
      </c>
      <c r="Z27" s="110">
        <f t="shared" si="14"/>
        <v>0</v>
      </c>
      <c r="AA27" s="110">
        <f t="shared" si="14"/>
        <v>0</v>
      </c>
      <c r="AB27" s="110">
        <f t="shared" si="14"/>
        <v>0</v>
      </c>
      <c r="AC27" s="110">
        <f t="shared" si="14"/>
        <v>0</v>
      </c>
      <c r="AD27" s="110">
        <f t="shared" si="14"/>
        <v>0</v>
      </c>
      <c r="AE27" s="110">
        <f t="shared" si="14"/>
        <v>0</v>
      </c>
      <c r="AF27" s="110">
        <f t="shared" si="14"/>
        <v>0</v>
      </c>
      <c r="AG27" s="110">
        <f t="shared" si="10"/>
        <v>0</v>
      </c>
      <c r="AH27" s="111" t="str">
        <f t="shared" si="11"/>
        <v/>
      </c>
      <c r="AJ27" s="110">
        <f t="shared" si="12"/>
        <v>0</v>
      </c>
    </row>
    <row r="28" spans="1:36" x14ac:dyDescent="0.3">
      <c r="A28" s="103" t="s">
        <v>114</v>
      </c>
      <c r="B28" s="84">
        <f>IFERROR(SUMIF([2]Jan26A!$A:$A,$A28,INDEX([2]Jan26A!$A:$N,0,MATCH($A$1,[2]Jan26A!$A$7:$N$7,0))),0)</f>
        <v>0</v>
      </c>
      <c r="C28" s="84">
        <f>IFERROR(SUMIF([2]Feb26A!$A:$A,$A28,INDEX([2]Feb26A!$A:$N,0,MATCH($A$1,[2]Feb26A!$A$7:$N$7,0))),0)</f>
        <v>0</v>
      </c>
      <c r="D28" s="84">
        <f>IFERROR(SUMIF([2]Mar26A!$A:$A,$A28,INDEX([2]Mar26A!$A:$N,0,MATCH($A$1,[2]Mar26A!$A$7:$N$7,0))),0)</f>
        <v>0</v>
      </c>
      <c r="E28" s="84">
        <f>IFERROR(SUMIF([2]Apr26A!$A:$A,$A28,INDEX([2]Apr26A!$A:$N,0,MATCH($A$1,[2]Apr26A!$A$7:$N$7,0))),0)</f>
        <v>0</v>
      </c>
      <c r="F28" s="84">
        <f>IFERROR(SUMIF([2]May26A!$A:$A,$A28,INDEX([2]May26A!$A:$N,0,MATCH($A$1,[2]May26A!$A$7:$N$7,0))),0)</f>
        <v>0</v>
      </c>
      <c r="G28" s="84">
        <f>IFERROR(SUMIF([2]Jun26A!$A:$A,$A28,INDEX([2]Jun26A!$A:$N,0,MATCH($A$1,[2]Jun26A!$A$7:$N$7,0))),0)</f>
        <v>0</v>
      </c>
      <c r="H28" s="84">
        <f>IFERROR(SUMIF([2]Jul26A!$A:$A,$A28,INDEX([2]Jul26A!$A:$N,0,MATCH($A$1,[2]Jul26A!$A$7:$N$7,0))),0)</f>
        <v>0</v>
      </c>
      <c r="I28" s="84">
        <f>IFERROR(SUMIF([2]Aug26A!$A:$A,$A28,INDEX([2]Aug26A!$A:$N,0,MATCH($A$1,[2]Aug26A!$A$7:$N$7,0))),0)</f>
        <v>0</v>
      </c>
      <c r="J28" s="117">
        <v>0</v>
      </c>
      <c r="K28" s="117">
        <v>0</v>
      </c>
      <c r="L28" s="117">
        <v>0</v>
      </c>
      <c r="M28" s="117">
        <v>0</v>
      </c>
      <c r="N28" s="84">
        <f t="shared" si="7"/>
        <v>0</v>
      </c>
      <c r="O28" s="105" t="str">
        <f t="shared" si="8"/>
        <v/>
      </c>
      <c r="P28" s="84"/>
      <c r="Q28" s="84"/>
      <c r="R28" s="106" t="s">
        <v>99</v>
      </c>
      <c r="S28" s="107">
        <v>0</v>
      </c>
      <c r="T28" s="108">
        <v>0.05</v>
      </c>
      <c r="U28" s="104">
        <f t="shared" ref="U28:AF31" si="15">IF($R28="Manual","",IFERROR(IF($R28="YOY Growth",$N28*(1+$T28)/12,$S28/12),""))</f>
        <v>0</v>
      </c>
      <c r="V28" s="104">
        <f t="shared" si="15"/>
        <v>0</v>
      </c>
      <c r="W28" s="104">
        <f t="shared" si="15"/>
        <v>0</v>
      </c>
      <c r="X28" s="104">
        <f t="shared" si="15"/>
        <v>0</v>
      </c>
      <c r="Y28" s="104">
        <f t="shared" si="15"/>
        <v>0</v>
      </c>
      <c r="Z28" s="104">
        <f t="shared" si="15"/>
        <v>0</v>
      </c>
      <c r="AA28" s="104">
        <f t="shared" si="15"/>
        <v>0</v>
      </c>
      <c r="AB28" s="104">
        <f t="shared" si="15"/>
        <v>0</v>
      </c>
      <c r="AC28" s="104">
        <f t="shared" si="15"/>
        <v>0</v>
      </c>
      <c r="AD28" s="104">
        <f t="shared" si="15"/>
        <v>0</v>
      </c>
      <c r="AE28" s="104">
        <f t="shared" si="15"/>
        <v>0</v>
      </c>
      <c r="AF28" s="104">
        <f t="shared" si="15"/>
        <v>0</v>
      </c>
      <c r="AG28" s="84">
        <f t="shared" si="10"/>
        <v>0</v>
      </c>
      <c r="AH28" s="105" t="str">
        <f t="shared" si="11"/>
        <v/>
      </c>
      <c r="AJ28" s="84">
        <f t="shared" si="12"/>
        <v>0</v>
      </c>
    </row>
    <row r="29" spans="1:36" x14ac:dyDescent="0.3">
      <c r="A29" s="103" t="s">
        <v>115</v>
      </c>
      <c r="B29" s="84">
        <f>IFERROR(SUMIF([2]Jan26A!$A:$A,$A29,INDEX([2]Jan26A!$A:$N,0,MATCH($A$1,[2]Jan26A!$A$7:$N$7,0))),0)</f>
        <v>0</v>
      </c>
      <c r="C29" s="84">
        <f>IFERROR(SUMIF([2]Feb26A!$A:$A,$A29,INDEX([2]Feb26A!$A:$N,0,MATCH($A$1,[2]Feb26A!$A$7:$N$7,0))),0)</f>
        <v>2542.81</v>
      </c>
      <c r="D29" s="84">
        <f>IFERROR(SUMIF([2]Mar26A!$A:$A,$A29,INDEX([2]Mar26A!$A:$N,0,MATCH($A$1,[2]Mar26A!$A$7:$N$7,0))),0)</f>
        <v>0</v>
      </c>
      <c r="E29" s="84">
        <f>IFERROR(SUMIF([2]Apr26A!$A:$A,$A29,INDEX([2]Apr26A!$A:$N,0,MATCH($A$1,[2]Apr26A!$A$7:$N$7,0))),0)</f>
        <v>0</v>
      </c>
      <c r="F29" s="84">
        <f>IFERROR(SUMIF([2]May26A!$A:$A,$A29,INDEX([2]May26A!$A:$N,0,MATCH($A$1,[2]May26A!$A$7:$N$7,0))),0)</f>
        <v>0</v>
      </c>
      <c r="G29" s="84">
        <f>IFERROR(SUMIF([2]Jun26A!$A:$A,$A29,INDEX([2]Jun26A!$A:$N,0,MATCH($A$1,[2]Jun26A!$A$7:$N$7,0))),0)</f>
        <v>0</v>
      </c>
      <c r="H29" s="84">
        <f>IFERROR(SUMIF([2]Jul26A!$A:$A,$A29,INDEX([2]Jul26A!$A:$N,0,MATCH($A$1,[2]Jul26A!$A$7:$N$7,0))),0)</f>
        <v>0</v>
      </c>
      <c r="I29" s="84">
        <f>IFERROR(SUMIF([2]Aug26A!$A:$A,$A29,INDEX([2]Aug26A!$A:$N,0,MATCH($A$1,[2]Aug26A!$A$7:$N$7,0))),0)</f>
        <v>0</v>
      </c>
      <c r="J29" s="117">
        <v>0</v>
      </c>
      <c r="K29" s="117">
        <v>0</v>
      </c>
      <c r="L29" s="117">
        <v>0</v>
      </c>
      <c r="M29" s="117">
        <v>0</v>
      </c>
      <c r="N29" s="84">
        <f t="shared" si="7"/>
        <v>2542.81</v>
      </c>
      <c r="O29" s="105" t="str">
        <f t="shared" si="8"/>
        <v/>
      </c>
      <c r="P29" s="84"/>
      <c r="Q29" s="84"/>
      <c r="R29" s="106" t="s">
        <v>99</v>
      </c>
      <c r="S29" s="107">
        <v>0</v>
      </c>
      <c r="T29" s="108">
        <v>0.05</v>
      </c>
      <c r="U29" s="104">
        <f t="shared" si="15"/>
        <v>0</v>
      </c>
      <c r="V29" s="104">
        <f t="shared" si="15"/>
        <v>0</v>
      </c>
      <c r="W29" s="104">
        <f t="shared" si="15"/>
        <v>0</v>
      </c>
      <c r="X29" s="104">
        <f t="shared" si="15"/>
        <v>0</v>
      </c>
      <c r="Y29" s="104">
        <f t="shared" si="15"/>
        <v>0</v>
      </c>
      <c r="Z29" s="104">
        <f t="shared" si="15"/>
        <v>0</v>
      </c>
      <c r="AA29" s="104">
        <f t="shared" si="15"/>
        <v>0</v>
      </c>
      <c r="AB29" s="104">
        <f t="shared" si="15"/>
        <v>0</v>
      </c>
      <c r="AC29" s="104">
        <f t="shared" si="15"/>
        <v>0</v>
      </c>
      <c r="AD29" s="104">
        <f t="shared" si="15"/>
        <v>0</v>
      </c>
      <c r="AE29" s="104">
        <f t="shared" si="15"/>
        <v>0</v>
      </c>
      <c r="AF29" s="104">
        <f t="shared" si="15"/>
        <v>0</v>
      </c>
      <c r="AG29" s="84">
        <f t="shared" si="10"/>
        <v>0</v>
      </c>
      <c r="AH29" s="105" t="str">
        <f t="shared" si="11"/>
        <v/>
      </c>
      <c r="AJ29" s="84">
        <f t="shared" si="12"/>
        <v>2542.81</v>
      </c>
    </row>
    <row r="30" spans="1:36" x14ac:dyDescent="0.3">
      <c r="A30" s="103" t="s">
        <v>116</v>
      </c>
      <c r="B30" s="84">
        <f>IFERROR(SUMIF([2]Jan26A!$A:$A,$A30,INDEX([2]Jan26A!$A:$N,0,MATCH($A$1,[2]Jan26A!$A$7:$N$7,0))),0)</f>
        <v>290.38</v>
      </c>
      <c r="C30" s="84">
        <f>IFERROR(SUMIF([2]Feb26A!$A:$A,$A30,INDEX([2]Feb26A!$A:$N,0,MATCH($A$1,[2]Feb26A!$A$7:$N$7,0))),0)</f>
        <v>1333.96</v>
      </c>
      <c r="D30" s="84">
        <f>IFERROR(SUMIF([2]Mar26A!$A:$A,$A30,INDEX([2]Mar26A!$A:$N,0,MATCH($A$1,[2]Mar26A!$A$7:$N$7,0))),0)</f>
        <v>0</v>
      </c>
      <c r="E30" s="84">
        <f>IFERROR(SUMIF([2]Apr26A!$A:$A,$A30,INDEX([2]Apr26A!$A:$N,0,MATCH($A$1,[2]Apr26A!$A$7:$N$7,0))),0)</f>
        <v>0</v>
      </c>
      <c r="F30" s="84">
        <f>IFERROR(SUMIF([2]May26A!$A:$A,$A30,INDEX([2]May26A!$A:$N,0,MATCH($A$1,[2]May26A!$A$7:$N$7,0))),0)</f>
        <v>0</v>
      </c>
      <c r="G30" s="84">
        <f>IFERROR(SUMIF([2]Jun26A!$A:$A,$A30,INDEX([2]Jun26A!$A:$N,0,MATCH($A$1,[2]Jun26A!$A$7:$N$7,0))),0)</f>
        <v>1287.3699999999999</v>
      </c>
      <c r="H30" s="84">
        <f>IFERROR(SUMIF([2]Jul26A!$A:$A,$A30,INDEX([2]Jul26A!$A:$N,0,MATCH($A$1,[2]Jul26A!$A$7:$N$7,0))),0)</f>
        <v>928.46</v>
      </c>
      <c r="I30" s="84">
        <f>IFERROR(SUMIF([2]Aug26A!$A:$A,$A30,INDEX([2]Aug26A!$A:$N,0,MATCH($A$1,[2]Aug26A!$A$7:$N$7,0))),0)</f>
        <v>734.17</v>
      </c>
      <c r="J30" s="117">
        <v>0</v>
      </c>
      <c r="K30" s="117">
        <v>0</v>
      </c>
      <c r="L30" s="117">
        <v>0</v>
      </c>
      <c r="M30" s="117">
        <v>0</v>
      </c>
      <c r="N30" s="84">
        <f t="shared" si="7"/>
        <v>4574.34</v>
      </c>
      <c r="O30" s="105" t="str">
        <f t="shared" si="8"/>
        <v/>
      </c>
      <c r="P30" s="84"/>
      <c r="Q30" s="84"/>
      <c r="R30" s="106" t="s">
        <v>99</v>
      </c>
      <c r="S30" s="107">
        <v>0</v>
      </c>
      <c r="T30" s="108">
        <v>0.05</v>
      </c>
      <c r="U30" s="104">
        <f t="shared" si="15"/>
        <v>0</v>
      </c>
      <c r="V30" s="104">
        <f t="shared" si="15"/>
        <v>0</v>
      </c>
      <c r="W30" s="104">
        <f t="shared" si="15"/>
        <v>0</v>
      </c>
      <c r="X30" s="104">
        <f t="shared" si="15"/>
        <v>0</v>
      </c>
      <c r="Y30" s="104">
        <f t="shared" si="15"/>
        <v>0</v>
      </c>
      <c r="Z30" s="104">
        <f t="shared" si="15"/>
        <v>0</v>
      </c>
      <c r="AA30" s="104">
        <f t="shared" si="15"/>
        <v>0</v>
      </c>
      <c r="AB30" s="104">
        <f t="shared" si="15"/>
        <v>0</v>
      </c>
      <c r="AC30" s="104">
        <f t="shared" si="15"/>
        <v>0</v>
      </c>
      <c r="AD30" s="104">
        <f t="shared" si="15"/>
        <v>0</v>
      </c>
      <c r="AE30" s="104">
        <f t="shared" si="15"/>
        <v>0</v>
      </c>
      <c r="AF30" s="104">
        <f t="shared" si="15"/>
        <v>0</v>
      </c>
      <c r="AG30" s="84">
        <f t="shared" si="10"/>
        <v>0</v>
      </c>
      <c r="AH30" s="105" t="str">
        <f t="shared" si="11"/>
        <v/>
      </c>
      <c r="AJ30" s="84">
        <f t="shared" si="12"/>
        <v>4574.34</v>
      </c>
    </row>
    <row r="31" spans="1:36" x14ac:dyDescent="0.3">
      <c r="A31" s="103" t="s">
        <v>117</v>
      </c>
      <c r="B31" s="84">
        <f>IFERROR(SUMIF([2]Jan26A!$A:$A,$A31,INDEX([2]Jan26A!$A:$N,0,MATCH($A$1,[2]Jan26A!$A$7:$N$7,0))),0)</f>
        <v>12.4</v>
      </c>
      <c r="C31" s="84">
        <f>IFERROR(SUMIF([2]Feb26A!$A:$A,$A31,INDEX([2]Feb26A!$A:$N,0,MATCH($A$1,[2]Feb26A!$A$7:$N$7,0))),0)</f>
        <v>232.07</v>
      </c>
      <c r="D31" s="84">
        <f>IFERROR(SUMIF([2]Mar26A!$A:$A,$A31,INDEX([2]Mar26A!$A:$N,0,MATCH($A$1,[2]Mar26A!$A$7:$N$7,0))),0)</f>
        <v>0</v>
      </c>
      <c r="E31" s="84">
        <f>IFERROR(SUMIF([2]Apr26A!$A:$A,$A31,INDEX([2]Apr26A!$A:$N,0,MATCH($A$1,[2]Apr26A!$A$7:$N$7,0))),0)</f>
        <v>0</v>
      </c>
      <c r="F31" s="84">
        <f>IFERROR(SUMIF([2]May26A!$A:$A,$A31,INDEX([2]May26A!$A:$N,0,MATCH($A$1,[2]May26A!$A$7:$N$7,0))),0)</f>
        <v>0</v>
      </c>
      <c r="G31" s="84">
        <f>IFERROR(SUMIF([2]Jun26A!$A:$A,$A31,INDEX([2]Jun26A!$A:$N,0,MATCH($A$1,[2]Jun26A!$A$7:$N$7,0))),0)</f>
        <v>0</v>
      </c>
      <c r="H31" s="84">
        <f>IFERROR(SUMIF([2]Jul26A!$A:$A,$A31,INDEX([2]Jul26A!$A:$N,0,MATCH($A$1,[2]Jul26A!$A$7:$N$7,0))),0)</f>
        <v>165.51</v>
      </c>
      <c r="I31" s="84">
        <f>IFERROR(SUMIF([2]Aug26A!$A:$A,$A31,INDEX([2]Aug26A!$A:$N,0,MATCH($A$1,[2]Aug26A!$A$7:$N$7,0))),0)</f>
        <v>118.67</v>
      </c>
      <c r="J31" s="117">
        <v>0</v>
      </c>
      <c r="K31" s="117">
        <v>0</v>
      </c>
      <c r="L31" s="117">
        <v>0</v>
      </c>
      <c r="M31" s="117">
        <v>0</v>
      </c>
      <c r="N31" s="84">
        <f t="shared" si="7"/>
        <v>528.65</v>
      </c>
      <c r="O31" s="105" t="str">
        <f t="shared" si="8"/>
        <v/>
      </c>
      <c r="P31" s="84"/>
      <c r="Q31" s="84"/>
      <c r="R31" s="106" t="s">
        <v>99</v>
      </c>
      <c r="S31" s="107">
        <v>0</v>
      </c>
      <c r="T31" s="108">
        <v>0.05</v>
      </c>
      <c r="U31" s="104">
        <f t="shared" si="15"/>
        <v>0</v>
      </c>
      <c r="V31" s="104">
        <f t="shared" si="15"/>
        <v>0</v>
      </c>
      <c r="W31" s="104">
        <f t="shared" si="15"/>
        <v>0</v>
      </c>
      <c r="X31" s="104">
        <f t="shared" si="15"/>
        <v>0</v>
      </c>
      <c r="Y31" s="104">
        <f t="shared" si="15"/>
        <v>0</v>
      </c>
      <c r="Z31" s="104">
        <f t="shared" si="15"/>
        <v>0</v>
      </c>
      <c r="AA31" s="104">
        <f t="shared" si="15"/>
        <v>0</v>
      </c>
      <c r="AB31" s="104">
        <f t="shared" si="15"/>
        <v>0</v>
      </c>
      <c r="AC31" s="104">
        <f t="shared" si="15"/>
        <v>0</v>
      </c>
      <c r="AD31" s="104">
        <f t="shared" si="15"/>
        <v>0</v>
      </c>
      <c r="AE31" s="104">
        <f t="shared" si="15"/>
        <v>0</v>
      </c>
      <c r="AF31" s="104">
        <f t="shared" si="15"/>
        <v>0</v>
      </c>
      <c r="AG31" s="84">
        <f t="shared" si="10"/>
        <v>0</v>
      </c>
      <c r="AH31" s="105" t="str">
        <f t="shared" si="11"/>
        <v/>
      </c>
      <c r="AJ31" s="84">
        <f t="shared" si="12"/>
        <v>528.65</v>
      </c>
    </row>
    <row r="32" spans="1:36" x14ac:dyDescent="0.3">
      <c r="A32" s="115" t="s">
        <v>118</v>
      </c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105"/>
      <c r="P32" s="84"/>
      <c r="Q32" s="84"/>
      <c r="R32" s="112"/>
      <c r="S32" s="112"/>
      <c r="T32" s="112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105"/>
      <c r="AJ32" s="84"/>
    </row>
    <row r="33" spans="1:36" x14ac:dyDescent="0.3">
      <c r="A33" s="116" t="s">
        <v>119</v>
      </c>
      <c r="B33" s="84">
        <f>IFERROR(SUMIF([2]Jan26A!$A:$A,$A33,INDEX([2]Jan26A!$A:$N,0,MATCH($A$1,[2]Jan26A!$A$7:$N$7,0))),0)</f>
        <v>0</v>
      </c>
      <c r="C33" s="84">
        <f>IFERROR(SUMIF([2]Feb26A!$A:$A,$A33,INDEX([2]Feb26A!$A:$N,0,MATCH($A$1,[2]Feb26A!$A$7:$N$7,0))),0)</f>
        <v>0</v>
      </c>
      <c r="D33" s="84">
        <f>IFERROR(SUMIF([2]Mar26A!$A:$A,$A33,INDEX([2]Mar26A!$A:$N,0,MATCH($A$1,[2]Mar26A!$A$7:$N$7,0))),0)</f>
        <v>0</v>
      </c>
      <c r="E33" s="84">
        <f>IFERROR(SUMIF([2]Apr26A!$A:$A,$A33,INDEX([2]Apr26A!$A:$N,0,MATCH($A$1,[2]Apr26A!$A$7:$N$7,0))),0)</f>
        <v>0</v>
      </c>
      <c r="F33" s="84">
        <f>IFERROR(SUMIF([2]May26A!$A:$A,$A33,INDEX([2]May26A!$A:$N,0,MATCH($A$1,[2]May26A!$A$7:$N$7,0))),0)</f>
        <v>0</v>
      </c>
      <c r="G33" s="84">
        <f>IFERROR(SUMIF([2]Jun26A!$A:$A,$A33,INDEX([2]Jun26A!$A:$N,0,MATCH($A$1,[2]Jun26A!$A$7:$N$7,0))),0)</f>
        <v>0</v>
      </c>
      <c r="H33" s="84">
        <f>IFERROR(SUMIF([2]Jul26A!$A:$A,$A33,INDEX([2]Jul26A!$A:$N,0,MATCH($A$1,[2]Jul26A!$A$7:$N$7,0))),0)</f>
        <v>0</v>
      </c>
      <c r="I33" s="84">
        <f>IFERROR(SUMIF([2]Aug26A!$A:$A,$A33,INDEX([2]Aug26A!$A:$N,0,MATCH($A$1,[2]Aug26A!$A$7:$N$7,0))),0)</f>
        <v>0</v>
      </c>
      <c r="J33" s="117">
        <v>0</v>
      </c>
      <c r="K33" s="117">
        <v>0</v>
      </c>
      <c r="L33" s="117">
        <v>0</v>
      </c>
      <c r="M33" s="117">
        <v>0</v>
      </c>
      <c r="N33" s="84">
        <f t="shared" ref="N33:N42" si="16">SUM(B33:M33)</f>
        <v>0</v>
      </c>
      <c r="O33" s="105" t="str">
        <f t="shared" ref="O33:O42" si="17">IFERROR(N33/N$16,"")</f>
        <v/>
      </c>
      <c r="P33" s="84"/>
      <c r="Q33" s="84"/>
      <c r="R33" s="168"/>
      <c r="S33" s="168"/>
      <c r="T33" s="168"/>
      <c r="U33" s="168"/>
      <c r="V33" s="168"/>
      <c r="W33" s="168"/>
      <c r="X33" s="168"/>
      <c r="Y33" s="168"/>
      <c r="Z33" s="168"/>
      <c r="AA33" s="168"/>
      <c r="AB33" s="168"/>
      <c r="AC33" s="168"/>
      <c r="AD33" s="168"/>
      <c r="AE33" s="168"/>
      <c r="AF33" s="168"/>
      <c r="AG33" s="84">
        <f t="shared" ref="AG33:AG42" si="18">SUM(U33:AF33)</f>
        <v>0</v>
      </c>
      <c r="AH33" s="105" t="str">
        <f t="shared" ref="AH33:AH42" si="19">IFERROR(AG33/AG$16,"")</f>
        <v/>
      </c>
      <c r="AJ33" s="84">
        <f t="shared" ref="AJ33:AJ42" si="20">N33-AG33</f>
        <v>0</v>
      </c>
    </row>
    <row r="34" spans="1:36" x14ac:dyDescent="0.3">
      <c r="A34" s="116" t="s">
        <v>120</v>
      </c>
      <c r="B34" s="84">
        <f>IFERROR(SUMIF([2]Jan26A!$A:$A,$A34,INDEX([2]Jan26A!$A:$N,0,MATCH($A$1,[2]Jan26A!$A$7:$N$7,0))),0)</f>
        <v>0</v>
      </c>
      <c r="C34" s="84">
        <f>IFERROR(SUMIF([2]Feb26A!$A:$A,$A34,INDEX([2]Feb26A!$A:$N,0,MATCH($A$1,[2]Feb26A!$A$7:$N$7,0))),0)</f>
        <v>-222.48</v>
      </c>
      <c r="D34" s="84">
        <f>IFERROR(SUMIF([2]Mar26A!$A:$A,$A34,INDEX([2]Mar26A!$A:$N,0,MATCH($A$1,[2]Mar26A!$A$7:$N$7,0))),0)</f>
        <v>0</v>
      </c>
      <c r="E34" s="84">
        <f>IFERROR(SUMIF([2]Apr26A!$A:$A,$A34,INDEX([2]Apr26A!$A:$N,0,MATCH($A$1,[2]Apr26A!$A$7:$N$7,0))),0)</f>
        <v>0</v>
      </c>
      <c r="F34" s="84">
        <f>IFERROR(SUMIF([2]May26A!$A:$A,$A34,INDEX([2]May26A!$A:$N,0,MATCH($A$1,[2]May26A!$A$7:$N$7,0))),0)</f>
        <v>0</v>
      </c>
      <c r="G34" s="84">
        <f>IFERROR(SUMIF([2]Jun26A!$A:$A,$A34,INDEX([2]Jun26A!$A:$N,0,MATCH($A$1,[2]Jun26A!$A$7:$N$7,0))),0)</f>
        <v>0</v>
      </c>
      <c r="H34" s="84">
        <f>IFERROR(SUMIF([2]Jul26A!$A:$A,$A34,INDEX([2]Jul26A!$A:$N,0,MATCH($A$1,[2]Jul26A!$A$7:$N$7,0))),0)</f>
        <v>0</v>
      </c>
      <c r="I34" s="84">
        <f>IFERROR(SUMIF([2]Aug26A!$A:$A,$A34,INDEX([2]Aug26A!$A:$N,0,MATCH($A$1,[2]Aug26A!$A$7:$N$7,0))),0)</f>
        <v>0</v>
      </c>
      <c r="J34" s="117">
        <v>0</v>
      </c>
      <c r="K34" s="117">
        <v>0</v>
      </c>
      <c r="L34" s="117">
        <v>0</v>
      </c>
      <c r="M34" s="117">
        <v>0</v>
      </c>
      <c r="N34" s="84">
        <f t="shared" si="16"/>
        <v>-222.48</v>
      </c>
      <c r="O34" s="105" t="str">
        <f t="shared" si="17"/>
        <v/>
      </c>
      <c r="P34" s="84"/>
      <c r="Q34" s="84"/>
      <c r="R34" s="168"/>
      <c r="S34" s="168"/>
      <c r="T34" s="168"/>
      <c r="U34" s="168"/>
      <c r="V34" s="168"/>
      <c r="W34" s="168"/>
      <c r="X34" s="168"/>
      <c r="Y34" s="168"/>
      <c r="Z34" s="168"/>
      <c r="AA34" s="168"/>
      <c r="AB34" s="168"/>
      <c r="AC34" s="168"/>
      <c r="AD34" s="168"/>
      <c r="AE34" s="168"/>
      <c r="AF34" s="168"/>
      <c r="AG34" s="84">
        <f t="shared" si="18"/>
        <v>0</v>
      </c>
      <c r="AH34" s="105" t="str">
        <f t="shared" si="19"/>
        <v/>
      </c>
      <c r="AJ34" s="84">
        <f t="shared" si="20"/>
        <v>-222.48</v>
      </c>
    </row>
    <row r="35" spans="1:36" x14ac:dyDescent="0.3">
      <c r="A35" s="116" t="s">
        <v>121</v>
      </c>
      <c r="B35" s="84">
        <f>IFERROR(SUMIF([2]Jan26A!$A:$A,$A35,INDEX([2]Jan26A!$A:$N,0,MATCH($A$1,[2]Jan26A!$A$7:$N$7,0))),0)</f>
        <v>0</v>
      </c>
      <c r="C35" s="84">
        <f>IFERROR(SUMIF([2]Feb26A!$A:$A,$A35,INDEX([2]Feb26A!$A:$N,0,MATCH($A$1,[2]Feb26A!$A$7:$N$7,0))),0)</f>
        <v>0</v>
      </c>
      <c r="D35" s="84">
        <f>IFERROR(SUMIF([2]Mar26A!$A:$A,$A35,INDEX([2]Mar26A!$A:$N,0,MATCH($A$1,[2]Mar26A!$A$7:$N$7,0))),0)</f>
        <v>0</v>
      </c>
      <c r="E35" s="84">
        <f>IFERROR(SUMIF([2]Apr26A!$A:$A,$A35,INDEX([2]Apr26A!$A:$N,0,MATCH($A$1,[2]Apr26A!$A$7:$N$7,0))),0)</f>
        <v>0</v>
      </c>
      <c r="F35" s="84">
        <f>IFERROR(SUMIF([2]May26A!$A:$A,$A35,INDEX([2]May26A!$A:$N,0,MATCH($A$1,[2]May26A!$A$7:$N$7,0))),0)</f>
        <v>0</v>
      </c>
      <c r="G35" s="84">
        <f>IFERROR(SUMIF([2]Jun26A!$A:$A,$A35,INDEX([2]Jun26A!$A:$N,0,MATCH($A$1,[2]Jun26A!$A$7:$N$7,0))),0)</f>
        <v>0</v>
      </c>
      <c r="H35" s="84">
        <f>IFERROR(SUMIF([2]Jul26A!$A:$A,$A35,INDEX([2]Jul26A!$A:$N,0,MATCH($A$1,[2]Jul26A!$A$7:$N$7,0))),0)</f>
        <v>0</v>
      </c>
      <c r="I35" s="84">
        <f>IFERROR(SUMIF([2]Aug26A!$A:$A,$A35,INDEX([2]Aug26A!$A:$N,0,MATCH($A$1,[2]Aug26A!$A$7:$N$7,0))),0)</f>
        <v>0</v>
      </c>
      <c r="J35" s="117">
        <v>0</v>
      </c>
      <c r="K35" s="117">
        <v>0</v>
      </c>
      <c r="L35" s="117">
        <v>0</v>
      </c>
      <c r="M35" s="117">
        <v>0</v>
      </c>
      <c r="N35" s="84">
        <f t="shared" si="16"/>
        <v>0</v>
      </c>
      <c r="O35" s="105" t="str">
        <f t="shared" si="17"/>
        <v/>
      </c>
      <c r="P35" s="84"/>
      <c r="Q35" s="84"/>
      <c r="R35" s="168"/>
      <c r="S35" s="168"/>
      <c r="T35" s="168"/>
      <c r="U35" s="168"/>
      <c r="V35" s="168"/>
      <c r="W35" s="168"/>
      <c r="X35" s="168"/>
      <c r="Y35" s="168"/>
      <c r="Z35" s="168"/>
      <c r="AA35" s="168"/>
      <c r="AB35" s="168"/>
      <c r="AC35" s="168"/>
      <c r="AD35" s="168"/>
      <c r="AE35" s="168"/>
      <c r="AF35" s="168"/>
      <c r="AG35" s="84">
        <f t="shared" si="18"/>
        <v>0</v>
      </c>
      <c r="AH35" s="105" t="str">
        <f t="shared" si="19"/>
        <v/>
      </c>
      <c r="AJ35" s="84">
        <f t="shared" si="20"/>
        <v>0</v>
      </c>
    </row>
    <row r="36" spans="1:36" x14ac:dyDescent="0.3">
      <c r="A36" s="118" t="s">
        <v>122</v>
      </c>
      <c r="B36" s="110">
        <f t="shared" ref="B36:M36" si="21">SUM(B33:B35)</f>
        <v>0</v>
      </c>
      <c r="C36" s="110">
        <f t="shared" si="21"/>
        <v>-222.48</v>
      </c>
      <c r="D36" s="110">
        <f t="shared" si="21"/>
        <v>0</v>
      </c>
      <c r="E36" s="110">
        <f t="shared" si="21"/>
        <v>0</v>
      </c>
      <c r="F36" s="110">
        <f t="shared" si="21"/>
        <v>0</v>
      </c>
      <c r="G36" s="110">
        <f t="shared" si="21"/>
        <v>0</v>
      </c>
      <c r="H36" s="110">
        <f t="shared" si="21"/>
        <v>0</v>
      </c>
      <c r="I36" s="110">
        <f t="shared" si="21"/>
        <v>0</v>
      </c>
      <c r="J36" s="110">
        <f t="shared" si="21"/>
        <v>0</v>
      </c>
      <c r="K36" s="110">
        <f t="shared" si="21"/>
        <v>0</v>
      </c>
      <c r="L36" s="110">
        <f t="shared" si="21"/>
        <v>0</v>
      </c>
      <c r="M36" s="110">
        <f t="shared" si="21"/>
        <v>0</v>
      </c>
      <c r="N36" s="110">
        <f t="shared" si="16"/>
        <v>-222.48</v>
      </c>
      <c r="O36" s="111" t="str">
        <f t="shared" si="17"/>
        <v/>
      </c>
      <c r="P36" s="84"/>
      <c r="Q36" s="84"/>
      <c r="R36" s="112"/>
      <c r="S36" s="112"/>
      <c r="T36" s="112"/>
      <c r="U36" s="110">
        <f t="shared" ref="U36:AF36" si="22">SUM(U33:U35)</f>
        <v>0</v>
      </c>
      <c r="V36" s="110">
        <f t="shared" si="22"/>
        <v>0</v>
      </c>
      <c r="W36" s="110">
        <f t="shared" si="22"/>
        <v>0</v>
      </c>
      <c r="X36" s="110">
        <f t="shared" si="22"/>
        <v>0</v>
      </c>
      <c r="Y36" s="110">
        <f t="shared" si="22"/>
        <v>0</v>
      </c>
      <c r="Z36" s="110">
        <f t="shared" si="22"/>
        <v>0</v>
      </c>
      <c r="AA36" s="110">
        <f t="shared" si="22"/>
        <v>0</v>
      </c>
      <c r="AB36" s="110">
        <f t="shared" si="22"/>
        <v>0</v>
      </c>
      <c r="AC36" s="110">
        <f t="shared" si="22"/>
        <v>0</v>
      </c>
      <c r="AD36" s="110">
        <f t="shared" si="22"/>
        <v>0</v>
      </c>
      <c r="AE36" s="110">
        <f t="shared" si="22"/>
        <v>0</v>
      </c>
      <c r="AF36" s="110">
        <f t="shared" si="22"/>
        <v>0</v>
      </c>
      <c r="AG36" s="110">
        <f t="shared" si="18"/>
        <v>0</v>
      </c>
      <c r="AH36" s="111" t="str">
        <f t="shared" si="19"/>
        <v/>
      </c>
      <c r="AJ36" s="110">
        <f t="shared" si="20"/>
        <v>-222.48</v>
      </c>
    </row>
    <row r="37" spans="1:36" x14ac:dyDescent="0.3">
      <c r="A37" s="109" t="s">
        <v>123</v>
      </c>
      <c r="B37" s="110">
        <f t="shared" ref="B37:M37" si="23">B19+B22+B27+B28+B29+B30+B31+B36+B20+B21</f>
        <v>302.77999999999997</v>
      </c>
      <c r="C37" s="110">
        <f t="shared" si="23"/>
        <v>3886.36</v>
      </c>
      <c r="D37" s="110">
        <f t="shared" si="23"/>
        <v>0</v>
      </c>
      <c r="E37" s="110">
        <f t="shared" si="23"/>
        <v>0</v>
      </c>
      <c r="F37" s="110">
        <f t="shared" si="23"/>
        <v>0</v>
      </c>
      <c r="G37" s="110">
        <f t="shared" si="23"/>
        <v>1287.3699999999999</v>
      </c>
      <c r="H37" s="110">
        <f t="shared" si="23"/>
        <v>1093.97</v>
      </c>
      <c r="I37" s="110">
        <f t="shared" si="23"/>
        <v>852.83999999999992</v>
      </c>
      <c r="J37" s="110">
        <f t="shared" si="23"/>
        <v>0</v>
      </c>
      <c r="K37" s="110">
        <f t="shared" si="23"/>
        <v>0</v>
      </c>
      <c r="L37" s="110">
        <f t="shared" si="23"/>
        <v>0</v>
      </c>
      <c r="M37" s="110">
        <f t="shared" si="23"/>
        <v>0</v>
      </c>
      <c r="N37" s="110">
        <f t="shared" si="16"/>
        <v>7423.3200000000006</v>
      </c>
      <c r="O37" s="111" t="str">
        <f t="shared" si="17"/>
        <v/>
      </c>
      <c r="P37" s="84"/>
      <c r="Q37" s="84"/>
      <c r="R37" s="112"/>
      <c r="S37" s="112"/>
      <c r="T37" s="112"/>
      <c r="U37" s="110">
        <f t="shared" ref="U37:AF37" si="24">U19+U22+U27+U28+U29+U30+U31+U36+U20+U21</f>
        <v>0</v>
      </c>
      <c r="V37" s="110">
        <f t="shared" si="24"/>
        <v>0</v>
      </c>
      <c r="W37" s="110">
        <f t="shared" si="24"/>
        <v>0</v>
      </c>
      <c r="X37" s="110">
        <f t="shared" si="24"/>
        <v>0</v>
      </c>
      <c r="Y37" s="110">
        <f t="shared" si="24"/>
        <v>0</v>
      </c>
      <c r="Z37" s="110">
        <f t="shared" si="24"/>
        <v>0</v>
      </c>
      <c r="AA37" s="110">
        <f t="shared" si="24"/>
        <v>0</v>
      </c>
      <c r="AB37" s="110">
        <f t="shared" si="24"/>
        <v>0</v>
      </c>
      <c r="AC37" s="110">
        <f t="shared" si="24"/>
        <v>0</v>
      </c>
      <c r="AD37" s="110">
        <f t="shared" si="24"/>
        <v>0</v>
      </c>
      <c r="AE37" s="110">
        <f t="shared" si="24"/>
        <v>0</v>
      </c>
      <c r="AF37" s="110">
        <f t="shared" si="24"/>
        <v>0</v>
      </c>
      <c r="AG37" s="110">
        <f t="shared" si="18"/>
        <v>0</v>
      </c>
      <c r="AH37" s="111" t="str">
        <f t="shared" si="19"/>
        <v/>
      </c>
      <c r="AJ37" s="110">
        <f t="shared" si="20"/>
        <v>7423.3200000000006</v>
      </c>
    </row>
    <row r="38" spans="1:36" x14ac:dyDescent="0.3">
      <c r="A38" s="113" t="s">
        <v>124</v>
      </c>
      <c r="B38" s="84">
        <f>IFERROR(SUMIF([2]Jan26A!$A:$A,$A38,INDEX([2]Jan26A!$A:$N,0,MATCH($A$1,[2]Jan26A!$A$7:$N$7,0))),0)</f>
        <v>0</v>
      </c>
      <c r="C38" s="84">
        <f>IFERROR(SUMIF([2]Feb26A!$A:$A,$A38,INDEX([2]Feb26A!$A:$N,0,MATCH($A$1,[2]Feb26A!$A$7:$N$7,0))),0)</f>
        <v>0</v>
      </c>
      <c r="D38" s="84">
        <f>IFERROR(SUMIF([2]Mar26A!$A:$A,$A38,INDEX([2]Mar26A!$A:$N,0,MATCH($A$1,[2]Mar26A!$A$7:$N$7,0))),0)</f>
        <v>0</v>
      </c>
      <c r="E38" s="84">
        <f>IFERROR(SUMIF([2]Apr26A!$A:$A,$A38,INDEX([2]Apr26A!$A:$N,0,MATCH($A$1,[2]Apr26A!$A$7:$N$7,0))),0)</f>
        <v>0</v>
      </c>
      <c r="F38" s="84">
        <f>IFERROR(SUMIF([2]May26A!$A:$A,$A38,INDEX([2]May26A!$A:$N,0,MATCH($A$1,[2]May26A!$A$7:$N$7,0))),0)</f>
        <v>0</v>
      </c>
      <c r="G38" s="84">
        <f>IFERROR(SUMIF([2]Jun26A!$A:$A,$A38,INDEX([2]Jun26A!$A:$N,0,MATCH($A$1,[2]Jun26A!$A$7:$N$7,0))),0)</f>
        <v>0</v>
      </c>
      <c r="H38" s="84">
        <f>IFERROR(SUMIF([2]Jul26A!$A:$A,$A38,INDEX([2]Jul26A!$A:$N,0,MATCH($A$1,[2]Jul26A!$A$7:$N$7,0))),0)</f>
        <v>0</v>
      </c>
      <c r="I38" s="84">
        <f>IFERROR(SUMIF([2]Aug26A!$A:$A,$A38,INDEX([2]Aug26A!$A:$N,0,MATCH($A$1,[2]Aug26A!$A$7:$N$7,0))),0)</f>
        <v>0</v>
      </c>
      <c r="J38" s="117">
        <v>0</v>
      </c>
      <c r="K38" s="117">
        <v>0</v>
      </c>
      <c r="L38" s="117">
        <v>0</v>
      </c>
      <c r="M38" s="117">
        <v>0</v>
      </c>
      <c r="N38" s="84">
        <f t="shared" si="16"/>
        <v>0</v>
      </c>
      <c r="O38" s="105" t="str">
        <f t="shared" si="17"/>
        <v/>
      </c>
      <c r="P38" s="84"/>
      <c r="Q38" s="84"/>
      <c r="R38" s="106" t="s">
        <v>99</v>
      </c>
      <c r="S38" s="107">
        <v>0</v>
      </c>
      <c r="T38" s="108">
        <v>0.05</v>
      </c>
      <c r="U38" s="104">
        <f t="shared" ref="U38:AF42" si="25">IF($R38="Manual","",IFERROR(IF($R38="YOY Growth",$N38*(1+$T38)/12,$S38/12),""))</f>
        <v>0</v>
      </c>
      <c r="V38" s="104">
        <f t="shared" si="25"/>
        <v>0</v>
      </c>
      <c r="W38" s="104">
        <f t="shared" si="25"/>
        <v>0</v>
      </c>
      <c r="X38" s="104">
        <f t="shared" si="25"/>
        <v>0</v>
      </c>
      <c r="Y38" s="104">
        <f t="shared" si="25"/>
        <v>0</v>
      </c>
      <c r="Z38" s="104">
        <f t="shared" si="25"/>
        <v>0</v>
      </c>
      <c r="AA38" s="104">
        <f t="shared" si="25"/>
        <v>0</v>
      </c>
      <c r="AB38" s="104">
        <f t="shared" si="25"/>
        <v>0</v>
      </c>
      <c r="AC38" s="104">
        <f t="shared" si="25"/>
        <v>0</v>
      </c>
      <c r="AD38" s="104">
        <f t="shared" si="25"/>
        <v>0</v>
      </c>
      <c r="AE38" s="104">
        <f t="shared" si="25"/>
        <v>0</v>
      </c>
      <c r="AF38" s="104">
        <f t="shared" si="25"/>
        <v>0</v>
      </c>
      <c r="AG38" s="84">
        <f t="shared" si="18"/>
        <v>0</v>
      </c>
      <c r="AH38" s="105" t="str">
        <f t="shared" si="19"/>
        <v/>
      </c>
      <c r="AJ38" s="84">
        <f t="shared" si="20"/>
        <v>0</v>
      </c>
    </row>
    <row r="39" spans="1:36" x14ac:dyDescent="0.3">
      <c r="A39" s="113" t="s">
        <v>125</v>
      </c>
      <c r="B39" s="84">
        <f>IFERROR(SUMIF([2]Jan26A!$A:$A,$A39,INDEX([2]Jan26A!$A:$N,0,MATCH($A$1,[2]Jan26A!$A$7:$N$7,0))),0)</f>
        <v>0</v>
      </c>
      <c r="C39" s="84">
        <f>IFERROR(SUMIF([2]Feb26A!$A:$A,$A39,INDEX([2]Feb26A!$A:$N,0,MATCH($A$1,[2]Feb26A!$A$7:$N$7,0))),0)</f>
        <v>0</v>
      </c>
      <c r="D39" s="84">
        <f>IFERROR(SUMIF([2]Mar26A!$A:$A,$A39,INDEX([2]Mar26A!$A:$N,0,MATCH($A$1,[2]Mar26A!$A$7:$N$7,0))),0)</f>
        <v>0</v>
      </c>
      <c r="E39" s="84">
        <f>IFERROR(SUMIF([2]Apr26A!$A:$A,$A39,INDEX([2]Apr26A!$A:$N,0,MATCH($A$1,[2]Apr26A!$A$7:$N$7,0))),0)</f>
        <v>0</v>
      </c>
      <c r="F39" s="84">
        <f>IFERROR(SUMIF([2]May26A!$A:$A,$A39,INDEX([2]May26A!$A:$N,0,MATCH($A$1,[2]May26A!$A$7:$N$7,0))),0)</f>
        <v>0</v>
      </c>
      <c r="G39" s="84">
        <f>IFERROR(SUMIF([2]Jun26A!$A:$A,$A39,INDEX([2]Jun26A!$A:$N,0,MATCH($A$1,[2]Jun26A!$A$7:$N$7,0))),0)</f>
        <v>0</v>
      </c>
      <c r="H39" s="84">
        <f>IFERROR(SUMIF([2]Jul26A!$A:$A,$A39,INDEX([2]Jul26A!$A:$N,0,MATCH($A$1,[2]Jul26A!$A$7:$N$7,0))),0)</f>
        <v>0</v>
      </c>
      <c r="I39" s="84">
        <f>IFERROR(SUMIF([2]Aug26A!$A:$A,$A39,INDEX([2]Aug26A!$A:$N,0,MATCH($A$1,[2]Aug26A!$A$7:$N$7,0))),0)</f>
        <v>0</v>
      </c>
      <c r="J39" s="117">
        <v>0</v>
      </c>
      <c r="K39" s="117">
        <v>0</v>
      </c>
      <c r="L39" s="117">
        <v>0</v>
      </c>
      <c r="M39" s="117">
        <v>0</v>
      </c>
      <c r="N39" s="84">
        <f t="shared" si="16"/>
        <v>0</v>
      </c>
      <c r="O39" s="105" t="str">
        <f t="shared" si="17"/>
        <v/>
      </c>
      <c r="P39" s="84"/>
      <c r="Q39" s="84"/>
      <c r="R39" s="106" t="s">
        <v>99</v>
      </c>
      <c r="S39" s="107">
        <v>0</v>
      </c>
      <c r="T39" s="108">
        <v>0.05</v>
      </c>
      <c r="U39" s="104">
        <f t="shared" si="25"/>
        <v>0</v>
      </c>
      <c r="V39" s="104">
        <f t="shared" si="25"/>
        <v>0</v>
      </c>
      <c r="W39" s="104">
        <f t="shared" si="25"/>
        <v>0</v>
      </c>
      <c r="X39" s="104">
        <f t="shared" si="25"/>
        <v>0</v>
      </c>
      <c r="Y39" s="104">
        <f t="shared" si="25"/>
        <v>0</v>
      </c>
      <c r="Z39" s="104">
        <f t="shared" si="25"/>
        <v>0</v>
      </c>
      <c r="AA39" s="104">
        <f t="shared" si="25"/>
        <v>0</v>
      </c>
      <c r="AB39" s="104">
        <f t="shared" si="25"/>
        <v>0</v>
      </c>
      <c r="AC39" s="104">
        <f t="shared" si="25"/>
        <v>0</v>
      </c>
      <c r="AD39" s="104">
        <f t="shared" si="25"/>
        <v>0</v>
      </c>
      <c r="AE39" s="104">
        <f t="shared" si="25"/>
        <v>0</v>
      </c>
      <c r="AF39" s="104">
        <f t="shared" si="25"/>
        <v>0</v>
      </c>
      <c r="AG39" s="84">
        <f t="shared" si="18"/>
        <v>0</v>
      </c>
      <c r="AH39" s="105" t="str">
        <f t="shared" si="19"/>
        <v/>
      </c>
      <c r="AJ39" s="84">
        <f t="shared" si="20"/>
        <v>0</v>
      </c>
    </row>
    <row r="40" spans="1:36" x14ac:dyDescent="0.3">
      <c r="A40" s="113" t="s">
        <v>126</v>
      </c>
      <c r="B40" s="84">
        <f>IFERROR(SUMIF([2]Jan26A!$A:$A,$A40,INDEX([2]Jan26A!$A:$N,0,MATCH($A$1,[2]Jan26A!$A$7:$N$7,0))),0)</f>
        <v>0</v>
      </c>
      <c r="C40" s="84">
        <f>IFERROR(SUMIF([2]Feb26A!$A:$A,$A40,INDEX([2]Feb26A!$A:$N,0,MATCH($A$1,[2]Feb26A!$A$7:$N$7,0))),0)</f>
        <v>0</v>
      </c>
      <c r="D40" s="84">
        <f>IFERROR(SUMIF([2]Mar26A!$A:$A,$A40,INDEX([2]Mar26A!$A:$N,0,MATCH($A$1,[2]Mar26A!$A$7:$N$7,0))),0)</f>
        <v>0</v>
      </c>
      <c r="E40" s="84">
        <f>IFERROR(SUMIF([2]Apr26A!$A:$A,$A40,INDEX([2]Apr26A!$A:$N,0,MATCH($A$1,[2]Apr26A!$A$7:$N$7,0))),0)</f>
        <v>0</v>
      </c>
      <c r="F40" s="84">
        <f>IFERROR(SUMIF([2]May26A!$A:$A,$A40,INDEX([2]May26A!$A:$N,0,MATCH($A$1,[2]May26A!$A$7:$N$7,0))),0)</f>
        <v>0</v>
      </c>
      <c r="G40" s="84">
        <f>IFERROR(SUMIF([2]Jun26A!$A:$A,$A40,INDEX([2]Jun26A!$A:$N,0,MATCH($A$1,[2]Jun26A!$A$7:$N$7,0))),0)</f>
        <v>0</v>
      </c>
      <c r="H40" s="84">
        <f>IFERROR(SUMIF([2]Jul26A!$A:$A,$A40,INDEX([2]Jul26A!$A:$N,0,MATCH($A$1,[2]Jul26A!$A$7:$N$7,0))),0)</f>
        <v>0</v>
      </c>
      <c r="I40" s="84">
        <f>IFERROR(SUMIF([2]Aug26A!$A:$A,$A40,INDEX([2]Aug26A!$A:$N,0,MATCH($A$1,[2]Aug26A!$A$7:$N$7,0))),0)</f>
        <v>0</v>
      </c>
      <c r="J40" s="117">
        <v>0</v>
      </c>
      <c r="K40" s="117">
        <v>0</v>
      </c>
      <c r="L40" s="117">
        <v>0</v>
      </c>
      <c r="M40" s="117">
        <v>0</v>
      </c>
      <c r="N40" s="84">
        <f t="shared" si="16"/>
        <v>0</v>
      </c>
      <c r="O40" s="105" t="str">
        <f t="shared" si="17"/>
        <v/>
      </c>
      <c r="P40" s="84"/>
      <c r="Q40" s="84"/>
      <c r="R40" s="106" t="s">
        <v>99</v>
      </c>
      <c r="S40" s="107">
        <v>0</v>
      </c>
      <c r="T40" s="108">
        <v>0.05</v>
      </c>
      <c r="U40" s="104">
        <f t="shared" si="25"/>
        <v>0</v>
      </c>
      <c r="V40" s="104">
        <f t="shared" si="25"/>
        <v>0</v>
      </c>
      <c r="W40" s="104">
        <f t="shared" si="25"/>
        <v>0</v>
      </c>
      <c r="X40" s="104">
        <f t="shared" si="25"/>
        <v>0</v>
      </c>
      <c r="Y40" s="104">
        <f t="shared" si="25"/>
        <v>0</v>
      </c>
      <c r="Z40" s="104">
        <f t="shared" si="25"/>
        <v>0</v>
      </c>
      <c r="AA40" s="104">
        <f t="shared" si="25"/>
        <v>0</v>
      </c>
      <c r="AB40" s="104">
        <f t="shared" si="25"/>
        <v>0</v>
      </c>
      <c r="AC40" s="104">
        <f t="shared" si="25"/>
        <v>0</v>
      </c>
      <c r="AD40" s="104">
        <f t="shared" si="25"/>
        <v>0</v>
      </c>
      <c r="AE40" s="104">
        <f t="shared" si="25"/>
        <v>0</v>
      </c>
      <c r="AF40" s="104">
        <f t="shared" si="25"/>
        <v>0</v>
      </c>
      <c r="AG40" s="84">
        <f t="shared" si="18"/>
        <v>0</v>
      </c>
      <c r="AH40" s="105" t="str">
        <f t="shared" si="19"/>
        <v/>
      </c>
      <c r="AJ40" s="84">
        <f t="shared" si="20"/>
        <v>0</v>
      </c>
    </row>
    <row r="41" spans="1:36" x14ac:dyDescent="0.3">
      <c r="A41" s="113" t="s">
        <v>127</v>
      </c>
      <c r="B41" s="84">
        <f>IFERROR(SUMIF([2]Jan26A!$A:$A,$A41,INDEX([2]Jan26A!$A:$N,0,MATCH($A$1,[2]Jan26A!$A$7:$N$7,0))),0)</f>
        <v>0</v>
      </c>
      <c r="C41" s="84">
        <f>IFERROR(SUMIF([2]Feb26A!$A:$A,$A41,INDEX([2]Feb26A!$A:$N,0,MATCH($A$1,[2]Feb26A!$A$7:$N$7,0))),0)</f>
        <v>0</v>
      </c>
      <c r="D41" s="84">
        <f>IFERROR(SUMIF([2]Mar26A!$A:$A,$A41,INDEX([2]Mar26A!$A:$N,0,MATCH($A$1,[2]Mar26A!$A$7:$N$7,0))),0)</f>
        <v>0</v>
      </c>
      <c r="E41" s="84">
        <f>IFERROR(SUMIF([2]Apr26A!$A:$A,$A41,INDEX([2]Apr26A!$A:$N,0,MATCH($A$1,[2]Apr26A!$A$7:$N$7,0))),0)</f>
        <v>0</v>
      </c>
      <c r="F41" s="84">
        <f>IFERROR(SUMIF([2]May26A!$A:$A,$A41,INDEX([2]May26A!$A:$N,0,MATCH($A$1,[2]May26A!$A$7:$N$7,0))),0)</f>
        <v>0</v>
      </c>
      <c r="G41" s="84">
        <f>IFERROR(SUMIF([2]Jun26A!$A:$A,$A41,INDEX([2]Jun26A!$A:$N,0,MATCH($A$1,[2]Jun26A!$A$7:$N$7,0))),0)</f>
        <v>0</v>
      </c>
      <c r="H41" s="84">
        <f>IFERROR(SUMIF([2]Jul26A!$A:$A,$A41,INDEX([2]Jul26A!$A:$N,0,MATCH($A$1,[2]Jul26A!$A$7:$N$7,0))),0)</f>
        <v>0</v>
      </c>
      <c r="I41" s="84">
        <f>IFERROR(SUMIF([2]Aug26A!$A:$A,$A41,INDEX([2]Aug26A!$A:$N,0,MATCH($A$1,[2]Aug26A!$A$7:$N$7,0))),0)</f>
        <v>0</v>
      </c>
      <c r="J41" s="117"/>
      <c r="K41" s="117"/>
      <c r="L41" s="117"/>
      <c r="M41" s="117"/>
      <c r="N41" s="84">
        <f t="shared" si="16"/>
        <v>0</v>
      </c>
      <c r="O41" s="105" t="str">
        <f t="shared" si="17"/>
        <v/>
      </c>
      <c r="P41" s="84"/>
      <c r="Q41" s="84"/>
      <c r="R41" s="106" t="s">
        <v>99</v>
      </c>
      <c r="S41" s="107">
        <v>0</v>
      </c>
      <c r="T41" s="108">
        <v>0.05</v>
      </c>
      <c r="U41" s="104">
        <f t="shared" si="25"/>
        <v>0</v>
      </c>
      <c r="V41" s="104">
        <f t="shared" si="25"/>
        <v>0</v>
      </c>
      <c r="W41" s="104">
        <f t="shared" si="25"/>
        <v>0</v>
      </c>
      <c r="X41" s="104">
        <f t="shared" si="25"/>
        <v>0</v>
      </c>
      <c r="Y41" s="104">
        <f t="shared" si="25"/>
        <v>0</v>
      </c>
      <c r="Z41" s="104">
        <f t="shared" si="25"/>
        <v>0</v>
      </c>
      <c r="AA41" s="104">
        <f t="shared" si="25"/>
        <v>0</v>
      </c>
      <c r="AB41" s="104">
        <f t="shared" si="25"/>
        <v>0</v>
      </c>
      <c r="AC41" s="104">
        <f t="shared" si="25"/>
        <v>0</v>
      </c>
      <c r="AD41" s="104">
        <f t="shared" si="25"/>
        <v>0</v>
      </c>
      <c r="AE41" s="104">
        <f t="shared" si="25"/>
        <v>0</v>
      </c>
      <c r="AF41" s="104">
        <f t="shared" si="25"/>
        <v>0</v>
      </c>
      <c r="AG41" s="84">
        <f t="shared" si="18"/>
        <v>0</v>
      </c>
      <c r="AH41" s="105" t="str">
        <f t="shared" si="19"/>
        <v/>
      </c>
      <c r="AJ41" s="84">
        <f t="shared" si="20"/>
        <v>0</v>
      </c>
    </row>
    <row r="42" spans="1:36" x14ac:dyDescent="0.3">
      <c r="A42" s="113" t="s">
        <v>128</v>
      </c>
      <c r="B42" s="84">
        <f>IFERROR(SUMIF([2]Jan26A!$A:$A,$A42,INDEX([2]Jan26A!$A:$N,0,MATCH($A$1,[2]Jan26A!$A$7:$N$7,0))),0)</f>
        <v>0</v>
      </c>
      <c r="C42" s="84">
        <f>IFERROR(SUMIF([2]Feb26A!$A:$A,$A42,INDEX([2]Feb26A!$A:$N,0,MATCH($A$1,[2]Feb26A!$A$7:$N$7,0))),0)</f>
        <v>0</v>
      </c>
      <c r="D42" s="84">
        <f>IFERROR(SUMIF([2]Mar26A!$A:$A,$A42,INDEX([2]Mar26A!$A:$N,0,MATCH($A$1,[2]Mar26A!$A$7:$N$7,0))),0)</f>
        <v>0</v>
      </c>
      <c r="E42" s="84">
        <f>IFERROR(SUMIF([2]Apr26A!$A:$A,$A42,INDEX([2]Apr26A!$A:$N,0,MATCH($A$1,[2]Apr26A!$A$7:$N$7,0))),0)</f>
        <v>0</v>
      </c>
      <c r="F42" s="84">
        <f>IFERROR(SUMIF([2]May26A!$A:$A,$A42,INDEX([2]May26A!$A:$N,0,MATCH($A$1,[2]May26A!$A$7:$N$7,0))),0)</f>
        <v>0</v>
      </c>
      <c r="G42" s="84">
        <f>IFERROR(SUMIF([2]Jun26A!$A:$A,$A42,INDEX([2]Jun26A!$A:$N,0,MATCH($A$1,[2]Jun26A!$A$7:$N$7,0))),0)</f>
        <v>0</v>
      </c>
      <c r="H42" s="84">
        <f>IFERROR(SUMIF([2]Jul26A!$A:$A,$A42,INDEX([2]Jul26A!$A:$N,0,MATCH($A$1,[2]Jul26A!$A$7:$N$7,0))),0)</f>
        <v>0</v>
      </c>
      <c r="I42" s="84">
        <f>IFERROR(SUMIF([2]Aug26A!$A:$A,$A42,INDEX([2]Aug26A!$A:$N,0,MATCH($A$1,[2]Aug26A!$A$7:$N$7,0))),0)</f>
        <v>0</v>
      </c>
      <c r="J42" s="117">
        <v>0</v>
      </c>
      <c r="K42" s="117">
        <v>0</v>
      </c>
      <c r="L42" s="117">
        <v>0</v>
      </c>
      <c r="M42" s="117">
        <v>0</v>
      </c>
      <c r="N42" s="84">
        <f t="shared" si="16"/>
        <v>0</v>
      </c>
      <c r="O42" s="105" t="str">
        <f t="shared" si="17"/>
        <v/>
      </c>
      <c r="P42" s="84"/>
      <c r="Q42" s="84"/>
      <c r="R42" s="106" t="s">
        <v>99</v>
      </c>
      <c r="S42" s="107">
        <v>0</v>
      </c>
      <c r="T42" s="108">
        <v>0.05</v>
      </c>
      <c r="U42" s="104">
        <f t="shared" si="25"/>
        <v>0</v>
      </c>
      <c r="V42" s="104">
        <f t="shared" si="25"/>
        <v>0</v>
      </c>
      <c r="W42" s="104">
        <f t="shared" si="25"/>
        <v>0</v>
      </c>
      <c r="X42" s="104">
        <f t="shared" si="25"/>
        <v>0</v>
      </c>
      <c r="Y42" s="104">
        <f t="shared" si="25"/>
        <v>0</v>
      </c>
      <c r="Z42" s="104">
        <f t="shared" si="25"/>
        <v>0</v>
      </c>
      <c r="AA42" s="104">
        <f t="shared" si="25"/>
        <v>0</v>
      </c>
      <c r="AB42" s="104">
        <f t="shared" si="25"/>
        <v>0</v>
      </c>
      <c r="AC42" s="104">
        <f t="shared" si="25"/>
        <v>0</v>
      </c>
      <c r="AD42" s="104">
        <f t="shared" si="25"/>
        <v>0</v>
      </c>
      <c r="AE42" s="104">
        <f t="shared" si="25"/>
        <v>0</v>
      </c>
      <c r="AF42" s="104">
        <f t="shared" si="25"/>
        <v>0</v>
      </c>
      <c r="AG42" s="84">
        <f t="shared" si="18"/>
        <v>0</v>
      </c>
      <c r="AH42" s="105" t="str">
        <f t="shared" si="19"/>
        <v/>
      </c>
      <c r="AJ42" s="84">
        <f t="shared" si="20"/>
        <v>0</v>
      </c>
    </row>
    <row r="43" spans="1:36" x14ac:dyDescent="0.3">
      <c r="A43" s="102" t="s">
        <v>129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105"/>
      <c r="P43" s="84"/>
      <c r="Q43" s="84"/>
      <c r="R43" s="112"/>
      <c r="S43" s="112"/>
      <c r="T43" s="112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105"/>
      <c r="AJ43" s="84"/>
    </row>
    <row r="44" spans="1:36" x14ac:dyDescent="0.3">
      <c r="A44" s="103" t="s">
        <v>130</v>
      </c>
      <c r="B44" s="84">
        <f>IFERROR(SUMIF([2]Jan26A!$A:$A,$A44,INDEX([2]Jan26A!$A:$N,0,MATCH($A$1,[2]Jan26A!$A$7:$N$7,0))),0)</f>
        <v>0</v>
      </c>
      <c r="C44" s="84">
        <f>IFERROR(SUMIF([2]Feb26A!$A:$A,$A44,INDEX([2]Feb26A!$A:$N,0,MATCH($A$1,[2]Feb26A!$A$7:$N$7,0))),0)</f>
        <v>0</v>
      </c>
      <c r="D44" s="84">
        <f>IFERROR(SUMIF([2]Mar26A!$A:$A,$A44,INDEX([2]Mar26A!$A:$N,0,MATCH($A$1,[2]Mar26A!$A$7:$N$7,0))),0)</f>
        <v>0</v>
      </c>
      <c r="E44" s="84">
        <f>IFERROR(SUMIF([2]Apr26A!$A:$A,$A44,INDEX([2]Apr26A!$A:$N,0,MATCH($A$1,[2]Apr26A!$A$7:$N$7,0))),0)</f>
        <v>0</v>
      </c>
      <c r="F44" s="84">
        <f>IFERROR(SUMIF([2]May26A!$A:$A,$A44,INDEX([2]May26A!$A:$N,0,MATCH($A$1,[2]May26A!$A$7:$N$7,0))),0)</f>
        <v>0</v>
      </c>
      <c r="G44" s="84">
        <f>IFERROR(SUMIF([2]Jun26A!$A:$A,$A44,INDEX([2]Jun26A!$A:$N,0,MATCH($A$1,[2]Jun26A!$A$7:$N$7,0))),0)</f>
        <v>0</v>
      </c>
      <c r="H44" s="84">
        <f>IFERROR(SUMIF([2]Jul26A!$A:$A,$A44,INDEX([2]Jul26A!$A:$N,0,MATCH($A$1,[2]Jul26A!$A$7:$N$7,0))),0)</f>
        <v>0</v>
      </c>
      <c r="I44" s="84">
        <f>IFERROR(SUMIF([2]Aug26A!$A:$A,$A44,INDEX([2]Aug26A!$A:$N,0,MATCH($A$1,[2]Aug26A!$A$7:$N$7,0))),0)</f>
        <v>0</v>
      </c>
      <c r="J44" s="117">
        <v>0</v>
      </c>
      <c r="K44" s="117">
        <v>0</v>
      </c>
      <c r="L44" s="117">
        <v>0</v>
      </c>
      <c r="M44" s="117">
        <v>0</v>
      </c>
      <c r="N44" s="84">
        <f t="shared" ref="N44:N50" si="26">SUM(B44:M44)</f>
        <v>0</v>
      </c>
      <c r="O44" s="105" t="str">
        <f t="shared" ref="O44:O50" si="27">IFERROR(N44/N$16,"")</f>
        <v/>
      </c>
      <c r="P44" s="84"/>
      <c r="Q44" s="84"/>
      <c r="R44" s="106" t="s">
        <v>99</v>
      </c>
      <c r="S44" s="107">
        <v>0</v>
      </c>
      <c r="T44" s="108">
        <v>0.05</v>
      </c>
      <c r="U44" s="104">
        <f t="shared" ref="U44:AF50" si="28">IF($R44="Manual","",IFERROR(IF($R44="YOY Growth",$N44*(1+$T44)/12,$S44/12),""))</f>
        <v>0</v>
      </c>
      <c r="V44" s="104">
        <f t="shared" si="28"/>
        <v>0</v>
      </c>
      <c r="W44" s="104">
        <f t="shared" si="28"/>
        <v>0</v>
      </c>
      <c r="X44" s="104">
        <f t="shared" si="28"/>
        <v>0</v>
      </c>
      <c r="Y44" s="104">
        <f t="shared" si="28"/>
        <v>0</v>
      </c>
      <c r="Z44" s="104">
        <f t="shared" si="28"/>
        <v>0</v>
      </c>
      <c r="AA44" s="104">
        <f t="shared" si="28"/>
        <v>0</v>
      </c>
      <c r="AB44" s="104">
        <f t="shared" si="28"/>
        <v>0</v>
      </c>
      <c r="AC44" s="104">
        <f t="shared" si="28"/>
        <v>0</v>
      </c>
      <c r="AD44" s="104">
        <f t="shared" si="28"/>
        <v>0</v>
      </c>
      <c r="AE44" s="104">
        <f t="shared" si="28"/>
        <v>0</v>
      </c>
      <c r="AF44" s="104">
        <f t="shared" si="28"/>
        <v>0</v>
      </c>
      <c r="AG44" s="84">
        <f t="shared" ref="AG44:AG50" si="29">SUM(U44:AF44)</f>
        <v>0</v>
      </c>
      <c r="AH44" s="105" t="str">
        <f t="shared" ref="AH44:AH50" si="30">IFERROR(AG44/AG$16,"")</f>
        <v/>
      </c>
      <c r="AJ44" s="84">
        <f t="shared" ref="AJ44:AJ50" si="31">N44-AG44</f>
        <v>0</v>
      </c>
    </row>
    <row r="45" spans="1:36" x14ac:dyDescent="0.3">
      <c r="A45" s="103" t="s">
        <v>131</v>
      </c>
      <c r="B45" s="84">
        <f>IFERROR(SUMIF([2]Jan26A!$A:$A,$A45,INDEX([2]Jan26A!$A:$N,0,MATCH($A$1,[2]Jan26A!$A$7:$N$7,0))),0)</f>
        <v>416.9</v>
      </c>
      <c r="C45" s="84">
        <f>IFERROR(SUMIF([2]Feb26A!$A:$A,$A45,INDEX([2]Feb26A!$A:$N,0,MATCH($A$1,[2]Feb26A!$A$7:$N$7,0))),0)</f>
        <v>0</v>
      </c>
      <c r="D45" s="84">
        <f>IFERROR(SUMIF([2]Mar26A!$A:$A,$A45,INDEX([2]Mar26A!$A:$N,0,MATCH($A$1,[2]Mar26A!$A$7:$N$7,0))),0)</f>
        <v>0</v>
      </c>
      <c r="E45" s="84">
        <f>IFERROR(SUMIF([2]Apr26A!$A:$A,$A45,INDEX([2]Apr26A!$A:$N,0,MATCH($A$1,[2]Apr26A!$A$7:$N$7,0))),0)</f>
        <v>257.75</v>
      </c>
      <c r="F45" s="84">
        <f>IFERROR(SUMIF([2]May26A!$A:$A,$A45,INDEX([2]May26A!$A:$N,0,MATCH($A$1,[2]May26A!$A$7:$N$7,0))),0)</f>
        <v>0</v>
      </c>
      <c r="G45" s="84">
        <f>IFERROR(SUMIF([2]Jun26A!$A:$A,$A45,INDEX([2]Jun26A!$A:$N,0,MATCH($A$1,[2]Jun26A!$A$7:$N$7,0))),0)</f>
        <v>225.8</v>
      </c>
      <c r="H45" s="84">
        <f>IFERROR(SUMIF([2]Jul26A!$A:$A,$A45,INDEX([2]Jul26A!$A:$N,0,MATCH($A$1,[2]Jul26A!$A$7:$N$7,0))),0)</f>
        <v>0</v>
      </c>
      <c r="I45" s="84">
        <f>IFERROR(SUMIF([2]Aug26A!$A:$A,$A45,INDEX([2]Aug26A!$A:$N,0,MATCH($A$1,[2]Aug26A!$A$7:$N$7,0))),0)</f>
        <v>0</v>
      </c>
      <c r="J45" s="117">
        <v>0</v>
      </c>
      <c r="K45" s="117">
        <v>0</v>
      </c>
      <c r="L45" s="117">
        <v>0</v>
      </c>
      <c r="M45" s="117">
        <v>0</v>
      </c>
      <c r="N45" s="84">
        <f t="shared" si="26"/>
        <v>900.45</v>
      </c>
      <c r="O45" s="105" t="str">
        <f t="shared" si="27"/>
        <v/>
      </c>
      <c r="P45" s="84"/>
      <c r="Q45" s="84"/>
      <c r="R45" s="106" t="s">
        <v>99</v>
      </c>
      <c r="S45" s="107">
        <v>0</v>
      </c>
      <c r="T45" s="108">
        <v>0.05</v>
      </c>
      <c r="U45" s="104">
        <f t="shared" si="28"/>
        <v>0</v>
      </c>
      <c r="V45" s="104">
        <f t="shared" si="28"/>
        <v>0</v>
      </c>
      <c r="W45" s="104">
        <f t="shared" si="28"/>
        <v>0</v>
      </c>
      <c r="X45" s="104">
        <f t="shared" si="28"/>
        <v>0</v>
      </c>
      <c r="Y45" s="104">
        <f t="shared" si="28"/>
        <v>0</v>
      </c>
      <c r="Z45" s="104">
        <f t="shared" si="28"/>
        <v>0</v>
      </c>
      <c r="AA45" s="104">
        <f t="shared" si="28"/>
        <v>0</v>
      </c>
      <c r="AB45" s="104">
        <f t="shared" si="28"/>
        <v>0</v>
      </c>
      <c r="AC45" s="104">
        <f t="shared" si="28"/>
        <v>0</v>
      </c>
      <c r="AD45" s="104">
        <f t="shared" si="28"/>
        <v>0</v>
      </c>
      <c r="AE45" s="104">
        <f t="shared" si="28"/>
        <v>0</v>
      </c>
      <c r="AF45" s="104">
        <f t="shared" si="28"/>
        <v>0</v>
      </c>
      <c r="AG45" s="84">
        <f t="shared" si="29"/>
        <v>0</v>
      </c>
      <c r="AH45" s="105" t="str">
        <f t="shared" si="30"/>
        <v/>
      </c>
      <c r="AJ45" s="84">
        <f t="shared" si="31"/>
        <v>900.45</v>
      </c>
    </row>
    <row r="46" spans="1:36" x14ac:dyDescent="0.3">
      <c r="A46" s="103" t="s">
        <v>132</v>
      </c>
      <c r="B46" s="84">
        <f>IFERROR(SUMIF([2]Jan26A!$A:$A,$A46,INDEX([2]Jan26A!$A:$N,0,MATCH($A$1,[2]Jan26A!$A$7:$N$7,0))),0)</f>
        <v>0</v>
      </c>
      <c r="C46" s="84">
        <f>IFERROR(SUMIF([2]Feb26A!$A:$A,$A46,INDEX([2]Feb26A!$A:$N,0,MATCH($A$1,[2]Feb26A!$A$7:$N$7,0))),0)</f>
        <v>0</v>
      </c>
      <c r="D46" s="84">
        <f>IFERROR(SUMIF([2]Mar26A!$A:$A,$A46,INDEX([2]Mar26A!$A:$N,0,MATCH($A$1,[2]Mar26A!$A$7:$N$7,0))),0)</f>
        <v>0</v>
      </c>
      <c r="E46" s="84">
        <f>IFERROR(SUMIF([2]Apr26A!$A:$A,$A46,INDEX([2]Apr26A!$A:$N,0,MATCH($A$1,[2]Apr26A!$A$7:$N$7,0))),0)</f>
        <v>0</v>
      </c>
      <c r="F46" s="84">
        <f>IFERROR(SUMIF([2]May26A!$A:$A,$A46,INDEX([2]May26A!$A:$N,0,MATCH($A$1,[2]May26A!$A$7:$N$7,0))),0)</f>
        <v>169.08</v>
      </c>
      <c r="G46" s="84">
        <f>IFERROR(SUMIF([2]Jun26A!$A:$A,$A46,INDEX([2]Jun26A!$A:$N,0,MATCH($A$1,[2]Jun26A!$A$7:$N$7,0))),0)</f>
        <v>0</v>
      </c>
      <c r="H46" s="84">
        <f>IFERROR(SUMIF([2]Jul26A!$A:$A,$A46,INDEX([2]Jul26A!$A:$N,0,MATCH($A$1,[2]Jul26A!$A$7:$N$7,0))),0)</f>
        <v>0</v>
      </c>
      <c r="I46" s="84">
        <f>IFERROR(SUMIF([2]Aug26A!$A:$A,$A46,INDEX([2]Aug26A!$A:$N,0,MATCH($A$1,[2]Aug26A!$A$7:$N$7,0))),0)</f>
        <v>44.48</v>
      </c>
      <c r="J46" s="117">
        <v>0</v>
      </c>
      <c r="K46" s="117">
        <v>0</v>
      </c>
      <c r="L46" s="117">
        <v>0</v>
      </c>
      <c r="M46" s="117">
        <v>0</v>
      </c>
      <c r="N46" s="84">
        <f t="shared" si="26"/>
        <v>213.56</v>
      </c>
      <c r="O46" s="105" t="str">
        <f t="shared" si="27"/>
        <v/>
      </c>
      <c r="P46" s="84"/>
      <c r="Q46" s="84"/>
      <c r="R46" s="106" t="s">
        <v>99</v>
      </c>
      <c r="S46" s="107">
        <v>0</v>
      </c>
      <c r="T46" s="108">
        <v>0.05</v>
      </c>
      <c r="U46" s="104">
        <f t="shared" si="28"/>
        <v>0</v>
      </c>
      <c r="V46" s="104">
        <f t="shared" si="28"/>
        <v>0</v>
      </c>
      <c r="W46" s="104">
        <f t="shared" si="28"/>
        <v>0</v>
      </c>
      <c r="X46" s="104">
        <f t="shared" si="28"/>
        <v>0</v>
      </c>
      <c r="Y46" s="104">
        <f t="shared" si="28"/>
        <v>0</v>
      </c>
      <c r="Z46" s="104">
        <f t="shared" si="28"/>
        <v>0</v>
      </c>
      <c r="AA46" s="104">
        <f t="shared" si="28"/>
        <v>0</v>
      </c>
      <c r="AB46" s="104">
        <f t="shared" si="28"/>
        <v>0</v>
      </c>
      <c r="AC46" s="104">
        <f t="shared" si="28"/>
        <v>0</v>
      </c>
      <c r="AD46" s="104">
        <f t="shared" si="28"/>
        <v>0</v>
      </c>
      <c r="AE46" s="104">
        <f t="shared" si="28"/>
        <v>0</v>
      </c>
      <c r="AF46" s="104">
        <f t="shared" si="28"/>
        <v>0</v>
      </c>
      <c r="AG46" s="84">
        <f t="shared" si="29"/>
        <v>0</v>
      </c>
      <c r="AH46" s="105" t="str">
        <f t="shared" si="30"/>
        <v/>
      </c>
      <c r="AJ46" s="84">
        <f t="shared" si="31"/>
        <v>213.56</v>
      </c>
    </row>
    <row r="47" spans="1:36" x14ac:dyDescent="0.3">
      <c r="A47" s="103" t="s">
        <v>133</v>
      </c>
      <c r="B47" s="84">
        <f>IFERROR(SUMIF([2]Jan26A!$A:$A,$A47,INDEX([2]Jan26A!$A:$N,0,MATCH($A$1,[2]Jan26A!$A$7:$N$7,0))),0)</f>
        <v>0</v>
      </c>
      <c r="C47" s="84">
        <f>IFERROR(SUMIF([2]Feb26A!$A:$A,$A47,INDEX([2]Feb26A!$A:$N,0,MATCH($A$1,[2]Feb26A!$A$7:$N$7,0))),0)</f>
        <v>0</v>
      </c>
      <c r="D47" s="84">
        <f>IFERROR(SUMIF([2]Mar26A!$A:$A,$A47,INDEX([2]Mar26A!$A:$N,0,MATCH($A$1,[2]Mar26A!$A$7:$N$7,0))),0)</f>
        <v>0</v>
      </c>
      <c r="E47" s="84">
        <f>IFERROR(SUMIF([2]Apr26A!$A:$A,$A47,INDEX([2]Apr26A!$A:$N,0,MATCH($A$1,[2]Apr26A!$A$7:$N$7,0))),0)</f>
        <v>0</v>
      </c>
      <c r="F47" s="84">
        <f>IFERROR(SUMIF([2]May26A!$A:$A,$A47,INDEX([2]May26A!$A:$N,0,MATCH($A$1,[2]May26A!$A$7:$N$7,0))),0)</f>
        <v>0</v>
      </c>
      <c r="G47" s="84">
        <f>IFERROR(SUMIF([2]Jun26A!$A:$A,$A47,INDEX([2]Jun26A!$A:$N,0,MATCH($A$1,[2]Jun26A!$A$7:$N$7,0))),0)</f>
        <v>0</v>
      </c>
      <c r="H47" s="84">
        <f>IFERROR(SUMIF([2]Jul26A!$A:$A,$A47,INDEX([2]Jul26A!$A:$N,0,MATCH($A$1,[2]Jul26A!$A$7:$N$7,0))),0)</f>
        <v>0</v>
      </c>
      <c r="I47" s="84">
        <f>IFERROR(SUMIF([2]Aug26A!$A:$A,$A47,INDEX([2]Aug26A!$A:$N,0,MATCH($A$1,[2]Aug26A!$A$7:$N$7,0))),0)</f>
        <v>0</v>
      </c>
      <c r="J47" s="117">
        <v>0</v>
      </c>
      <c r="K47" s="117">
        <v>0</v>
      </c>
      <c r="L47" s="117">
        <v>0</v>
      </c>
      <c r="M47" s="117">
        <v>0</v>
      </c>
      <c r="N47" s="84">
        <f t="shared" si="26"/>
        <v>0</v>
      </c>
      <c r="O47" s="105" t="str">
        <f t="shared" si="27"/>
        <v/>
      </c>
      <c r="P47" s="84"/>
      <c r="Q47" s="84"/>
      <c r="R47" s="106" t="s">
        <v>99</v>
      </c>
      <c r="S47" s="107">
        <v>0</v>
      </c>
      <c r="T47" s="108">
        <v>0.05</v>
      </c>
      <c r="U47" s="104">
        <f t="shared" si="28"/>
        <v>0</v>
      </c>
      <c r="V47" s="104">
        <f t="shared" si="28"/>
        <v>0</v>
      </c>
      <c r="W47" s="104">
        <f t="shared" si="28"/>
        <v>0</v>
      </c>
      <c r="X47" s="104">
        <f t="shared" si="28"/>
        <v>0</v>
      </c>
      <c r="Y47" s="104">
        <f t="shared" si="28"/>
        <v>0</v>
      </c>
      <c r="Z47" s="104">
        <f t="shared" si="28"/>
        <v>0</v>
      </c>
      <c r="AA47" s="104">
        <f t="shared" si="28"/>
        <v>0</v>
      </c>
      <c r="AB47" s="104">
        <f t="shared" si="28"/>
        <v>0</v>
      </c>
      <c r="AC47" s="104">
        <f t="shared" si="28"/>
        <v>0</v>
      </c>
      <c r="AD47" s="104">
        <f t="shared" si="28"/>
        <v>0</v>
      </c>
      <c r="AE47" s="104">
        <f t="shared" si="28"/>
        <v>0</v>
      </c>
      <c r="AF47" s="104">
        <f t="shared" si="28"/>
        <v>0</v>
      </c>
      <c r="AG47" s="84">
        <f t="shared" si="29"/>
        <v>0</v>
      </c>
      <c r="AH47" s="105" t="str">
        <f t="shared" si="30"/>
        <v/>
      </c>
      <c r="AJ47" s="84">
        <f t="shared" si="31"/>
        <v>0</v>
      </c>
    </row>
    <row r="48" spans="1:36" x14ac:dyDescent="0.3">
      <c r="A48" s="103" t="s">
        <v>134</v>
      </c>
      <c r="B48" s="84">
        <f>IFERROR(SUMIF([2]Jan26A!$A:$A,$A48,INDEX([2]Jan26A!$A:$N,0,MATCH($A$1,[2]Jan26A!$A$7:$N$7,0))),0)</f>
        <v>0</v>
      </c>
      <c r="C48" s="84">
        <f>IFERROR(SUMIF([2]Feb26A!$A:$A,$A48,INDEX([2]Feb26A!$A:$N,0,MATCH($A$1,[2]Feb26A!$A$7:$N$7,0))),0)</f>
        <v>0</v>
      </c>
      <c r="D48" s="84">
        <f>IFERROR(SUMIF([2]Mar26A!$A:$A,$A48,INDEX([2]Mar26A!$A:$N,0,MATCH($A$1,[2]Mar26A!$A$7:$N$7,0))),0)</f>
        <v>0</v>
      </c>
      <c r="E48" s="84">
        <f>IFERROR(SUMIF([2]Apr26A!$A:$A,$A48,INDEX([2]Apr26A!$A:$N,0,MATCH($A$1,[2]Apr26A!$A$7:$N$7,0))),0)</f>
        <v>0</v>
      </c>
      <c r="F48" s="84">
        <f>IFERROR(SUMIF([2]May26A!$A:$A,$A48,INDEX([2]May26A!$A:$N,0,MATCH($A$1,[2]May26A!$A$7:$N$7,0))),0)</f>
        <v>0</v>
      </c>
      <c r="G48" s="84">
        <f>IFERROR(SUMIF([2]Jun26A!$A:$A,$A48,INDEX([2]Jun26A!$A:$N,0,MATCH($A$1,[2]Jun26A!$A$7:$N$7,0))),0)</f>
        <v>0</v>
      </c>
      <c r="H48" s="84">
        <f>IFERROR(SUMIF([2]Jul26A!$A:$A,$A48,INDEX([2]Jul26A!$A:$N,0,MATCH($A$1,[2]Jul26A!$A$7:$N$7,0))),0)</f>
        <v>0</v>
      </c>
      <c r="I48" s="84">
        <f>IFERROR(SUMIF([2]Aug26A!$A:$A,$A48,INDEX([2]Aug26A!$A:$N,0,MATCH($A$1,[2]Aug26A!$A$7:$N$7,0))),0)</f>
        <v>0</v>
      </c>
      <c r="J48" s="117">
        <v>0</v>
      </c>
      <c r="K48" s="117">
        <v>0</v>
      </c>
      <c r="L48" s="117">
        <v>0</v>
      </c>
      <c r="M48" s="117">
        <v>0</v>
      </c>
      <c r="N48" s="84">
        <f t="shared" si="26"/>
        <v>0</v>
      </c>
      <c r="O48" s="105" t="str">
        <f t="shared" si="27"/>
        <v/>
      </c>
      <c r="P48" s="84"/>
      <c r="Q48" s="84"/>
      <c r="R48" s="106" t="s">
        <v>99</v>
      </c>
      <c r="S48" s="107">
        <v>0</v>
      </c>
      <c r="T48" s="108">
        <v>0.05</v>
      </c>
      <c r="U48" s="104">
        <f t="shared" si="28"/>
        <v>0</v>
      </c>
      <c r="V48" s="104">
        <f t="shared" si="28"/>
        <v>0</v>
      </c>
      <c r="W48" s="104">
        <f t="shared" si="28"/>
        <v>0</v>
      </c>
      <c r="X48" s="104">
        <f t="shared" si="28"/>
        <v>0</v>
      </c>
      <c r="Y48" s="104">
        <f t="shared" si="28"/>
        <v>0</v>
      </c>
      <c r="Z48" s="104">
        <f t="shared" si="28"/>
        <v>0</v>
      </c>
      <c r="AA48" s="104">
        <f t="shared" si="28"/>
        <v>0</v>
      </c>
      <c r="AB48" s="104">
        <f t="shared" si="28"/>
        <v>0</v>
      </c>
      <c r="AC48" s="104">
        <f t="shared" si="28"/>
        <v>0</v>
      </c>
      <c r="AD48" s="104">
        <f t="shared" si="28"/>
        <v>0</v>
      </c>
      <c r="AE48" s="104">
        <f t="shared" si="28"/>
        <v>0</v>
      </c>
      <c r="AF48" s="104">
        <f t="shared" si="28"/>
        <v>0</v>
      </c>
      <c r="AG48" s="84">
        <f t="shared" si="29"/>
        <v>0</v>
      </c>
      <c r="AH48" s="105" t="str">
        <f t="shared" si="30"/>
        <v/>
      </c>
      <c r="AJ48" s="84">
        <f t="shared" si="31"/>
        <v>0</v>
      </c>
    </row>
    <row r="49" spans="1:36" x14ac:dyDescent="0.3">
      <c r="A49" s="103" t="s">
        <v>135</v>
      </c>
      <c r="B49" s="84">
        <f>IFERROR(SUMIF([2]Jan26A!$A:$A,$A49,INDEX([2]Jan26A!$A:$N,0,MATCH($A$1,[2]Jan26A!$A$7:$N$7,0))),0)</f>
        <v>0</v>
      </c>
      <c r="C49" s="84">
        <f>IFERROR(SUMIF([2]Feb26A!$A:$A,$A49,INDEX([2]Feb26A!$A:$N,0,MATCH($A$1,[2]Feb26A!$A$7:$N$7,0))),0)</f>
        <v>0</v>
      </c>
      <c r="D49" s="84">
        <f>IFERROR(SUMIF([2]Mar26A!$A:$A,$A49,INDEX([2]Mar26A!$A:$N,0,MATCH($A$1,[2]Mar26A!$A$7:$N$7,0))),0)</f>
        <v>0</v>
      </c>
      <c r="E49" s="84">
        <f>IFERROR(SUMIF([2]Apr26A!$A:$A,$A49,INDEX([2]Apr26A!$A:$N,0,MATCH($A$1,[2]Apr26A!$A$7:$N$7,0))),0)</f>
        <v>0</v>
      </c>
      <c r="F49" s="84">
        <f>IFERROR(SUMIF([2]May26A!$A:$A,$A49,INDEX([2]May26A!$A:$N,0,MATCH($A$1,[2]May26A!$A$7:$N$7,0))),0)</f>
        <v>0</v>
      </c>
      <c r="G49" s="84">
        <f>IFERROR(SUMIF([2]Jun26A!$A:$A,$A49,INDEX([2]Jun26A!$A:$N,0,MATCH($A$1,[2]Jun26A!$A$7:$N$7,0))),0)</f>
        <v>0</v>
      </c>
      <c r="H49" s="84">
        <f>IFERROR(SUMIF([2]Jul26A!$A:$A,$A49,INDEX([2]Jul26A!$A:$N,0,MATCH($A$1,[2]Jul26A!$A$7:$N$7,0))),0)</f>
        <v>0</v>
      </c>
      <c r="I49" s="84">
        <f>IFERROR(SUMIF([2]Aug26A!$A:$A,$A49,INDEX([2]Aug26A!$A:$N,0,MATCH($A$1,[2]Aug26A!$A$7:$N$7,0))),0)</f>
        <v>0</v>
      </c>
      <c r="J49" s="117">
        <v>0</v>
      </c>
      <c r="K49" s="117">
        <v>0</v>
      </c>
      <c r="L49" s="117">
        <v>0</v>
      </c>
      <c r="M49" s="117">
        <v>0</v>
      </c>
      <c r="N49" s="84">
        <f t="shared" si="26"/>
        <v>0</v>
      </c>
      <c r="O49" s="105" t="str">
        <f t="shared" si="27"/>
        <v/>
      </c>
      <c r="P49" s="84"/>
      <c r="Q49" s="84"/>
      <c r="R49" s="106" t="s">
        <v>99</v>
      </c>
      <c r="S49" s="107">
        <v>0</v>
      </c>
      <c r="T49" s="108">
        <v>0.05</v>
      </c>
      <c r="U49" s="104">
        <f t="shared" si="28"/>
        <v>0</v>
      </c>
      <c r="V49" s="104">
        <f t="shared" si="28"/>
        <v>0</v>
      </c>
      <c r="W49" s="104">
        <f t="shared" si="28"/>
        <v>0</v>
      </c>
      <c r="X49" s="104">
        <f t="shared" si="28"/>
        <v>0</v>
      </c>
      <c r="Y49" s="104">
        <f t="shared" si="28"/>
        <v>0</v>
      </c>
      <c r="Z49" s="104">
        <f t="shared" si="28"/>
        <v>0</v>
      </c>
      <c r="AA49" s="104">
        <f t="shared" si="28"/>
        <v>0</v>
      </c>
      <c r="AB49" s="104">
        <f t="shared" si="28"/>
        <v>0</v>
      </c>
      <c r="AC49" s="104">
        <f t="shared" si="28"/>
        <v>0</v>
      </c>
      <c r="AD49" s="104">
        <f t="shared" si="28"/>
        <v>0</v>
      </c>
      <c r="AE49" s="104">
        <f t="shared" si="28"/>
        <v>0</v>
      </c>
      <c r="AF49" s="104">
        <f t="shared" si="28"/>
        <v>0</v>
      </c>
      <c r="AG49" s="84">
        <f t="shared" si="29"/>
        <v>0</v>
      </c>
      <c r="AH49" s="105" t="str">
        <f t="shared" si="30"/>
        <v/>
      </c>
      <c r="AJ49" s="84">
        <f t="shared" si="31"/>
        <v>0</v>
      </c>
    </row>
    <row r="50" spans="1:36" x14ac:dyDescent="0.3">
      <c r="A50" s="103" t="s">
        <v>136</v>
      </c>
      <c r="B50" s="84">
        <f>IFERROR(SUMIF([2]Jan26A!$A:$A,$A50,INDEX([2]Jan26A!$A:$N,0,MATCH($A$1,[2]Jan26A!$A$7:$N$7,0))),0)</f>
        <v>0</v>
      </c>
      <c r="C50" s="84">
        <f>IFERROR(SUMIF([2]Feb26A!$A:$A,$A50,INDEX([2]Feb26A!$A:$N,0,MATCH($A$1,[2]Feb26A!$A$7:$N$7,0))),0)</f>
        <v>0</v>
      </c>
      <c r="D50" s="84">
        <f>IFERROR(SUMIF([2]Mar26A!$A:$A,$A50,INDEX([2]Mar26A!$A:$N,0,MATCH($A$1,[2]Mar26A!$A$7:$N$7,0))),0)</f>
        <v>0</v>
      </c>
      <c r="E50" s="84">
        <f>IFERROR(SUMIF([2]Apr26A!$A:$A,$A50,INDEX([2]Apr26A!$A:$N,0,MATCH($A$1,[2]Apr26A!$A$7:$N$7,0))),0)</f>
        <v>0</v>
      </c>
      <c r="F50" s="84">
        <f>IFERROR(SUMIF([2]May26A!$A:$A,$A50,INDEX([2]May26A!$A:$N,0,MATCH($A$1,[2]May26A!$A$7:$N$7,0))),0)</f>
        <v>0</v>
      </c>
      <c r="G50" s="84">
        <f>IFERROR(SUMIF([2]Jun26A!$A:$A,$A50,INDEX([2]Jun26A!$A:$N,0,MATCH($A$1,[2]Jun26A!$A$7:$N$7,0))),0)</f>
        <v>0</v>
      </c>
      <c r="H50" s="84">
        <f>IFERROR(SUMIF([2]Jul26A!$A:$A,$A50,INDEX([2]Jul26A!$A:$N,0,MATCH($A$1,[2]Jul26A!$A$7:$N$7,0))),0)</f>
        <v>0</v>
      </c>
      <c r="I50" s="84">
        <f>IFERROR(SUMIF([2]Aug26A!$A:$A,$A50,INDEX([2]Aug26A!$A:$N,0,MATCH($A$1,[2]Aug26A!$A$7:$N$7,0))),0)</f>
        <v>175</v>
      </c>
      <c r="J50" s="117">
        <v>0</v>
      </c>
      <c r="K50" s="117">
        <v>0</v>
      </c>
      <c r="L50" s="117">
        <v>0</v>
      </c>
      <c r="M50" s="117">
        <v>0</v>
      </c>
      <c r="N50" s="84">
        <f t="shared" si="26"/>
        <v>175</v>
      </c>
      <c r="O50" s="105" t="str">
        <f t="shared" si="27"/>
        <v/>
      </c>
      <c r="P50" s="84"/>
      <c r="Q50" s="84"/>
      <c r="R50" s="106" t="s">
        <v>99</v>
      </c>
      <c r="S50" s="107">
        <v>0</v>
      </c>
      <c r="T50" s="108">
        <v>0.05</v>
      </c>
      <c r="U50" s="104">
        <f t="shared" si="28"/>
        <v>0</v>
      </c>
      <c r="V50" s="104">
        <f t="shared" si="28"/>
        <v>0</v>
      </c>
      <c r="W50" s="104">
        <f t="shared" si="28"/>
        <v>0</v>
      </c>
      <c r="X50" s="104">
        <f t="shared" si="28"/>
        <v>0</v>
      </c>
      <c r="Y50" s="104">
        <f t="shared" si="28"/>
        <v>0</v>
      </c>
      <c r="Z50" s="104">
        <f t="shared" si="28"/>
        <v>0</v>
      </c>
      <c r="AA50" s="104">
        <f t="shared" si="28"/>
        <v>0</v>
      </c>
      <c r="AB50" s="104">
        <f t="shared" si="28"/>
        <v>0</v>
      </c>
      <c r="AC50" s="104">
        <f t="shared" si="28"/>
        <v>0</v>
      </c>
      <c r="AD50" s="104">
        <f t="shared" si="28"/>
        <v>0</v>
      </c>
      <c r="AE50" s="104">
        <f t="shared" si="28"/>
        <v>0</v>
      </c>
      <c r="AF50" s="104">
        <f t="shared" si="28"/>
        <v>0</v>
      </c>
      <c r="AG50" s="84">
        <f t="shared" si="29"/>
        <v>0</v>
      </c>
      <c r="AH50" s="105" t="str">
        <f t="shared" si="30"/>
        <v/>
      </c>
      <c r="AJ50" s="84">
        <f t="shared" si="31"/>
        <v>175</v>
      </c>
    </row>
    <row r="51" spans="1:36" x14ac:dyDescent="0.3">
      <c r="A51" s="115" t="s">
        <v>137</v>
      </c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105"/>
      <c r="P51" s="84"/>
      <c r="Q51" s="84"/>
      <c r="R51" s="112"/>
      <c r="S51" s="112"/>
      <c r="T51" s="112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105"/>
      <c r="AJ51" s="84"/>
    </row>
    <row r="52" spans="1:36" x14ac:dyDescent="0.3">
      <c r="A52" s="116" t="s">
        <v>138</v>
      </c>
      <c r="B52" s="84">
        <f>IFERROR(SUMIF([2]Jan26A!$A:$A,$A52,INDEX([2]Jan26A!$A:$N,0,MATCH($A$1,[2]Jan26A!$A$7:$N$7,0))),0)</f>
        <v>0</v>
      </c>
      <c r="C52" s="84">
        <f>IFERROR(SUMIF([2]Feb26A!$A:$A,$A52,INDEX([2]Feb26A!$A:$N,0,MATCH($A$1,[2]Feb26A!$A$7:$N$7,0))),0)</f>
        <v>0</v>
      </c>
      <c r="D52" s="84">
        <f>IFERROR(SUMIF([2]Mar26A!$A:$A,$A52,INDEX([2]Mar26A!$A:$N,0,MATCH($A$1,[2]Mar26A!$A$7:$N$7,0))),0)</f>
        <v>0</v>
      </c>
      <c r="E52" s="84">
        <f>IFERROR(SUMIF([2]Apr26A!$A:$A,$A52,INDEX([2]Apr26A!$A:$N,0,MATCH($A$1,[2]Apr26A!$A$7:$N$7,0))),0)</f>
        <v>0</v>
      </c>
      <c r="F52" s="84">
        <f>IFERROR(SUMIF([2]May26A!$A:$A,$A52,INDEX([2]May26A!$A:$N,0,MATCH($A$1,[2]May26A!$A$7:$N$7,0))),0)</f>
        <v>0</v>
      </c>
      <c r="G52" s="84">
        <f>IFERROR(SUMIF([2]Jun26A!$A:$A,$A52,INDEX([2]Jun26A!$A:$N,0,MATCH($A$1,[2]Jun26A!$A$7:$N$7,0))),0)</f>
        <v>0</v>
      </c>
      <c r="H52" s="84">
        <f>IFERROR(SUMIF([2]Jul26A!$A:$A,$A52,INDEX([2]Jul26A!$A:$N,0,MATCH($A$1,[2]Jul26A!$A$7:$N$7,0))),0)</f>
        <v>0</v>
      </c>
      <c r="I52" s="84">
        <f>IFERROR(SUMIF([2]Aug26A!$A:$A,$A52,INDEX([2]Aug26A!$A:$N,0,MATCH($A$1,[2]Aug26A!$A$7:$N$7,0))),0)</f>
        <v>0</v>
      </c>
      <c r="J52" s="117">
        <v>0</v>
      </c>
      <c r="K52" s="117">
        <v>0</v>
      </c>
      <c r="L52" s="117">
        <v>0</v>
      </c>
      <c r="M52" s="117">
        <v>0</v>
      </c>
      <c r="N52" s="84">
        <f>SUM(B52:M52)</f>
        <v>0</v>
      </c>
      <c r="O52" s="105" t="str">
        <f>IFERROR(N52/N$16,"")</f>
        <v/>
      </c>
      <c r="P52" s="84"/>
      <c r="Q52" s="84"/>
      <c r="R52" s="168"/>
      <c r="S52" s="168"/>
      <c r="T52" s="168"/>
      <c r="U52" s="168"/>
      <c r="V52" s="168"/>
      <c r="W52" s="168"/>
      <c r="X52" s="168"/>
      <c r="Y52" s="168"/>
      <c r="Z52" s="168"/>
      <c r="AA52" s="168"/>
      <c r="AB52" s="168"/>
      <c r="AC52" s="168"/>
      <c r="AD52" s="168"/>
      <c r="AE52" s="168"/>
      <c r="AF52" s="168"/>
      <c r="AG52" s="84">
        <f>SUM(U52:AF52)</f>
        <v>0</v>
      </c>
      <c r="AH52" s="105" t="str">
        <f>IFERROR(AG52/AG$16,"")</f>
        <v/>
      </c>
      <c r="AJ52" s="84">
        <f>N52-AG52</f>
        <v>0</v>
      </c>
    </row>
    <row r="53" spans="1:36" x14ac:dyDescent="0.3">
      <c r="A53" s="116" t="s">
        <v>139</v>
      </c>
      <c r="B53" s="84">
        <f>IFERROR(SUMIF([2]Jan26A!$A:$A,$A53,INDEX([2]Jan26A!$A:$N,0,MATCH($A$1,[2]Jan26A!$A$7:$N$7,0))),0)</f>
        <v>0</v>
      </c>
      <c r="C53" s="84">
        <f>IFERROR(SUMIF([2]Feb26A!$A:$A,$A53,INDEX([2]Feb26A!$A:$N,0,MATCH($A$1,[2]Feb26A!$A$7:$N$7,0))),0)</f>
        <v>0</v>
      </c>
      <c r="D53" s="84">
        <f>IFERROR(SUMIF([2]Mar26A!$A:$A,$A53,INDEX([2]Mar26A!$A:$N,0,MATCH($A$1,[2]Mar26A!$A$7:$N$7,0))),0)</f>
        <v>0</v>
      </c>
      <c r="E53" s="84">
        <f>IFERROR(SUMIF([2]Apr26A!$A:$A,$A53,INDEX([2]Apr26A!$A:$N,0,MATCH($A$1,[2]Apr26A!$A$7:$N$7,0))),0)</f>
        <v>0</v>
      </c>
      <c r="F53" s="84">
        <f>IFERROR(SUMIF([2]May26A!$A:$A,$A53,INDEX([2]May26A!$A:$N,0,MATCH($A$1,[2]May26A!$A$7:$N$7,0))),0)</f>
        <v>0</v>
      </c>
      <c r="G53" s="84">
        <f>IFERROR(SUMIF([2]Jun26A!$A:$A,$A53,INDEX([2]Jun26A!$A:$N,0,MATCH($A$1,[2]Jun26A!$A$7:$N$7,0))),0)</f>
        <v>0</v>
      </c>
      <c r="H53" s="84">
        <f>IFERROR(SUMIF([2]Jul26A!$A:$A,$A53,INDEX([2]Jul26A!$A:$N,0,MATCH($A$1,[2]Jul26A!$A$7:$N$7,0))),0)</f>
        <v>0</v>
      </c>
      <c r="I53" s="84">
        <f>IFERROR(SUMIF([2]Aug26A!$A:$A,$A53,INDEX([2]Aug26A!$A:$N,0,MATCH($A$1,[2]Aug26A!$A$7:$N$7,0))),0)</f>
        <v>0</v>
      </c>
      <c r="J53" s="117">
        <v>0</v>
      </c>
      <c r="K53" s="117">
        <v>0</v>
      </c>
      <c r="L53" s="117">
        <v>0</v>
      </c>
      <c r="M53" s="117">
        <v>0</v>
      </c>
      <c r="N53" s="84">
        <f>SUM(B53:M53)</f>
        <v>0</v>
      </c>
      <c r="O53" s="105" t="str">
        <f>IFERROR(N53/N$16,"")</f>
        <v/>
      </c>
      <c r="P53" s="84"/>
      <c r="Q53" s="84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168"/>
      <c r="AE53" s="168"/>
      <c r="AF53" s="168"/>
      <c r="AG53" s="84">
        <f>SUM(U53:AF53)</f>
        <v>0</v>
      </c>
      <c r="AH53" s="105" t="str">
        <f>IFERROR(AG53/AG$16,"")</f>
        <v/>
      </c>
      <c r="AJ53" s="84">
        <f>N53-AG53</f>
        <v>0</v>
      </c>
    </row>
    <row r="54" spans="1:36" x14ac:dyDescent="0.3">
      <c r="A54" s="116" t="s">
        <v>140</v>
      </c>
      <c r="B54" s="84">
        <f>IFERROR(SUMIF([2]Jan26A!$A:$A,$A54,INDEX([2]Jan26A!$A:$N,0,MATCH($A$1,[2]Jan26A!$A$7:$N$7,0))),0)</f>
        <v>0</v>
      </c>
      <c r="C54" s="84">
        <f>IFERROR(SUMIF([2]Feb26A!$A:$A,$A54,INDEX([2]Feb26A!$A:$N,0,MATCH($A$1,[2]Feb26A!$A$7:$N$7,0))),0)</f>
        <v>0</v>
      </c>
      <c r="D54" s="84">
        <f>IFERROR(SUMIF([2]Mar26A!$A:$A,$A54,INDEX([2]Mar26A!$A:$N,0,MATCH($A$1,[2]Mar26A!$A$7:$N$7,0))),0)</f>
        <v>0</v>
      </c>
      <c r="E54" s="84">
        <f>IFERROR(SUMIF([2]Apr26A!$A:$A,$A54,INDEX([2]Apr26A!$A:$N,0,MATCH($A$1,[2]Apr26A!$A$7:$N$7,0))),0)</f>
        <v>0</v>
      </c>
      <c r="F54" s="84">
        <f>IFERROR(SUMIF([2]May26A!$A:$A,$A54,INDEX([2]May26A!$A:$N,0,MATCH($A$1,[2]May26A!$A$7:$N$7,0))),0)</f>
        <v>0</v>
      </c>
      <c r="G54" s="84">
        <f>IFERROR(SUMIF([2]Jun26A!$A:$A,$A54,INDEX([2]Jun26A!$A:$N,0,MATCH($A$1,[2]Jun26A!$A$7:$N$7,0))),0)</f>
        <v>0</v>
      </c>
      <c r="H54" s="84">
        <f>IFERROR(SUMIF([2]Jul26A!$A:$A,$A54,INDEX([2]Jul26A!$A:$N,0,MATCH($A$1,[2]Jul26A!$A$7:$N$7,0))),0)</f>
        <v>0</v>
      </c>
      <c r="I54" s="84">
        <f>IFERROR(SUMIF([2]Aug26A!$A:$A,$A54,INDEX([2]Aug26A!$A:$N,0,MATCH($A$1,[2]Aug26A!$A$7:$N$7,0))),0)</f>
        <v>0</v>
      </c>
      <c r="J54" s="117">
        <v>0</v>
      </c>
      <c r="K54" s="117">
        <v>0</v>
      </c>
      <c r="L54" s="117">
        <v>0</v>
      </c>
      <c r="M54" s="117">
        <v>0</v>
      </c>
      <c r="N54" s="84">
        <f>SUM(B54:M54)</f>
        <v>0</v>
      </c>
      <c r="O54" s="105" t="str">
        <f>IFERROR(N54/N$16,"")</f>
        <v/>
      </c>
      <c r="P54" s="84"/>
      <c r="Q54" s="84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  <c r="AC54" s="168"/>
      <c r="AD54" s="168"/>
      <c r="AE54" s="168"/>
      <c r="AF54" s="168"/>
      <c r="AG54" s="84">
        <f>SUM(U54:AF54)</f>
        <v>0</v>
      </c>
      <c r="AH54" s="105" t="str">
        <f>IFERROR(AG54/AG$16,"")</f>
        <v/>
      </c>
      <c r="AJ54" s="84">
        <f>N54-AG54</f>
        <v>0</v>
      </c>
    </row>
    <row r="55" spans="1:36" x14ac:dyDescent="0.3">
      <c r="A55" s="118" t="s">
        <v>141</v>
      </c>
      <c r="B55" s="110">
        <f t="shared" ref="B55:M55" si="32">SUM(B52:B54)</f>
        <v>0</v>
      </c>
      <c r="C55" s="110">
        <f t="shared" si="32"/>
        <v>0</v>
      </c>
      <c r="D55" s="110">
        <f t="shared" si="32"/>
        <v>0</v>
      </c>
      <c r="E55" s="110">
        <f t="shared" si="32"/>
        <v>0</v>
      </c>
      <c r="F55" s="110">
        <f t="shared" si="32"/>
        <v>0</v>
      </c>
      <c r="G55" s="110">
        <f t="shared" si="32"/>
        <v>0</v>
      </c>
      <c r="H55" s="110">
        <f t="shared" si="32"/>
        <v>0</v>
      </c>
      <c r="I55" s="110">
        <f t="shared" si="32"/>
        <v>0</v>
      </c>
      <c r="J55" s="110">
        <f t="shared" si="32"/>
        <v>0</v>
      </c>
      <c r="K55" s="110">
        <f t="shared" si="32"/>
        <v>0</v>
      </c>
      <c r="L55" s="110">
        <f t="shared" si="32"/>
        <v>0</v>
      </c>
      <c r="M55" s="110">
        <f t="shared" si="32"/>
        <v>0</v>
      </c>
      <c r="N55" s="110">
        <f>SUM(B55:M55)</f>
        <v>0</v>
      </c>
      <c r="O55" s="111" t="str">
        <f>IFERROR(N55/N$16,"")</f>
        <v/>
      </c>
      <c r="P55" s="84"/>
      <c r="Q55" s="84"/>
      <c r="R55" s="180"/>
      <c r="S55" s="180"/>
      <c r="T55" s="180"/>
      <c r="U55" s="110">
        <f t="shared" ref="U55:AF55" si="33">SUM(U52:U54)</f>
        <v>0</v>
      </c>
      <c r="V55" s="110">
        <f t="shared" si="33"/>
        <v>0</v>
      </c>
      <c r="W55" s="110">
        <f t="shared" si="33"/>
        <v>0</v>
      </c>
      <c r="X55" s="110">
        <f t="shared" si="33"/>
        <v>0</v>
      </c>
      <c r="Y55" s="110">
        <f t="shared" si="33"/>
        <v>0</v>
      </c>
      <c r="Z55" s="110">
        <f t="shared" si="33"/>
        <v>0</v>
      </c>
      <c r="AA55" s="110">
        <f t="shared" si="33"/>
        <v>0</v>
      </c>
      <c r="AB55" s="110">
        <f t="shared" si="33"/>
        <v>0</v>
      </c>
      <c r="AC55" s="110">
        <f t="shared" si="33"/>
        <v>0</v>
      </c>
      <c r="AD55" s="110">
        <f t="shared" si="33"/>
        <v>0</v>
      </c>
      <c r="AE55" s="110">
        <f t="shared" si="33"/>
        <v>0</v>
      </c>
      <c r="AF55" s="110">
        <f t="shared" si="33"/>
        <v>0</v>
      </c>
      <c r="AG55" s="110">
        <f>SUM(U55:AF55)</f>
        <v>0</v>
      </c>
      <c r="AH55" s="111" t="str">
        <f>IFERROR(AG55/AG$16,"")</f>
        <v/>
      </c>
      <c r="AJ55" s="110">
        <f>N55-AG55</f>
        <v>0</v>
      </c>
    </row>
    <row r="56" spans="1:36" x14ac:dyDescent="0.3">
      <c r="A56" s="109" t="s">
        <v>142</v>
      </c>
      <c r="B56" s="110">
        <f t="shared" ref="B56:M56" si="34">B44+B45+B46+B47+B48+B49+B50+B55</f>
        <v>416.9</v>
      </c>
      <c r="C56" s="110">
        <f t="shared" si="34"/>
        <v>0</v>
      </c>
      <c r="D56" s="110">
        <f t="shared" si="34"/>
        <v>0</v>
      </c>
      <c r="E56" s="110">
        <f t="shared" si="34"/>
        <v>257.75</v>
      </c>
      <c r="F56" s="110">
        <f t="shared" si="34"/>
        <v>169.08</v>
      </c>
      <c r="G56" s="110">
        <f t="shared" si="34"/>
        <v>225.8</v>
      </c>
      <c r="H56" s="110">
        <f t="shared" si="34"/>
        <v>0</v>
      </c>
      <c r="I56" s="110">
        <f t="shared" si="34"/>
        <v>219.48</v>
      </c>
      <c r="J56" s="110">
        <f t="shared" si="34"/>
        <v>0</v>
      </c>
      <c r="K56" s="110">
        <f t="shared" si="34"/>
        <v>0</v>
      </c>
      <c r="L56" s="110">
        <f t="shared" si="34"/>
        <v>0</v>
      </c>
      <c r="M56" s="110">
        <f t="shared" si="34"/>
        <v>0</v>
      </c>
      <c r="N56" s="110">
        <f>SUM(B56:M56)</f>
        <v>1289.01</v>
      </c>
      <c r="O56" s="111" t="str">
        <f>IFERROR(N56/N$16,"")</f>
        <v/>
      </c>
      <c r="P56" s="84"/>
      <c r="Q56" s="84"/>
      <c r="R56" s="112"/>
      <c r="S56" s="112"/>
      <c r="T56" s="112"/>
      <c r="U56" s="110">
        <f t="shared" ref="U56:AF56" si="35">U44+U45+U46+U47+U48+U49+U50+U55</f>
        <v>0</v>
      </c>
      <c r="V56" s="110">
        <f t="shared" si="35"/>
        <v>0</v>
      </c>
      <c r="W56" s="110">
        <f t="shared" si="35"/>
        <v>0</v>
      </c>
      <c r="X56" s="110">
        <f t="shared" si="35"/>
        <v>0</v>
      </c>
      <c r="Y56" s="110">
        <f t="shared" si="35"/>
        <v>0</v>
      </c>
      <c r="Z56" s="110">
        <f t="shared" si="35"/>
        <v>0</v>
      </c>
      <c r="AA56" s="110">
        <f t="shared" si="35"/>
        <v>0</v>
      </c>
      <c r="AB56" s="110">
        <f t="shared" si="35"/>
        <v>0</v>
      </c>
      <c r="AC56" s="110">
        <f t="shared" si="35"/>
        <v>0</v>
      </c>
      <c r="AD56" s="110">
        <f t="shared" si="35"/>
        <v>0</v>
      </c>
      <c r="AE56" s="110">
        <f t="shared" si="35"/>
        <v>0</v>
      </c>
      <c r="AF56" s="110">
        <f t="shared" si="35"/>
        <v>0</v>
      </c>
      <c r="AG56" s="110">
        <f>SUM(U56:AF56)</f>
        <v>0</v>
      </c>
      <c r="AH56" s="111" t="str">
        <f>IFERROR(AG56/AG$16,"")</f>
        <v/>
      </c>
      <c r="AJ56" s="110">
        <f>N56-AG56</f>
        <v>1289.01</v>
      </c>
    </row>
    <row r="57" spans="1:36" x14ac:dyDescent="0.3">
      <c r="A57" s="102" t="s">
        <v>143</v>
      </c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105"/>
      <c r="P57" s="84"/>
      <c r="Q57" s="84"/>
      <c r="R57" s="112"/>
      <c r="S57" s="112"/>
      <c r="T57" s="112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105"/>
      <c r="AJ57" s="84"/>
    </row>
    <row r="58" spans="1:36" x14ac:dyDescent="0.3">
      <c r="A58" s="103" t="s">
        <v>144</v>
      </c>
      <c r="B58" s="84">
        <f>IFERROR(SUMIF([2]Jan26A!$A:$A,$A58,INDEX([2]Jan26A!$A:$N,0,MATCH($A$1,[2]Jan26A!$A$7:$N$7,0))),0)</f>
        <v>0</v>
      </c>
      <c r="C58" s="84">
        <f>IFERROR(SUMIF([2]Feb26A!$A:$A,$A58,INDEX([2]Feb26A!$A:$N,0,MATCH($A$1,[2]Feb26A!$A$7:$N$7,0))),0)</f>
        <v>0</v>
      </c>
      <c r="D58" s="84">
        <f>IFERROR(SUMIF([2]Mar26A!$A:$A,$A58,INDEX([2]Mar26A!$A:$N,0,MATCH($A$1,[2]Mar26A!$A$7:$N$7,0))),0)</f>
        <v>0</v>
      </c>
      <c r="E58" s="84">
        <f>IFERROR(SUMIF([2]Apr26A!$A:$A,$A58,INDEX([2]Apr26A!$A:$N,0,MATCH($A$1,[2]Apr26A!$A$7:$N$7,0))),0)</f>
        <v>0</v>
      </c>
      <c r="F58" s="84">
        <f>IFERROR(SUMIF([2]May26A!$A:$A,$A58,INDEX([2]May26A!$A:$N,0,MATCH($A$1,[2]May26A!$A$7:$N$7,0))),0)</f>
        <v>0</v>
      </c>
      <c r="G58" s="84">
        <f>IFERROR(SUMIF([2]Jun26A!$A:$A,$A58,INDEX([2]Jun26A!$A:$N,0,MATCH($A$1,[2]Jun26A!$A$7:$N$7,0))),0)</f>
        <v>0</v>
      </c>
      <c r="H58" s="84">
        <f>IFERROR(SUMIF([2]Jul26A!$A:$A,$A58,INDEX([2]Jul26A!$A:$N,0,MATCH($A$1,[2]Jul26A!$A$7:$N$7,0))),0)</f>
        <v>0</v>
      </c>
      <c r="I58" s="84">
        <f>IFERROR(SUMIF([2]Aug26A!$A:$A,$A58,INDEX([2]Aug26A!$A:$N,0,MATCH($A$1,[2]Aug26A!$A$7:$N$7,0))),0)</f>
        <v>0</v>
      </c>
      <c r="J58" s="117">
        <v>0</v>
      </c>
      <c r="K58" s="117">
        <v>0</v>
      </c>
      <c r="L58" s="117">
        <v>0</v>
      </c>
      <c r="M58" s="117">
        <v>0</v>
      </c>
      <c r="N58" s="84">
        <f t="shared" ref="N58:N64" si="36">SUM(B58:M58)</f>
        <v>0</v>
      </c>
      <c r="O58" s="105" t="str">
        <f t="shared" ref="O58:O64" si="37">IFERROR(N58/N$16,"")</f>
        <v/>
      </c>
      <c r="P58" s="84"/>
      <c r="Q58" s="84"/>
      <c r="R58" s="106" t="s">
        <v>99</v>
      </c>
      <c r="S58" s="107">
        <v>0</v>
      </c>
      <c r="T58" s="108">
        <v>0.05</v>
      </c>
      <c r="U58" s="104">
        <f t="shared" ref="U58:AF60" si="38">IF($R58="Manual","",IFERROR(IF($R58="YOY Growth",$N58*(1+$T58)/12,$S58/12),""))</f>
        <v>0</v>
      </c>
      <c r="V58" s="104">
        <f t="shared" si="38"/>
        <v>0</v>
      </c>
      <c r="W58" s="104">
        <f t="shared" si="38"/>
        <v>0</v>
      </c>
      <c r="X58" s="104">
        <f t="shared" si="38"/>
        <v>0</v>
      </c>
      <c r="Y58" s="104">
        <f t="shared" si="38"/>
        <v>0</v>
      </c>
      <c r="Z58" s="104">
        <f t="shared" si="38"/>
        <v>0</v>
      </c>
      <c r="AA58" s="104">
        <f t="shared" si="38"/>
        <v>0</v>
      </c>
      <c r="AB58" s="104">
        <f t="shared" si="38"/>
        <v>0</v>
      </c>
      <c r="AC58" s="104">
        <f t="shared" si="38"/>
        <v>0</v>
      </c>
      <c r="AD58" s="104">
        <f t="shared" si="38"/>
        <v>0</v>
      </c>
      <c r="AE58" s="104">
        <f t="shared" si="38"/>
        <v>0</v>
      </c>
      <c r="AF58" s="104">
        <f t="shared" si="38"/>
        <v>0</v>
      </c>
      <c r="AG58" s="84">
        <f t="shared" ref="AG58:AG64" si="39">SUM(U58:AF58)</f>
        <v>0</v>
      </c>
      <c r="AH58" s="105" t="str">
        <f t="shared" ref="AH58:AH64" si="40">IFERROR(AG58/AG$16,"")</f>
        <v/>
      </c>
      <c r="AJ58" s="84">
        <f t="shared" ref="AJ58:AJ63" si="41">N58-AG58</f>
        <v>0</v>
      </c>
    </row>
    <row r="59" spans="1:36" x14ac:dyDescent="0.3">
      <c r="A59" s="103" t="s">
        <v>145</v>
      </c>
      <c r="B59" s="84">
        <f>IFERROR(SUMIF([2]Jan26A!$A:$A,$A59,INDEX([2]Jan26A!$A:$N,0,MATCH($A$1,[2]Jan26A!$A$7:$N$7,0))),0)</f>
        <v>0</v>
      </c>
      <c r="C59" s="84">
        <f>IFERROR(SUMIF([2]Feb26A!$A:$A,$A59,INDEX([2]Feb26A!$A:$N,0,MATCH($A$1,[2]Feb26A!$A$7:$N$7,0))),0)</f>
        <v>0</v>
      </c>
      <c r="D59" s="84">
        <f>IFERROR(SUMIF([2]Mar26A!$A:$A,$A59,INDEX([2]Mar26A!$A:$N,0,MATCH($A$1,[2]Mar26A!$A$7:$N$7,0))),0)</f>
        <v>0</v>
      </c>
      <c r="E59" s="84">
        <f>IFERROR(SUMIF([2]Apr26A!$A:$A,$A59,INDEX([2]Apr26A!$A:$N,0,MATCH($A$1,[2]Apr26A!$A$7:$N$7,0))),0)</f>
        <v>0</v>
      </c>
      <c r="F59" s="84">
        <f>IFERROR(SUMIF([2]May26A!$A:$A,$A59,INDEX([2]May26A!$A:$N,0,MATCH($A$1,[2]May26A!$A$7:$N$7,0))),0)</f>
        <v>0</v>
      </c>
      <c r="G59" s="84">
        <f>IFERROR(SUMIF([2]Jun26A!$A:$A,$A59,INDEX([2]Jun26A!$A:$N,0,MATCH($A$1,[2]Jun26A!$A$7:$N$7,0))),0)</f>
        <v>0</v>
      </c>
      <c r="H59" s="84">
        <f>IFERROR(SUMIF([2]Jul26A!$A:$A,$A59,INDEX([2]Jul26A!$A:$N,0,MATCH($A$1,[2]Jul26A!$A$7:$N$7,0))),0)</f>
        <v>0</v>
      </c>
      <c r="I59" s="84">
        <f>IFERROR(SUMIF([2]Aug26A!$A:$A,$A59,INDEX([2]Aug26A!$A:$N,0,MATCH($A$1,[2]Aug26A!$A$7:$N$7,0))),0)</f>
        <v>0</v>
      </c>
      <c r="J59" s="117">
        <v>0</v>
      </c>
      <c r="K59" s="117">
        <v>0</v>
      </c>
      <c r="L59" s="117">
        <v>0</v>
      </c>
      <c r="M59" s="117">
        <v>0</v>
      </c>
      <c r="N59" s="84">
        <f t="shared" si="36"/>
        <v>0</v>
      </c>
      <c r="O59" s="105" t="str">
        <f t="shared" si="37"/>
        <v/>
      </c>
      <c r="P59" s="84"/>
      <c r="Q59" s="84"/>
      <c r="R59" s="106" t="s">
        <v>99</v>
      </c>
      <c r="S59" s="107">
        <v>0</v>
      </c>
      <c r="T59" s="108">
        <v>0.05</v>
      </c>
      <c r="U59" s="104">
        <f t="shared" si="38"/>
        <v>0</v>
      </c>
      <c r="V59" s="104">
        <f t="shared" si="38"/>
        <v>0</v>
      </c>
      <c r="W59" s="104">
        <f t="shared" si="38"/>
        <v>0</v>
      </c>
      <c r="X59" s="104">
        <f t="shared" si="38"/>
        <v>0</v>
      </c>
      <c r="Y59" s="104">
        <f t="shared" si="38"/>
        <v>0</v>
      </c>
      <c r="Z59" s="104">
        <f t="shared" si="38"/>
        <v>0</v>
      </c>
      <c r="AA59" s="104">
        <f t="shared" si="38"/>
        <v>0</v>
      </c>
      <c r="AB59" s="104">
        <f t="shared" si="38"/>
        <v>0</v>
      </c>
      <c r="AC59" s="104">
        <f t="shared" si="38"/>
        <v>0</v>
      </c>
      <c r="AD59" s="104">
        <f t="shared" si="38"/>
        <v>0</v>
      </c>
      <c r="AE59" s="104">
        <f t="shared" si="38"/>
        <v>0</v>
      </c>
      <c r="AF59" s="104">
        <f t="shared" si="38"/>
        <v>0</v>
      </c>
      <c r="AG59" s="84">
        <f t="shared" si="39"/>
        <v>0</v>
      </c>
      <c r="AH59" s="105" t="str">
        <f t="shared" si="40"/>
        <v/>
      </c>
      <c r="AJ59" s="84">
        <f t="shared" si="41"/>
        <v>0</v>
      </c>
    </row>
    <row r="60" spans="1:36" x14ac:dyDescent="0.3">
      <c r="A60" s="103" t="s">
        <v>146</v>
      </c>
      <c r="B60" s="84">
        <f>IFERROR(SUMIF([2]Jan26A!$A:$A,$A60,INDEX([2]Jan26A!$A:$N,0,MATCH($A$1,[2]Jan26A!$A$7:$N$7,0))),0)</f>
        <v>281.95999999999998</v>
      </c>
      <c r="C60" s="84">
        <f>IFERROR(SUMIF([2]Feb26A!$A:$A,$A60,INDEX([2]Feb26A!$A:$N,0,MATCH($A$1,[2]Feb26A!$A$7:$N$7,0))),0)</f>
        <v>0</v>
      </c>
      <c r="D60" s="84">
        <f>IFERROR(SUMIF([2]Mar26A!$A:$A,$A60,INDEX([2]Mar26A!$A:$N,0,MATCH($A$1,[2]Mar26A!$A$7:$N$7,0))),0)</f>
        <v>0</v>
      </c>
      <c r="E60" s="84">
        <f>IFERROR(SUMIF([2]Apr26A!$A:$A,$A60,INDEX([2]Apr26A!$A:$N,0,MATCH($A$1,[2]Apr26A!$A$7:$N$7,0))),0)</f>
        <v>0</v>
      </c>
      <c r="F60" s="84">
        <f>IFERROR(SUMIF([2]May26A!$A:$A,$A60,INDEX([2]May26A!$A:$N,0,MATCH($A$1,[2]May26A!$A$7:$N$7,0))),0)</f>
        <v>0</v>
      </c>
      <c r="G60" s="84">
        <f>IFERROR(SUMIF([2]Jun26A!$A:$A,$A60,INDEX([2]Jun26A!$A:$N,0,MATCH($A$1,[2]Jun26A!$A$7:$N$7,0))),0)</f>
        <v>0</v>
      </c>
      <c r="H60" s="84">
        <f>IFERROR(SUMIF([2]Jul26A!$A:$A,$A60,INDEX([2]Jul26A!$A:$N,0,MATCH($A$1,[2]Jul26A!$A$7:$N$7,0))),0)</f>
        <v>0</v>
      </c>
      <c r="I60" s="84">
        <f>IFERROR(SUMIF([2]Aug26A!$A:$A,$A60,INDEX([2]Aug26A!$A:$N,0,MATCH($A$1,[2]Aug26A!$A$7:$N$7,0))),0)</f>
        <v>0</v>
      </c>
      <c r="J60" s="117">
        <v>0</v>
      </c>
      <c r="K60" s="117">
        <v>0</v>
      </c>
      <c r="L60" s="117">
        <v>0</v>
      </c>
      <c r="M60" s="117">
        <v>0</v>
      </c>
      <c r="N60" s="84">
        <f t="shared" si="36"/>
        <v>281.95999999999998</v>
      </c>
      <c r="O60" s="105" t="str">
        <f t="shared" si="37"/>
        <v/>
      </c>
      <c r="P60" s="84"/>
      <c r="Q60" s="84"/>
      <c r="R60" s="106" t="s">
        <v>99</v>
      </c>
      <c r="S60" s="107">
        <v>0</v>
      </c>
      <c r="T60" s="108">
        <v>0.05</v>
      </c>
      <c r="U60" s="104">
        <f t="shared" si="38"/>
        <v>0</v>
      </c>
      <c r="V60" s="104">
        <f t="shared" si="38"/>
        <v>0</v>
      </c>
      <c r="W60" s="104">
        <f t="shared" si="38"/>
        <v>0</v>
      </c>
      <c r="X60" s="104">
        <f t="shared" si="38"/>
        <v>0</v>
      </c>
      <c r="Y60" s="104">
        <f t="shared" si="38"/>
        <v>0</v>
      </c>
      <c r="Z60" s="104">
        <f t="shared" si="38"/>
        <v>0</v>
      </c>
      <c r="AA60" s="104">
        <f t="shared" si="38"/>
        <v>0</v>
      </c>
      <c r="AB60" s="104">
        <f t="shared" si="38"/>
        <v>0</v>
      </c>
      <c r="AC60" s="104">
        <f t="shared" si="38"/>
        <v>0</v>
      </c>
      <c r="AD60" s="104">
        <f t="shared" si="38"/>
        <v>0</v>
      </c>
      <c r="AE60" s="104">
        <f t="shared" si="38"/>
        <v>0</v>
      </c>
      <c r="AF60" s="104">
        <f t="shared" si="38"/>
        <v>0</v>
      </c>
      <c r="AG60" s="84">
        <f t="shared" si="39"/>
        <v>0</v>
      </c>
      <c r="AH60" s="105" t="str">
        <f t="shared" si="40"/>
        <v/>
      </c>
      <c r="AJ60" s="84">
        <f t="shared" si="41"/>
        <v>281.95999999999998</v>
      </c>
    </row>
    <row r="61" spans="1:36" x14ac:dyDescent="0.3">
      <c r="A61" s="109" t="s">
        <v>147</v>
      </c>
      <c r="B61" s="119">
        <f t="shared" ref="B61:M61" si="42">SUM(B58:B60)</f>
        <v>281.95999999999998</v>
      </c>
      <c r="C61" s="119">
        <f t="shared" si="42"/>
        <v>0</v>
      </c>
      <c r="D61" s="119">
        <f t="shared" si="42"/>
        <v>0</v>
      </c>
      <c r="E61" s="119">
        <f t="shared" si="42"/>
        <v>0</v>
      </c>
      <c r="F61" s="119">
        <f t="shared" si="42"/>
        <v>0</v>
      </c>
      <c r="G61" s="119">
        <f t="shared" si="42"/>
        <v>0</v>
      </c>
      <c r="H61" s="119">
        <f t="shared" si="42"/>
        <v>0</v>
      </c>
      <c r="I61" s="119">
        <f t="shared" si="42"/>
        <v>0</v>
      </c>
      <c r="J61" s="119">
        <f t="shared" si="42"/>
        <v>0</v>
      </c>
      <c r="K61" s="119">
        <f t="shared" si="42"/>
        <v>0</v>
      </c>
      <c r="L61" s="119">
        <f t="shared" si="42"/>
        <v>0</v>
      </c>
      <c r="M61" s="119">
        <f t="shared" si="42"/>
        <v>0</v>
      </c>
      <c r="N61" s="119">
        <f t="shared" si="36"/>
        <v>281.95999999999998</v>
      </c>
      <c r="O61" s="120" t="str">
        <f t="shared" si="37"/>
        <v/>
      </c>
      <c r="P61" s="84"/>
      <c r="Q61" s="84"/>
      <c r="R61" s="112"/>
      <c r="S61" s="112"/>
      <c r="T61" s="112"/>
      <c r="U61" s="119">
        <f t="shared" ref="U61:AF61" si="43">SUM(U58:U60)</f>
        <v>0</v>
      </c>
      <c r="V61" s="119">
        <f t="shared" si="43"/>
        <v>0</v>
      </c>
      <c r="W61" s="119">
        <f t="shared" si="43"/>
        <v>0</v>
      </c>
      <c r="X61" s="119">
        <f t="shared" si="43"/>
        <v>0</v>
      </c>
      <c r="Y61" s="119">
        <f t="shared" si="43"/>
        <v>0</v>
      </c>
      <c r="Z61" s="119">
        <f t="shared" si="43"/>
        <v>0</v>
      </c>
      <c r="AA61" s="119">
        <f t="shared" si="43"/>
        <v>0</v>
      </c>
      <c r="AB61" s="119">
        <f t="shared" si="43"/>
        <v>0</v>
      </c>
      <c r="AC61" s="119">
        <f t="shared" si="43"/>
        <v>0</v>
      </c>
      <c r="AD61" s="119">
        <f t="shared" si="43"/>
        <v>0</v>
      </c>
      <c r="AE61" s="119">
        <f t="shared" si="43"/>
        <v>0</v>
      </c>
      <c r="AF61" s="119">
        <f t="shared" si="43"/>
        <v>0</v>
      </c>
      <c r="AG61" s="119">
        <f t="shared" si="39"/>
        <v>0</v>
      </c>
      <c r="AH61" s="120" t="str">
        <f t="shared" si="40"/>
        <v/>
      </c>
      <c r="AJ61" s="110">
        <f t="shared" si="41"/>
        <v>281.95999999999998</v>
      </c>
    </row>
    <row r="62" spans="1:36" x14ac:dyDescent="0.3">
      <c r="A62" s="161" t="s">
        <v>148</v>
      </c>
      <c r="B62" s="84">
        <f>IFERROR(SUMIF([2]Jan26A!$A:$A,$A62,INDEX([2]Jan26A!$A:$N,0,MATCH($A$1,[2]Jan26A!$A$7:$N$7,0))),0)</f>
        <v>0</v>
      </c>
      <c r="C62" s="84">
        <f>IFERROR(SUMIF([2]Feb26A!$A:$A,$A62,INDEX([2]Feb26A!$A:$N,0,MATCH($A$1,[2]Feb26A!$A$7:$N$7,0))),0)</f>
        <v>0</v>
      </c>
      <c r="D62" s="84">
        <f>IFERROR(SUMIF([2]Mar26A!$A:$A,$A62,INDEX([2]Mar26A!$A:$N,0,MATCH($A$1,[2]Mar26A!$A$7:$N$7,0))),0)</f>
        <v>0</v>
      </c>
      <c r="E62" s="84">
        <f>IFERROR(SUMIF([2]Apr26A!$A:$A,$A62,INDEX([2]Apr26A!$A:$N,0,MATCH($A$1,[2]Apr26A!$A$7:$N$7,0))),0)</f>
        <v>0</v>
      </c>
      <c r="F62" s="84">
        <f>IFERROR(SUMIF([2]May26A!$A:$A,$A62,INDEX([2]May26A!$A:$N,0,MATCH($A$1,[2]May26A!$A$7:$N$7,0))),0)</f>
        <v>0</v>
      </c>
      <c r="G62" s="84">
        <f>IFERROR(SUMIF([2]Jun26A!$A:$A,$A62,INDEX([2]Jun26A!$A:$N,0,MATCH($A$1,[2]Jun26A!$A$7:$N$7,0))),0)</f>
        <v>0</v>
      </c>
      <c r="H62" s="84">
        <f>IFERROR(SUMIF([2]Jul26A!$A:$A,$A62,INDEX([2]Jul26A!$A:$N,0,MATCH($A$1,[2]Jul26A!$A$7:$N$7,0))),0)</f>
        <v>0</v>
      </c>
      <c r="I62" s="84">
        <f>IFERROR(SUMIF([2]Aug26A!$A:$A,$A62,INDEX([2]Aug26A!$A:$N,0,MATCH($A$1,[2]Aug26A!$A$7:$N$7,0))),0)</f>
        <v>0</v>
      </c>
      <c r="J62" s="117">
        <v>0</v>
      </c>
      <c r="K62" s="117">
        <v>0</v>
      </c>
      <c r="L62" s="117">
        <v>0</v>
      </c>
      <c r="M62" s="117">
        <v>0</v>
      </c>
      <c r="N62" s="84">
        <f t="shared" si="36"/>
        <v>0</v>
      </c>
      <c r="O62" s="105" t="str">
        <f t="shared" si="37"/>
        <v/>
      </c>
      <c r="P62" s="84"/>
      <c r="Q62" s="84"/>
      <c r="R62" s="106" t="s">
        <v>99</v>
      </c>
      <c r="S62" s="107">
        <v>0</v>
      </c>
      <c r="T62" s="108">
        <v>0.05</v>
      </c>
      <c r="U62" s="104">
        <f t="shared" ref="U62:AF62" si="44">IF($R62="Manual","",IFERROR(IF($R62="YOY Growth",$N62*(1+$T62)/12,$S62/12),""))</f>
        <v>0</v>
      </c>
      <c r="V62" s="104">
        <f t="shared" si="44"/>
        <v>0</v>
      </c>
      <c r="W62" s="104">
        <f t="shared" si="44"/>
        <v>0</v>
      </c>
      <c r="X62" s="104">
        <f t="shared" si="44"/>
        <v>0</v>
      </c>
      <c r="Y62" s="104">
        <f t="shared" si="44"/>
        <v>0</v>
      </c>
      <c r="Z62" s="104">
        <f t="shared" si="44"/>
        <v>0</v>
      </c>
      <c r="AA62" s="104">
        <f t="shared" si="44"/>
        <v>0</v>
      </c>
      <c r="AB62" s="104">
        <f t="shared" si="44"/>
        <v>0</v>
      </c>
      <c r="AC62" s="104">
        <f t="shared" si="44"/>
        <v>0</v>
      </c>
      <c r="AD62" s="104">
        <f t="shared" si="44"/>
        <v>0</v>
      </c>
      <c r="AE62" s="104">
        <f t="shared" si="44"/>
        <v>0</v>
      </c>
      <c r="AF62" s="104">
        <f t="shared" si="44"/>
        <v>0</v>
      </c>
      <c r="AG62" s="84">
        <f t="shared" si="39"/>
        <v>0</v>
      </c>
      <c r="AH62" s="105" t="str">
        <f t="shared" si="40"/>
        <v/>
      </c>
      <c r="AJ62" s="84">
        <f t="shared" si="41"/>
        <v>0</v>
      </c>
    </row>
    <row r="63" spans="1:36" x14ac:dyDescent="0.3">
      <c r="A63" s="114" t="s">
        <v>149</v>
      </c>
      <c r="B63" s="110">
        <f>B37+B38+B39+B40+B41+B42+B56+B61+B62</f>
        <v>1001.6399999999999</v>
      </c>
      <c r="C63" s="110">
        <f t="shared" ref="C63:M63" si="45">C37+C38+C39+C40+C41+C42+C56+C61+C62</f>
        <v>3886.36</v>
      </c>
      <c r="D63" s="110">
        <f t="shared" si="45"/>
        <v>0</v>
      </c>
      <c r="E63" s="110">
        <f t="shared" si="45"/>
        <v>257.75</v>
      </c>
      <c r="F63" s="110">
        <f t="shared" si="45"/>
        <v>169.08</v>
      </c>
      <c r="G63" s="110">
        <f t="shared" si="45"/>
        <v>1513.1699999999998</v>
      </c>
      <c r="H63" s="110">
        <f t="shared" si="45"/>
        <v>1093.97</v>
      </c>
      <c r="I63" s="110">
        <f t="shared" si="45"/>
        <v>1072.32</v>
      </c>
      <c r="J63" s="110">
        <f t="shared" si="45"/>
        <v>0</v>
      </c>
      <c r="K63" s="110">
        <f t="shared" si="45"/>
        <v>0</v>
      </c>
      <c r="L63" s="110">
        <f t="shared" si="45"/>
        <v>0</v>
      </c>
      <c r="M63" s="110">
        <f t="shared" si="45"/>
        <v>0</v>
      </c>
      <c r="N63" s="110">
        <f>SUM(B63:M63)</f>
        <v>8994.2900000000009</v>
      </c>
      <c r="O63" s="111" t="str">
        <f>IFERROR(N63/N$16,"")</f>
        <v/>
      </c>
      <c r="P63" s="84"/>
      <c r="Q63" s="84"/>
      <c r="R63" s="112"/>
      <c r="S63" s="112"/>
      <c r="T63" s="112"/>
      <c r="U63" s="110">
        <f>U37+U38+U39+U40+U41+U42+U56+U61+U62</f>
        <v>0</v>
      </c>
      <c r="V63" s="110">
        <f t="shared" ref="V63:AF63" si="46">V37+V38+V39+V40+V41+V42+V56+V61+V62</f>
        <v>0</v>
      </c>
      <c r="W63" s="110">
        <f t="shared" si="46"/>
        <v>0</v>
      </c>
      <c r="X63" s="110">
        <f t="shared" si="46"/>
        <v>0</v>
      </c>
      <c r="Y63" s="110">
        <f t="shared" si="46"/>
        <v>0</v>
      </c>
      <c r="Z63" s="110">
        <f t="shared" si="46"/>
        <v>0</v>
      </c>
      <c r="AA63" s="110">
        <f t="shared" si="46"/>
        <v>0</v>
      </c>
      <c r="AB63" s="110">
        <f t="shared" si="46"/>
        <v>0</v>
      </c>
      <c r="AC63" s="110">
        <f t="shared" si="46"/>
        <v>0</v>
      </c>
      <c r="AD63" s="110">
        <f t="shared" si="46"/>
        <v>0</v>
      </c>
      <c r="AE63" s="110">
        <f t="shared" si="46"/>
        <v>0</v>
      </c>
      <c r="AF63" s="110">
        <f t="shared" si="46"/>
        <v>0</v>
      </c>
      <c r="AG63" s="110">
        <f>SUM(U63:AF63)</f>
        <v>0</v>
      </c>
      <c r="AH63" s="111" t="str">
        <f>IFERROR(AG63/AG$16,"")</f>
        <v/>
      </c>
      <c r="AJ63" s="110">
        <f t="shared" si="41"/>
        <v>8994.2900000000009</v>
      </c>
    </row>
    <row r="64" spans="1:36" x14ac:dyDescent="0.3">
      <c r="A64" s="121" t="s">
        <v>150</v>
      </c>
      <c r="B64" s="110">
        <f t="shared" ref="B64:M64" si="47">B16-B63</f>
        <v>-1001.6399999999999</v>
      </c>
      <c r="C64" s="110">
        <f t="shared" si="47"/>
        <v>-3886.36</v>
      </c>
      <c r="D64" s="110">
        <f t="shared" si="47"/>
        <v>0</v>
      </c>
      <c r="E64" s="110">
        <f t="shared" si="47"/>
        <v>-257.75</v>
      </c>
      <c r="F64" s="110">
        <f t="shared" si="47"/>
        <v>-169.08</v>
      </c>
      <c r="G64" s="110">
        <f t="shared" si="47"/>
        <v>-1513.1699999999998</v>
      </c>
      <c r="H64" s="110">
        <f t="shared" si="47"/>
        <v>-1093.97</v>
      </c>
      <c r="I64" s="110">
        <f t="shared" si="47"/>
        <v>-1072.32</v>
      </c>
      <c r="J64" s="110">
        <f t="shared" si="47"/>
        <v>0</v>
      </c>
      <c r="K64" s="110">
        <f t="shared" si="47"/>
        <v>0</v>
      </c>
      <c r="L64" s="110">
        <f t="shared" si="47"/>
        <v>0</v>
      </c>
      <c r="M64" s="110">
        <f t="shared" si="47"/>
        <v>0</v>
      </c>
      <c r="N64" s="110">
        <f t="shared" si="36"/>
        <v>-8994.2900000000009</v>
      </c>
      <c r="O64" s="111" t="str">
        <f t="shared" si="37"/>
        <v/>
      </c>
      <c r="P64" s="84"/>
      <c r="Q64" s="84"/>
      <c r="R64" s="112"/>
      <c r="S64" s="112"/>
      <c r="T64" s="112"/>
      <c r="U64" s="110">
        <f t="shared" ref="U64:AF64" si="48">U16-U63</f>
        <v>0</v>
      </c>
      <c r="V64" s="110">
        <f t="shared" si="48"/>
        <v>0</v>
      </c>
      <c r="W64" s="110">
        <f t="shared" si="48"/>
        <v>0</v>
      </c>
      <c r="X64" s="110">
        <f t="shared" si="48"/>
        <v>0</v>
      </c>
      <c r="Y64" s="110">
        <f t="shared" si="48"/>
        <v>0</v>
      </c>
      <c r="Z64" s="110">
        <f t="shared" si="48"/>
        <v>0</v>
      </c>
      <c r="AA64" s="110">
        <f t="shared" si="48"/>
        <v>0</v>
      </c>
      <c r="AB64" s="110">
        <f t="shared" si="48"/>
        <v>0</v>
      </c>
      <c r="AC64" s="110">
        <f t="shared" si="48"/>
        <v>0</v>
      </c>
      <c r="AD64" s="110">
        <f t="shared" si="48"/>
        <v>0</v>
      </c>
      <c r="AE64" s="110">
        <f t="shared" si="48"/>
        <v>0</v>
      </c>
      <c r="AF64" s="110">
        <f t="shared" si="48"/>
        <v>0</v>
      </c>
      <c r="AG64" s="110">
        <f t="shared" si="39"/>
        <v>0</v>
      </c>
      <c r="AH64" s="111" t="str">
        <f t="shared" si="40"/>
        <v/>
      </c>
      <c r="AJ64" s="110">
        <f>AG64-N64</f>
        <v>8994.2900000000009</v>
      </c>
    </row>
    <row r="65" spans="1:36" x14ac:dyDescent="0.3">
      <c r="A65" s="101" t="s">
        <v>151</v>
      </c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05"/>
      <c r="P65" s="84"/>
      <c r="Q65" s="84"/>
      <c r="R65" s="112"/>
      <c r="S65" s="112"/>
      <c r="T65" s="11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05"/>
      <c r="AJ65" s="105"/>
    </row>
    <row r="66" spans="1:36" x14ac:dyDescent="0.3">
      <c r="A66" s="102" t="s">
        <v>152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105"/>
      <c r="P66" s="84"/>
      <c r="Q66" s="84"/>
      <c r="R66" s="112"/>
      <c r="S66" s="112"/>
      <c r="T66" s="112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105"/>
      <c r="AJ66" s="84"/>
    </row>
    <row r="67" spans="1:36" x14ac:dyDescent="0.3">
      <c r="A67" s="103" t="s">
        <v>153</v>
      </c>
      <c r="B67" s="84">
        <f>IFERROR(SUMIF([2]Jan26A!$A:$A,$A67,INDEX([2]Jan26A!$A:$N,0,MATCH($A$1,[2]Jan26A!$A$7:$N$7,0))),0)</f>
        <v>55695.15</v>
      </c>
      <c r="C67" s="84">
        <f>IFERROR(SUMIF([2]Feb26A!$A:$A,$A67,INDEX([2]Feb26A!$A:$N,0,MATCH($A$1,[2]Feb26A!$A$7:$N$7,0))),0)</f>
        <v>27654.39</v>
      </c>
      <c r="D67" s="84">
        <f>IFERROR(SUMIF([2]Mar26A!$A:$A,$A67,INDEX([2]Mar26A!$A:$N,0,MATCH($A$1,[2]Mar26A!$A$7:$N$7,0))),0)</f>
        <v>61502.28</v>
      </c>
      <c r="E67" s="84">
        <f>IFERROR(SUMIF([2]Apr26A!$A:$A,$A67,INDEX([2]Apr26A!$A:$N,0,MATCH($A$1,[2]Apr26A!$A$7:$N$7,0))),0)</f>
        <v>55315.58</v>
      </c>
      <c r="F67" s="84">
        <f>IFERROR(SUMIF([2]May26A!$A:$A,$A67,INDEX([2]May26A!$A:$N,0,MATCH($A$1,[2]May26A!$A$7:$N$7,0))),0)</f>
        <v>42282.65</v>
      </c>
      <c r="G67" s="84">
        <f>IFERROR(SUMIF([2]Jun26A!$A:$A,$A67,INDEX([2]Jun26A!$A:$N,0,MATCH($A$1,[2]Jun26A!$A$7:$N$7,0))),0)</f>
        <v>43025.7</v>
      </c>
      <c r="H67" s="84">
        <f>IFERROR(SUMIF([2]Jul26A!$A:$A,$A67,INDEX([2]Jul26A!$A:$N,0,MATCH($A$1,[2]Jul26A!$A$7:$N$7,0))),0)</f>
        <v>32866.879999999997</v>
      </c>
      <c r="I67" s="84">
        <f>IFERROR(SUMIF([2]Aug26A!$A:$A,$A67,INDEX([2]Aug26A!$A:$N,0,MATCH($A$1,[2]Aug26A!$A$7:$N$7,0))),0)</f>
        <v>31543.74</v>
      </c>
      <c r="J67" s="117">
        <v>44900</v>
      </c>
      <c r="K67" s="117">
        <v>46100</v>
      </c>
      <c r="L67" s="117">
        <v>46100</v>
      </c>
      <c r="M67" s="117">
        <v>46100</v>
      </c>
      <c r="N67" s="84">
        <f t="shared" ref="N67:N80" si="49">SUM(B67:M67)</f>
        <v>533086.37</v>
      </c>
      <c r="O67" s="105" t="str">
        <f t="shared" ref="O67:O80" si="50">IFERROR(N67/N$16,"")</f>
        <v/>
      </c>
      <c r="P67" s="84"/>
      <c r="Q67" s="84"/>
      <c r="R67" s="157"/>
      <c r="S67" s="157"/>
      <c r="T67" s="157"/>
      <c r="U67" s="157">
        <f>'CO HC'!M67</f>
        <v>43709.833333333328</v>
      </c>
      <c r="V67" s="157">
        <f>'CO HC'!N67</f>
        <v>43709.833333333328</v>
      </c>
      <c r="W67" s="157">
        <f>'CO HC'!O67</f>
        <v>43709.833333333328</v>
      </c>
      <c r="X67" s="157">
        <f>'CO HC'!P67</f>
        <v>43709.833333333328</v>
      </c>
      <c r="Y67" s="157">
        <f>'CO HC'!Q67</f>
        <v>43709.833333333328</v>
      </c>
      <c r="Z67" s="157">
        <f>'CO HC'!R67</f>
        <v>43709.833333333328</v>
      </c>
      <c r="AA67" s="157">
        <f>'CO HC'!S67</f>
        <v>43709.833333333328</v>
      </c>
      <c r="AB67" s="157">
        <f>'CO HC'!T67</f>
        <v>43709.833333333328</v>
      </c>
      <c r="AC67" s="157">
        <f>'CO HC'!U67</f>
        <v>43709.833333333328</v>
      </c>
      <c r="AD67" s="157">
        <f>'CO HC'!V67</f>
        <v>45021.128333333334</v>
      </c>
      <c r="AE67" s="157">
        <f>'CO HC'!W67</f>
        <v>45021.128333333334</v>
      </c>
      <c r="AF67" s="157">
        <f>'CO HC'!X67</f>
        <v>45021.128333333334</v>
      </c>
      <c r="AG67" s="84">
        <f t="shared" ref="AG67:AG80" si="51">SUM(U67:AF67)</f>
        <v>528451.88499999989</v>
      </c>
      <c r="AH67" s="105" t="str">
        <f t="shared" ref="AH67:AH80" si="52">IFERROR(AG67/AG$16,"")</f>
        <v/>
      </c>
      <c r="AJ67" s="84">
        <f t="shared" ref="AJ67:AJ80" si="53">N67-AG67</f>
        <v>4634.4850000001024</v>
      </c>
    </row>
    <row r="68" spans="1:36" x14ac:dyDescent="0.3">
      <c r="A68" s="103" t="s">
        <v>154</v>
      </c>
      <c r="B68" s="84">
        <f>IFERROR(SUMIF([2]Jan26A!$A:$A,$A68,INDEX([2]Jan26A!$A:$N,0,MATCH($A$1,[2]Jan26A!$A$7:$N$7,0))),0)</f>
        <v>4847.17</v>
      </c>
      <c r="C68" s="84">
        <f>IFERROR(SUMIF([2]Feb26A!$A:$A,$A68,INDEX([2]Feb26A!$A:$N,0,MATCH($A$1,[2]Feb26A!$A$7:$N$7,0))),0)</f>
        <v>30724.639999999999</v>
      </c>
      <c r="D68" s="84">
        <f>IFERROR(SUMIF([2]Mar26A!$A:$A,$A68,INDEX([2]Mar26A!$A:$N,0,MATCH($A$1,[2]Mar26A!$A$7:$N$7,0))),0)</f>
        <v>2634.91</v>
      </c>
      <c r="E68" s="84">
        <f>IFERROR(SUMIF([2]Apr26A!$A:$A,$A68,INDEX([2]Apr26A!$A:$N,0,MATCH($A$1,[2]Apr26A!$A$7:$N$7,0))),0)</f>
        <v>2624.16</v>
      </c>
      <c r="F68" s="84">
        <f>IFERROR(SUMIF([2]May26A!$A:$A,$A68,INDEX([2]May26A!$A:$N,0,MATCH($A$1,[2]May26A!$A$7:$N$7,0))),0)</f>
        <v>2207.77</v>
      </c>
      <c r="G68" s="84">
        <f>IFERROR(SUMIF([2]Jun26A!$A:$A,$A68,INDEX([2]Jun26A!$A:$N,0,MATCH($A$1,[2]Jun26A!$A$7:$N$7,0))),0)</f>
        <v>2215.29</v>
      </c>
      <c r="H68" s="84">
        <f>IFERROR(SUMIF([2]Jul26A!$A:$A,$A68,INDEX([2]Jul26A!$A:$N,0,MATCH($A$1,[2]Jul26A!$A$7:$N$7,0))),0)</f>
        <v>1907.84</v>
      </c>
      <c r="I68" s="84">
        <f>IFERROR(SUMIF([2]Aug26A!$A:$A,$A68,INDEX([2]Aug26A!$A:$N,0,MATCH($A$1,[2]Aug26A!$A$7:$N$7,0))),0)</f>
        <v>1885.04</v>
      </c>
      <c r="J68" s="117">
        <v>1796</v>
      </c>
      <c r="K68" s="117">
        <v>1844</v>
      </c>
      <c r="L68" s="117">
        <v>1844</v>
      </c>
      <c r="M68" s="117">
        <v>1844</v>
      </c>
      <c r="N68" s="84">
        <f t="shared" si="49"/>
        <v>56374.82</v>
      </c>
      <c r="O68" s="105" t="str">
        <f t="shared" si="50"/>
        <v/>
      </c>
      <c r="P68" s="84"/>
      <c r="Q68" s="84"/>
      <c r="R68" s="157"/>
      <c r="S68" s="157"/>
      <c r="T68" s="157"/>
      <c r="U68" s="157">
        <f>'CO HC'!M68</f>
        <v>2282.289750957741</v>
      </c>
      <c r="V68" s="157">
        <f>'CO HC'!N68</f>
        <v>2282.289750957741</v>
      </c>
      <c r="W68" s="157">
        <f>'CO HC'!O68</f>
        <v>2282.289750957741</v>
      </c>
      <c r="X68" s="157">
        <f>'CO HC'!P68</f>
        <v>2282.289750957741</v>
      </c>
      <c r="Y68" s="157">
        <f>'CO HC'!Q68</f>
        <v>2282.289750957741</v>
      </c>
      <c r="Z68" s="157">
        <f>'CO HC'!R68</f>
        <v>2282.289750957741</v>
      </c>
      <c r="AA68" s="157">
        <f>'CO HC'!S68</f>
        <v>2282.289750957741</v>
      </c>
      <c r="AB68" s="157">
        <f>'CO HC'!T68</f>
        <v>2282.289750957741</v>
      </c>
      <c r="AC68" s="157">
        <f>'CO HC'!U68</f>
        <v>2282.289750957741</v>
      </c>
      <c r="AD68" s="157">
        <f>'CO HC'!V68</f>
        <v>2350.7584434864734</v>
      </c>
      <c r="AE68" s="157">
        <f>'CO HC'!W68</f>
        <v>2350.7584434864734</v>
      </c>
      <c r="AF68" s="157">
        <f>'CO HC'!X68</f>
        <v>2350.7584434864734</v>
      </c>
      <c r="AG68" s="84">
        <f t="shared" si="51"/>
        <v>27592.883089079089</v>
      </c>
      <c r="AH68" s="105" t="str">
        <f t="shared" si="52"/>
        <v/>
      </c>
      <c r="AJ68" s="84">
        <f t="shared" si="53"/>
        <v>28781.936910920911</v>
      </c>
    </row>
    <row r="69" spans="1:36" x14ac:dyDescent="0.3">
      <c r="A69" s="103" t="s">
        <v>155</v>
      </c>
      <c r="B69" s="84">
        <f>IFERROR(SUMIF([2]Jan26A!$A:$A,$A69,INDEX([2]Jan26A!$A:$N,0,MATCH($A$1,[2]Jan26A!$A$7:$N$7,0))),0)</f>
        <v>-3426.05</v>
      </c>
      <c r="C69" s="84">
        <f>IFERROR(SUMIF([2]Feb26A!$A:$A,$A69,INDEX([2]Feb26A!$A:$N,0,MATCH($A$1,[2]Feb26A!$A$7:$N$7,0))),0)</f>
        <v>1939.53</v>
      </c>
      <c r="D69" s="84">
        <f>IFERROR(SUMIF([2]Mar26A!$A:$A,$A69,INDEX([2]Mar26A!$A:$N,0,MATCH($A$1,[2]Mar26A!$A$7:$N$7,0))),0)</f>
        <v>6037.99</v>
      </c>
      <c r="E69" s="84">
        <f>IFERROR(SUMIF([2]Apr26A!$A:$A,$A69,INDEX([2]Apr26A!$A:$N,0,MATCH($A$1,[2]Apr26A!$A$7:$N$7,0))),0)</f>
        <v>6694.27</v>
      </c>
      <c r="F69" s="84">
        <f>IFERROR(SUMIF([2]May26A!$A:$A,$A69,INDEX([2]May26A!$A:$N,0,MATCH($A$1,[2]May26A!$A$7:$N$7,0))),0)</f>
        <v>5034.09</v>
      </c>
      <c r="G69" s="84">
        <f>IFERROR(SUMIF([2]Jun26A!$A:$A,$A69,INDEX([2]Jun26A!$A:$N,0,MATCH($A$1,[2]Jun26A!$A$7:$N$7,0))),0)</f>
        <v>5883.1</v>
      </c>
      <c r="H69" s="84">
        <f>IFERROR(SUMIF([2]Jul26A!$A:$A,$A69,INDEX([2]Jul26A!$A:$N,0,MATCH($A$1,[2]Jul26A!$A$7:$N$7,0))),0)</f>
        <v>1906.75</v>
      </c>
      <c r="I69" s="84">
        <f>IFERROR(SUMIF([2]Aug26A!$A:$A,$A69,INDEX([2]Aug26A!$A:$N,0,MATCH($A$1,[2]Aug26A!$A$7:$N$7,0))),0)</f>
        <v>5215.08</v>
      </c>
      <c r="J69" s="117">
        <v>4490</v>
      </c>
      <c r="K69" s="117">
        <v>4610</v>
      </c>
      <c r="L69" s="117">
        <v>4610</v>
      </c>
      <c r="M69" s="117">
        <v>4610</v>
      </c>
      <c r="N69" s="84">
        <f t="shared" si="49"/>
        <v>47604.76</v>
      </c>
      <c r="O69" s="105" t="str">
        <f t="shared" si="50"/>
        <v/>
      </c>
      <c r="P69" s="84"/>
      <c r="Q69" s="84"/>
      <c r="R69" s="157"/>
      <c r="S69" s="157"/>
      <c r="T69" s="157"/>
      <c r="U69" s="157">
        <f>'CO HC'!M69</f>
        <v>5204.0076694578029</v>
      </c>
      <c r="V69" s="157">
        <f>'CO HC'!N69</f>
        <v>5204.0076694578029</v>
      </c>
      <c r="W69" s="157">
        <f>'CO HC'!O69</f>
        <v>5204.0076694578029</v>
      </c>
      <c r="X69" s="157">
        <f>'CO HC'!P69</f>
        <v>5204.0076694578029</v>
      </c>
      <c r="Y69" s="157">
        <f>'CO HC'!Q69</f>
        <v>5204.0076694578029</v>
      </c>
      <c r="Z69" s="157">
        <f>'CO HC'!R69</f>
        <v>5204.0076694578029</v>
      </c>
      <c r="AA69" s="157">
        <f>'CO HC'!S69</f>
        <v>5204.0076694578029</v>
      </c>
      <c r="AB69" s="157">
        <f>'CO HC'!T69</f>
        <v>5204.0076694578029</v>
      </c>
      <c r="AC69" s="157">
        <f>'CO HC'!U69</f>
        <v>5204.0076694578029</v>
      </c>
      <c r="AD69" s="157">
        <f>'CO HC'!V69</f>
        <v>5360.1278995415378</v>
      </c>
      <c r="AE69" s="157">
        <f>'CO HC'!W69</f>
        <v>5360.1278995415378</v>
      </c>
      <c r="AF69" s="157">
        <f>'CO HC'!X69</f>
        <v>5360.1278995415378</v>
      </c>
      <c r="AG69" s="84">
        <f t="shared" si="51"/>
        <v>62916.452723744835</v>
      </c>
      <c r="AH69" s="105" t="str">
        <f t="shared" si="52"/>
        <v/>
      </c>
      <c r="AJ69" s="84">
        <f t="shared" si="53"/>
        <v>-15311.692723744833</v>
      </c>
    </row>
    <row r="70" spans="1:36" x14ac:dyDescent="0.3">
      <c r="A70" s="103" t="s">
        <v>156</v>
      </c>
      <c r="B70" s="84">
        <f>IFERROR(SUMIF([2]Jan26A!$A:$A,$A70,INDEX([2]Jan26A!$A:$N,0,MATCH($A$1,[2]Jan26A!$A$7:$N$7,0))),0)</f>
        <v>0</v>
      </c>
      <c r="C70" s="84">
        <f>IFERROR(SUMIF([2]Feb26A!$A:$A,$A70,INDEX([2]Feb26A!$A:$N,0,MATCH($A$1,[2]Feb26A!$A$7:$N$7,0))),0)</f>
        <v>0</v>
      </c>
      <c r="D70" s="84">
        <f>IFERROR(SUMIF([2]Mar26A!$A:$A,$A70,INDEX([2]Mar26A!$A:$N,0,MATCH($A$1,[2]Mar26A!$A$7:$N$7,0))),0)</f>
        <v>0</v>
      </c>
      <c r="E70" s="84">
        <f>IFERROR(SUMIF([2]Apr26A!$A:$A,$A70,INDEX([2]Apr26A!$A:$N,0,MATCH($A$1,[2]Apr26A!$A$7:$N$7,0))),0)</f>
        <v>0</v>
      </c>
      <c r="F70" s="84">
        <f>IFERROR(SUMIF([2]May26A!$A:$A,$A70,INDEX([2]May26A!$A:$N,0,MATCH($A$1,[2]May26A!$A$7:$N$7,0))),0)</f>
        <v>0</v>
      </c>
      <c r="G70" s="84">
        <f>IFERROR(SUMIF([2]Jun26A!$A:$A,$A70,INDEX([2]Jun26A!$A:$N,0,MATCH($A$1,[2]Jun26A!$A$7:$N$7,0))),0)</f>
        <v>0</v>
      </c>
      <c r="H70" s="84">
        <f>IFERROR(SUMIF([2]Jul26A!$A:$A,$A70,INDEX([2]Jul26A!$A:$N,0,MATCH($A$1,[2]Jul26A!$A$7:$N$7,0))),0)</f>
        <v>0</v>
      </c>
      <c r="I70" s="84">
        <f>IFERROR(SUMIF([2]Aug26A!$A:$A,$A70,INDEX([2]Aug26A!$A:$N,0,MATCH($A$1,[2]Aug26A!$A$7:$N$7,0))),0)</f>
        <v>0</v>
      </c>
      <c r="J70" s="117">
        <v>0</v>
      </c>
      <c r="K70" s="117">
        <v>0</v>
      </c>
      <c r="L70" s="117">
        <v>0</v>
      </c>
      <c r="M70" s="117">
        <v>0</v>
      </c>
      <c r="N70" s="84">
        <f t="shared" si="49"/>
        <v>0</v>
      </c>
      <c r="O70" s="105" t="str">
        <f t="shared" si="50"/>
        <v/>
      </c>
      <c r="P70" s="84"/>
      <c r="Q70" s="84"/>
      <c r="R70" s="106" t="s">
        <v>99</v>
      </c>
      <c r="S70" s="107">
        <v>0</v>
      </c>
      <c r="T70" s="108">
        <v>0.05</v>
      </c>
      <c r="U70" s="104">
        <f t="shared" ref="U70:AF72" si="54">IF($R70="Manual","",IFERROR(IF($R70="YOY Growth",$N70*(1+$T70)/12,$S70/12),""))</f>
        <v>0</v>
      </c>
      <c r="V70" s="104">
        <f t="shared" si="54"/>
        <v>0</v>
      </c>
      <c r="W70" s="104">
        <f t="shared" si="54"/>
        <v>0</v>
      </c>
      <c r="X70" s="104">
        <f t="shared" si="54"/>
        <v>0</v>
      </c>
      <c r="Y70" s="104">
        <f t="shared" si="54"/>
        <v>0</v>
      </c>
      <c r="Z70" s="104">
        <f t="shared" si="54"/>
        <v>0</v>
      </c>
      <c r="AA70" s="104">
        <f t="shared" si="54"/>
        <v>0</v>
      </c>
      <c r="AB70" s="104">
        <f t="shared" si="54"/>
        <v>0</v>
      </c>
      <c r="AC70" s="104">
        <f t="shared" si="54"/>
        <v>0</v>
      </c>
      <c r="AD70" s="104">
        <f t="shared" si="54"/>
        <v>0</v>
      </c>
      <c r="AE70" s="104">
        <f t="shared" si="54"/>
        <v>0</v>
      </c>
      <c r="AF70" s="104">
        <f t="shared" si="54"/>
        <v>0</v>
      </c>
      <c r="AG70" s="84">
        <f t="shared" si="51"/>
        <v>0</v>
      </c>
      <c r="AH70" s="105" t="str">
        <f t="shared" si="52"/>
        <v/>
      </c>
      <c r="AJ70" s="84">
        <f t="shared" si="53"/>
        <v>0</v>
      </c>
    </row>
    <row r="71" spans="1:36" x14ac:dyDescent="0.3">
      <c r="A71" s="103" t="s">
        <v>157</v>
      </c>
      <c r="B71" s="84">
        <f>IFERROR(SUMIF([2]Jan26A!$A:$A,$A71,INDEX([2]Jan26A!$A:$N,0,MATCH($A$1,[2]Jan26A!$A$7:$N$7,0))),0)</f>
        <v>0</v>
      </c>
      <c r="C71" s="84">
        <f>IFERROR(SUMIF([2]Feb26A!$A:$A,$A71,INDEX([2]Feb26A!$A:$N,0,MATCH($A$1,[2]Feb26A!$A$7:$N$7,0))),0)</f>
        <v>0</v>
      </c>
      <c r="D71" s="84">
        <f>IFERROR(SUMIF([2]Mar26A!$A:$A,$A71,INDEX([2]Mar26A!$A:$N,0,MATCH($A$1,[2]Mar26A!$A$7:$N$7,0))),0)</f>
        <v>0</v>
      </c>
      <c r="E71" s="84">
        <f>IFERROR(SUMIF([2]Apr26A!$A:$A,$A71,INDEX([2]Apr26A!$A:$N,0,MATCH($A$1,[2]Apr26A!$A$7:$N$7,0))),0)</f>
        <v>0</v>
      </c>
      <c r="F71" s="84">
        <f>IFERROR(SUMIF([2]May26A!$A:$A,$A71,INDEX([2]May26A!$A:$N,0,MATCH($A$1,[2]May26A!$A$7:$N$7,0))),0)</f>
        <v>0</v>
      </c>
      <c r="G71" s="84">
        <f>IFERROR(SUMIF([2]Jun26A!$A:$A,$A71,INDEX([2]Jun26A!$A:$N,0,MATCH($A$1,[2]Jun26A!$A$7:$N$7,0))),0)</f>
        <v>0</v>
      </c>
      <c r="H71" s="84">
        <f>IFERROR(SUMIF([2]Jul26A!$A:$A,$A71,INDEX([2]Jul26A!$A:$N,0,MATCH($A$1,[2]Jul26A!$A$7:$N$7,0))),0)</f>
        <v>0</v>
      </c>
      <c r="I71" s="84">
        <f>IFERROR(SUMIF([2]Aug26A!$A:$A,$A71,INDEX([2]Aug26A!$A:$N,0,MATCH($A$1,[2]Aug26A!$A$7:$N$7,0))),0)</f>
        <v>0</v>
      </c>
      <c r="J71" s="117">
        <v>0</v>
      </c>
      <c r="K71" s="117">
        <v>0</v>
      </c>
      <c r="L71" s="117">
        <v>0</v>
      </c>
      <c r="M71" s="117">
        <v>0</v>
      </c>
      <c r="N71" s="84">
        <f t="shared" si="49"/>
        <v>0</v>
      </c>
      <c r="O71" s="105" t="str">
        <f t="shared" si="50"/>
        <v/>
      </c>
      <c r="P71" s="84"/>
      <c r="Q71" s="84"/>
      <c r="R71" s="106" t="s">
        <v>99</v>
      </c>
      <c r="S71" s="107">
        <v>0</v>
      </c>
      <c r="T71" s="108">
        <v>0.05</v>
      </c>
      <c r="U71" s="104">
        <f t="shared" si="54"/>
        <v>0</v>
      </c>
      <c r="V71" s="104">
        <f t="shared" si="54"/>
        <v>0</v>
      </c>
      <c r="W71" s="104">
        <f t="shared" si="54"/>
        <v>0</v>
      </c>
      <c r="X71" s="104">
        <f t="shared" si="54"/>
        <v>0</v>
      </c>
      <c r="Y71" s="104">
        <f t="shared" si="54"/>
        <v>0</v>
      </c>
      <c r="Z71" s="104">
        <f t="shared" si="54"/>
        <v>0</v>
      </c>
      <c r="AA71" s="104">
        <f t="shared" si="54"/>
        <v>0</v>
      </c>
      <c r="AB71" s="104">
        <f t="shared" si="54"/>
        <v>0</v>
      </c>
      <c r="AC71" s="104">
        <f t="shared" si="54"/>
        <v>0</v>
      </c>
      <c r="AD71" s="104">
        <f t="shared" si="54"/>
        <v>0</v>
      </c>
      <c r="AE71" s="104">
        <f t="shared" si="54"/>
        <v>0</v>
      </c>
      <c r="AF71" s="104">
        <f t="shared" si="54"/>
        <v>0</v>
      </c>
      <c r="AG71" s="84">
        <f t="shared" si="51"/>
        <v>0</v>
      </c>
      <c r="AH71" s="105" t="str">
        <f t="shared" si="52"/>
        <v/>
      </c>
      <c r="AJ71" s="84">
        <f t="shared" si="53"/>
        <v>0</v>
      </c>
    </row>
    <row r="72" spans="1:36" x14ac:dyDescent="0.3">
      <c r="A72" s="103" t="s">
        <v>158</v>
      </c>
      <c r="B72" s="84">
        <f>IFERROR(SUMIF([2]Jan26A!$A:$A,$A72,INDEX([2]Jan26A!$A:$N,0,MATCH($A$1,[2]Jan26A!$A$7:$N$7,0))),0)</f>
        <v>0</v>
      </c>
      <c r="C72" s="84">
        <f>IFERROR(SUMIF([2]Feb26A!$A:$A,$A72,INDEX([2]Feb26A!$A:$N,0,MATCH($A$1,[2]Feb26A!$A$7:$N$7,0))),0)</f>
        <v>0</v>
      </c>
      <c r="D72" s="84">
        <f>IFERROR(SUMIF([2]Mar26A!$A:$A,$A72,INDEX([2]Mar26A!$A:$N,0,MATCH($A$1,[2]Mar26A!$A$7:$N$7,0))),0)</f>
        <v>0</v>
      </c>
      <c r="E72" s="84">
        <f>IFERROR(SUMIF([2]Apr26A!$A:$A,$A72,INDEX([2]Apr26A!$A:$N,0,MATCH($A$1,[2]Apr26A!$A$7:$N$7,0))),0)</f>
        <v>0</v>
      </c>
      <c r="F72" s="84">
        <f>IFERROR(SUMIF([2]May26A!$A:$A,$A72,INDEX([2]May26A!$A:$N,0,MATCH($A$1,[2]May26A!$A$7:$N$7,0))),0)</f>
        <v>0</v>
      </c>
      <c r="G72" s="84">
        <f>IFERROR(SUMIF([2]Jun26A!$A:$A,$A72,INDEX([2]Jun26A!$A:$N,0,MATCH($A$1,[2]Jun26A!$A$7:$N$7,0))),0)</f>
        <v>0</v>
      </c>
      <c r="H72" s="84">
        <f>IFERROR(SUMIF([2]Jul26A!$A:$A,$A72,INDEX([2]Jul26A!$A:$N,0,MATCH($A$1,[2]Jul26A!$A$7:$N$7,0))),0)</f>
        <v>0</v>
      </c>
      <c r="I72" s="84">
        <f>IFERROR(SUMIF([2]Aug26A!$A:$A,$A72,INDEX([2]Aug26A!$A:$N,0,MATCH($A$1,[2]Aug26A!$A$7:$N$7,0))),0)</f>
        <v>0</v>
      </c>
      <c r="J72" s="117">
        <v>0</v>
      </c>
      <c r="K72" s="117">
        <v>0</v>
      </c>
      <c r="L72" s="117">
        <v>0</v>
      </c>
      <c r="M72" s="117">
        <v>0</v>
      </c>
      <c r="N72" s="84">
        <f t="shared" si="49"/>
        <v>0</v>
      </c>
      <c r="O72" s="105" t="str">
        <f t="shared" si="50"/>
        <v/>
      </c>
      <c r="P72" s="84"/>
      <c r="Q72" s="84"/>
      <c r="R72" s="106" t="s">
        <v>99</v>
      </c>
      <c r="S72" s="107">
        <v>0</v>
      </c>
      <c r="T72" s="108">
        <v>0.05</v>
      </c>
      <c r="U72" s="104">
        <f t="shared" si="54"/>
        <v>0</v>
      </c>
      <c r="V72" s="104">
        <f t="shared" si="54"/>
        <v>0</v>
      </c>
      <c r="W72" s="104">
        <f t="shared" si="54"/>
        <v>0</v>
      </c>
      <c r="X72" s="104">
        <f t="shared" si="54"/>
        <v>0</v>
      </c>
      <c r="Y72" s="104">
        <f t="shared" si="54"/>
        <v>0</v>
      </c>
      <c r="Z72" s="104">
        <f t="shared" si="54"/>
        <v>0</v>
      </c>
      <c r="AA72" s="104">
        <f t="shared" si="54"/>
        <v>0</v>
      </c>
      <c r="AB72" s="104">
        <f t="shared" si="54"/>
        <v>0</v>
      </c>
      <c r="AC72" s="104">
        <f t="shared" si="54"/>
        <v>0</v>
      </c>
      <c r="AD72" s="104">
        <f t="shared" si="54"/>
        <v>0</v>
      </c>
      <c r="AE72" s="104">
        <f t="shared" si="54"/>
        <v>0</v>
      </c>
      <c r="AF72" s="104">
        <f t="shared" si="54"/>
        <v>0</v>
      </c>
      <c r="AG72" s="84">
        <f t="shared" si="51"/>
        <v>0</v>
      </c>
      <c r="AH72" s="105" t="str">
        <f t="shared" si="52"/>
        <v/>
      </c>
      <c r="AJ72" s="84">
        <f t="shared" si="53"/>
        <v>0</v>
      </c>
    </row>
    <row r="73" spans="1:36" x14ac:dyDescent="0.3">
      <c r="A73" s="109" t="s">
        <v>159</v>
      </c>
      <c r="B73" s="110">
        <f t="shared" ref="B73:M73" si="55">SUM(B67:B72)</f>
        <v>57116.27</v>
      </c>
      <c r="C73" s="110">
        <f t="shared" si="55"/>
        <v>60318.559999999998</v>
      </c>
      <c r="D73" s="110">
        <f t="shared" si="55"/>
        <v>70175.180000000008</v>
      </c>
      <c r="E73" s="110">
        <f t="shared" si="55"/>
        <v>64634.010000000009</v>
      </c>
      <c r="F73" s="110">
        <f t="shared" si="55"/>
        <v>49524.509999999995</v>
      </c>
      <c r="G73" s="110">
        <f t="shared" si="55"/>
        <v>51124.09</v>
      </c>
      <c r="H73" s="110">
        <f t="shared" si="55"/>
        <v>36681.469999999994</v>
      </c>
      <c r="I73" s="110">
        <f t="shared" si="55"/>
        <v>38643.86</v>
      </c>
      <c r="J73" s="110">
        <f t="shared" si="55"/>
        <v>51186</v>
      </c>
      <c r="K73" s="110">
        <f t="shared" si="55"/>
        <v>52554</v>
      </c>
      <c r="L73" s="110">
        <f t="shared" si="55"/>
        <v>52554</v>
      </c>
      <c r="M73" s="110">
        <f t="shared" si="55"/>
        <v>52554</v>
      </c>
      <c r="N73" s="110">
        <f t="shared" si="49"/>
        <v>637065.94999999995</v>
      </c>
      <c r="O73" s="111" t="str">
        <f t="shared" si="50"/>
        <v/>
      </c>
      <c r="P73" s="84"/>
      <c r="Q73" s="84"/>
      <c r="R73" s="112"/>
      <c r="S73" s="112"/>
      <c r="T73" s="112"/>
      <c r="U73" s="110">
        <f t="shared" ref="U73:AF73" si="56">SUM(U67:U72)</f>
        <v>51196.130753748868</v>
      </c>
      <c r="V73" s="110">
        <f t="shared" si="56"/>
        <v>51196.130753748868</v>
      </c>
      <c r="W73" s="110">
        <f t="shared" si="56"/>
        <v>51196.130753748868</v>
      </c>
      <c r="X73" s="110">
        <f t="shared" si="56"/>
        <v>51196.130753748868</v>
      </c>
      <c r="Y73" s="110">
        <f t="shared" si="56"/>
        <v>51196.130753748868</v>
      </c>
      <c r="Z73" s="110">
        <f t="shared" si="56"/>
        <v>51196.130753748868</v>
      </c>
      <c r="AA73" s="110">
        <f t="shared" si="56"/>
        <v>51196.130753748868</v>
      </c>
      <c r="AB73" s="110">
        <f t="shared" si="56"/>
        <v>51196.130753748868</v>
      </c>
      <c r="AC73" s="110">
        <f t="shared" si="56"/>
        <v>51196.130753748868</v>
      </c>
      <c r="AD73" s="110">
        <f t="shared" si="56"/>
        <v>52732.014676361345</v>
      </c>
      <c r="AE73" s="110">
        <f t="shared" si="56"/>
        <v>52732.014676361345</v>
      </c>
      <c r="AF73" s="110">
        <f t="shared" si="56"/>
        <v>52732.014676361345</v>
      </c>
      <c r="AG73" s="110">
        <f t="shared" si="51"/>
        <v>618961.22081282386</v>
      </c>
      <c r="AH73" s="111" t="str">
        <f t="shared" si="52"/>
        <v/>
      </c>
      <c r="AJ73" s="110">
        <f t="shared" si="53"/>
        <v>18104.729187176097</v>
      </c>
    </row>
    <row r="74" spans="1:36" x14ac:dyDescent="0.3">
      <c r="A74" s="113" t="s">
        <v>160</v>
      </c>
      <c r="B74" s="84">
        <f>IFERROR(SUMIF([2]Jan26A!$A:$A,$A74,INDEX([2]Jan26A!$A:$N,0,MATCH($A$1,[2]Jan26A!$A$7:$N$7,0))),0)</f>
        <v>1863.53</v>
      </c>
      <c r="C74" s="84">
        <f>IFERROR(SUMIF([2]Feb26A!$A:$A,$A74,INDEX([2]Feb26A!$A:$N,0,MATCH($A$1,[2]Feb26A!$A$7:$N$7,0))),0)</f>
        <v>2554.7199999999998</v>
      </c>
      <c r="D74" s="84">
        <f>IFERROR(SUMIF([2]Mar26A!$A:$A,$A74,INDEX([2]Mar26A!$A:$N,0,MATCH($A$1,[2]Mar26A!$A$7:$N$7,0))),0)</f>
        <v>31.98</v>
      </c>
      <c r="E74" s="84">
        <f>IFERROR(SUMIF([2]Apr26A!$A:$A,$A74,INDEX([2]Apr26A!$A:$N,0,MATCH($A$1,[2]Apr26A!$A$7:$N$7,0))),0)</f>
        <v>0</v>
      </c>
      <c r="F74" s="84">
        <f>IFERROR(SUMIF([2]May26A!$A:$A,$A74,INDEX([2]May26A!$A:$N,0,MATCH($A$1,[2]May26A!$A$7:$N$7,0))),0)</f>
        <v>1310.87</v>
      </c>
      <c r="G74" s="84">
        <f>IFERROR(SUMIF([2]Jun26A!$A:$A,$A74,INDEX([2]Jun26A!$A:$N,0,MATCH($A$1,[2]Jun26A!$A$7:$N$7,0))),0)</f>
        <v>1236.79</v>
      </c>
      <c r="H74" s="84">
        <f>IFERROR(SUMIF([2]Jul26A!$A:$A,$A74,INDEX([2]Jul26A!$A:$N,0,MATCH($A$1,[2]Jul26A!$A$7:$N$7,0))),0)</f>
        <v>0</v>
      </c>
      <c r="I74" s="84">
        <f>IFERROR(SUMIF([2]Aug26A!$A:$A,$A74,INDEX([2]Aug26A!$A:$N,0,MATCH($A$1,[2]Aug26A!$A$7:$N$7,0))),0)</f>
        <v>630.22</v>
      </c>
      <c r="J74" s="117">
        <v>1500</v>
      </c>
      <c r="K74" s="117">
        <v>1500</v>
      </c>
      <c r="L74" s="117">
        <v>1500</v>
      </c>
      <c r="M74" s="117">
        <v>1500</v>
      </c>
      <c r="N74" s="84">
        <f t="shared" si="49"/>
        <v>13628.11</v>
      </c>
      <c r="O74" s="105" t="str">
        <f t="shared" si="50"/>
        <v/>
      </c>
      <c r="P74" s="84"/>
      <c r="Q74" s="84"/>
      <c r="R74" s="106" t="s">
        <v>99</v>
      </c>
      <c r="S74" s="107">
        <v>0</v>
      </c>
      <c r="T74" s="108">
        <v>0.05</v>
      </c>
      <c r="U74" s="104">
        <f t="shared" ref="U74:AF80" si="57">IF($R74="Manual","",IFERROR(IF($R74="YOY Growth",$N74*(1+$T74)/12,$S74/12),""))</f>
        <v>0</v>
      </c>
      <c r="V74" s="104">
        <f t="shared" si="57"/>
        <v>0</v>
      </c>
      <c r="W74" s="104">
        <f t="shared" si="57"/>
        <v>0</v>
      </c>
      <c r="X74" s="104">
        <f t="shared" si="57"/>
        <v>0</v>
      </c>
      <c r="Y74" s="104">
        <f t="shared" si="57"/>
        <v>0</v>
      </c>
      <c r="Z74" s="104">
        <f t="shared" si="57"/>
        <v>0</v>
      </c>
      <c r="AA74" s="104">
        <f t="shared" si="57"/>
        <v>0</v>
      </c>
      <c r="AB74" s="104">
        <f t="shared" si="57"/>
        <v>0</v>
      </c>
      <c r="AC74" s="104">
        <f t="shared" si="57"/>
        <v>0</v>
      </c>
      <c r="AD74" s="104">
        <f t="shared" si="57"/>
        <v>0</v>
      </c>
      <c r="AE74" s="104">
        <f t="shared" si="57"/>
        <v>0</v>
      </c>
      <c r="AF74" s="104">
        <f t="shared" si="57"/>
        <v>0</v>
      </c>
      <c r="AG74" s="84">
        <f t="shared" si="51"/>
        <v>0</v>
      </c>
      <c r="AH74" s="105" t="str">
        <f t="shared" si="52"/>
        <v/>
      </c>
      <c r="AJ74" s="84">
        <f t="shared" si="53"/>
        <v>13628.11</v>
      </c>
    </row>
    <row r="75" spans="1:36" x14ac:dyDescent="0.3">
      <c r="A75" s="113" t="s">
        <v>161</v>
      </c>
      <c r="B75" s="84">
        <f>IFERROR(SUMIF([2]Jan26A!$A:$A,$A75,INDEX([2]Jan26A!$A:$N,0,MATCH($A$1,[2]Jan26A!$A$7:$N$7,0))),0)</f>
        <v>387.38</v>
      </c>
      <c r="C75" s="84">
        <f>IFERROR(SUMIF([2]Feb26A!$A:$A,$A75,INDEX([2]Feb26A!$A:$N,0,MATCH($A$1,[2]Feb26A!$A$7:$N$7,0))),0)</f>
        <v>218.65</v>
      </c>
      <c r="D75" s="84">
        <f>IFERROR(SUMIF([2]Mar26A!$A:$A,$A75,INDEX([2]Mar26A!$A:$N,0,MATCH($A$1,[2]Mar26A!$A$7:$N$7,0))),0)</f>
        <v>0</v>
      </c>
      <c r="E75" s="84">
        <f>IFERROR(SUMIF([2]Apr26A!$A:$A,$A75,INDEX([2]Apr26A!$A:$N,0,MATCH($A$1,[2]Apr26A!$A$7:$N$7,0))),0)</f>
        <v>0</v>
      </c>
      <c r="F75" s="84">
        <f>IFERROR(SUMIF([2]May26A!$A:$A,$A75,INDEX([2]May26A!$A:$N,0,MATCH($A$1,[2]May26A!$A$7:$N$7,0))),0)</f>
        <v>0</v>
      </c>
      <c r="G75" s="84">
        <f>IFERROR(SUMIF([2]Jun26A!$A:$A,$A75,INDEX([2]Jun26A!$A:$N,0,MATCH($A$1,[2]Jun26A!$A$7:$N$7,0))),0)</f>
        <v>0</v>
      </c>
      <c r="H75" s="84">
        <f>IFERROR(SUMIF([2]Jul26A!$A:$A,$A75,INDEX([2]Jul26A!$A:$N,0,MATCH($A$1,[2]Jul26A!$A$7:$N$7,0))),0)</f>
        <v>0</v>
      </c>
      <c r="I75" s="84">
        <f>IFERROR(SUMIF([2]Aug26A!$A:$A,$A75,INDEX([2]Aug26A!$A:$N,0,MATCH($A$1,[2]Aug26A!$A$7:$N$7,0))),0)</f>
        <v>78.42</v>
      </c>
      <c r="J75" s="117">
        <v>300</v>
      </c>
      <c r="K75" s="117">
        <v>300</v>
      </c>
      <c r="L75" s="117">
        <v>300</v>
      </c>
      <c r="M75" s="117">
        <v>300</v>
      </c>
      <c r="N75" s="84">
        <f t="shared" si="49"/>
        <v>1884.4499999999998</v>
      </c>
      <c r="O75" s="105" t="str">
        <f t="shared" si="50"/>
        <v/>
      </c>
      <c r="P75" s="84"/>
      <c r="Q75" s="84"/>
      <c r="R75" s="106" t="s">
        <v>99</v>
      </c>
      <c r="S75" s="107">
        <v>0</v>
      </c>
      <c r="T75" s="108">
        <v>0.05</v>
      </c>
      <c r="U75" s="104">
        <f t="shared" si="57"/>
        <v>0</v>
      </c>
      <c r="V75" s="104">
        <f t="shared" si="57"/>
        <v>0</v>
      </c>
      <c r="W75" s="104">
        <f t="shared" si="57"/>
        <v>0</v>
      </c>
      <c r="X75" s="104">
        <f t="shared" si="57"/>
        <v>0</v>
      </c>
      <c r="Y75" s="104">
        <f t="shared" si="57"/>
        <v>0</v>
      </c>
      <c r="Z75" s="104">
        <f t="shared" si="57"/>
        <v>0</v>
      </c>
      <c r="AA75" s="104">
        <f t="shared" si="57"/>
        <v>0</v>
      </c>
      <c r="AB75" s="104">
        <f t="shared" si="57"/>
        <v>0</v>
      </c>
      <c r="AC75" s="104">
        <f t="shared" si="57"/>
        <v>0</v>
      </c>
      <c r="AD75" s="104">
        <f t="shared" si="57"/>
        <v>0</v>
      </c>
      <c r="AE75" s="104">
        <f t="shared" si="57"/>
        <v>0</v>
      </c>
      <c r="AF75" s="104">
        <f t="shared" si="57"/>
        <v>0</v>
      </c>
      <c r="AG75" s="84">
        <f t="shared" si="51"/>
        <v>0</v>
      </c>
      <c r="AH75" s="105" t="str">
        <f t="shared" si="52"/>
        <v/>
      </c>
      <c r="AJ75" s="84">
        <f t="shared" si="53"/>
        <v>1884.4499999999998</v>
      </c>
    </row>
    <row r="76" spans="1:36" x14ac:dyDescent="0.3">
      <c r="A76" s="113" t="s">
        <v>162</v>
      </c>
      <c r="B76" s="84">
        <f>IFERROR(SUMIF([2]Jan26A!$A:$A,$A76,INDEX([2]Jan26A!$A:$N,0,MATCH($A$1,[2]Jan26A!$A$7:$N$7,0))),0)</f>
        <v>0</v>
      </c>
      <c r="C76" s="84">
        <f>IFERROR(SUMIF([2]Feb26A!$A:$A,$A76,INDEX([2]Feb26A!$A:$N,0,MATCH($A$1,[2]Feb26A!$A$7:$N$7,0))),0)</f>
        <v>0</v>
      </c>
      <c r="D76" s="84">
        <f>IFERROR(SUMIF([2]Mar26A!$A:$A,$A76,INDEX([2]Mar26A!$A:$N,0,MATCH($A$1,[2]Mar26A!$A$7:$N$7,0))),0)</f>
        <v>99.85</v>
      </c>
      <c r="E76" s="84">
        <f>IFERROR(SUMIF([2]Apr26A!$A:$A,$A76,INDEX([2]Apr26A!$A:$N,0,MATCH($A$1,[2]Apr26A!$A$7:$N$7,0))),0)</f>
        <v>0</v>
      </c>
      <c r="F76" s="84">
        <f>IFERROR(SUMIF([2]May26A!$A:$A,$A76,INDEX([2]May26A!$A:$N,0,MATCH($A$1,[2]May26A!$A$7:$N$7,0))),0)</f>
        <v>55.11</v>
      </c>
      <c r="G76" s="84">
        <f>IFERROR(SUMIF([2]Jun26A!$A:$A,$A76,INDEX([2]Jun26A!$A:$N,0,MATCH($A$1,[2]Jun26A!$A$7:$N$7,0))),0)</f>
        <v>0</v>
      </c>
      <c r="H76" s="84">
        <f>IFERROR(SUMIF([2]Jul26A!$A:$A,$A76,INDEX([2]Jul26A!$A:$N,0,MATCH($A$1,[2]Jul26A!$A$7:$N$7,0))),0)</f>
        <v>0</v>
      </c>
      <c r="I76" s="84">
        <f>IFERROR(SUMIF([2]Aug26A!$A:$A,$A76,INDEX([2]Aug26A!$A:$N,0,MATCH($A$1,[2]Aug26A!$A$7:$N$7,0))),0)</f>
        <v>0</v>
      </c>
      <c r="J76" s="117">
        <v>0</v>
      </c>
      <c r="K76" s="117">
        <v>0</v>
      </c>
      <c r="L76" s="117">
        <v>0</v>
      </c>
      <c r="M76" s="117">
        <v>0</v>
      </c>
      <c r="N76" s="84">
        <f t="shared" si="49"/>
        <v>154.95999999999998</v>
      </c>
      <c r="O76" s="105" t="str">
        <f t="shared" si="50"/>
        <v/>
      </c>
      <c r="P76" s="84"/>
      <c r="Q76" s="84"/>
      <c r="R76" s="106" t="s">
        <v>99</v>
      </c>
      <c r="S76" s="107">
        <v>0</v>
      </c>
      <c r="T76" s="108">
        <v>0.05</v>
      </c>
      <c r="U76" s="104">
        <f t="shared" si="57"/>
        <v>0</v>
      </c>
      <c r="V76" s="104">
        <f t="shared" si="57"/>
        <v>0</v>
      </c>
      <c r="W76" s="104">
        <f t="shared" si="57"/>
        <v>0</v>
      </c>
      <c r="X76" s="104">
        <f t="shared" si="57"/>
        <v>0</v>
      </c>
      <c r="Y76" s="104">
        <f t="shared" si="57"/>
        <v>0</v>
      </c>
      <c r="Z76" s="104">
        <f t="shared" si="57"/>
        <v>0</v>
      </c>
      <c r="AA76" s="104">
        <f t="shared" si="57"/>
        <v>0</v>
      </c>
      <c r="AB76" s="104">
        <f t="shared" si="57"/>
        <v>0</v>
      </c>
      <c r="AC76" s="104">
        <f t="shared" si="57"/>
        <v>0</v>
      </c>
      <c r="AD76" s="104">
        <f t="shared" si="57"/>
        <v>0</v>
      </c>
      <c r="AE76" s="104">
        <f t="shared" si="57"/>
        <v>0</v>
      </c>
      <c r="AF76" s="104">
        <f t="shared" si="57"/>
        <v>0</v>
      </c>
      <c r="AG76" s="84">
        <f t="shared" si="51"/>
        <v>0</v>
      </c>
      <c r="AH76" s="105" t="str">
        <f t="shared" si="52"/>
        <v/>
      </c>
      <c r="AJ76" s="84">
        <f t="shared" si="53"/>
        <v>154.95999999999998</v>
      </c>
    </row>
    <row r="77" spans="1:36" x14ac:dyDescent="0.3">
      <c r="A77" s="113" t="s">
        <v>163</v>
      </c>
      <c r="B77" s="84">
        <f>IFERROR(SUMIF([2]Jan26A!$A:$A,$A77,INDEX([2]Jan26A!$A:$N,0,MATCH($A$1,[2]Jan26A!$A$7:$N$7,0))),0)</f>
        <v>0</v>
      </c>
      <c r="C77" s="84">
        <f>IFERROR(SUMIF([2]Feb26A!$A:$A,$A77,INDEX([2]Feb26A!$A:$N,0,MATCH($A$1,[2]Feb26A!$A$7:$N$7,0))),0)</f>
        <v>0</v>
      </c>
      <c r="D77" s="84">
        <f>IFERROR(SUMIF([2]Mar26A!$A:$A,$A77,INDEX([2]Mar26A!$A:$N,0,MATCH($A$1,[2]Mar26A!$A$7:$N$7,0))),0)</f>
        <v>0</v>
      </c>
      <c r="E77" s="84">
        <f>IFERROR(SUMIF([2]Apr26A!$A:$A,$A77,INDEX([2]Apr26A!$A:$N,0,MATCH($A$1,[2]Apr26A!$A$7:$N$7,0))),0)</f>
        <v>0</v>
      </c>
      <c r="F77" s="84">
        <f>IFERROR(SUMIF([2]May26A!$A:$A,$A77,INDEX([2]May26A!$A:$N,0,MATCH($A$1,[2]May26A!$A$7:$N$7,0))),0)</f>
        <v>0</v>
      </c>
      <c r="G77" s="84">
        <f>IFERROR(SUMIF([2]Jun26A!$A:$A,$A77,INDEX([2]Jun26A!$A:$N,0,MATCH($A$1,[2]Jun26A!$A$7:$N$7,0))),0)</f>
        <v>0</v>
      </c>
      <c r="H77" s="84">
        <f>IFERROR(SUMIF([2]Jul26A!$A:$A,$A77,INDEX([2]Jul26A!$A:$N,0,MATCH($A$1,[2]Jul26A!$A$7:$N$7,0))),0)</f>
        <v>0</v>
      </c>
      <c r="I77" s="84">
        <f>IFERROR(SUMIF([2]Aug26A!$A:$A,$A77,INDEX([2]Aug26A!$A:$N,0,MATCH($A$1,[2]Aug26A!$A$7:$N$7,0))),0)</f>
        <v>0</v>
      </c>
      <c r="J77" s="117">
        <v>0</v>
      </c>
      <c r="K77" s="117">
        <v>0</v>
      </c>
      <c r="L77" s="117">
        <v>0</v>
      </c>
      <c r="M77" s="117">
        <v>0</v>
      </c>
      <c r="N77" s="84">
        <f t="shared" si="49"/>
        <v>0</v>
      </c>
      <c r="O77" s="105" t="str">
        <f t="shared" si="50"/>
        <v/>
      </c>
      <c r="P77" s="84"/>
      <c r="Q77" s="84"/>
      <c r="R77" s="106" t="s">
        <v>99</v>
      </c>
      <c r="S77" s="107">
        <v>0</v>
      </c>
      <c r="T77" s="108">
        <v>0.05</v>
      </c>
      <c r="U77" s="104">
        <f t="shared" si="57"/>
        <v>0</v>
      </c>
      <c r="V77" s="104">
        <f t="shared" si="57"/>
        <v>0</v>
      </c>
      <c r="W77" s="104">
        <f t="shared" si="57"/>
        <v>0</v>
      </c>
      <c r="X77" s="104">
        <f t="shared" si="57"/>
        <v>0</v>
      </c>
      <c r="Y77" s="104">
        <f t="shared" si="57"/>
        <v>0</v>
      </c>
      <c r="Z77" s="104">
        <f t="shared" si="57"/>
        <v>0</v>
      </c>
      <c r="AA77" s="104">
        <f t="shared" si="57"/>
        <v>0</v>
      </c>
      <c r="AB77" s="104">
        <f t="shared" si="57"/>
        <v>0</v>
      </c>
      <c r="AC77" s="104">
        <f t="shared" si="57"/>
        <v>0</v>
      </c>
      <c r="AD77" s="104">
        <f t="shared" si="57"/>
        <v>0</v>
      </c>
      <c r="AE77" s="104">
        <f t="shared" si="57"/>
        <v>0</v>
      </c>
      <c r="AF77" s="104">
        <f t="shared" si="57"/>
        <v>0</v>
      </c>
      <c r="AG77" s="84">
        <f t="shared" si="51"/>
        <v>0</v>
      </c>
      <c r="AH77" s="105" t="str">
        <f t="shared" si="52"/>
        <v/>
      </c>
      <c r="AJ77" s="84">
        <f t="shared" si="53"/>
        <v>0</v>
      </c>
    </row>
    <row r="78" spans="1:36" x14ac:dyDescent="0.3">
      <c r="A78" s="113" t="s">
        <v>164</v>
      </c>
      <c r="B78" s="84">
        <f>IFERROR(SUMIF([2]Jan26A!$A:$A,$A78,INDEX([2]Jan26A!$A:$N,0,MATCH($A$1,[2]Jan26A!$A$7:$N$7,0))),0)</f>
        <v>0</v>
      </c>
      <c r="C78" s="84">
        <f>IFERROR(SUMIF([2]Feb26A!$A:$A,$A78,INDEX([2]Feb26A!$A:$N,0,MATCH($A$1,[2]Feb26A!$A$7:$N$7,0))),0)</f>
        <v>0</v>
      </c>
      <c r="D78" s="84">
        <f>IFERROR(SUMIF([2]Mar26A!$A:$A,$A78,INDEX([2]Mar26A!$A:$N,0,MATCH($A$1,[2]Mar26A!$A$7:$N$7,0))),0)</f>
        <v>0</v>
      </c>
      <c r="E78" s="84">
        <f>IFERROR(SUMIF([2]Apr26A!$A:$A,$A78,INDEX([2]Apr26A!$A:$N,0,MATCH($A$1,[2]Apr26A!$A$7:$N$7,0))),0)</f>
        <v>0</v>
      </c>
      <c r="F78" s="84">
        <f>IFERROR(SUMIF([2]May26A!$A:$A,$A78,INDEX([2]May26A!$A:$N,0,MATCH($A$1,[2]May26A!$A$7:$N$7,0))),0)</f>
        <v>0</v>
      </c>
      <c r="G78" s="84">
        <f>IFERROR(SUMIF([2]Jun26A!$A:$A,$A78,INDEX([2]Jun26A!$A:$N,0,MATCH($A$1,[2]Jun26A!$A$7:$N$7,0))),0)</f>
        <v>0</v>
      </c>
      <c r="H78" s="84">
        <f>IFERROR(SUMIF([2]Jul26A!$A:$A,$A78,INDEX([2]Jul26A!$A:$N,0,MATCH($A$1,[2]Jul26A!$A$7:$N$7,0))),0)</f>
        <v>0</v>
      </c>
      <c r="I78" s="84">
        <f>IFERROR(SUMIF([2]Aug26A!$A:$A,$A78,INDEX([2]Aug26A!$A:$N,0,MATCH($A$1,[2]Aug26A!$A$7:$N$7,0))),0)</f>
        <v>0</v>
      </c>
      <c r="J78" s="117">
        <v>0</v>
      </c>
      <c r="K78" s="117">
        <v>0</v>
      </c>
      <c r="L78" s="117">
        <v>0</v>
      </c>
      <c r="M78" s="117">
        <v>0</v>
      </c>
      <c r="N78" s="84">
        <f t="shared" si="49"/>
        <v>0</v>
      </c>
      <c r="O78" s="105" t="str">
        <f t="shared" si="50"/>
        <v/>
      </c>
      <c r="P78" s="84"/>
      <c r="Q78" s="84"/>
      <c r="R78" s="106" t="s">
        <v>99</v>
      </c>
      <c r="S78" s="107">
        <v>0</v>
      </c>
      <c r="T78" s="108">
        <v>0.05</v>
      </c>
      <c r="U78" s="104">
        <f t="shared" si="57"/>
        <v>0</v>
      </c>
      <c r="V78" s="104">
        <f t="shared" si="57"/>
        <v>0</v>
      </c>
      <c r="W78" s="104">
        <f t="shared" si="57"/>
        <v>0</v>
      </c>
      <c r="X78" s="104">
        <f t="shared" si="57"/>
        <v>0</v>
      </c>
      <c r="Y78" s="104">
        <f t="shared" si="57"/>
        <v>0</v>
      </c>
      <c r="Z78" s="104">
        <f t="shared" si="57"/>
        <v>0</v>
      </c>
      <c r="AA78" s="104">
        <f t="shared" si="57"/>
        <v>0</v>
      </c>
      <c r="AB78" s="104">
        <f t="shared" si="57"/>
        <v>0</v>
      </c>
      <c r="AC78" s="104">
        <f t="shared" si="57"/>
        <v>0</v>
      </c>
      <c r="AD78" s="104">
        <f t="shared" si="57"/>
        <v>0</v>
      </c>
      <c r="AE78" s="104">
        <f t="shared" si="57"/>
        <v>0</v>
      </c>
      <c r="AF78" s="104">
        <f t="shared" si="57"/>
        <v>0</v>
      </c>
      <c r="AG78" s="84">
        <f t="shared" si="51"/>
        <v>0</v>
      </c>
      <c r="AH78" s="105" t="str">
        <f t="shared" si="52"/>
        <v/>
      </c>
      <c r="AJ78" s="84">
        <f t="shared" si="53"/>
        <v>0</v>
      </c>
    </row>
    <row r="79" spans="1:36" x14ac:dyDescent="0.3">
      <c r="A79" s="113" t="s">
        <v>165</v>
      </c>
      <c r="B79" s="84">
        <f>IFERROR(SUMIF([2]Jan26A!$A:$A,$A79,INDEX([2]Jan26A!$A:$N,0,MATCH($A$1,[2]Jan26A!$A$7:$N$7,0))),0)</f>
        <v>0</v>
      </c>
      <c r="C79" s="84">
        <f>IFERROR(SUMIF([2]Feb26A!$A:$A,$A79,INDEX([2]Feb26A!$A:$N,0,MATCH($A$1,[2]Feb26A!$A$7:$N$7,0))),0)</f>
        <v>0</v>
      </c>
      <c r="D79" s="84">
        <f>IFERROR(SUMIF([2]Mar26A!$A:$A,$A79,INDEX([2]Mar26A!$A:$N,0,MATCH($A$1,[2]Mar26A!$A$7:$N$7,0))),0)</f>
        <v>871.4</v>
      </c>
      <c r="E79" s="84">
        <f>IFERROR(SUMIF([2]Apr26A!$A:$A,$A79,INDEX([2]Apr26A!$A:$N,0,MATCH($A$1,[2]Apr26A!$A$7:$N$7,0))),0)</f>
        <v>37</v>
      </c>
      <c r="F79" s="84">
        <f>IFERROR(SUMIF([2]May26A!$A:$A,$A79,INDEX([2]May26A!$A:$N,0,MATCH($A$1,[2]May26A!$A$7:$N$7,0))),0)</f>
        <v>0</v>
      </c>
      <c r="G79" s="84">
        <f>IFERROR(SUMIF([2]Jun26A!$A:$A,$A79,INDEX([2]Jun26A!$A:$N,0,MATCH($A$1,[2]Jun26A!$A$7:$N$7,0))),0)</f>
        <v>0</v>
      </c>
      <c r="H79" s="84">
        <f>IFERROR(SUMIF([2]Jul26A!$A:$A,$A79,INDEX([2]Jul26A!$A:$N,0,MATCH($A$1,[2]Jul26A!$A$7:$N$7,0))),0)</f>
        <v>0</v>
      </c>
      <c r="I79" s="84">
        <f>IFERROR(SUMIF([2]Aug26A!$A:$A,$A79,INDEX([2]Aug26A!$A:$N,0,MATCH($A$1,[2]Aug26A!$A$7:$N$7,0))),0)</f>
        <v>0</v>
      </c>
      <c r="J79" s="117">
        <v>0</v>
      </c>
      <c r="K79" s="117">
        <v>0</v>
      </c>
      <c r="L79" s="117">
        <v>0</v>
      </c>
      <c r="M79" s="117">
        <v>0</v>
      </c>
      <c r="N79" s="84">
        <f t="shared" si="49"/>
        <v>908.4</v>
      </c>
      <c r="O79" s="105" t="str">
        <f t="shared" si="50"/>
        <v/>
      </c>
      <c r="P79" s="84"/>
      <c r="Q79" s="84"/>
      <c r="R79" s="106" t="s">
        <v>99</v>
      </c>
      <c r="S79" s="107">
        <v>0</v>
      </c>
      <c r="T79" s="108">
        <v>0.05</v>
      </c>
      <c r="U79" s="104">
        <f t="shared" si="57"/>
        <v>0</v>
      </c>
      <c r="V79" s="104">
        <f t="shared" si="57"/>
        <v>0</v>
      </c>
      <c r="W79" s="104">
        <f t="shared" si="57"/>
        <v>0</v>
      </c>
      <c r="X79" s="104">
        <f t="shared" si="57"/>
        <v>0</v>
      </c>
      <c r="Y79" s="104">
        <f t="shared" si="57"/>
        <v>0</v>
      </c>
      <c r="Z79" s="104">
        <f t="shared" si="57"/>
        <v>0</v>
      </c>
      <c r="AA79" s="104">
        <f t="shared" si="57"/>
        <v>0</v>
      </c>
      <c r="AB79" s="104">
        <f t="shared" si="57"/>
        <v>0</v>
      </c>
      <c r="AC79" s="104">
        <f t="shared" si="57"/>
        <v>0</v>
      </c>
      <c r="AD79" s="104">
        <f t="shared" si="57"/>
        <v>0</v>
      </c>
      <c r="AE79" s="104">
        <f t="shared" si="57"/>
        <v>0</v>
      </c>
      <c r="AF79" s="104">
        <f t="shared" si="57"/>
        <v>0</v>
      </c>
      <c r="AG79" s="84">
        <f t="shared" si="51"/>
        <v>0</v>
      </c>
      <c r="AH79" s="105" t="str">
        <f t="shared" si="52"/>
        <v/>
      </c>
      <c r="AJ79" s="84">
        <f t="shared" si="53"/>
        <v>908.4</v>
      </c>
    </row>
    <row r="80" spans="1:36" x14ac:dyDescent="0.3">
      <c r="A80" s="113" t="s">
        <v>166</v>
      </c>
      <c r="B80" s="84">
        <f>IFERROR(SUMIF([2]Jan26A!$A:$A,$A80,INDEX([2]Jan26A!$A:$N,0,MATCH($A$1,[2]Jan26A!$A$7:$N$7,0))),0)</f>
        <v>0</v>
      </c>
      <c r="C80" s="84">
        <f>IFERROR(SUMIF([2]Feb26A!$A:$A,$A80,INDEX([2]Feb26A!$A:$N,0,MATCH($A$1,[2]Feb26A!$A$7:$N$7,0))),0)</f>
        <v>145.88</v>
      </c>
      <c r="D80" s="84">
        <f>IFERROR(SUMIF([2]Mar26A!$A:$A,$A80,INDEX([2]Mar26A!$A:$N,0,MATCH($A$1,[2]Mar26A!$A$7:$N$7,0))),0)</f>
        <v>115.89</v>
      </c>
      <c r="E80" s="84">
        <f>IFERROR(SUMIF([2]Apr26A!$A:$A,$A80,INDEX([2]Apr26A!$A:$N,0,MATCH($A$1,[2]Apr26A!$A$7:$N$7,0))),0)</f>
        <v>15.89</v>
      </c>
      <c r="F80" s="84">
        <f>IFERROR(SUMIF([2]May26A!$A:$A,$A80,INDEX([2]May26A!$A:$N,0,MATCH($A$1,[2]May26A!$A$7:$N$7,0))),0)</f>
        <v>0</v>
      </c>
      <c r="G80" s="84">
        <f>IFERROR(SUMIF([2]Jun26A!$A:$A,$A80,INDEX([2]Jun26A!$A:$N,0,MATCH($A$1,[2]Jun26A!$A$7:$N$7,0))),0)</f>
        <v>0</v>
      </c>
      <c r="H80" s="84">
        <f>IFERROR(SUMIF([2]Jul26A!$A:$A,$A80,INDEX([2]Jul26A!$A:$N,0,MATCH($A$1,[2]Jul26A!$A$7:$N$7,0))),0)</f>
        <v>0</v>
      </c>
      <c r="I80" s="84">
        <f>IFERROR(SUMIF([2]Aug26A!$A:$A,$A80,INDEX([2]Aug26A!$A:$N,0,MATCH($A$1,[2]Aug26A!$A$7:$N$7,0))),0)</f>
        <v>0</v>
      </c>
      <c r="J80" s="117">
        <v>60</v>
      </c>
      <c r="K80" s="117">
        <v>60</v>
      </c>
      <c r="L80" s="117">
        <v>60</v>
      </c>
      <c r="M80" s="117">
        <v>60</v>
      </c>
      <c r="N80" s="84">
        <f t="shared" si="49"/>
        <v>517.66</v>
      </c>
      <c r="O80" s="105" t="str">
        <f t="shared" si="50"/>
        <v/>
      </c>
      <c r="P80" s="84"/>
      <c r="Q80" s="84"/>
      <c r="R80" s="106" t="s">
        <v>99</v>
      </c>
      <c r="S80" s="107">
        <v>0</v>
      </c>
      <c r="T80" s="108">
        <v>0.05</v>
      </c>
      <c r="U80" s="104">
        <f t="shared" si="57"/>
        <v>0</v>
      </c>
      <c r="V80" s="104">
        <f t="shared" si="57"/>
        <v>0</v>
      </c>
      <c r="W80" s="104">
        <f t="shared" si="57"/>
        <v>0</v>
      </c>
      <c r="X80" s="104">
        <f t="shared" si="57"/>
        <v>0</v>
      </c>
      <c r="Y80" s="104">
        <f t="shared" si="57"/>
        <v>0</v>
      </c>
      <c r="Z80" s="104">
        <f t="shared" si="57"/>
        <v>0</v>
      </c>
      <c r="AA80" s="104">
        <f t="shared" si="57"/>
        <v>0</v>
      </c>
      <c r="AB80" s="104">
        <f t="shared" si="57"/>
        <v>0</v>
      </c>
      <c r="AC80" s="104">
        <f t="shared" si="57"/>
        <v>0</v>
      </c>
      <c r="AD80" s="104">
        <f t="shared" si="57"/>
        <v>0</v>
      </c>
      <c r="AE80" s="104">
        <f t="shared" si="57"/>
        <v>0</v>
      </c>
      <c r="AF80" s="104">
        <f t="shared" si="57"/>
        <v>0</v>
      </c>
      <c r="AG80" s="84">
        <f t="shared" si="51"/>
        <v>0</v>
      </c>
      <c r="AH80" s="105" t="str">
        <f t="shared" si="52"/>
        <v/>
      </c>
      <c r="AJ80" s="84">
        <f t="shared" si="53"/>
        <v>517.66</v>
      </c>
    </row>
    <row r="81" spans="1:36" x14ac:dyDescent="0.3">
      <c r="A81" s="102" t="s">
        <v>167</v>
      </c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105"/>
      <c r="P81" s="84"/>
      <c r="Q81" s="84"/>
      <c r="R81" s="112"/>
      <c r="S81" s="112"/>
      <c r="T81" s="112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105"/>
      <c r="AJ81" s="84"/>
    </row>
    <row r="82" spans="1:36" x14ac:dyDescent="0.3">
      <c r="A82" s="103" t="s">
        <v>168</v>
      </c>
      <c r="B82" s="84">
        <f>IFERROR(SUMIF([2]Jan26A!$A:$A,$A82,INDEX([2]Jan26A!$A:$N,0,MATCH($A$1,[2]Jan26A!$A$7:$N$7,0))),0)</f>
        <v>0</v>
      </c>
      <c r="C82" s="84">
        <f>IFERROR(SUMIF([2]Feb26A!$A:$A,$A82,INDEX([2]Feb26A!$A:$N,0,MATCH($A$1,[2]Feb26A!$A$7:$N$7,0))),0)</f>
        <v>0</v>
      </c>
      <c r="D82" s="84">
        <f>IFERROR(SUMIF([2]Mar26A!$A:$A,$A82,INDEX([2]Mar26A!$A:$N,0,MATCH($A$1,[2]Mar26A!$A$7:$N$7,0))),0)</f>
        <v>0</v>
      </c>
      <c r="E82" s="84">
        <f>IFERROR(SUMIF([2]Apr26A!$A:$A,$A82,INDEX([2]Apr26A!$A:$N,0,MATCH($A$1,[2]Apr26A!$A$7:$N$7,0))),0)</f>
        <v>0</v>
      </c>
      <c r="F82" s="84">
        <f>IFERROR(SUMIF([2]May26A!$A:$A,$A82,INDEX([2]May26A!$A:$N,0,MATCH($A$1,[2]May26A!$A$7:$N$7,0))),0)</f>
        <v>0</v>
      </c>
      <c r="G82" s="84">
        <f>IFERROR(SUMIF([2]Jun26A!$A:$A,$A82,INDEX([2]Jun26A!$A:$N,0,MATCH($A$1,[2]Jun26A!$A$7:$N$7,0))),0)</f>
        <v>0</v>
      </c>
      <c r="H82" s="84">
        <f>IFERROR(SUMIF([2]Jul26A!$A:$A,$A82,INDEX([2]Jul26A!$A:$N,0,MATCH($A$1,[2]Jul26A!$A$7:$N$7,0))),0)</f>
        <v>0</v>
      </c>
      <c r="I82" s="84">
        <f>IFERROR(SUMIF([2]Aug26A!$A:$A,$A82,INDEX([2]Aug26A!$A:$N,0,MATCH($A$1,[2]Aug26A!$A$7:$N$7,0))),0)</f>
        <v>0</v>
      </c>
      <c r="J82" s="117">
        <v>0</v>
      </c>
      <c r="K82" s="117">
        <v>0</v>
      </c>
      <c r="L82" s="117">
        <v>0</v>
      </c>
      <c r="M82" s="117">
        <v>0</v>
      </c>
      <c r="N82" s="84">
        <f t="shared" ref="N82:N117" si="58">SUM(B82:M82)</f>
        <v>0</v>
      </c>
      <c r="O82" s="105" t="str">
        <f t="shared" ref="O82:O116" si="59">IFERROR(N82/N$16,"")</f>
        <v/>
      </c>
      <c r="P82" s="84"/>
      <c r="Q82" s="84"/>
      <c r="R82" s="106" t="s">
        <v>99</v>
      </c>
      <c r="S82" s="107">
        <v>0</v>
      </c>
      <c r="T82" s="108">
        <v>0.05</v>
      </c>
      <c r="U82" s="104">
        <f t="shared" ref="U82:AF86" si="60">IF($R82="Manual","",IFERROR(IF($R82="YOY Growth",$N82*(1+$T82)/12,$S82/12),""))</f>
        <v>0</v>
      </c>
      <c r="V82" s="104">
        <f t="shared" si="60"/>
        <v>0</v>
      </c>
      <c r="W82" s="104">
        <f t="shared" si="60"/>
        <v>0</v>
      </c>
      <c r="X82" s="104">
        <f t="shared" si="60"/>
        <v>0</v>
      </c>
      <c r="Y82" s="104">
        <f t="shared" si="60"/>
        <v>0</v>
      </c>
      <c r="Z82" s="104">
        <f t="shared" si="60"/>
        <v>0</v>
      </c>
      <c r="AA82" s="104">
        <f t="shared" si="60"/>
        <v>0</v>
      </c>
      <c r="AB82" s="104">
        <f t="shared" si="60"/>
        <v>0</v>
      </c>
      <c r="AC82" s="104">
        <f t="shared" si="60"/>
        <v>0</v>
      </c>
      <c r="AD82" s="104">
        <f t="shared" si="60"/>
        <v>0</v>
      </c>
      <c r="AE82" s="104">
        <f t="shared" si="60"/>
        <v>0</v>
      </c>
      <c r="AF82" s="104">
        <f t="shared" si="60"/>
        <v>0</v>
      </c>
      <c r="AG82" s="84">
        <f t="shared" ref="AG82:AG117" si="61">SUM(U82:AF82)</f>
        <v>0</v>
      </c>
      <c r="AH82" s="105" t="str">
        <f t="shared" ref="AH82:AH116" si="62">IFERROR(AG82/AG$16,"")</f>
        <v/>
      </c>
      <c r="AJ82" s="84">
        <f t="shared" ref="AJ82:AJ116" si="63">N82-AG82</f>
        <v>0</v>
      </c>
    </row>
    <row r="83" spans="1:36" x14ac:dyDescent="0.3">
      <c r="A83" s="103" t="s">
        <v>169</v>
      </c>
      <c r="B83" s="84">
        <f>IFERROR(SUMIF([2]Jan26A!$A:$A,$A83,INDEX([2]Jan26A!$A:$N,0,MATCH($A$1,[2]Jan26A!$A$7:$N$7,0))),0)</f>
        <v>1716.81</v>
      </c>
      <c r="C83" s="84">
        <f>IFERROR(SUMIF([2]Feb26A!$A:$A,$A83,INDEX([2]Feb26A!$A:$N,0,MATCH($A$1,[2]Feb26A!$A$7:$N$7,0))),0)</f>
        <v>1639.89</v>
      </c>
      <c r="D83" s="84">
        <f>IFERROR(SUMIF([2]Mar26A!$A:$A,$A83,INDEX([2]Mar26A!$A:$N,0,MATCH($A$1,[2]Mar26A!$A$7:$N$7,0))),0)</f>
        <v>654.95000000000005</v>
      </c>
      <c r="E83" s="84">
        <f>IFERROR(SUMIF([2]Apr26A!$A:$A,$A83,INDEX([2]Apr26A!$A:$N,0,MATCH($A$1,[2]Apr26A!$A$7:$N$7,0))),0)</f>
        <v>0</v>
      </c>
      <c r="F83" s="84">
        <f>IFERROR(SUMIF([2]May26A!$A:$A,$A83,INDEX([2]May26A!$A:$N,0,MATCH($A$1,[2]May26A!$A$7:$N$7,0))),0)</f>
        <v>596.5</v>
      </c>
      <c r="G83" s="84">
        <f>IFERROR(SUMIF([2]Jun26A!$A:$A,$A83,INDEX([2]Jun26A!$A:$N,0,MATCH($A$1,[2]Jun26A!$A$7:$N$7,0))),0)</f>
        <v>1755.52</v>
      </c>
      <c r="H83" s="84">
        <f>IFERROR(SUMIF([2]Jul26A!$A:$A,$A83,INDEX([2]Jul26A!$A:$N,0,MATCH($A$1,[2]Jul26A!$A$7:$N$7,0))),0)</f>
        <v>728.5</v>
      </c>
      <c r="I83" s="84">
        <f>IFERROR(SUMIF([2]Aug26A!$A:$A,$A83,INDEX([2]Aug26A!$A:$N,0,MATCH($A$1,[2]Aug26A!$A$7:$N$7,0))),0)</f>
        <v>0</v>
      </c>
      <c r="J83" s="117">
        <v>1500</v>
      </c>
      <c r="K83" s="117">
        <v>1500</v>
      </c>
      <c r="L83" s="117">
        <v>3000</v>
      </c>
      <c r="M83" s="117">
        <v>1500</v>
      </c>
      <c r="N83" s="84">
        <f t="shared" si="58"/>
        <v>14592.17</v>
      </c>
      <c r="O83" s="105" t="str">
        <f t="shared" si="59"/>
        <v/>
      </c>
      <c r="P83" s="84"/>
      <c r="Q83" s="84"/>
      <c r="R83" s="106" t="s">
        <v>99</v>
      </c>
      <c r="S83" s="107">
        <v>0</v>
      </c>
      <c r="T83" s="108">
        <v>0.05</v>
      </c>
      <c r="U83" s="104">
        <f t="shared" si="60"/>
        <v>0</v>
      </c>
      <c r="V83" s="104">
        <f t="shared" si="60"/>
        <v>0</v>
      </c>
      <c r="W83" s="104">
        <f t="shared" si="60"/>
        <v>0</v>
      </c>
      <c r="X83" s="104">
        <f t="shared" si="60"/>
        <v>0</v>
      </c>
      <c r="Y83" s="104">
        <f t="shared" si="60"/>
        <v>0</v>
      </c>
      <c r="Z83" s="104">
        <f t="shared" si="60"/>
        <v>0</v>
      </c>
      <c r="AA83" s="104">
        <f t="shared" si="60"/>
        <v>0</v>
      </c>
      <c r="AB83" s="104">
        <f t="shared" si="60"/>
        <v>0</v>
      </c>
      <c r="AC83" s="104">
        <f t="shared" si="60"/>
        <v>0</v>
      </c>
      <c r="AD83" s="104">
        <f t="shared" si="60"/>
        <v>0</v>
      </c>
      <c r="AE83" s="104">
        <f t="shared" si="60"/>
        <v>0</v>
      </c>
      <c r="AF83" s="104">
        <f t="shared" si="60"/>
        <v>0</v>
      </c>
      <c r="AG83" s="84">
        <f t="shared" si="61"/>
        <v>0</v>
      </c>
      <c r="AH83" s="105" t="str">
        <f t="shared" si="62"/>
        <v/>
      </c>
      <c r="AJ83" s="84">
        <f t="shared" si="63"/>
        <v>14592.17</v>
      </c>
    </row>
    <row r="84" spans="1:36" x14ac:dyDescent="0.3">
      <c r="A84" s="103" t="s">
        <v>170</v>
      </c>
      <c r="B84" s="84">
        <f>IFERROR(SUMIF([2]Jan26A!$A:$A,$A84,INDEX([2]Jan26A!$A:$N,0,MATCH($A$1,[2]Jan26A!$A$7:$N$7,0))),0)</f>
        <v>153.63</v>
      </c>
      <c r="C84" s="84">
        <f>IFERROR(SUMIF([2]Feb26A!$A:$A,$A84,INDEX([2]Feb26A!$A:$N,0,MATCH($A$1,[2]Feb26A!$A$7:$N$7,0))),0)</f>
        <v>1867.65</v>
      </c>
      <c r="D84" s="84">
        <f>IFERROR(SUMIF([2]Mar26A!$A:$A,$A84,INDEX([2]Mar26A!$A:$N,0,MATCH($A$1,[2]Mar26A!$A$7:$N$7,0))),0)</f>
        <v>0</v>
      </c>
      <c r="E84" s="84">
        <f>IFERROR(SUMIF([2]Apr26A!$A:$A,$A84,INDEX([2]Apr26A!$A:$N,0,MATCH($A$1,[2]Apr26A!$A$7:$N$7,0))),0)</f>
        <v>0</v>
      </c>
      <c r="F84" s="84">
        <f>IFERROR(SUMIF([2]May26A!$A:$A,$A84,INDEX([2]May26A!$A:$N,0,MATCH($A$1,[2]May26A!$A$7:$N$7,0))),0)</f>
        <v>901.61</v>
      </c>
      <c r="G84" s="84">
        <f>IFERROR(SUMIF([2]Jun26A!$A:$A,$A84,INDEX([2]Jun26A!$A:$N,0,MATCH($A$1,[2]Jun26A!$A$7:$N$7,0))),0)</f>
        <v>0</v>
      </c>
      <c r="H84" s="84">
        <f>IFERROR(SUMIF([2]Jul26A!$A:$A,$A84,INDEX([2]Jul26A!$A:$N,0,MATCH($A$1,[2]Jul26A!$A$7:$N$7,0))),0)</f>
        <v>270.05</v>
      </c>
      <c r="I84" s="84">
        <f>IFERROR(SUMIF([2]Aug26A!$A:$A,$A84,INDEX([2]Aug26A!$A:$N,0,MATCH($A$1,[2]Aug26A!$A$7:$N$7,0))),0)</f>
        <v>0</v>
      </c>
      <c r="J84" s="117">
        <v>600</v>
      </c>
      <c r="K84" s="117">
        <v>600</v>
      </c>
      <c r="L84" s="117">
        <v>600</v>
      </c>
      <c r="M84" s="117">
        <v>600</v>
      </c>
      <c r="N84" s="84">
        <f t="shared" si="58"/>
        <v>5592.9400000000005</v>
      </c>
      <c r="O84" s="105" t="str">
        <f t="shared" si="59"/>
        <v/>
      </c>
      <c r="P84" s="84"/>
      <c r="Q84" s="84"/>
      <c r="R84" s="106" t="s">
        <v>99</v>
      </c>
      <c r="S84" s="107">
        <v>0</v>
      </c>
      <c r="T84" s="108">
        <v>0.05</v>
      </c>
      <c r="U84" s="104">
        <f t="shared" si="60"/>
        <v>0</v>
      </c>
      <c r="V84" s="104">
        <f t="shared" si="60"/>
        <v>0</v>
      </c>
      <c r="W84" s="104">
        <f t="shared" si="60"/>
        <v>0</v>
      </c>
      <c r="X84" s="104">
        <f t="shared" si="60"/>
        <v>0</v>
      </c>
      <c r="Y84" s="104">
        <f t="shared" si="60"/>
        <v>0</v>
      </c>
      <c r="Z84" s="104">
        <f t="shared" si="60"/>
        <v>0</v>
      </c>
      <c r="AA84" s="104">
        <f t="shared" si="60"/>
        <v>0</v>
      </c>
      <c r="AB84" s="104">
        <f t="shared" si="60"/>
        <v>0</v>
      </c>
      <c r="AC84" s="104">
        <f t="shared" si="60"/>
        <v>0</v>
      </c>
      <c r="AD84" s="104">
        <f t="shared" si="60"/>
        <v>0</v>
      </c>
      <c r="AE84" s="104">
        <f t="shared" si="60"/>
        <v>0</v>
      </c>
      <c r="AF84" s="104">
        <f t="shared" si="60"/>
        <v>0</v>
      </c>
      <c r="AG84" s="84">
        <f t="shared" si="61"/>
        <v>0</v>
      </c>
      <c r="AH84" s="105" t="str">
        <f t="shared" si="62"/>
        <v/>
      </c>
      <c r="AJ84" s="84">
        <f t="shared" si="63"/>
        <v>5592.9400000000005</v>
      </c>
    </row>
    <row r="85" spans="1:36" x14ac:dyDescent="0.3">
      <c r="A85" s="103" t="s">
        <v>171</v>
      </c>
      <c r="B85" s="84">
        <f>IFERROR(SUMIF([2]Jan26A!$A:$A,$A85,INDEX([2]Jan26A!$A:$N,0,MATCH($A$1,[2]Jan26A!$A$7:$N$7,0))),0)</f>
        <v>1067.24</v>
      </c>
      <c r="C85" s="84">
        <f>IFERROR(SUMIF([2]Feb26A!$A:$A,$A85,INDEX([2]Feb26A!$A:$N,0,MATCH($A$1,[2]Feb26A!$A$7:$N$7,0))),0)</f>
        <v>1869.08</v>
      </c>
      <c r="D85" s="84">
        <f>IFERROR(SUMIF([2]Mar26A!$A:$A,$A85,INDEX([2]Mar26A!$A:$N,0,MATCH($A$1,[2]Mar26A!$A$7:$N$7,0))),0)</f>
        <v>325.89999999999998</v>
      </c>
      <c r="E85" s="84">
        <f>IFERROR(SUMIF([2]Apr26A!$A:$A,$A85,INDEX([2]Apr26A!$A:$N,0,MATCH($A$1,[2]Apr26A!$A$7:$N$7,0))),0)</f>
        <v>0</v>
      </c>
      <c r="F85" s="84">
        <f>IFERROR(SUMIF([2]May26A!$A:$A,$A85,INDEX([2]May26A!$A:$N,0,MATCH($A$1,[2]May26A!$A$7:$N$7,0))),0)</f>
        <v>549.11</v>
      </c>
      <c r="G85" s="84">
        <f>IFERROR(SUMIF([2]Jun26A!$A:$A,$A85,INDEX([2]Jun26A!$A:$N,0,MATCH($A$1,[2]Jun26A!$A$7:$N$7,0))),0)</f>
        <v>721.44</v>
      </c>
      <c r="H85" s="84">
        <f>IFERROR(SUMIF([2]Jul26A!$A:$A,$A85,INDEX([2]Jul26A!$A:$N,0,MATCH($A$1,[2]Jul26A!$A$7:$N$7,0))),0)</f>
        <v>1816.86</v>
      </c>
      <c r="I85" s="84">
        <f>IFERROR(SUMIF([2]Aug26A!$A:$A,$A85,INDEX([2]Aug26A!$A:$N,0,MATCH($A$1,[2]Aug26A!$A$7:$N$7,0))),0)</f>
        <v>0</v>
      </c>
      <c r="J85" s="117">
        <v>1000</v>
      </c>
      <c r="K85" s="117">
        <v>1000</v>
      </c>
      <c r="L85" s="117">
        <v>2500</v>
      </c>
      <c r="M85" s="117">
        <v>1000</v>
      </c>
      <c r="N85" s="84">
        <f t="shared" si="58"/>
        <v>11849.630000000001</v>
      </c>
      <c r="O85" s="105" t="str">
        <f t="shared" si="59"/>
        <v/>
      </c>
      <c r="P85" s="84"/>
      <c r="Q85" s="84"/>
      <c r="R85" s="106" t="s">
        <v>99</v>
      </c>
      <c r="S85" s="107">
        <v>0</v>
      </c>
      <c r="T85" s="108">
        <v>0.05</v>
      </c>
      <c r="U85" s="104">
        <f t="shared" si="60"/>
        <v>0</v>
      </c>
      <c r="V85" s="104">
        <f t="shared" si="60"/>
        <v>0</v>
      </c>
      <c r="W85" s="104">
        <f t="shared" si="60"/>
        <v>0</v>
      </c>
      <c r="X85" s="104">
        <f t="shared" si="60"/>
        <v>0</v>
      </c>
      <c r="Y85" s="104">
        <f t="shared" si="60"/>
        <v>0</v>
      </c>
      <c r="Z85" s="104">
        <f t="shared" si="60"/>
        <v>0</v>
      </c>
      <c r="AA85" s="104">
        <f t="shared" si="60"/>
        <v>0</v>
      </c>
      <c r="AB85" s="104">
        <f t="shared" si="60"/>
        <v>0</v>
      </c>
      <c r="AC85" s="104">
        <f t="shared" si="60"/>
        <v>0</v>
      </c>
      <c r="AD85" s="104">
        <f t="shared" si="60"/>
        <v>0</v>
      </c>
      <c r="AE85" s="104">
        <f t="shared" si="60"/>
        <v>0</v>
      </c>
      <c r="AF85" s="104">
        <f t="shared" si="60"/>
        <v>0</v>
      </c>
      <c r="AG85" s="84">
        <f t="shared" si="61"/>
        <v>0</v>
      </c>
      <c r="AH85" s="105" t="str">
        <f t="shared" si="62"/>
        <v/>
      </c>
      <c r="AJ85" s="84">
        <f t="shared" si="63"/>
        <v>11849.630000000001</v>
      </c>
    </row>
    <row r="86" spans="1:36" x14ac:dyDescent="0.3">
      <c r="A86" s="103" t="s">
        <v>172</v>
      </c>
      <c r="B86" s="84">
        <f>IFERROR(SUMIF([2]Jan26A!$A:$A,$A86,INDEX([2]Jan26A!$A:$N,0,MATCH($A$1,[2]Jan26A!$A$7:$N$7,0))),0)</f>
        <v>143.34</v>
      </c>
      <c r="C86" s="84">
        <f>IFERROR(SUMIF([2]Feb26A!$A:$A,$A86,INDEX([2]Feb26A!$A:$N,0,MATCH($A$1,[2]Feb26A!$A$7:$N$7,0))),0)</f>
        <v>172.71</v>
      </c>
      <c r="D86" s="84">
        <f>IFERROR(SUMIF([2]Mar26A!$A:$A,$A86,INDEX([2]Mar26A!$A:$N,0,MATCH($A$1,[2]Mar26A!$A$7:$N$7,0))),0)</f>
        <v>160.18</v>
      </c>
      <c r="E86" s="84">
        <f>IFERROR(SUMIF([2]Apr26A!$A:$A,$A86,INDEX([2]Apr26A!$A:$N,0,MATCH($A$1,[2]Apr26A!$A$7:$N$7,0))),0)</f>
        <v>0</v>
      </c>
      <c r="F86" s="84">
        <f>IFERROR(SUMIF([2]May26A!$A:$A,$A86,INDEX([2]May26A!$A:$N,0,MATCH($A$1,[2]May26A!$A$7:$N$7,0))),0)</f>
        <v>235.48</v>
      </c>
      <c r="G86" s="84">
        <f>IFERROR(SUMIF([2]Jun26A!$A:$A,$A86,INDEX([2]Jun26A!$A:$N,0,MATCH($A$1,[2]Jun26A!$A$7:$N$7,0))),0)</f>
        <v>241.47</v>
      </c>
      <c r="H86" s="84">
        <f>IFERROR(SUMIF([2]Jul26A!$A:$A,$A86,INDEX([2]Jul26A!$A:$N,0,MATCH($A$1,[2]Jul26A!$A$7:$N$7,0))),0)</f>
        <v>169.9</v>
      </c>
      <c r="I86" s="84">
        <f>IFERROR(SUMIF([2]Aug26A!$A:$A,$A86,INDEX([2]Aug26A!$A:$N,0,MATCH($A$1,[2]Aug26A!$A$7:$N$7,0))),0)</f>
        <v>0</v>
      </c>
      <c r="J86" s="117">
        <v>200</v>
      </c>
      <c r="K86" s="117">
        <v>200</v>
      </c>
      <c r="L86" s="117">
        <v>500</v>
      </c>
      <c r="M86" s="117">
        <v>200</v>
      </c>
      <c r="N86" s="84">
        <f t="shared" si="58"/>
        <v>2223.08</v>
      </c>
      <c r="O86" s="105" t="str">
        <f t="shared" si="59"/>
        <v/>
      </c>
      <c r="P86" s="84"/>
      <c r="Q86" s="84"/>
      <c r="R86" s="106" t="s">
        <v>99</v>
      </c>
      <c r="S86" s="107">
        <v>0</v>
      </c>
      <c r="T86" s="108">
        <v>0.05</v>
      </c>
      <c r="U86" s="104">
        <f t="shared" si="60"/>
        <v>0</v>
      </c>
      <c r="V86" s="104">
        <f t="shared" si="60"/>
        <v>0</v>
      </c>
      <c r="W86" s="104">
        <f t="shared" si="60"/>
        <v>0</v>
      </c>
      <c r="X86" s="104">
        <f t="shared" si="60"/>
        <v>0</v>
      </c>
      <c r="Y86" s="104">
        <f t="shared" si="60"/>
        <v>0</v>
      </c>
      <c r="Z86" s="104">
        <f t="shared" si="60"/>
        <v>0</v>
      </c>
      <c r="AA86" s="104">
        <f t="shared" si="60"/>
        <v>0</v>
      </c>
      <c r="AB86" s="104">
        <f t="shared" si="60"/>
        <v>0</v>
      </c>
      <c r="AC86" s="104">
        <f t="shared" si="60"/>
        <v>0</v>
      </c>
      <c r="AD86" s="104">
        <f t="shared" si="60"/>
        <v>0</v>
      </c>
      <c r="AE86" s="104">
        <f t="shared" si="60"/>
        <v>0</v>
      </c>
      <c r="AF86" s="104">
        <f t="shared" si="60"/>
        <v>0</v>
      </c>
      <c r="AG86" s="84">
        <f t="shared" si="61"/>
        <v>0</v>
      </c>
      <c r="AH86" s="105" t="str">
        <f t="shared" si="62"/>
        <v/>
      </c>
      <c r="AJ86" s="84">
        <f t="shared" si="63"/>
        <v>2223.08</v>
      </c>
    </row>
    <row r="87" spans="1:36" x14ac:dyDescent="0.3">
      <c r="A87" s="109" t="s">
        <v>173</v>
      </c>
      <c r="B87" s="110">
        <f t="shared" ref="B87:M87" si="64">SUM(B82:B86)</f>
        <v>3081.0200000000004</v>
      </c>
      <c r="C87" s="110">
        <f t="shared" si="64"/>
        <v>5549.33</v>
      </c>
      <c r="D87" s="110">
        <f t="shared" si="64"/>
        <v>1141.03</v>
      </c>
      <c r="E87" s="110">
        <f t="shared" si="64"/>
        <v>0</v>
      </c>
      <c r="F87" s="110">
        <f t="shared" si="64"/>
        <v>2282.7000000000003</v>
      </c>
      <c r="G87" s="110">
        <f t="shared" si="64"/>
        <v>2718.43</v>
      </c>
      <c r="H87" s="110">
        <f t="shared" si="64"/>
        <v>2985.31</v>
      </c>
      <c r="I87" s="110">
        <f t="shared" si="64"/>
        <v>0</v>
      </c>
      <c r="J87" s="110">
        <f t="shared" si="64"/>
        <v>3300</v>
      </c>
      <c r="K87" s="110">
        <f t="shared" si="64"/>
        <v>3300</v>
      </c>
      <c r="L87" s="110">
        <f t="shared" si="64"/>
        <v>6600</v>
      </c>
      <c r="M87" s="110">
        <f t="shared" si="64"/>
        <v>3300</v>
      </c>
      <c r="N87" s="110">
        <f t="shared" si="58"/>
        <v>34257.820000000007</v>
      </c>
      <c r="O87" s="111" t="str">
        <f t="shared" si="59"/>
        <v/>
      </c>
      <c r="P87" s="84"/>
      <c r="Q87" s="84"/>
      <c r="R87" s="112"/>
      <c r="S87" s="112"/>
      <c r="T87" s="112"/>
      <c r="U87" s="110">
        <f t="shared" ref="U87:AF87" si="65">SUM(U82:U86)</f>
        <v>0</v>
      </c>
      <c r="V87" s="110">
        <f t="shared" si="65"/>
        <v>0</v>
      </c>
      <c r="W87" s="110">
        <f t="shared" si="65"/>
        <v>0</v>
      </c>
      <c r="X87" s="110">
        <f t="shared" si="65"/>
        <v>0</v>
      </c>
      <c r="Y87" s="110">
        <f t="shared" si="65"/>
        <v>0</v>
      </c>
      <c r="Z87" s="110">
        <f t="shared" si="65"/>
        <v>0</v>
      </c>
      <c r="AA87" s="110">
        <f t="shared" si="65"/>
        <v>0</v>
      </c>
      <c r="AB87" s="110">
        <f t="shared" si="65"/>
        <v>0</v>
      </c>
      <c r="AC87" s="110">
        <f t="shared" si="65"/>
        <v>0</v>
      </c>
      <c r="AD87" s="110">
        <f t="shared" si="65"/>
        <v>0</v>
      </c>
      <c r="AE87" s="110">
        <f t="shared" si="65"/>
        <v>0</v>
      </c>
      <c r="AF87" s="110">
        <f t="shared" si="65"/>
        <v>0</v>
      </c>
      <c r="AG87" s="110">
        <f t="shared" si="61"/>
        <v>0</v>
      </c>
      <c r="AH87" s="111" t="str">
        <f t="shared" si="62"/>
        <v/>
      </c>
      <c r="AJ87" s="110">
        <f t="shared" si="63"/>
        <v>34257.820000000007</v>
      </c>
    </row>
    <row r="88" spans="1:36" x14ac:dyDescent="0.3">
      <c r="A88" s="113" t="s">
        <v>174</v>
      </c>
      <c r="B88" s="84">
        <f>IFERROR(SUMIF([2]Jan26A!$A:$A,$A88,INDEX([2]Jan26A!$A:$N,0,MATCH($A$1,[2]Jan26A!$A$7:$N$7,0))),0)</f>
        <v>0</v>
      </c>
      <c r="C88" s="84">
        <f>IFERROR(SUMIF([2]Feb26A!$A:$A,$A88,INDEX([2]Feb26A!$A:$N,0,MATCH($A$1,[2]Feb26A!$A$7:$N$7,0))),0)</f>
        <v>0</v>
      </c>
      <c r="D88" s="84">
        <f>IFERROR(SUMIF([2]Mar26A!$A:$A,$A88,INDEX([2]Mar26A!$A:$N,0,MATCH($A$1,[2]Mar26A!$A$7:$N$7,0))),0)</f>
        <v>0</v>
      </c>
      <c r="E88" s="84">
        <f>IFERROR(SUMIF([2]Apr26A!$A:$A,$A88,INDEX([2]Apr26A!$A:$N,0,MATCH($A$1,[2]Apr26A!$A$7:$N$7,0))),0)</f>
        <v>0</v>
      </c>
      <c r="F88" s="84">
        <f>IFERROR(SUMIF([2]May26A!$A:$A,$A88,INDEX([2]May26A!$A:$N,0,MATCH($A$1,[2]May26A!$A$7:$N$7,0))),0)</f>
        <v>0</v>
      </c>
      <c r="G88" s="84">
        <f>IFERROR(SUMIF([2]Jun26A!$A:$A,$A88,INDEX([2]Jun26A!$A:$N,0,MATCH($A$1,[2]Jun26A!$A$7:$N$7,0))),0)</f>
        <v>0</v>
      </c>
      <c r="H88" s="84">
        <f>IFERROR(SUMIF([2]Jul26A!$A:$A,$A88,INDEX([2]Jul26A!$A:$N,0,MATCH($A$1,[2]Jul26A!$A$7:$N$7,0))),0)</f>
        <v>0</v>
      </c>
      <c r="I88" s="84">
        <f>IFERROR(SUMIF([2]Aug26A!$A:$A,$A88,INDEX([2]Aug26A!$A:$N,0,MATCH($A$1,[2]Aug26A!$A$7:$N$7,0))),0)</f>
        <v>0</v>
      </c>
      <c r="J88" s="117">
        <v>0</v>
      </c>
      <c r="K88" s="117">
        <v>0</v>
      </c>
      <c r="L88" s="117">
        <v>0</v>
      </c>
      <c r="M88" s="117">
        <v>0</v>
      </c>
      <c r="N88" s="84">
        <f t="shared" si="58"/>
        <v>0</v>
      </c>
      <c r="O88" s="105" t="str">
        <f t="shared" si="59"/>
        <v/>
      </c>
      <c r="P88" s="84"/>
      <c r="Q88" s="84"/>
      <c r="R88" s="106" t="s">
        <v>99</v>
      </c>
      <c r="S88" s="107">
        <v>0</v>
      </c>
      <c r="T88" s="108">
        <v>0.05</v>
      </c>
      <c r="U88" s="104">
        <f t="shared" ref="U88:AF97" si="66">IF($R88="Manual","",IFERROR(IF($R88="YOY Growth",$N88*(1+$T88)/12,$S88/12),""))</f>
        <v>0</v>
      </c>
      <c r="V88" s="104">
        <f t="shared" si="66"/>
        <v>0</v>
      </c>
      <c r="W88" s="104">
        <f t="shared" si="66"/>
        <v>0</v>
      </c>
      <c r="X88" s="104">
        <f t="shared" si="66"/>
        <v>0</v>
      </c>
      <c r="Y88" s="104">
        <f t="shared" si="66"/>
        <v>0</v>
      </c>
      <c r="Z88" s="104">
        <f t="shared" si="66"/>
        <v>0</v>
      </c>
      <c r="AA88" s="104">
        <f t="shared" si="66"/>
        <v>0</v>
      </c>
      <c r="AB88" s="104">
        <f t="shared" si="66"/>
        <v>0</v>
      </c>
      <c r="AC88" s="104">
        <f t="shared" si="66"/>
        <v>0</v>
      </c>
      <c r="AD88" s="104">
        <f t="shared" si="66"/>
        <v>0</v>
      </c>
      <c r="AE88" s="104">
        <f t="shared" si="66"/>
        <v>0</v>
      </c>
      <c r="AF88" s="104">
        <f t="shared" si="66"/>
        <v>0</v>
      </c>
      <c r="AG88" s="84">
        <f t="shared" si="61"/>
        <v>0</v>
      </c>
      <c r="AH88" s="105" t="str">
        <f t="shared" si="62"/>
        <v/>
      </c>
      <c r="AJ88" s="84">
        <f t="shared" si="63"/>
        <v>0</v>
      </c>
    </row>
    <row r="89" spans="1:36" x14ac:dyDescent="0.3">
      <c r="A89" s="113" t="s">
        <v>175</v>
      </c>
      <c r="B89" s="84">
        <f>IFERROR(SUMIF([2]Jan26A!$A:$A,$A89,INDEX([2]Jan26A!$A:$N,0,MATCH($A$1,[2]Jan26A!$A$7:$N$7,0))),0)</f>
        <v>0</v>
      </c>
      <c r="C89" s="84">
        <f>IFERROR(SUMIF([2]Feb26A!$A:$A,$A89,INDEX([2]Feb26A!$A:$N,0,MATCH($A$1,[2]Feb26A!$A$7:$N$7,0))),0)</f>
        <v>0</v>
      </c>
      <c r="D89" s="84">
        <f>IFERROR(SUMIF([2]Mar26A!$A:$A,$A89,INDEX([2]Mar26A!$A:$N,0,MATCH($A$1,[2]Mar26A!$A$7:$N$7,0))),0)</f>
        <v>0</v>
      </c>
      <c r="E89" s="84">
        <f>IFERROR(SUMIF([2]Apr26A!$A:$A,$A89,INDEX([2]Apr26A!$A:$N,0,MATCH($A$1,[2]Apr26A!$A$7:$N$7,0))),0)</f>
        <v>0</v>
      </c>
      <c r="F89" s="84">
        <f>IFERROR(SUMIF([2]May26A!$A:$A,$A89,INDEX([2]May26A!$A:$N,0,MATCH($A$1,[2]May26A!$A$7:$N$7,0))),0)</f>
        <v>0</v>
      </c>
      <c r="G89" s="84">
        <f>IFERROR(SUMIF([2]Jun26A!$A:$A,$A89,INDEX([2]Jun26A!$A:$N,0,MATCH($A$1,[2]Jun26A!$A$7:$N$7,0))),0)</f>
        <v>0</v>
      </c>
      <c r="H89" s="84">
        <f>IFERROR(SUMIF([2]Jul26A!$A:$A,$A89,INDEX([2]Jul26A!$A:$N,0,MATCH($A$1,[2]Jul26A!$A$7:$N$7,0))),0)</f>
        <v>0</v>
      </c>
      <c r="I89" s="84">
        <f>IFERROR(SUMIF([2]Aug26A!$A:$A,$A89,INDEX([2]Aug26A!$A:$N,0,MATCH($A$1,[2]Aug26A!$A$7:$N$7,0))),0)</f>
        <v>0</v>
      </c>
      <c r="J89" s="117">
        <v>0</v>
      </c>
      <c r="K89" s="117">
        <v>0</v>
      </c>
      <c r="L89" s="117">
        <v>0</v>
      </c>
      <c r="M89" s="117">
        <v>0</v>
      </c>
      <c r="N89" s="84">
        <f t="shared" si="58"/>
        <v>0</v>
      </c>
      <c r="O89" s="105" t="str">
        <f t="shared" si="59"/>
        <v/>
      </c>
      <c r="P89" s="84"/>
      <c r="Q89" s="84"/>
      <c r="R89" s="106" t="s">
        <v>99</v>
      </c>
      <c r="S89" s="107">
        <v>0</v>
      </c>
      <c r="T89" s="108">
        <v>0.05</v>
      </c>
      <c r="U89" s="104">
        <f t="shared" si="66"/>
        <v>0</v>
      </c>
      <c r="V89" s="104">
        <f t="shared" si="66"/>
        <v>0</v>
      </c>
      <c r="W89" s="104">
        <f t="shared" si="66"/>
        <v>0</v>
      </c>
      <c r="X89" s="104">
        <f t="shared" si="66"/>
        <v>0</v>
      </c>
      <c r="Y89" s="104">
        <f t="shared" si="66"/>
        <v>0</v>
      </c>
      <c r="Z89" s="104">
        <f t="shared" si="66"/>
        <v>0</v>
      </c>
      <c r="AA89" s="104">
        <f t="shared" si="66"/>
        <v>0</v>
      </c>
      <c r="AB89" s="104">
        <f t="shared" si="66"/>
        <v>0</v>
      </c>
      <c r="AC89" s="104">
        <f t="shared" si="66"/>
        <v>0</v>
      </c>
      <c r="AD89" s="104">
        <f t="shared" si="66"/>
        <v>0</v>
      </c>
      <c r="AE89" s="104">
        <f t="shared" si="66"/>
        <v>0</v>
      </c>
      <c r="AF89" s="104">
        <f t="shared" si="66"/>
        <v>0</v>
      </c>
      <c r="AG89" s="84">
        <f t="shared" si="61"/>
        <v>0</v>
      </c>
      <c r="AH89" s="105" t="str">
        <f t="shared" si="62"/>
        <v/>
      </c>
      <c r="AJ89" s="84">
        <f t="shared" si="63"/>
        <v>0</v>
      </c>
    </row>
    <row r="90" spans="1:36" x14ac:dyDescent="0.3">
      <c r="A90" s="113" t="s">
        <v>176</v>
      </c>
      <c r="B90" s="84">
        <f>IFERROR(SUMIF([2]Jan26A!$A:$A,$A90,INDEX([2]Jan26A!$A:$N,0,MATCH($A$1,[2]Jan26A!$A$7:$N$7,0))),0)</f>
        <v>0</v>
      </c>
      <c r="C90" s="84">
        <f>IFERROR(SUMIF([2]Feb26A!$A:$A,$A90,INDEX([2]Feb26A!$A:$N,0,MATCH($A$1,[2]Feb26A!$A$7:$N$7,0))),0)</f>
        <v>0</v>
      </c>
      <c r="D90" s="84">
        <f>IFERROR(SUMIF([2]Mar26A!$A:$A,$A90,INDEX([2]Mar26A!$A:$N,0,MATCH($A$1,[2]Mar26A!$A$7:$N$7,0))),0)</f>
        <v>0</v>
      </c>
      <c r="E90" s="84">
        <f>IFERROR(SUMIF([2]Apr26A!$A:$A,$A90,INDEX([2]Apr26A!$A:$N,0,MATCH($A$1,[2]Apr26A!$A$7:$N$7,0))),0)</f>
        <v>0</v>
      </c>
      <c r="F90" s="84">
        <f>IFERROR(SUMIF([2]May26A!$A:$A,$A90,INDEX([2]May26A!$A:$N,0,MATCH($A$1,[2]May26A!$A$7:$N$7,0))),0)</f>
        <v>0</v>
      </c>
      <c r="G90" s="84">
        <f>IFERROR(SUMIF([2]Jun26A!$A:$A,$A90,INDEX([2]Jun26A!$A:$N,0,MATCH($A$1,[2]Jun26A!$A$7:$N$7,0))),0)</f>
        <v>0</v>
      </c>
      <c r="H90" s="84">
        <f>IFERROR(SUMIF([2]Jul26A!$A:$A,$A90,INDEX([2]Jul26A!$A:$N,0,MATCH($A$1,[2]Jul26A!$A$7:$N$7,0))),0)</f>
        <v>0</v>
      </c>
      <c r="I90" s="84">
        <f>IFERROR(SUMIF([2]Aug26A!$A:$A,$A90,INDEX([2]Aug26A!$A:$N,0,MATCH($A$1,[2]Aug26A!$A$7:$N$7,0))),0)</f>
        <v>0</v>
      </c>
      <c r="J90" s="117">
        <v>0</v>
      </c>
      <c r="K90" s="117">
        <v>0</v>
      </c>
      <c r="L90" s="117">
        <v>0</v>
      </c>
      <c r="M90" s="117">
        <v>0</v>
      </c>
      <c r="N90" s="84">
        <f t="shared" si="58"/>
        <v>0</v>
      </c>
      <c r="O90" s="105" t="str">
        <f t="shared" si="59"/>
        <v/>
      </c>
      <c r="P90" s="84"/>
      <c r="Q90" s="84"/>
      <c r="R90" s="106" t="s">
        <v>99</v>
      </c>
      <c r="S90" s="107">
        <v>0</v>
      </c>
      <c r="T90" s="108">
        <v>0.05</v>
      </c>
      <c r="U90" s="104">
        <f t="shared" si="66"/>
        <v>0</v>
      </c>
      <c r="V90" s="104">
        <f t="shared" si="66"/>
        <v>0</v>
      </c>
      <c r="W90" s="104">
        <f t="shared" si="66"/>
        <v>0</v>
      </c>
      <c r="X90" s="104">
        <f t="shared" si="66"/>
        <v>0</v>
      </c>
      <c r="Y90" s="104">
        <f t="shared" si="66"/>
        <v>0</v>
      </c>
      <c r="Z90" s="104">
        <f t="shared" si="66"/>
        <v>0</v>
      </c>
      <c r="AA90" s="104">
        <f t="shared" si="66"/>
        <v>0</v>
      </c>
      <c r="AB90" s="104">
        <f t="shared" si="66"/>
        <v>0</v>
      </c>
      <c r="AC90" s="104">
        <f t="shared" si="66"/>
        <v>0</v>
      </c>
      <c r="AD90" s="104">
        <f t="shared" si="66"/>
        <v>0</v>
      </c>
      <c r="AE90" s="104">
        <f t="shared" si="66"/>
        <v>0</v>
      </c>
      <c r="AF90" s="104">
        <f t="shared" si="66"/>
        <v>0</v>
      </c>
      <c r="AG90" s="84">
        <f t="shared" si="61"/>
        <v>0</v>
      </c>
      <c r="AH90" s="105" t="str">
        <f t="shared" si="62"/>
        <v/>
      </c>
      <c r="AJ90" s="84">
        <f t="shared" si="63"/>
        <v>0</v>
      </c>
    </row>
    <row r="91" spans="1:36" x14ac:dyDescent="0.3">
      <c r="A91" s="113" t="s">
        <v>177</v>
      </c>
      <c r="B91" s="84">
        <f>IFERROR(SUMIF([2]Jan26A!$A:$A,$A91,INDEX([2]Jan26A!$A:$N,0,MATCH($A$1,[2]Jan26A!$A$7:$N$7,0))),0)</f>
        <v>0</v>
      </c>
      <c r="C91" s="84">
        <f>IFERROR(SUMIF([2]Feb26A!$A:$A,$A91,INDEX([2]Feb26A!$A:$N,0,MATCH($A$1,[2]Feb26A!$A$7:$N$7,0))),0)</f>
        <v>0</v>
      </c>
      <c r="D91" s="84">
        <f>IFERROR(SUMIF([2]Mar26A!$A:$A,$A91,INDEX([2]Mar26A!$A:$N,0,MATCH($A$1,[2]Mar26A!$A$7:$N$7,0))),0)</f>
        <v>0</v>
      </c>
      <c r="E91" s="84">
        <f>IFERROR(SUMIF([2]Apr26A!$A:$A,$A91,INDEX([2]Apr26A!$A:$N,0,MATCH($A$1,[2]Apr26A!$A$7:$N$7,0))),0)</f>
        <v>0</v>
      </c>
      <c r="F91" s="84">
        <f>IFERROR(SUMIF([2]May26A!$A:$A,$A91,INDEX([2]May26A!$A:$N,0,MATCH($A$1,[2]May26A!$A$7:$N$7,0))),0)</f>
        <v>0</v>
      </c>
      <c r="G91" s="84">
        <f>IFERROR(SUMIF([2]Jun26A!$A:$A,$A91,INDEX([2]Jun26A!$A:$N,0,MATCH($A$1,[2]Jun26A!$A$7:$N$7,0))),0)</f>
        <v>0</v>
      </c>
      <c r="H91" s="84">
        <f>IFERROR(SUMIF([2]Jul26A!$A:$A,$A91,INDEX([2]Jul26A!$A:$N,0,MATCH($A$1,[2]Jul26A!$A$7:$N$7,0))),0)</f>
        <v>0</v>
      </c>
      <c r="I91" s="84">
        <f>IFERROR(SUMIF([2]Aug26A!$A:$A,$A91,INDEX([2]Aug26A!$A:$N,0,MATCH($A$1,[2]Aug26A!$A$7:$N$7,0))),0)</f>
        <v>0</v>
      </c>
      <c r="J91" s="117">
        <v>0</v>
      </c>
      <c r="K91" s="117">
        <v>0</v>
      </c>
      <c r="L91" s="117">
        <v>0</v>
      </c>
      <c r="M91" s="117">
        <v>0</v>
      </c>
      <c r="N91" s="84">
        <f t="shared" si="58"/>
        <v>0</v>
      </c>
      <c r="O91" s="105" t="str">
        <f t="shared" si="59"/>
        <v/>
      </c>
      <c r="P91" s="84"/>
      <c r="Q91" s="84"/>
      <c r="R91" s="106" t="s">
        <v>99</v>
      </c>
      <c r="S91" s="107">
        <v>0</v>
      </c>
      <c r="T91" s="108">
        <v>0.05</v>
      </c>
      <c r="U91" s="104">
        <f t="shared" si="66"/>
        <v>0</v>
      </c>
      <c r="V91" s="104">
        <f t="shared" si="66"/>
        <v>0</v>
      </c>
      <c r="W91" s="104">
        <f t="shared" si="66"/>
        <v>0</v>
      </c>
      <c r="X91" s="104">
        <f t="shared" si="66"/>
        <v>0</v>
      </c>
      <c r="Y91" s="104">
        <f t="shared" si="66"/>
        <v>0</v>
      </c>
      <c r="Z91" s="104">
        <f t="shared" si="66"/>
        <v>0</v>
      </c>
      <c r="AA91" s="104">
        <f t="shared" si="66"/>
        <v>0</v>
      </c>
      <c r="AB91" s="104">
        <f t="shared" si="66"/>
        <v>0</v>
      </c>
      <c r="AC91" s="104">
        <f t="shared" si="66"/>
        <v>0</v>
      </c>
      <c r="AD91" s="104">
        <f t="shared" si="66"/>
        <v>0</v>
      </c>
      <c r="AE91" s="104">
        <f t="shared" si="66"/>
        <v>0</v>
      </c>
      <c r="AF91" s="104">
        <f t="shared" si="66"/>
        <v>0</v>
      </c>
      <c r="AG91" s="84">
        <f t="shared" si="61"/>
        <v>0</v>
      </c>
      <c r="AH91" s="105" t="str">
        <f t="shared" si="62"/>
        <v/>
      </c>
      <c r="AJ91" s="84">
        <f t="shared" si="63"/>
        <v>0</v>
      </c>
    </row>
    <row r="92" spans="1:36" x14ac:dyDescent="0.3">
      <c r="A92" s="113" t="s">
        <v>178</v>
      </c>
      <c r="B92" s="84">
        <f>IFERROR(SUMIF([2]Jan26A!$A:$A,$A92,INDEX([2]Jan26A!$A:$N,0,MATCH($A$1,[2]Jan26A!$A$7:$N$7,0))),0)</f>
        <v>0</v>
      </c>
      <c r="C92" s="84">
        <f>IFERROR(SUMIF([2]Feb26A!$A:$A,$A92,INDEX([2]Feb26A!$A:$N,0,MATCH($A$1,[2]Feb26A!$A$7:$N$7,0))),0)</f>
        <v>0</v>
      </c>
      <c r="D92" s="84">
        <f>IFERROR(SUMIF([2]Mar26A!$A:$A,$A92,INDEX([2]Mar26A!$A:$N,0,MATCH($A$1,[2]Mar26A!$A$7:$N$7,0))),0)</f>
        <v>1496.61</v>
      </c>
      <c r="E92" s="84">
        <f>IFERROR(SUMIF([2]Apr26A!$A:$A,$A92,INDEX([2]Apr26A!$A:$N,0,MATCH($A$1,[2]Apr26A!$A$7:$N$7,0))),0)</f>
        <v>2182.0500000000002</v>
      </c>
      <c r="F92" s="84">
        <f>IFERROR(SUMIF([2]May26A!$A:$A,$A92,INDEX([2]May26A!$A:$N,0,MATCH($A$1,[2]May26A!$A$7:$N$7,0))),0)</f>
        <v>0</v>
      </c>
      <c r="G92" s="84">
        <f>IFERROR(SUMIF([2]Jun26A!$A:$A,$A92,INDEX([2]Jun26A!$A:$N,0,MATCH($A$1,[2]Jun26A!$A$7:$N$7,0))),0)</f>
        <v>144.85</v>
      </c>
      <c r="H92" s="84">
        <f>IFERROR(SUMIF([2]Jul26A!$A:$A,$A92,INDEX([2]Jul26A!$A:$N,0,MATCH($A$1,[2]Jul26A!$A$7:$N$7,0))),0)</f>
        <v>0</v>
      </c>
      <c r="I92" s="84">
        <f>IFERROR(SUMIF([2]Aug26A!$A:$A,$A92,INDEX([2]Aug26A!$A:$N,0,MATCH($A$1,[2]Aug26A!$A$7:$N$7,0))),0)</f>
        <v>14.99</v>
      </c>
      <c r="J92" s="117">
        <v>0</v>
      </c>
      <c r="K92" s="117">
        <v>0</v>
      </c>
      <c r="L92" s="117">
        <v>0</v>
      </c>
      <c r="M92" s="117">
        <v>0</v>
      </c>
      <c r="N92" s="84">
        <f t="shared" si="58"/>
        <v>3838.4999999999995</v>
      </c>
      <c r="O92" s="105" t="str">
        <f t="shared" si="59"/>
        <v/>
      </c>
      <c r="P92" s="84"/>
      <c r="Q92" s="84"/>
      <c r="R92" s="106" t="s">
        <v>99</v>
      </c>
      <c r="S92" s="107">
        <v>0</v>
      </c>
      <c r="T92" s="108">
        <v>0.05</v>
      </c>
      <c r="U92" s="104">
        <f t="shared" si="66"/>
        <v>0</v>
      </c>
      <c r="V92" s="104">
        <f t="shared" si="66"/>
        <v>0</v>
      </c>
      <c r="W92" s="104">
        <f t="shared" si="66"/>
        <v>0</v>
      </c>
      <c r="X92" s="104">
        <f t="shared" si="66"/>
        <v>0</v>
      </c>
      <c r="Y92" s="104">
        <f t="shared" si="66"/>
        <v>0</v>
      </c>
      <c r="Z92" s="104">
        <f t="shared" si="66"/>
        <v>0</v>
      </c>
      <c r="AA92" s="104">
        <f t="shared" si="66"/>
        <v>0</v>
      </c>
      <c r="AB92" s="104">
        <f t="shared" si="66"/>
        <v>0</v>
      </c>
      <c r="AC92" s="104">
        <f t="shared" si="66"/>
        <v>0</v>
      </c>
      <c r="AD92" s="104">
        <f t="shared" si="66"/>
        <v>0</v>
      </c>
      <c r="AE92" s="104">
        <f t="shared" si="66"/>
        <v>0</v>
      </c>
      <c r="AF92" s="104">
        <f t="shared" si="66"/>
        <v>0</v>
      </c>
      <c r="AG92" s="84">
        <f t="shared" si="61"/>
        <v>0</v>
      </c>
      <c r="AH92" s="105" t="str">
        <f t="shared" si="62"/>
        <v/>
      </c>
      <c r="AJ92" s="84">
        <f t="shared" si="63"/>
        <v>3838.4999999999995</v>
      </c>
    </row>
    <row r="93" spans="1:36" x14ac:dyDescent="0.3">
      <c r="A93" s="113" t="s">
        <v>179</v>
      </c>
      <c r="B93" s="84">
        <f>IFERROR(SUMIF([2]Jan26A!$A:$A,$A93,INDEX([2]Jan26A!$A:$N,0,MATCH($A$1,[2]Jan26A!$A$7:$N$7,0))),0)</f>
        <v>322.8</v>
      </c>
      <c r="C93" s="84">
        <f>IFERROR(SUMIF([2]Feb26A!$A:$A,$A93,INDEX([2]Feb26A!$A:$N,0,MATCH($A$1,[2]Feb26A!$A$7:$N$7,0))),0)</f>
        <v>870.98</v>
      </c>
      <c r="D93" s="84">
        <f>IFERROR(SUMIF([2]Mar26A!$A:$A,$A93,INDEX([2]Mar26A!$A:$N,0,MATCH($A$1,[2]Mar26A!$A$7:$N$7,0))),0)</f>
        <v>946.56</v>
      </c>
      <c r="E93" s="84">
        <f>IFERROR(SUMIF([2]Apr26A!$A:$A,$A93,INDEX([2]Apr26A!$A:$N,0,MATCH($A$1,[2]Apr26A!$A$7:$N$7,0))),0)</f>
        <v>2409.75</v>
      </c>
      <c r="F93" s="84">
        <f>IFERROR(SUMIF([2]May26A!$A:$A,$A93,INDEX([2]May26A!$A:$N,0,MATCH($A$1,[2]May26A!$A$7:$N$7,0))),0)</f>
        <v>5233.37</v>
      </c>
      <c r="G93" s="84">
        <f>IFERROR(SUMIF([2]Jun26A!$A:$A,$A93,INDEX([2]Jun26A!$A:$N,0,MATCH($A$1,[2]Jun26A!$A$7:$N$7,0))),0)</f>
        <v>0</v>
      </c>
      <c r="H93" s="84">
        <f>IFERROR(SUMIF([2]Jul26A!$A:$A,$A93,INDEX([2]Jul26A!$A:$N,0,MATCH($A$1,[2]Jul26A!$A$7:$N$7,0))),0)</f>
        <v>0</v>
      </c>
      <c r="I93" s="84">
        <f>IFERROR(SUMIF([2]Aug26A!$A:$A,$A93,INDEX([2]Aug26A!$A:$N,0,MATCH($A$1,[2]Aug26A!$A$7:$N$7,0))),0)</f>
        <v>0</v>
      </c>
      <c r="J93" s="117">
        <v>400</v>
      </c>
      <c r="K93" s="117">
        <v>4600</v>
      </c>
      <c r="L93" s="117">
        <v>4600</v>
      </c>
      <c r="M93" s="117">
        <v>4600</v>
      </c>
      <c r="N93" s="84">
        <f t="shared" si="58"/>
        <v>23983.46</v>
      </c>
      <c r="O93" s="105" t="str">
        <f t="shared" si="59"/>
        <v/>
      </c>
      <c r="P93" s="84"/>
      <c r="Q93" s="84"/>
      <c r="R93" s="106" t="s">
        <v>99</v>
      </c>
      <c r="S93" s="107">
        <v>0</v>
      </c>
      <c r="T93" s="108">
        <v>0.05</v>
      </c>
      <c r="U93" s="104">
        <f t="shared" si="66"/>
        <v>0</v>
      </c>
      <c r="V93" s="104">
        <f t="shared" si="66"/>
        <v>0</v>
      </c>
      <c r="W93" s="104">
        <f t="shared" si="66"/>
        <v>0</v>
      </c>
      <c r="X93" s="104">
        <f t="shared" si="66"/>
        <v>0</v>
      </c>
      <c r="Y93" s="104">
        <f t="shared" si="66"/>
        <v>0</v>
      </c>
      <c r="Z93" s="104">
        <f t="shared" si="66"/>
        <v>0</v>
      </c>
      <c r="AA93" s="104">
        <f t="shared" si="66"/>
        <v>0</v>
      </c>
      <c r="AB93" s="104">
        <f t="shared" si="66"/>
        <v>0</v>
      </c>
      <c r="AC93" s="104">
        <f t="shared" si="66"/>
        <v>0</v>
      </c>
      <c r="AD93" s="104">
        <f t="shared" si="66"/>
        <v>0</v>
      </c>
      <c r="AE93" s="104">
        <f t="shared" si="66"/>
        <v>0</v>
      </c>
      <c r="AF93" s="104">
        <f t="shared" si="66"/>
        <v>0</v>
      </c>
      <c r="AG93" s="84">
        <f t="shared" si="61"/>
        <v>0</v>
      </c>
      <c r="AH93" s="105" t="str">
        <f t="shared" si="62"/>
        <v/>
      </c>
      <c r="AJ93" s="84">
        <f t="shared" si="63"/>
        <v>23983.46</v>
      </c>
    </row>
    <row r="94" spans="1:36" x14ac:dyDescent="0.3">
      <c r="A94" s="113" t="s">
        <v>180</v>
      </c>
      <c r="B94" s="84">
        <f>IFERROR(SUMIF([2]Jan26A!$A:$A,$A94,INDEX([2]Jan26A!$A:$N,0,MATCH($A$1,[2]Jan26A!$A$7:$N$7,0))),0)</f>
        <v>0</v>
      </c>
      <c r="C94" s="84">
        <f>IFERROR(SUMIF([2]Feb26A!$A:$A,$A94,INDEX([2]Feb26A!$A:$N,0,MATCH($A$1,[2]Feb26A!$A$7:$N$7,0))),0)</f>
        <v>0</v>
      </c>
      <c r="D94" s="84">
        <f>IFERROR(SUMIF([2]Mar26A!$A:$A,$A94,INDEX([2]Mar26A!$A:$N,0,MATCH($A$1,[2]Mar26A!$A$7:$N$7,0))),0)</f>
        <v>0</v>
      </c>
      <c r="E94" s="84">
        <f>IFERROR(SUMIF([2]Apr26A!$A:$A,$A94,INDEX([2]Apr26A!$A:$N,0,MATCH($A$1,[2]Apr26A!$A$7:$N$7,0))),0)</f>
        <v>0</v>
      </c>
      <c r="F94" s="84">
        <f>IFERROR(SUMIF([2]May26A!$A:$A,$A94,INDEX([2]May26A!$A:$N,0,MATCH($A$1,[2]May26A!$A$7:$N$7,0))),0)</f>
        <v>0</v>
      </c>
      <c r="G94" s="84">
        <f>IFERROR(SUMIF([2]Jun26A!$A:$A,$A94,INDEX([2]Jun26A!$A:$N,0,MATCH($A$1,[2]Jun26A!$A$7:$N$7,0))),0)</f>
        <v>0</v>
      </c>
      <c r="H94" s="84">
        <f>IFERROR(SUMIF([2]Jul26A!$A:$A,$A94,INDEX([2]Jul26A!$A:$N,0,MATCH($A$1,[2]Jul26A!$A$7:$N$7,0))),0)</f>
        <v>0</v>
      </c>
      <c r="I94" s="84">
        <f>IFERROR(SUMIF([2]Aug26A!$A:$A,$A94,INDEX([2]Aug26A!$A:$N,0,MATCH($A$1,[2]Aug26A!$A$7:$N$7,0))),0)</f>
        <v>0</v>
      </c>
      <c r="J94" s="117">
        <v>0</v>
      </c>
      <c r="K94" s="117">
        <v>0</v>
      </c>
      <c r="L94" s="117">
        <v>0</v>
      </c>
      <c r="M94" s="117">
        <v>0</v>
      </c>
      <c r="N94" s="84">
        <f t="shared" si="58"/>
        <v>0</v>
      </c>
      <c r="O94" s="105" t="str">
        <f t="shared" si="59"/>
        <v/>
      </c>
      <c r="P94" s="84"/>
      <c r="Q94" s="84"/>
      <c r="R94" s="106" t="s">
        <v>99</v>
      </c>
      <c r="S94" s="107">
        <v>0</v>
      </c>
      <c r="T94" s="108">
        <v>0.05</v>
      </c>
      <c r="U94" s="104">
        <f t="shared" si="66"/>
        <v>0</v>
      </c>
      <c r="V94" s="104">
        <f t="shared" si="66"/>
        <v>0</v>
      </c>
      <c r="W94" s="104">
        <f t="shared" si="66"/>
        <v>0</v>
      </c>
      <c r="X94" s="104">
        <f t="shared" si="66"/>
        <v>0</v>
      </c>
      <c r="Y94" s="104">
        <f t="shared" si="66"/>
        <v>0</v>
      </c>
      <c r="Z94" s="104">
        <f t="shared" si="66"/>
        <v>0</v>
      </c>
      <c r="AA94" s="104">
        <f t="shared" si="66"/>
        <v>0</v>
      </c>
      <c r="AB94" s="104">
        <f t="shared" si="66"/>
        <v>0</v>
      </c>
      <c r="AC94" s="104">
        <f t="shared" si="66"/>
        <v>0</v>
      </c>
      <c r="AD94" s="104">
        <f t="shared" si="66"/>
        <v>0</v>
      </c>
      <c r="AE94" s="104">
        <f t="shared" si="66"/>
        <v>0</v>
      </c>
      <c r="AF94" s="104">
        <f t="shared" si="66"/>
        <v>0</v>
      </c>
      <c r="AG94" s="84">
        <f t="shared" si="61"/>
        <v>0</v>
      </c>
      <c r="AH94" s="105" t="str">
        <f t="shared" si="62"/>
        <v/>
      </c>
      <c r="AJ94" s="84">
        <f t="shared" si="63"/>
        <v>0</v>
      </c>
    </row>
    <row r="95" spans="1:36" x14ac:dyDescent="0.3">
      <c r="A95" s="113" t="s">
        <v>181</v>
      </c>
      <c r="B95" s="84">
        <f>IFERROR(SUMIF([2]Jan26A!$A:$A,$A95,INDEX([2]Jan26A!$A:$N,0,MATCH($A$1,[2]Jan26A!$A$7:$N$7,0))),0)</f>
        <v>1185.22</v>
      </c>
      <c r="C95" s="84">
        <f>IFERROR(SUMIF([2]Feb26A!$A:$A,$A95,INDEX([2]Feb26A!$A:$N,0,MATCH($A$1,[2]Feb26A!$A$7:$N$7,0))),0)</f>
        <v>2325.33</v>
      </c>
      <c r="D95" s="84">
        <f>IFERROR(SUMIF([2]Mar26A!$A:$A,$A95,INDEX([2]Mar26A!$A:$N,0,MATCH($A$1,[2]Mar26A!$A$7:$N$7,0))),0)</f>
        <v>2677.76</v>
      </c>
      <c r="E95" s="84">
        <f>IFERROR(SUMIF([2]Apr26A!$A:$A,$A95,INDEX([2]Apr26A!$A:$N,0,MATCH($A$1,[2]Apr26A!$A$7:$N$7,0))),0)</f>
        <v>2564.29</v>
      </c>
      <c r="F95" s="84">
        <f>IFERROR(SUMIF([2]May26A!$A:$A,$A95,INDEX([2]May26A!$A:$N,0,MATCH($A$1,[2]May26A!$A$7:$N$7,0))),0)</f>
        <v>174.86</v>
      </c>
      <c r="G95" s="84">
        <f>IFERROR(SUMIF([2]Jun26A!$A:$A,$A95,INDEX([2]Jun26A!$A:$N,0,MATCH($A$1,[2]Jun26A!$A$7:$N$7,0))),0)</f>
        <v>6.23</v>
      </c>
      <c r="H95" s="84">
        <f>IFERROR(SUMIF([2]Jul26A!$A:$A,$A95,INDEX([2]Jul26A!$A:$N,0,MATCH($A$1,[2]Jul26A!$A$7:$N$7,0))),0)</f>
        <v>0</v>
      </c>
      <c r="I95" s="84">
        <f>IFERROR(SUMIF([2]Aug26A!$A:$A,$A95,INDEX([2]Aug26A!$A:$N,0,MATCH($A$1,[2]Aug26A!$A$7:$N$7,0))),0)</f>
        <v>0</v>
      </c>
      <c r="J95" s="117">
        <v>1800</v>
      </c>
      <c r="K95" s="117">
        <v>1800</v>
      </c>
      <c r="L95" s="117">
        <v>1800</v>
      </c>
      <c r="M95" s="117">
        <v>1800</v>
      </c>
      <c r="N95" s="84">
        <f t="shared" si="58"/>
        <v>16133.69</v>
      </c>
      <c r="O95" s="105" t="str">
        <f t="shared" si="59"/>
        <v/>
      </c>
      <c r="P95" s="84"/>
      <c r="Q95" s="84"/>
      <c r="R95" s="106" t="s">
        <v>99</v>
      </c>
      <c r="S95" s="107">
        <v>0</v>
      </c>
      <c r="T95" s="108">
        <v>0.05</v>
      </c>
      <c r="U95" s="104">
        <f t="shared" si="66"/>
        <v>0</v>
      </c>
      <c r="V95" s="104">
        <f t="shared" si="66"/>
        <v>0</v>
      </c>
      <c r="W95" s="104">
        <f t="shared" si="66"/>
        <v>0</v>
      </c>
      <c r="X95" s="104">
        <f t="shared" si="66"/>
        <v>0</v>
      </c>
      <c r="Y95" s="104">
        <f t="shared" si="66"/>
        <v>0</v>
      </c>
      <c r="Z95" s="104">
        <f t="shared" si="66"/>
        <v>0</v>
      </c>
      <c r="AA95" s="104">
        <f t="shared" si="66"/>
        <v>0</v>
      </c>
      <c r="AB95" s="104">
        <f t="shared" si="66"/>
        <v>0</v>
      </c>
      <c r="AC95" s="104">
        <f t="shared" si="66"/>
        <v>0</v>
      </c>
      <c r="AD95" s="104">
        <f t="shared" si="66"/>
        <v>0</v>
      </c>
      <c r="AE95" s="104">
        <f t="shared" si="66"/>
        <v>0</v>
      </c>
      <c r="AF95" s="104">
        <f t="shared" si="66"/>
        <v>0</v>
      </c>
      <c r="AG95" s="84">
        <f t="shared" si="61"/>
        <v>0</v>
      </c>
      <c r="AH95" s="105" t="str">
        <f t="shared" si="62"/>
        <v/>
      </c>
      <c r="AJ95" s="84">
        <f t="shared" si="63"/>
        <v>16133.69</v>
      </c>
    </row>
    <row r="96" spans="1:36" x14ac:dyDescent="0.3">
      <c r="A96" s="113" t="s">
        <v>182</v>
      </c>
      <c r="B96" s="84">
        <f>IFERROR(SUMIF([2]Jan26A!$A:$A,$A96,INDEX([2]Jan26A!$A:$N,0,MATCH($A$1,[2]Jan26A!$A$7:$N$7,0))),0)</f>
        <v>0</v>
      </c>
      <c r="C96" s="84">
        <f>IFERROR(SUMIF([2]Feb26A!$A:$A,$A96,INDEX([2]Feb26A!$A:$N,0,MATCH($A$1,[2]Feb26A!$A$7:$N$7,0))),0)</f>
        <v>0</v>
      </c>
      <c r="D96" s="84">
        <f>IFERROR(SUMIF([2]Mar26A!$A:$A,$A96,INDEX([2]Mar26A!$A:$N,0,MATCH($A$1,[2]Mar26A!$A$7:$N$7,0))),0)</f>
        <v>0</v>
      </c>
      <c r="E96" s="84">
        <f>IFERROR(SUMIF([2]Apr26A!$A:$A,$A96,INDEX([2]Apr26A!$A:$N,0,MATCH($A$1,[2]Apr26A!$A$7:$N$7,0))),0)</f>
        <v>0</v>
      </c>
      <c r="F96" s="84">
        <f>IFERROR(SUMIF([2]May26A!$A:$A,$A96,INDEX([2]May26A!$A:$N,0,MATCH($A$1,[2]May26A!$A$7:$N$7,0))),0)</f>
        <v>0</v>
      </c>
      <c r="G96" s="84">
        <f>IFERROR(SUMIF([2]Jun26A!$A:$A,$A96,INDEX([2]Jun26A!$A:$N,0,MATCH($A$1,[2]Jun26A!$A$7:$N$7,0))),0)</f>
        <v>0</v>
      </c>
      <c r="H96" s="84">
        <f>IFERROR(SUMIF([2]Jul26A!$A:$A,$A96,INDEX([2]Jul26A!$A:$N,0,MATCH($A$1,[2]Jul26A!$A$7:$N$7,0))),0)</f>
        <v>0</v>
      </c>
      <c r="I96" s="84">
        <f>IFERROR(SUMIF([2]Aug26A!$A:$A,$A96,INDEX([2]Aug26A!$A:$N,0,MATCH($A$1,[2]Aug26A!$A$7:$N$7,0))),0)</f>
        <v>0</v>
      </c>
      <c r="J96" s="117">
        <v>0</v>
      </c>
      <c r="K96" s="117">
        <v>0</v>
      </c>
      <c r="L96" s="117">
        <v>0</v>
      </c>
      <c r="M96" s="117">
        <v>0</v>
      </c>
      <c r="N96" s="84">
        <f t="shared" si="58"/>
        <v>0</v>
      </c>
      <c r="O96" s="105" t="str">
        <f t="shared" si="59"/>
        <v/>
      </c>
      <c r="P96" s="84"/>
      <c r="Q96" s="84"/>
      <c r="R96" s="106" t="s">
        <v>99</v>
      </c>
      <c r="S96" s="107">
        <v>0</v>
      </c>
      <c r="T96" s="108">
        <v>0.05</v>
      </c>
      <c r="U96" s="104">
        <f t="shared" si="66"/>
        <v>0</v>
      </c>
      <c r="V96" s="104">
        <f t="shared" si="66"/>
        <v>0</v>
      </c>
      <c r="W96" s="104">
        <f t="shared" si="66"/>
        <v>0</v>
      </c>
      <c r="X96" s="104">
        <f t="shared" si="66"/>
        <v>0</v>
      </c>
      <c r="Y96" s="104">
        <f t="shared" si="66"/>
        <v>0</v>
      </c>
      <c r="Z96" s="104">
        <f t="shared" si="66"/>
        <v>0</v>
      </c>
      <c r="AA96" s="104">
        <f t="shared" si="66"/>
        <v>0</v>
      </c>
      <c r="AB96" s="104">
        <f t="shared" si="66"/>
        <v>0</v>
      </c>
      <c r="AC96" s="104">
        <f t="shared" si="66"/>
        <v>0</v>
      </c>
      <c r="AD96" s="104">
        <f t="shared" si="66"/>
        <v>0</v>
      </c>
      <c r="AE96" s="104">
        <f t="shared" si="66"/>
        <v>0</v>
      </c>
      <c r="AF96" s="104">
        <f t="shared" si="66"/>
        <v>0</v>
      </c>
      <c r="AG96" s="84">
        <f t="shared" si="61"/>
        <v>0</v>
      </c>
      <c r="AH96" s="105" t="str">
        <f t="shared" si="62"/>
        <v/>
      </c>
      <c r="AJ96" s="84">
        <f t="shared" si="63"/>
        <v>0</v>
      </c>
    </row>
    <row r="97" spans="1:36" x14ac:dyDescent="0.3">
      <c r="A97" s="113" t="s">
        <v>183</v>
      </c>
      <c r="B97" s="84">
        <f>IFERROR(SUMIF([2]Jan26A!$A:$A,$A97,INDEX([2]Jan26A!$A:$N,0,MATCH($A$1,[2]Jan26A!$A$7:$N$7,0))),0)</f>
        <v>0</v>
      </c>
      <c r="C97" s="84">
        <f>IFERROR(SUMIF([2]Feb26A!$A:$A,$A97,INDEX([2]Feb26A!$A:$N,0,MATCH($A$1,[2]Feb26A!$A$7:$N$7,0))),0)</f>
        <v>0</v>
      </c>
      <c r="D97" s="84">
        <f>IFERROR(SUMIF([2]Mar26A!$A:$A,$A97,INDEX([2]Mar26A!$A:$N,0,MATCH($A$1,[2]Mar26A!$A$7:$N$7,0))),0)</f>
        <v>0</v>
      </c>
      <c r="E97" s="84">
        <f>IFERROR(SUMIF([2]Apr26A!$A:$A,$A97,INDEX([2]Apr26A!$A:$N,0,MATCH($A$1,[2]Apr26A!$A$7:$N$7,0))),0)</f>
        <v>0</v>
      </c>
      <c r="F97" s="84">
        <f>IFERROR(SUMIF([2]May26A!$A:$A,$A97,INDEX([2]May26A!$A:$N,0,MATCH($A$1,[2]May26A!$A$7:$N$7,0))),0)</f>
        <v>0</v>
      </c>
      <c r="G97" s="84">
        <f>IFERROR(SUMIF([2]Jun26A!$A:$A,$A97,INDEX([2]Jun26A!$A:$N,0,MATCH($A$1,[2]Jun26A!$A$7:$N$7,0))),0)</f>
        <v>0</v>
      </c>
      <c r="H97" s="84">
        <f>IFERROR(SUMIF([2]Jul26A!$A:$A,$A97,INDEX([2]Jul26A!$A:$N,0,MATCH($A$1,[2]Jul26A!$A$7:$N$7,0))),0)</f>
        <v>0</v>
      </c>
      <c r="I97" s="84">
        <f>IFERROR(SUMIF([2]Aug26A!$A:$A,$A97,INDEX([2]Aug26A!$A:$N,0,MATCH($A$1,[2]Aug26A!$A$7:$N$7,0))),0)</f>
        <v>0</v>
      </c>
      <c r="J97" s="117">
        <v>0</v>
      </c>
      <c r="K97" s="117">
        <v>0</v>
      </c>
      <c r="L97" s="117">
        <v>0</v>
      </c>
      <c r="M97" s="117">
        <v>0</v>
      </c>
      <c r="N97" s="84">
        <f t="shared" si="58"/>
        <v>0</v>
      </c>
      <c r="O97" s="105" t="str">
        <f t="shared" si="59"/>
        <v/>
      </c>
      <c r="P97" s="84"/>
      <c r="Q97" s="84"/>
      <c r="R97" s="106" t="s">
        <v>99</v>
      </c>
      <c r="S97" s="107">
        <v>0</v>
      </c>
      <c r="T97" s="108">
        <v>0.05</v>
      </c>
      <c r="U97" s="104">
        <f t="shared" si="66"/>
        <v>0</v>
      </c>
      <c r="V97" s="104">
        <f t="shared" si="66"/>
        <v>0</v>
      </c>
      <c r="W97" s="104">
        <f t="shared" si="66"/>
        <v>0</v>
      </c>
      <c r="X97" s="104">
        <f t="shared" si="66"/>
        <v>0</v>
      </c>
      <c r="Y97" s="104">
        <f t="shared" si="66"/>
        <v>0</v>
      </c>
      <c r="Z97" s="104">
        <f t="shared" si="66"/>
        <v>0</v>
      </c>
      <c r="AA97" s="104">
        <f t="shared" si="66"/>
        <v>0</v>
      </c>
      <c r="AB97" s="104">
        <f t="shared" si="66"/>
        <v>0</v>
      </c>
      <c r="AC97" s="104">
        <f t="shared" si="66"/>
        <v>0</v>
      </c>
      <c r="AD97" s="104">
        <f t="shared" si="66"/>
        <v>0</v>
      </c>
      <c r="AE97" s="104">
        <f t="shared" si="66"/>
        <v>0</v>
      </c>
      <c r="AF97" s="104">
        <f t="shared" si="66"/>
        <v>0</v>
      </c>
      <c r="AG97" s="84">
        <f t="shared" si="61"/>
        <v>0</v>
      </c>
      <c r="AH97" s="105" t="str">
        <f t="shared" si="62"/>
        <v/>
      </c>
      <c r="AJ97" s="84">
        <f t="shared" si="63"/>
        <v>0</v>
      </c>
    </row>
    <row r="98" spans="1:36" x14ac:dyDescent="0.3">
      <c r="A98" s="113" t="s">
        <v>184</v>
      </c>
      <c r="B98" s="84">
        <f>IFERROR(SUMIF([2]Jan26A!$A:$A,$A98,INDEX([2]Jan26A!$A:$N,0,MATCH($A$1,[2]Jan26A!$A$7:$N$7,0))),0)</f>
        <v>0</v>
      </c>
      <c r="C98" s="84">
        <f>IFERROR(SUMIF([2]Feb26A!$A:$A,$A98,INDEX([2]Feb26A!$A:$N,0,MATCH($A$1,[2]Feb26A!$A$7:$N$7,0))),0)</f>
        <v>0</v>
      </c>
      <c r="D98" s="84">
        <f>IFERROR(SUMIF([2]Mar26A!$A:$A,$A98,INDEX([2]Mar26A!$A:$N,0,MATCH($A$1,[2]Mar26A!$A$7:$N$7,0))),0)</f>
        <v>0</v>
      </c>
      <c r="E98" s="84">
        <f>IFERROR(SUMIF([2]Apr26A!$A:$A,$A98,INDEX([2]Apr26A!$A:$N,0,MATCH($A$1,[2]Apr26A!$A$7:$N$7,0))),0)</f>
        <v>0</v>
      </c>
      <c r="F98" s="84">
        <f>IFERROR(SUMIF([2]May26A!$A:$A,$A98,INDEX([2]May26A!$A:$N,0,MATCH($A$1,[2]May26A!$A$7:$N$7,0))),0)</f>
        <v>0</v>
      </c>
      <c r="G98" s="84">
        <f>IFERROR(SUMIF([2]Jun26A!$A:$A,$A98,INDEX([2]Jun26A!$A:$N,0,MATCH($A$1,[2]Jun26A!$A$7:$N$7,0))),0)</f>
        <v>0</v>
      </c>
      <c r="H98" s="84">
        <f>IFERROR(SUMIF([2]Jul26A!$A:$A,$A98,INDEX([2]Jul26A!$A:$N,0,MATCH($A$1,[2]Jul26A!$A$7:$N$7,0))),0)</f>
        <v>0</v>
      </c>
      <c r="I98" s="84">
        <f>IFERROR(SUMIF([2]Aug26A!$A:$A,$A98,INDEX([2]Aug26A!$A:$N,0,MATCH($A$1,[2]Aug26A!$A$7:$N$7,0))),0)</f>
        <v>0</v>
      </c>
      <c r="J98" s="117">
        <v>0</v>
      </c>
      <c r="K98" s="117">
        <v>0</v>
      </c>
      <c r="L98" s="117">
        <v>0</v>
      </c>
      <c r="M98" s="117">
        <v>0</v>
      </c>
      <c r="N98" s="84">
        <f t="shared" si="58"/>
        <v>0</v>
      </c>
      <c r="O98" s="105" t="str">
        <f t="shared" si="59"/>
        <v/>
      </c>
      <c r="P98" s="84"/>
      <c r="Q98" s="84"/>
      <c r="R98" s="106" t="s">
        <v>99</v>
      </c>
      <c r="S98" s="107">
        <v>0</v>
      </c>
      <c r="T98" s="108">
        <v>0.05</v>
      </c>
      <c r="U98" s="104">
        <f t="shared" ref="U98:AF107" si="67">IF($R98="Manual","",IFERROR(IF($R98="YOY Growth",$N98*(1+$T98)/12,$S98/12),""))</f>
        <v>0</v>
      </c>
      <c r="V98" s="104">
        <f t="shared" si="67"/>
        <v>0</v>
      </c>
      <c r="W98" s="104">
        <f t="shared" si="67"/>
        <v>0</v>
      </c>
      <c r="X98" s="104">
        <f t="shared" si="67"/>
        <v>0</v>
      </c>
      <c r="Y98" s="104">
        <f t="shared" si="67"/>
        <v>0</v>
      </c>
      <c r="Z98" s="104">
        <f t="shared" si="67"/>
        <v>0</v>
      </c>
      <c r="AA98" s="104">
        <f t="shared" si="67"/>
        <v>0</v>
      </c>
      <c r="AB98" s="104">
        <f t="shared" si="67"/>
        <v>0</v>
      </c>
      <c r="AC98" s="104">
        <f t="shared" si="67"/>
        <v>0</v>
      </c>
      <c r="AD98" s="104">
        <f t="shared" si="67"/>
        <v>0</v>
      </c>
      <c r="AE98" s="104">
        <f t="shared" si="67"/>
        <v>0</v>
      </c>
      <c r="AF98" s="104">
        <f t="shared" si="67"/>
        <v>0</v>
      </c>
      <c r="AG98" s="84">
        <f t="shared" si="61"/>
        <v>0</v>
      </c>
      <c r="AH98" s="105" t="str">
        <f t="shared" si="62"/>
        <v/>
      </c>
      <c r="AJ98" s="84">
        <f t="shared" si="63"/>
        <v>0</v>
      </c>
    </row>
    <row r="99" spans="1:36" x14ac:dyDescent="0.3">
      <c r="A99" s="113" t="s">
        <v>185</v>
      </c>
      <c r="B99" s="84">
        <f>IFERROR(SUMIF([2]Jan26A!$A:$A,$A99,INDEX([2]Jan26A!$A:$N,0,MATCH($A$1,[2]Jan26A!$A$7:$N$7,0))),0)</f>
        <v>0</v>
      </c>
      <c r="C99" s="84">
        <f>IFERROR(SUMIF([2]Feb26A!$A:$A,$A99,INDEX([2]Feb26A!$A:$N,0,MATCH($A$1,[2]Feb26A!$A$7:$N$7,0))),0)</f>
        <v>153.72999999999999</v>
      </c>
      <c r="D99" s="84">
        <f>IFERROR(SUMIF([2]Mar26A!$A:$A,$A99,INDEX([2]Mar26A!$A:$N,0,MATCH($A$1,[2]Mar26A!$A$7:$N$7,0))),0)</f>
        <v>40</v>
      </c>
      <c r="E99" s="84">
        <f>IFERROR(SUMIF([2]Apr26A!$A:$A,$A99,INDEX([2]Apr26A!$A:$N,0,MATCH($A$1,[2]Apr26A!$A$7:$N$7,0))),0)</f>
        <v>0</v>
      </c>
      <c r="F99" s="84">
        <f>IFERROR(SUMIF([2]May26A!$A:$A,$A99,INDEX([2]May26A!$A:$N,0,MATCH($A$1,[2]May26A!$A$7:$N$7,0))),0)</f>
        <v>0</v>
      </c>
      <c r="G99" s="84">
        <f>IFERROR(SUMIF([2]Jun26A!$A:$A,$A99,INDEX([2]Jun26A!$A:$N,0,MATCH($A$1,[2]Jun26A!$A$7:$N$7,0))),0)</f>
        <v>0</v>
      </c>
      <c r="H99" s="84">
        <f>IFERROR(SUMIF([2]Jul26A!$A:$A,$A99,INDEX([2]Jul26A!$A:$N,0,MATCH($A$1,[2]Jul26A!$A$7:$N$7,0))),0)</f>
        <v>0</v>
      </c>
      <c r="I99" s="84">
        <f>IFERROR(SUMIF([2]Aug26A!$A:$A,$A99,INDEX([2]Aug26A!$A:$N,0,MATCH($A$1,[2]Aug26A!$A$7:$N$7,0))),0)</f>
        <v>0</v>
      </c>
      <c r="J99" s="117">
        <v>60</v>
      </c>
      <c r="K99" s="117">
        <v>60</v>
      </c>
      <c r="L99" s="117">
        <v>60</v>
      </c>
      <c r="M99" s="117">
        <v>60</v>
      </c>
      <c r="N99" s="84">
        <f t="shared" si="58"/>
        <v>433.73</v>
      </c>
      <c r="O99" s="105" t="str">
        <f t="shared" si="59"/>
        <v/>
      </c>
      <c r="P99" s="84"/>
      <c r="Q99" s="84"/>
      <c r="R99" s="106" t="s">
        <v>99</v>
      </c>
      <c r="S99" s="107">
        <v>0</v>
      </c>
      <c r="T99" s="108">
        <v>0.05</v>
      </c>
      <c r="U99" s="104">
        <f t="shared" si="67"/>
        <v>0</v>
      </c>
      <c r="V99" s="104">
        <f t="shared" si="67"/>
        <v>0</v>
      </c>
      <c r="W99" s="104">
        <f t="shared" si="67"/>
        <v>0</v>
      </c>
      <c r="X99" s="104">
        <f t="shared" si="67"/>
        <v>0</v>
      </c>
      <c r="Y99" s="104">
        <f t="shared" si="67"/>
        <v>0</v>
      </c>
      <c r="Z99" s="104">
        <f t="shared" si="67"/>
        <v>0</v>
      </c>
      <c r="AA99" s="104">
        <f t="shared" si="67"/>
        <v>0</v>
      </c>
      <c r="AB99" s="104">
        <f t="shared" si="67"/>
        <v>0</v>
      </c>
      <c r="AC99" s="104">
        <f t="shared" si="67"/>
        <v>0</v>
      </c>
      <c r="AD99" s="104">
        <f t="shared" si="67"/>
        <v>0</v>
      </c>
      <c r="AE99" s="104">
        <f t="shared" si="67"/>
        <v>0</v>
      </c>
      <c r="AF99" s="104">
        <f t="shared" si="67"/>
        <v>0</v>
      </c>
      <c r="AG99" s="84">
        <f t="shared" si="61"/>
        <v>0</v>
      </c>
      <c r="AH99" s="105" t="str">
        <f t="shared" si="62"/>
        <v/>
      </c>
      <c r="AJ99" s="84">
        <f t="shared" si="63"/>
        <v>433.73</v>
      </c>
    </row>
    <row r="100" spans="1:36" x14ac:dyDescent="0.3">
      <c r="A100" s="113" t="s">
        <v>186</v>
      </c>
      <c r="B100" s="84">
        <f>IFERROR(SUMIF([2]Jan26A!$A:$A,$A100,INDEX([2]Jan26A!$A:$N,0,MATCH($A$1,[2]Jan26A!$A$7:$N$7,0))),0)</f>
        <v>0</v>
      </c>
      <c r="C100" s="84">
        <f>IFERROR(SUMIF([2]Feb26A!$A:$A,$A100,INDEX([2]Feb26A!$A:$N,0,MATCH($A$1,[2]Feb26A!$A$7:$N$7,0))),0)</f>
        <v>0</v>
      </c>
      <c r="D100" s="84">
        <f>IFERROR(SUMIF([2]Mar26A!$A:$A,$A100,INDEX([2]Mar26A!$A:$N,0,MATCH($A$1,[2]Mar26A!$A$7:$N$7,0))),0)</f>
        <v>0</v>
      </c>
      <c r="E100" s="84">
        <f>IFERROR(SUMIF([2]Apr26A!$A:$A,$A100,INDEX([2]Apr26A!$A:$N,0,MATCH($A$1,[2]Apr26A!$A$7:$N$7,0))),0)</f>
        <v>0</v>
      </c>
      <c r="F100" s="84">
        <f>IFERROR(SUMIF([2]May26A!$A:$A,$A100,INDEX([2]May26A!$A:$N,0,MATCH($A$1,[2]May26A!$A$7:$N$7,0))),0)</f>
        <v>0</v>
      </c>
      <c r="G100" s="84">
        <f>IFERROR(SUMIF([2]Jun26A!$A:$A,$A100,INDEX([2]Jun26A!$A:$N,0,MATCH($A$1,[2]Jun26A!$A$7:$N$7,0))),0)</f>
        <v>0</v>
      </c>
      <c r="H100" s="84">
        <f>IFERROR(SUMIF([2]Jul26A!$A:$A,$A100,INDEX([2]Jul26A!$A:$N,0,MATCH($A$1,[2]Jul26A!$A$7:$N$7,0))),0)</f>
        <v>0</v>
      </c>
      <c r="I100" s="84">
        <f>IFERROR(SUMIF([2]Aug26A!$A:$A,$A100,INDEX([2]Aug26A!$A:$N,0,MATCH($A$1,[2]Aug26A!$A$7:$N$7,0))),0)</f>
        <v>0</v>
      </c>
      <c r="J100" s="117">
        <v>0</v>
      </c>
      <c r="K100" s="117">
        <v>0</v>
      </c>
      <c r="L100" s="117">
        <v>0</v>
      </c>
      <c r="M100" s="117">
        <v>0</v>
      </c>
      <c r="N100" s="84">
        <f t="shared" si="58"/>
        <v>0</v>
      </c>
      <c r="O100" s="105" t="str">
        <f t="shared" si="59"/>
        <v/>
      </c>
      <c r="P100" s="84"/>
      <c r="Q100" s="84"/>
      <c r="R100" s="106" t="s">
        <v>99</v>
      </c>
      <c r="S100" s="107">
        <v>0</v>
      </c>
      <c r="T100" s="108">
        <v>0.05</v>
      </c>
      <c r="U100" s="104">
        <f t="shared" si="67"/>
        <v>0</v>
      </c>
      <c r="V100" s="104">
        <f t="shared" si="67"/>
        <v>0</v>
      </c>
      <c r="W100" s="104">
        <f t="shared" si="67"/>
        <v>0</v>
      </c>
      <c r="X100" s="104">
        <f t="shared" si="67"/>
        <v>0</v>
      </c>
      <c r="Y100" s="104">
        <f t="shared" si="67"/>
        <v>0</v>
      </c>
      <c r="Z100" s="104">
        <f t="shared" si="67"/>
        <v>0</v>
      </c>
      <c r="AA100" s="104">
        <f t="shared" si="67"/>
        <v>0</v>
      </c>
      <c r="AB100" s="104">
        <f t="shared" si="67"/>
        <v>0</v>
      </c>
      <c r="AC100" s="104">
        <f t="shared" si="67"/>
        <v>0</v>
      </c>
      <c r="AD100" s="104">
        <f t="shared" si="67"/>
        <v>0</v>
      </c>
      <c r="AE100" s="104">
        <f t="shared" si="67"/>
        <v>0</v>
      </c>
      <c r="AF100" s="104">
        <f t="shared" si="67"/>
        <v>0</v>
      </c>
      <c r="AG100" s="84">
        <f t="shared" si="61"/>
        <v>0</v>
      </c>
      <c r="AH100" s="105" t="str">
        <f t="shared" si="62"/>
        <v/>
      </c>
      <c r="AJ100" s="84">
        <f t="shared" si="63"/>
        <v>0</v>
      </c>
    </row>
    <row r="101" spans="1:36" x14ac:dyDescent="0.3">
      <c r="A101" s="113" t="s">
        <v>187</v>
      </c>
      <c r="B101" s="84">
        <f>IFERROR(SUMIF([2]Jan26A!$A:$A,$A101,INDEX([2]Jan26A!$A:$N,0,MATCH($A$1,[2]Jan26A!$A$7:$N$7,0))),0)</f>
        <v>0</v>
      </c>
      <c r="C101" s="84">
        <f>IFERROR(SUMIF([2]Feb26A!$A:$A,$A101,INDEX([2]Feb26A!$A:$N,0,MATCH($A$1,[2]Feb26A!$A$7:$N$7,0))),0)</f>
        <v>0</v>
      </c>
      <c r="D101" s="84">
        <f>IFERROR(SUMIF([2]Mar26A!$A:$A,$A101,INDEX([2]Mar26A!$A:$N,0,MATCH($A$1,[2]Mar26A!$A$7:$N$7,0))),0)</f>
        <v>0</v>
      </c>
      <c r="E101" s="84">
        <f>IFERROR(SUMIF([2]Apr26A!$A:$A,$A101,INDEX([2]Apr26A!$A:$N,0,MATCH($A$1,[2]Apr26A!$A$7:$N$7,0))),0)</f>
        <v>0</v>
      </c>
      <c r="F101" s="84">
        <f>IFERROR(SUMIF([2]May26A!$A:$A,$A101,INDEX([2]May26A!$A:$N,0,MATCH($A$1,[2]May26A!$A$7:$N$7,0))),0)</f>
        <v>0</v>
      </c>
      <c r="G101" s="84">
        <f>IFERROR(SUMIF([2]Jun26A!$A:$A,$A101,INDEX([2]Jun26A!$A:$N,0,MATCH($A$1,[2]Jun26A!$A$7:$N$7,0))),0)</f>
        <v>0</v>
      </c>
      <c r="H101" s="84">
        <f>IFERROR(SUMIF([2]Jul26A!$A:$A,$A101,INDEX([2]Jul26A!$A:$N,0,MATCH($A$1,[2]Jul26A!$A$7:$N$7,0))),0)</f>
        <v>0</v>
      </c>
      <c r="I101" s="84">
        <f>IFERROR(SUMIF([2]Aug26A!$A:$A,$A101,INDEX([2]Aug26A!$A:$N,0,MATCH($A$1,[2]Aug26A!$A$7:$N$7,0))),0)</f>
        <v>0</v>
      </c>
      <c r="J101" s="117">
        <v>0</v>
      </c>
      <c r="K101" s="117">
        <v>0</v>
      </c>
      <c r="L101" s="117">
        <v>0</v>
      </c>
      <c r="M101" s="117">
        <v>0</v>
      </c>
      <c r="N101" s="84">
        <f t="shared" si="58"/>
        <v>0</v>
      </c>
      <c r="O101" s="105" t="str">
        <f t="shared" si="59"/>
        <v/>
      </c>
      <c r="P101" s="84"/>
      <c r="Q101" s="84"/>
      <c r="R101" s="106" t="s">
        <v>99</v>
      </c>
      <c r="S101" s="107">
        <v>0</v>
      </c>
      <c r="T101" s="108">
        <v>0.05</v>
      </c>
      <c r="U101" s="104">
        <f t="shared" si="67"/>
        <v>0</v>
      </c>
      <c r="V101" s="104">
        <f t="shared" si="67"/>
        <v>0</v>
      </c>
      <c r="W101" s="104">
        <f t="shared" si="67"/>
        <v>0</v>
      </c>
      <c r="X101" s="104">
        <f t="shared" si="67"/>
        <v>0</v>
      </c>
      <c r="Y101" s="104">
        <f t="shared" si="67"/>
        <v>0</v>
      </c>
      <c r="Z101" s="104">
        <f t="shared" si="67"/>
        <v>0</v>
      </c>
      <c r="AA101" s="104">
        <f t="shared" si="67"/>
        <v>0</v>
      </c>
      <c r="AB101" s="104">
        <f t="shared" si="67"/>
        <v>0</v>
      </c>
      <c r="AC101" s="104">
        <f t="shared" si="67"/>
        <v>0</v>
      </c>
      <c r="AD101" s="104">
        <f t="shared" si="67"/>
        <v>0</v>
      </c>
      <c r="AE101" s="104">
        <f t="shared" si="67"/>
        <v>0</v>
      </c>
      <c r="AF101" s="104">
        <f t="shared" si="67"/>
        <v>0</v>
      </c>
      <c r="AG101" s="84">
        <f t="shared" si="61"/>
        <v>0</v>
      </c>
      <c r="AH101" s="105" t="str">
        <f t="shared" si="62"/>
        <v/>
      </c>
      <c r="AJ101" s="84">
        <f t="shared" si="63"/>
        <v>0</v>
      </c>
    </row>
    <row r="102" spans="1:36" x14ac:dyDescent="0.3">
      <c r="A102" s="113" t="s">
        <v>188</v>
      </c>
      <c r="B102" s="84">
        <f>IFERROR(SUMIF([2]Jan26A!$A:$A,$A102,INDEX([2]Jan26A!$A:$N,0,MATCH($A$1,[2]Jan26A!$A$7:$N$7,0))),0)</f>
        <v>0</v>
      </c>
      <c r="C102" s="84">
        <f>IFERROR(SUMIF([2]Feb26A!$A:$A,$A102,INDEX([2]Feb26A!$A:$N,0,MATCH($A$1,[2]Feb26A!$A$7:$N$7,0))),0)</f>
        <v>0</v>
      </c>
      <c r="D102" s="84">
        <f>IFERROR(SUMIF([2]Mar26A!$A:$A,$A102,INDEX([2]Mar26A!$A:$N,0,MATCH($A$1,[2]Mar26A!$A$7:$N$7,0))),0)</f>
        <v>0</v>
      </c>
      <c r="E102" s="84">
        <f>IFERROR(SUMIF([2]Apr26A!$A:$A,$A102,INDEX([2]Apr26A!$A:$N,0,MATCH($A$1,[2]Apr26A!$A$7:$N$7,0))),0)</f>
        <v>36.200000000000003</v>
      </c>
      <c r="F102" s="84">
        <f>IFERROR(SUMIF([2]May26A!$A:$A,$A102,INDEX([2]May26A!$A:$N,0,MATCH($A$1,[2]May26A!$A$7:$N$7,0))),0)</f>
        <v>0</v>
      </c>
      <c r="G102" s="84">
        <f>IFERROR(SUMIF([2]Jun26A!$A:$A,$A102,INDEX([2]Jun26A!$A:$N,0,MATCH($A$1,[2]Jun26A!$A$7:$N$7,0))),0)</f>
        <v>0</v>
      </c>
      <c r="H102" s="84">
        <f>IFERROR(SUMIF([2]Jul26A!$A:$A,$A102,INDEX([2]Jul26A!$A:$N,0,MATCH($A$1,[2]Jul26A!$A$7:$N$7,0))),0)</f>
        <v>0</v>
      </c>
      <c r="I102" s="84">
        <f>IFERROR(SUMIF([2]Aug26A!$A:$A,$A102,INDEX([2]Aug26A!$A:$N,0,MATCH($A$1,[2]Aug26A!$A$7:$N$7,0))),0)</f>
        <v>0</v>
      </c>
      <c r="J102" s="117">
        <v>0</v>
      </c>
      <c r="K102" s="117">
        <v>0</v>
      </c>
      <c r="L102" s="117">
        <v>0</v>
      </c>
      <c r="M102" s="117">
        <v>0</v>
      </c>
      <c r="N102" s="84">
        <f t="shared" si="58"/>
        <v>36.200000000000003</v>
      </c>
      <c r="O102" s="105" t="str">
        <f t="shared" si="59"/>
        <v/>
      </c>
      <c r="P102" s="84"/>
      <c r="Q102" s="84"/>
      <c r="R102" s="106" t="s">
        <v>99</v>
      </c>
      <c r="S102" s="107">
        <v>0</v>
      </c>
      <c r="T102" s="108">
        <v>0.05</v>
      </c>
      <c r="U102" s="104">
        <f t="shared" si="67"/>
        <v>0</v>
      </c>
      <c r="V102" s="104">
        <f t="shared" si="67"/>
        <v>0</v>
      </c>
      <c r="W102" s="104">
        <f t="shared" si="67"/>
        <v>0</v>
      </c>
      <c r="X102" s="104">
        <f t="shared" si="67"/>
        <v>0</v>
      </c>
      <c r="Y102" s="104">
        <f t="shared" si="67"/>
        <v>0</v>
      </c>
      <c r="Z102" s="104">
        <f t="shared" si="67"/>
        <v>0</v>
      </c>
      <c r="AA102" s="104">
        <f t="shared" si="67"/>
        <v>0</v>
      </c>
      <c r="AB102" s="104">
        <f t="shared" si="67"/>
        <v>0</v>
      </c>
      <c r="AC102" s="104">
        <f t="shared" si="67"/>
        <v>0</v>
      </c>
      <c r="AD102" s="104">
        <f t="shared" si="67"/>
        <v>0</v>
      </c>
      <c r="AE102" s="104">
        <f t="shared" si="67"/>
        <v>0</v>
      </c>
      <c r="AF102" s="104">
        <f t="shared" si="67"/>
        <v>0</v>
      </c>
      <c r="AG102" s="84">
        <f t="shared" si="61"/>
        <v>0</v>
      </c>
      <c r="AH102" s="105" t="str">
        <f t="shared" si="62"/>
        <v/>
      </c>
      <c r="AJ102" s="84">
        <f t="shared" si="63"/>
        <v>36.200000000000003</v>
      </c>
    </row>
    <row r="103" spans="1:36" x14ac:dyDescent="0.3">
      <c r="A103" s="113" t="s">
        <v>189</v>
      </c>
      <c r="B103" s="84">
        <f>IFERROR(SUMIF([2]Jan26A!$A:$A,$A103,INDEX([2]Jan26A!$A:$N,0,MATCH($A$1,[2]Jan26A!$A$7:$N$7,0))),0)</f>
        <v>0</v>
      </c>
      <c r="C103" s="84">
        <f>IFERROR(SUMIF([2]Feb26A!$A:$A,$A103,INDEX([2]Feb26A!$A:$N,0,MATCH($A$1,[2]Feb26A!$A$7:$N$7,0))),0)</f>
        <v>0</v>
      </c>
      <c r="D103" s="84">
        <f>IFERROR(SUMIF([2]Mar26A!$A:$A,$A103,INDEX([2]Mar26A!$A:$N,0,MATCH($A$1,[2]Mar26A!$A$7:$N$7,0))),0)</f>
        <v>0</v>
      </c>
      <c r="E103" s="84">
        <f>IFERROR(SUMIF([2]Apr26A!$A:$A,$A103,INDEX([2]Apr26A!$A:$N,0,MATCH($A$1,[2]Apr26A!$A$7:$N$7,0))),0)</f>
        <v>0</v>
      </c>
      <c r="F103" s="84">
        <f>IFERROR(SUMIF([2]May26A!$A:$A,$A103,INDEX([2]May26A!$A:$N,0,MATCH($A$1,[2]May26A!$A$7:$N$7,0))),0)</f>
        <v>0</v>
      </c>
      <c r="G103" s="84">
        <f>IFERROR(SUMIF([2]Jun26A!$A:$A,$A103,INDEX([2]Jun26A!$A:$N,0,MATCH($A$1,[2]Jun26A!$A$7:$N$7,0))),0)</f>
        <v>0</v>
      </c>
      <c r="H103" s="84">
        <f>IFERROR(SUMIF([2]Jul26A!$A:$A,$A103,INDEX([2]Jul26A!$A:$N,0,MATCH($A$1,[2]Jul26A!$A$7:$N$7,0))),0)</f>
        <v>0</v>
      </c>
      <c r="I103" s="84">
        <f>IFERROR(SUMIF([2]Aug26A!$A:$A,$A103,INDEX([2]Aug26A!$A:$N,0,MATCH($A$1,[2]Aug26A!$A$7:$N$7,0))),0)</f>
        <v>0</v>
      </c>
      <c r="J103" s="117">
        <v>0</v>
      </c>
      <c r="K103" s="117">
        <v>0</v>
      </c>
      <c r="L103" s="117">
        <v>0</v>
      </c>
      <c r="M103" s="117">
        <v>0</v>
      </c>
      <c r="N103" s="84">
        <f t="shared" si="58"/>
        <v>0</v>
      </c>
      <c r="O103" s="105" t="str">
        <f t="shared" si="59"/>
        <v/>
      </c>
      <c r="P103" s="84"/>
      <c r="Q103" s="84"/>
      <c r="R103" s="106" t="s">
        <v>99</v>
      </c>
      <c r="S103" s="107">
        <v>0</v>
      </c>
      <c r="T103" s="108">
        <v>0.05</v>
      </c>
      <c r="U103" s="104">
        <f t="shared" si="67"/>
        <v>0</v>
      </c>
      <c r="V103" s="104">
        <f t="shared" si="67"/>
        <v>0</v>
      </c>
      <c r="W103" s="104">
        <f t="shared" si="67"/>
        <v>0</v>
      </c>
      <c r="X103" s="104">
        <f t="shared" si="67"/>
        <v>0</v>
      </c>
      <c r="Y103" s="104">
        <f t="shared" si="67"/>
        <v>0</v>
      </c>
      <c r="Z103" s="104">
        <f t="shared" si="67"/>
        <v>0</v>
      </c>
      <c r="AA103" s="104">
        <f t="shared" si="67"/>
        <v>0</v>
      </c>
      <c r="AB103" s="104">
        <f t="shared" si="67"/>
        <v>0</v>
      </c>
      <c r="AC103" s="104">
        <f t="shared" si="67"/>
        <v>0</v>
      </c>
      <c r="AD103" s="104">
        <f t="shared" si="67"/>
        <v>0</v>
      </c>
      <c r="AE103" s="104">
        <f t="shared" si="67"/>
        <v>0</v>
      </c>
      <c r="AF103" s="104">
        <f t="shared" si="67"/>
        <v>0</v>
      </c>
      <c r="AG103" s="84">
        <f t="shared" si="61"/>
        <v>0</v>
      </c>
      <c r="AH103" s="105" t="str">
        <f t="shared" si="62"/>
        <v/>
      </c>
      <c r="AJ103" s="84">
        <f t="shared" si="63"/>
        <v>0</v>
      </c>
    </row>
    <row r="104" spans="1:36" x14ac:dyDescent="0.3">
      <c r="A104" s="113" t="s">
        <v>190</v>
      </c>
      <c r="B104" s="84">
        <f>IFERROR(SUMIF([2]Jan26A!$A:$A,$A104,INDEX([2]Jan26A!$A:$N,0,MATCH($A$1,[2]Jan26A!$A$7:$N$7,0))),0)</f>
        <v>0</v>
      </c>
      <c r="C104" s="84">
        <f>IFERROR(SUMIF([2]Feb26A!$A:$A,$A104,INDEX([2]Feb26A!$A:$N,0,MATCH($A$1,[2]Feb26A!$A$7:$N$7,0))),0)</f>
        <v>0</v>
      </c>
      <c r="D104" s="84">
        <f>IFERROR(SUMIF([2]Mar26A!$A:$A,$A104,INDEX([2]Mar26A!$A:$N,0,MATCH($A$1,[2]Mar26A!$A$7:$N$7,0))),0)</f>
        <v>0</v>
      </c>
      <c r="E104" s="84">
        <f>IFERROR(SUMIF([2]Apr26A!$A:$A,$A104,INDEX([2]Apr26A!$A:$N,0,MATCH($A$1,[2]Apr26A!$A$7:$N$7,0))),0)</f>
        <v>0</v>
      </c>
      <c r="F104" s="84">
        <f>IFERROR(SUMIF([2]May26A!$A:$A,$A104,INDEX([2]May26A!$A:$N,0,MATCH($A$1,[2]May26A!$A$7:$N$7,0))),0)</f>
        <v>0</v>
      </c>
      <c r="G104" s="84">
        <f>IFERROR(SUMIF([2]Jun26A!$A:$A,$A104,INDEX([2]Jun26A!$A:$N,0,MATCH($A$1,[2]Jun26A!$A$7:$N$7,0))),0)</f>
        <v>297.52</v>
      </c>
      <c r="H104" s="84">
        <f>IFERROR(SUMIF([2]Jul26A!$A:$A,$A104,INDEX([2]Jul26A!$A:$N,0,MATCH($A$1,[2]Jul26A!$A$7:$N$7,0))),0)</f>
        <v>0</v>
      </c>
      <c r="I104" s="84">
        <f>IFERROR(SUMIF([2]Aug26A!$A:$A,$A104,INDEX([2]Aug26A!$A:$N,0,MATCH($A$1,[2]Aug26A!$A$7:$N$7,0))),0)</f>
        <v>0</v>
      </c>
      <c r="J104" s="117">
        <v>0</v>
      </c>
      <c r="K104" s="117">
        <v>0</v>
      </c>
      <c r="L104" s="117">
        <v>0</v>
      </c>
      <c r="M104" s="117">
        <v>0</v>
      </c>
      <c r="N104" s="84">
        <f t="shared" si="58"/>
        <v>297.52</v>
      </c>
      <c r="O104" s="105" t="str">
        <f t="shared" si="59"/>
        <v/>
      </c>
      <c r="P104" s="84"/>
      <c r="Q104" s="84"/>
      <c r="R104" s="106" t="s">
        <v>99</v>
      </c>
      <c r="S104" s="107">
        <v>0</v>
      </c>
      <c r="T104" s="108">
        <v>0.05</v>
      </c>
      <c r="U104" s="104">
        <f t="shared" si="67"/>
        <v>0</v>
      </c>
      <c r="V104" s="104">
        <f t="shared" si="67"/>
        <v>0</v>
      </c>
      <c r="W104" s="104">
        <f t="shared" si="67"/>
        <v>0</v>
      </c>
      <c r="X104" s="104">
        <f t="shared" si="67"/>
        <v>0</v>
      </c>
      <c r="Y104" s="104">
        <f t="shared" si="67"/>
        <v>0</v>
      </c>
      <c r="Z104" s="104">
        <f t="shared" si="67"/>
        <v>0</v>
      </c>
      <c r="AA104" s="104">
        <f t="shared" si="67"/>
        <v>0</v>
      </c>
      <c r="AB104" s="104">
        <f t="shared" si="67"/>
        <v>0</v>
      </c>
      <c r="AC104" s="104">
        <f t="shared" si="67"/>
        <v>0</v>
      </c>
      <c r="AD104" s="104">
        <f t="shared" si="67"/>
        <v>0</v>
      </c>
      <c r="AE104" s="104">
        <f t="shared" si="67"/>
        <v>0</v>
      </c>
      <c r="AF104" s="104">
        <f t="shared" si="67"/>
        <v>0</v>
      </c>
      <c r="AG104" s="84">
        <f t="shared" si="61"/>
        <v>0</v>
      </c>
      <c r="AH104" s="105" t="str">
        <f t="shared" si="62"/>
        <v/>
      </c>
      <c r="AJ104" s="84">
        <f t="shared" si="63"/>
        <v>297.52</v>
      </c>
    </row>
    <row r="105" spans="1:36" x14ac:dyDescent="0.3">
      <c r="A105" s="113" t="s">
        <v>191</v>
      </c>
      <c r="B105" s="84">
        <f>IFERROR(SUMIF([2]Jan26A!$A:$A,$A105,INDEX([2]Jan26A!$A:$N,0,MATCH($A$1,[2]Jan26A!$A$7:$N$7,0))),0)</f>
        <v>0</v>
      </c>
      <c r="C105" s="84">
        <f>IFERROR(SUMIF([2]Feb26A!$A:$A,$A105,INDEX([2]Feb26A!$A:$N,0,MATCH($A$1,[2]Feb26A!$A$7:$N$7,0))),0)</f>
        <v>0</v>
      </c>
      <c r="D105" s="84">
        <f>IFERROR(SUMIF([2]Mar26A!$A:$A,$A105,INDEX([2]Mar26A!$A:$N,0,MATCH($A$1,[2]Mar26A!$A$7:$N$7,0))),0)</f>
        <v>0</v>
      </c>
      <c r="E105" s="84">
        <f>IFERROR(SUMIF([2]Apr26A!$A:$A,$A105,INDEX([2]Apr26A!$A:$N,0,MATCH($A$1,[2]Apr26A!$A$7:$N$7,0))),0)</f>
        <v>0</v>
      </c>
      <c r="F105" s="84">
        <f>IFERROR(SUMIF([2]May26A!$A:$A,$A105,INDEX([2]May26A!$A:$N,0,MATCH($A$1,[2]May26A!$A$7:$N$7,0))),0)</f>
        <v>0</v>
      </c>
      <c r="G105" s="84">
        <f>IFERROR(SUMIF([2]Jun26A!$A:$A,$A105,INDEX([2]Jun26A!$A:$N,0,MATCH($A$1,[2]Jun26A!$A$7:$N$7,0))),0)</f>
        <v>0</v>
      </c>
      <c r="H105" s="84">
        <f>IFERROR(SUMIF([2]Jul26A!$A:$A,$A105,INDEX([2]Jul26A!$A:$N,0,MATCH($A$1,[2]Jul26A!$A$7:$N$7,0))),0)</f>
        <v>0</v>
      </c>
      <c r="I105" s="84">
        <f>IFERROR(SUMIF([2]Aug26A!$A:$A,$A105,INDEX([2]Aug26A!$A:$N,0,MATCH($A$1,[2]Aug26A!$A$7:$N$7,0))),0)</f>
        <v>0</v>
      </c>
      <c r="J105" s="117">
        <v>0</v>
      </c>
      <c r="K105" s="117">
        <v>0</v>
      </c>
      <c r="L105" s="117">
        <v>0</v>
      </c>
      <c r="M105" s="117">
        <v>0</v>
      </c>
      <c r="N105" s="84">
        <f t="shared" si="58"/>
        <v>0</v>
      </c>
      <c r="O105" s="105" t="str">
        <f t="shared" si="59"/>
        <v/>
      </c>
      <c r="P105" s="84"/>
      <c r="Q105" s="84"/>
      <c r="R105" s="106" t="s">
        <v>99</v>
      </c>
      <c r="S105" s="107">
        <v>0</v>
      </c>
      <c r="T105" s="108">
        <v>0.05</v>
      </c>
      <c r="U105" s="104">
        <f t="shared" si="67"/>
        <v>0</v>
      </c>
      <c r="V105" s="104">
        <f t="shared" si="67"/>
        <v>0</v>
      </c>
      <c r="W105" s="104">
        <f t="shared" si="67"/>
        <v>0</v>
      </c>
      <c r="X105" s="104">
        <f t="shared" si="67"/>
        <v>0</v>
      </c>
      <c r="Y105" s="104">
        <f t="shared" si="67"/>
        <v>0</v>
      </c>
      <c r="Z105" s="104">
        <f t="shared" si="67"/>
        <v>0</v>
      </c>
      <c r="AA105" s="104">
        <f t="shared" si="67"/>
        <v>0</v>
      </c>
      <c r="AB105" s="104">
        <f t="shared" si="67"/>
        <v>0</v>
      </c>
      <c r="AC105" s="104">
        <f t="shared" si="67"/>
        <v>0</v>
      </c>
      <c r="AD105" s="104">
        <f t="shared" si="67"/>
        <v>0</v>
      </c>
      <c r="AE105" s="104">
        <f t="shared" si="67"/>
        <v>0</v>
      </c>
      <c r="AF105" s="104">
        <f t="shared" si="67"/>
        <v>0</v>
      </c>
      <c r="AG105" s="84">
        <f t="shared" si="61"/>
        <v>0</v>
      </c>
      <c r="AH105" s="105" t="str">
        <f t="shared" si="62"/>
        <v/>
      </c>
      <c r="AJ105" s="84">
        <f t="shared" si="63"/>
        <v>0</v>
      </c>
    </row>
    <row r="106" spans="1:36" x14ac:dyDescent="0.3">
      <c r="A106" s="113" t="s">
        <v>192</v>
      </c>
      <c r="B106" s="84">
        <f>IFERROR(SUMIF([2]Jan26A!$A:$A,$A106,INDEX([2]Jan26A!$A:$N,0,MATCH($A$1,[2]Jan26A!$A$7:$N$7,0))),0)</f>
        <v>1353.84</v>
      </c>
      <c r="C106" s="84">
        <f>IFERROR(SUMIF([2]Feb26A!$A:$A,$A106,INDEX([2]Feb26A!$A:$N,0,MATCH($A$1,[2]Feb26A!$A$7:$N$7,0))),0)</f>
        <v>5023.49</v>
      </c>
      <c r="D106" s="84">
        <f>IFERROR(SUMIF([2]Mar26A!$A:$A,$A106,INDEX([2]Mar26A!$A:$N,0,MATCH($A$1,[2]Mar26A!$A$7:$N$7,0))),0)</f>
        <v>4997.13</v>
      </c>
      <c r="E106" s="84">
        <f>IFERROR(SUMIF([2]Apr26A!$A:$A,$A106,INDEX([2]Apr26A!$A:$N,0,MATCH($A$1,[2]Apr26A!$A$7:$N$7,0))),0)</f>
        <v>633.36</v>
      </c>
      <c r="F106" s="84">
        <f>IFERROR(SUMIF([2]May26A!$A:$A,$A106,INDEX([2]May26A!$A:$N,0,MATCH($A$1,[2]May26A!$A$7:$N$7,0))),0)</f>
        <v>526.41999999999996</v>
      </c>
      <c r="G106" s="84">
        <f>IFERROR(SUMIF([2]Jun26A!$A:$A,$A106,INDEX([2]Jun26A!$A:$N,0,MATCH($A$1,[2]Jun26A!$A$7:$N$7,0))),0)</f>
        <v>0</v>
      </c>
      <c r="H106" s="84">
        <f>IFERROR(SUMIF([2]Jul26A!$A:$A,$A106,INDEX([2]Jul26A!$A:$N,0,MATCH($A$1,[2]Jul26A!$A$7:$N$7,0))),0)</f>
        <v>150</v>
      </c>
      <c r="I106" s="84">
        <f>IFERROR(SUMIF([2]Aug26A!$A:$A,$A106,INDEX([2]Aug26A!$A:$N,0,MATCH($A$1,[2]Aug26A!$A$7:$N$7,0))),0)</f>
        <v>2590.92</v>
      </c>
      <c r="J106" s="117">
        <v>2000</v>
      </c>
      <c r="K106" s="117">
        <v>4500</v>
      </c>
      <c r="L106" s="117">
        <v>4500</v>
      </c>
      <c r="M106" s="117">
        <v>4500</v>
      </c>
      <c r="N106" s="84">
        <f t="shared" si="58"/>
        <v>30775.16</v>
      </c>
      <c r="O106" s="105" t="str">
        <f t="shared" si="59"/>
        <v/>
      </c>
      <c r="P106" s="84"/>
      <c r="Q106" s="84"/>
      <c r="R106" s="106" t="s">
        <v>99</v>
      </c>
      <c r="S106" s="107">
        <v>0</v>
      </c>
      <c r="T106" s="108">
        <v>0.05</v>
      </c>
      <c r="U106" s="104">
        <f t="shared" si="67"/>
        <v>0</v>
      </c>
      <c r="V106" s="104">
        <f t="shared" si="67"/>
        <v>0</v>
      </c>
      <c r="W106" s="104">
        <f t="shared" si="67"/>
        <v>0</v>
      </c>
      <c r="X106" s="104">
        <f t="shared" si="67"/>
        <v>0</v>
      </c>
      <c r="Y106" s="104">
        <f t="shared" si="67"/>
        <v>0</v>
      </c>
      <c r="Z106" s="104">
        <f t="shared" si="67"/>
        <v>0</v>
      </c>
      <c r="AA106" s="104">
        <f t="shared" si="67"/>
        <v>0</v>
      </c>
      <c r="AB106" s="104">
        <f t="shared" si="67"/>
        <v>0</v>
      </c>
      <c r="AC106" s="104">
        <f t="shared" si="67"/>
        <v>0</v>
      </c>
      <c r="AD106" s="104">
        <f t="shared" si="67"/>
        <v>0</v>
      </c>
      <c r="AE106" s="104">
        <f t="shared" si="67"/>
        <v>0</v>
      </c>
      <c r="AF106" s="104">
        <f t="shared" si="67"/>
        <v>0</v>
      </c>
      <c r="AG106" s="84">
        <f t="shared" si="61"/>
        <v>0</v>
      </c>
      <c r="AH106" s="105" t="str">
        <f t="shared" si="62"/>
        <v/>
      </c>
      <c r="AJ106" s="84">
        <f t="shared" si="63"/>
        <v>30775.16</v>
      </c>
    </row>
    <row r="107" spans="1:36" x14ac:dyDescent="0.3">
      <c r="A107" s="113" t="s">
        <v>193</v>
      </c>
      <c r="B107" s="84">
        <f>IFERROR(SUMIF([2]Jan26A!$A:$A,$A107,INDEX([2]Jan26A!$A:$N,0,MATCH($A$1,[2]Jan26A!$A$7:$N$7,0))),0)</f>
        <v>0</v>
      </c>
      <c r="C107" s="84">
        <f>IFERROR(SUMIF([2]Feb26A!$A:$A,$A107,INDEX([2]Feb26A!$A:$N,0,MATCH($A$1,[2]Feb26A!$A$7:$N$7,0))),0)</f>
        <v>0</v>
      </c>
      <c r="D107" s="84">
        <f>IFERROR(SUMIF([2]Mar26A!$A:$A,$A107,INDEX([2]Mar26A!$A:$N,0,MATCH($A$1,[2]Mar26A!$A$7:$N$7,0))),0)</f>
        <v>0</v>
      </c>
      <c r="E107" s="84">
        <f>IFERROR(SUMIF([2]Apr26A!$A:$A,$A107,INDEX([2]Apr26A!$A:$N,0,MATCH($A$1,[2]Apr26A!$A$7:$N$7,0))),0)</f>
        <v>0</v>
      </c>
      <c r="F107" s="84">
        <f>IFERROR(SUMIF([2]May26A!$A:$A,$A107,INDEX([2]May26A!$A:$N,0,MATCH($A$1,[2]May26A!$A$7:$N$7,0))),0)</f>
        <v>0</v>
      </c>
      <c r="G107" s="84">
        <f>IFERROR(SUMIF([2]Jun26A!$A:$A,$A107,INDEX([2]Jun26A!$A:$N,0,MATCH($A$1,[2]Jun26A!$A$7:$N$7,0))),0)</f>
        <v>0</v>
      </c>
      <c r="H107" s="84">
        <f>IFERROR(SUMIF([2]Jul26A!$A:$A,$A107,INDEX([2]Jul26A!$A:$N,0,MATCH($A$1,[2]Jul26A!$A$7:$N$7,0))),0)</f>
        <v>0</v>
      </c>
      <c r="I107" s="84">
        <f>IFERROR(SUMIF([2]Aug26A!$A:$A,$A107,INDEX([2]Aug26A!$A:$N,0,MATCH($A$1,[2]Aug26A!$A$7:$N$7,0))),0)</f>
        <v>0</v>
      </c>
      <c r="J107" s="117">
        <v>0</v>
      </c>
      <c r="K107" s="117">
        <v>0</v>
      </c>
      <c r="L107" s="117">
        <v>0</v>
      </c>
      <c r="M107" s="117">
        <v>0</v>
      </c>
      <c r="N107" s="84">
        <f t="shared" si="58"/>
        <v>0</v>
      </c>
      <c r="O107" s="105" t="str">
        <f t="shared" si="59"/>
        <v/>
      </c>
      <c r="P107" s="84"/>
      <c r="Q107" s="84"/>
      <c r="R107" s="106" t="s">
        <v>99</v>
      </c>
      <c r="S107" s="107">
        <v>0</v>
      </c>
      <c r="T107" s="108">
        <v>0.05</v>
      </c>
      <c r="U107" s="104">
        <f t="shared" si="67"/>
        <v>0</v>
      </c>
      <c r="V107" s="104">
        <f t="shared" si="67"/>
        <v>0</v>
      </c>
      <c r="W107" s="104">
        <f t="shared" si="67"/>
        <v>0</v>
      </c>
      <c r="X107" s="104">
        <f t="shared" si="67"/>
        <v>0</v>
      </c>
      <c r="Y107" s="104">
        <f t="shared" si="67"/>
        <v>0</v>
      </c>
      <c r="Z107" s="104">
        <f t="shared" si="67"/>
        <v>0</v>
      </c>
      <c r="AA107" s="104">
        <f t="shared" si="67"/>
        <v>0</v>
      </c>
      <c r="AB107" s="104">
        <f t="shared" si="67"/>
        <v>0</v>
      </c>
      <c r="AC107" s="104">
        <f t="shared" si="67"/>
        <v>0</v>
      </c>
      <c r="AD107" s="104">
        <f t="shared" si="67"/>
        <v>0</v>
      </c>
      <c r="AE107" s="104">
        <f t="shared" si="67"/>
        <v>0</v>
      </c>
      <c r="AF107" s="104">
        <f t="shared" si="67"/>
        <v>0</v>
      </c>
      <c r="AG107" s="84">
        <f t="shared" si="61"/>
        <v>0</v>
      </c>
      <c r="AH107" s="105" t="str">
        <f t="shared" si="62"/>
        <v/>
      </c>
      <c r="AJ107" s="84">
        <f t="shared" si="63"/>
        <v>0</v>
      </c>
    </row>
    <row r="108" spans="1:36" x14ac:dyDescent="0.3">
      <c r="A108" s="113" t="s">
        <v>194</v>
      </c>
      <c r="B108" s="84">
        <f>IFERROR(SUMIF([2]Jan26A!$A:$A,$A108,INDEX([2]Jan26A!$A:$N,0,MATCH($A$1,[2]Jan26A!$A$7:$N$7,0))),0)</f>
        <v>0</v>
      </c>
      <c r="C108" s="84">
        <f>IFERROR(SUMIF([2]Feb26A!$A:$A,$A108,INDEX([2]Feb26A!$A:$N,0,MATCH($A$1,[2]Feb26A!$A$7:$N$7,0))),0)</f>
        <v>0</v>
      </c>
      <c r="D108" s="84">
        <f>IFERROR(SUMIF([2]Mar26A!$A:$A,$A108,INDEX([2]Mar26A!$A:$N,0,MATCH($A$1,[2]Mar26A!$A$7:$N$7,0))),0)</f>
        <v>0</v>
      </c>
      <c r="E108" s="84">
        <f>IFERROR(SUMIF([2]Apr26A!$A:$A,$A108,INDEX([2]Apr26A!$A:$N,0,MATCH($A$1,[2]Apr26A!$A$7:$N$7,0))),0)</f>
        <v>0</v>
      </c>
      <c r="F108" s="84">
        <f>IFERROR(SUMIF([2]May26A!$A:$A,$A108,INDEX([2]May26A!$A:$N,0,MATCH($A$1,[2]May26A!$A$7:$N$7,0))),0)</f>
        <v>0</v>
      </c>
      <c r="G108" s="84">
        <f>IFERROR(SUMIF([2]Jun26A!$A:$A,$A108,INDEX([2]Jun26A!$A:$N,0,MATCH($A$1,[2]Jun26A!$A$7:$N$7,0))),0)</f>
        <v>0</v>
      </c>
      <c r="H108" s="84">
        <f>IFERROR(SUMIF([2]Jul26A!$A:$A,$A108,INDEX([2]Jul26A!$A:$N,0,MATCH($A$1,[2]Jul26A!$A$7:$N$7,0))),0)</f>
        <v>0</v>
      </c>
      <c r="I108" s="84">
        <f>IFERROR(SUMIF([2]Aug26A!$A:$A,$A108,INDEX([2]Aug26A!$A:$N,0,MATCH($A$1,[2]Aug26A!$A$7:$N$7,0))),0)</f>
        <v>0</v>
      </c>
      <c r="J108" s="117">
        <v>0</v>
      </c>
      <c r="K108" s="117">
        <v>0</v>
      </c>
      <c r="L108" s="117">
        <v>0</v>
      </c>
      <c r="M108" s="117">
        <v>0</v>
      </c>
      <c r="N108" s="84">
        <f t="shared" si="58"/>
        <v>0</v>
      </c>
      <c r="O108" s="105" t="str">
        <f t="shared" si="59"/>
        <v/>
      </c>
      <c r="P108" s="84"/>
      <c r="Q108" s="84"/>
      <c r="R108" s="106" t="s">
        <v>99</v>
      </c>
      <c r="S108" s="107">
        <v>0</v>
      </c>
      <c r="T108" s="108">
        <v>0.05</v>
      </c>
      <c r="U108" s="104">
        <f t="shared" ref="U108:AF115" si="68">IF($R108="Manual","",IFERROR(IF($R108="YOY Growth",$N108*(1+$T108)/12,$S108/12),""))</f>
        <v>0</v>
      </c>
      <c r="V108" s="104">
        <f t="shared" si="68"/>
        <v>0</v>
      </c>
      <c r="W108" s="104">
        <f t="shared" si="68"/>
        <v>0</v>
      </c>
      <c r="X108" s="104">
        <f t="shared" si="68"/>
        <v>0</v>
      </c>
      <c r="Y108" s="104">
        <f t="shared" si="68"/>
        <v>0</v>
      </c>
      <c r="Z108" s="104">
        <f t="shared" si="68"/>
        <v>0</v>
      </c>
      <c r="AA108" s="104">
        <f t="shared" si="68"/>
        <v>0</v>
      </c>
      <c r="AB108" s="104">
        <f t="shared" si="68"/>
        <v>0</v>
      </c>
      <c r="AC108" s="104">
        <f t="shared" si="68"/>
        <v>0</v>
      </c>
      <c r="AD108" s="104">
        <f t="shared" si="68"/>
        <v>0</v>
      </c>
      <c r="AE108" s="104">
        <f t="shared" si="68"/>
        <v>0</v>
      </c>
      <c r="AF108" s="104">
        <f t="shared" si="68"/>
        <v>0</v>
      </c>
      <c r="AG108" s="84">
        <f t="shared" si="61"/>
        <v>0</v>
      </c>
      <c r="AH108" s="105" t="str">
        <f t="shared" si="62"/>
        <v/>
      </c>
      <c r="AJ108" s="84">
        <f t="shared" si="63"/>
        <v>0</v>
      </c>
    </row>
    <row r="109" spans="1:36" x14ac:dyDescent="0.3">
      <c r="A109" s="113" t="s">
        <v>195</v>
      </c>
      <c r="B109" s="84">
        <f>IFERROR(SUMIF([2]Jan26A!$A:$A,$A109,INDEX([2]Jan26A!$A:$N,0,MATCH($A$1,[2]Jan26A!$A$7:$N$7,0))),0)</f>
        <v>0</v>
      </c>
      <c r="C109" s="84">
        <f>IFERROR(SUMIF([2]Feb26A!$A:$A,$A109,INDEX([2]Feb26A!$A:$N,0,MATCH($A$1,[2]Feb26A!$A$7:$N$7,0))),0)</f>
        <v>0</v>
      </c>
      <c r="D109" s="84">
        <f>IFERROR(SUMIF([2]Mar26A!$A:$A,$A109,INDEX([2]Mar26A!$A:$N,0,MATCH($A$1,[2]Mar26A!$A$7:$N$7,0))),0)</f>
        <v>0</v>
      </c>
      <c r="E109" s="84">
        <f>IFERROR(SUMIF([2]Apr26A!$A:$A,$A109,INDEX([2]Apr26A!$A:$N,0,MATCH($A$1,[2]Apr26A!$A$7:$N$7,0))),0)</f>
        <v>0</v>
      </c>
      <c r="F109" s="84">
        <f>IFERROR(SUMIF([2]May26A!$A:$A,$A109,INDEX([2]May26A!$A:$N,0,MATCH($A$1,[2]May26A!$A$7:$N$7,0))),0)</f>
        <v>0</v>
      </c>
      <c r="G109" s="84">
        <f>IFERROR(SUMIF([2]Jun26A!$A:$A,$A109,INDEX([2]Jun26A!$A:$N,0,MATCH($A$1,[2]Jun26A!$A$7:$N$7,0))),0)</f>
        <v>0</v>
      </c>
      <c r="H109" s="84">
        <f>IFERROR(SUMIF([2]Jul26A!$A:$A,$A109,INDEX([2]Jul26A!$A:$N,0,MATCH($A$1,[2]Jul26A!$A$7:$N$7,0))),0)</f>
        <v>0</v>
      </c>
      <c r="I109" s="84">
        <f>IFERROR(SUMIF([2]Aug26A!$A:$A,$A109,INDEX([2]Aug26A!$A:$N,0,MATCH($A$1,[2]Aug26A!$A$7:$N$7,0))),0)</f>
        <v>0</v>
      </c>
      <c r="J109" s="117">
        <v>0</v>
      </c>
      <c r="K109" s="117">
        <v>0</v>
      </c>
      <c r="L109" s="117">
        <v>0</v>
      </c>
      <c r="M109" s="117">
        <v>0</v>
      </c>
      <c r="N109" s="84">
        <f t="shared" si="58"/>
        <v>0</v>
      </c>
      <c r="O109" s="105" t="str">
        <f t="shared" si="59"/>
        <v/>
      </c>
      <c r="P109" s="84"/>
      <c r="Q109" s="84"/>
      <c r="R109" s="106" t="s">
        <v>99</v>
      </c>
      <c r="S109" s="107">
        <v>0</v>
      </c>
      <c r="T109" s="108">
        <v>0.05</v>
      </c>
      <c r="U109" s="104">
        <f t="shared" si="68"/>
        <v>0</v>
      </c>
      <c r="V109" s="104">
        <f t="shared" si="68"/>
        <v>0</v>
      </c>
      <c r="W109" s="104">
        <f t="shared" si="68"/>
        <v>0</v>
      </c>
      <c r="X109" s="104">
        <f t="shared" si="68"/>
        <v>0</v>
      </c>
      <c r="Y109" s="104">
        <f t="shared" si="68"/>
        <v>0</v>
      </c>
      <c r="Z109" s="104">
        <f t="shared" si="68"/>
        <v>0</v>
      </c>
      <c r="AA109" s="104">
        <f t="shared" si="68"/>
        <v>0</v>
      </c>
      <c r="AB109" s="104">
        <f t="shared" si="68"/>
        <v>0</v>
      </c>
      <c r="AC109" s="104">
        <f t="shared" si="68"/>
        <v>0</v>
      </c>
      <c r="AD109" s="104">
        <f t="shared" si="68"/>
        <v>0</v>
      </c>
      <c r="AE109" s="104">
        <f t="shared" si="68"/>
        <v>0</v>
      </c>
      <c r="AF109" s="104">
        <f t="shared" si="68"/>
        <v>0</v>
      </c>
      <c r="AG109" s="84">
        <f t="shared" si="61"/>
        <v>0</v>
      </c>
      <c r="AH109" s="105" t="str">
        <f t="shared" si="62"/>
        <v/>
      </c>
      <c r="AJ109" s="84">
        <f t="shared" si="63"/>
        <v>0</v>
      </c>
    </row>
    <row r="110" spans="1:36" x14ac:dyDescent="0.3">
      <c r="A110" s="113" t="s">
        <v>196</v>
      </c>
      <c r="B110" s="84">
        <f>IFERROR(SUMIF([2]Jan26A!$A:$A,$A110,INDEX([2]Jan26A!$A:$N,0,MATCH($A$1,[2]Jan26A!$A$7:$N$7,0))),0)</f>
        <v>0</v>
      </c>
      <c r="C110" s="84">
        <f>IFERROR(SUMIF([2]Feb26A!$A:$A,$A110,INDEX([2]Feb26A!$A:$N,0,MATCH($A$1,[2]Feb26A!$A$7:$N$7,0))),0)</f>
        <v>0</v>
      </c>
      <c r="D110" s="84">
        <f>IFERROR(SUMIF([2]Mar26A!$A:$A,$A110,INDEX([2]Mar26A!$A:$N,0,MATCH($A$1,[2]Mar26A!$A$7:$N$7,0))),0)</f>
        <v>0</v>
      </c>
      <c r="E110" s="84">
        <f>IFERROR(SUMIF([2]Apr26A!$A:$A,$A110,INDEX([2]Apr26A!$A:$N,0,MATCH($A$1,[2]Apr26A!$A$7:$N$7,0))),0)</f>
        <v>0</v>
      </c>
      <c r="F110" s="84">
        <f>IFERROR(SUMIF([2]May26A!$A:$A,$A110,INDEX([2]May26A!$A:$N,0,MATCH($A$1,[2]May26A!$A$7:$N$7,0))),0)</f>
        <v>0</v>
      </c>
      <c r="G110" s="84">
        <f>IFERROR(SUMIF([2]Jun26A!$A:$A,$A110,INDEX([2]Jun26A!$A:$N,0,MATCH($A$1,[2]Jun26A!$A$7:$N$7,0))),0)</f>
        <v>0</v>
      </c>
      <c r="H110" s="84">
        <f>IFERROR(SUMIF([2]Jul26A!$A:$A,$A110,INDEX([2]Jul26A!$A:$N,0,MATCH($A$1,[2]Jul26A!$A$7:$N$7,0))),0)</f>
        <v>0</v>
      </c>
      <c r="I110" s="84">
        <f>IFERROR(SUMIF([2]Aug26A!$A:$A,$A110,INDEX([2]Aug26A!$A:$N,0,MATCH($A$1,[2]Aug26A!$A$7:$N$7,0))),0)</f>
        <v>0</v>
      </c>
      <c r="J110" s="117">
        <v>0</v>
      </c>
      <c r="K110" s="117">
        <v>0</v>
      </c>
      <c r="L110" s="117">
        <v>0</v>
      </c>
      <c r="M110" s="117">
        <v>0</v>
      </c>
      <c r="N110" s="84">
        <f t="shared" si="58"/>
        <v>0</v>
      </c>
      <c r="O110" s="105" t="str">
        <f t="shared" si="59"/>
        <v/>
      </c>
      <c r="P110" s="84"/>
      <c r="Q110" s="84"/>
      <c r="R110" s="106" t="s">
        <v>99</v>
      </c>
      <c r="S110" s="107">
        <v>0</v>
      </c>
      <c r="T110" s="108">
        <v>0.05</v>
      </c>
      <c r="U110" s="104">
        <f t="shared" si="68"/>
        <v>0</v>
      </c>
      <c r="V110" s="104">
        <f t="shared" si="68"/>
        <v>0</v>
      </c>
      <c r="W110" s="104">
        <f t="shared" si="68"/>
        <v>0</v>
      </c>
      <c r="X110" s="104">
        <f t="shared" si="68"/>
        <v>0</v>
      </c>
      <c r="Y110" s="104">
        <f t="shared" si="68"/>
        <v>0</v>
      </c>
      <c r="Z110" s="104">
        <f t="shared" si="68"/>
        <v>0</v>
      </c>
      <c r="AA110" s="104">
        <f t="shared" si="68"/>
        <v>0</v>
      </c>
      <c r="AB110" s="104">
        <f t="shared" si="68"/>
        <v>0</v>
      </c>
      <c r="AC110" s="104">
        <f t="shared" si="68"/>
        <v>0</v>
      </c>
      <c r="AD110" s="104">
        <f t="shared" si="68"/>
        <v>0</v>
      </c>
      <c r="AE110" s="104">
        <f t="shared" si="68"/>
        <v>0</v>
      </c>
      <c r="AF110" s="104">
        <f t="shared" si="68"/>
        <v>0</v>
      </c>
      <c r="AG110" s="84">
        <f t="shared" si="61"/>
        <v>0</v>
      </c>
      <c r="AH110" s="105" t="str">
        <f t="shared" si="62"/>
        <v/>
      </c>
      <c r="AJ110" s="84">
        <f t="shared" si="63"/>
        <v>0</v>
      </c>
    </row>
    <row r="111" spans="1:36" x14ac:dyDescent="0.3">
      <c r="A111" s="113" t="s">
        <v>197</v>
      </c>
      <c r="B111" s="84">
        <f>IFERROR(SUMIF([2]Jan26A!$A:$A,$A111,INDEX([2]Jan26A!$A:$N,0,MATCH($A$1,[2]Jan26A!$A$7:$N$7,0))),0)</f>
        <v>0</v>
      </c>
      <c r="C111" s="84">
        <f>IFERROR(SUMIF([2]Feb26A!$A:$A,$A111,INDEX([2]Feb26A!$A:$N,0,MATCH($A$1,[2]Feb26A!$A$7:$N$7,0))),0)</f>
        <v>0</v>
      </c>
      <c r="D111" s="84">
        <f>IFERROR(SUMIF([2]Mar26A!$A:$A,$A111,INDEX([2]Mar26A!$A:$N,0,MATCH($A$1,[2]Mar26A!$A$7:$N$7,0))),0)</f>
        <v>0</v>
      </c>
      <c r="E111" s="84">
        <f>IFERROR(SUMIF([2]Apr26A!$A:$A,$A111,INDEX([2]Apr26A!$A:$N,0,MATCH($A$1,[2]Apr26A!$A$7:$N$7,0))),0)</f>
        <v>0</v>
      </c>
      <c r="F111" s="84">
        <f>IFERROR(SUMIF([2]May26A!$A:$A,$A111,INDEX([2]May26A!$A:$N,0,MATCH($A$1,[2]May26A!$A$7:$N$7,0))),0)</f>
        <v>0</v>
      </c>
      <c r="G111" s="84">
        <f>IFERROR(SUMIF([2]Jun26A!$A:$A,$A111,INDEX([2]Jun26A!$A:$N,0,MATCH($A$1,[2]Jun26A!$A$7:$N$7,0))),0)</f>
        <v>0</v>
      </c>
      <c r="H111" s="84">
        <f>IFERROR(SUMIF([2]Jul26A!$A:$A,$A111,INDEX([2]Jul26A!$A:$N,0,MATCH($A$1,[2]Jul26A!$A$7:$N$7,0))),0)</f>
        <v>0</v>
      </c>
      <c r="I111" s="84">
        <f>IFERROR(SUMIF([2]Aug26A!$A:$A,$A111,INDEX([2]Aug26A!$A:$N,0,MATCH($A$1,[2]Aug26A!$A$7:$N$7,0))),0)</f>
        <v>0</v>
      </c>
      <c r="J111" s="117">
        <v>0</v>
      </c>
      <c r="K111" s="117">
        <v>0</v>
      </c>
      <c r="L111" s="117">
        <v>0</v>
      </c>
      <c r="M111" s="117">
        <v>0</v>
      </c>
      <c r="N111" s="84">
        <f t="shared" si="58"/>
        <v>0</v>
      </c>
      <c r="O111" s="105" t="str">
        <f t="shared" si="59"/>
        <v/>
      </c>
      <c r="P111" s="84"/>
      <c r="Q111" s="84"/>
      <c r="R111" s="106" t="s">
        <v>99</v>
      </c>
      <c r="S111" s="107">
        <v>0</v>
      </c>
      <c r="T111" s="108">
        <v>0.05</v>
      </c>
      <c r="U111" s="104">
        <f t="shared" si="68"/>
        <v>0</v>
      </c>
      <c r="V111" s="104">
        <f t="shared" si="68"/>
        <v>0</v>
      </c>
      <c r="W111" s="104">
        <f t="shared" si="68"/>
        <v>0</v>
      </c>
      <c r="X111" s="104">
        <f t="shared" si="68"/>
        <v>0</v>
      </c>
      <c r="Y111" s="104">
        <f t="shared" si="68"/>
        <v>0</v>
      </c>
      <c r="Z111" s="104">
        <f t="shared" si="68"/>
        <v>0</v>
      </c>
      <c r="AA111" s="104">
        <f t="shared" si="68"/>
        <v>0</v>
      </c>
      <c r="AB111" s="104">
        <f t="shared" si="68"/>
        <v>0</v>
      </c>
      <c r="AC111" s="104">
        <f t="shared" si="68"/>
        <v>0</v>
      </c>
      <c r="AD111" s="104">
        <f t="shared" si="68"/>
        <v>0</v>
      </c>
      <c r="AE111" s="104">
        <f t="shared" si="68"/>
        <v>0</v>
      </c>
      <c r="AF111" s="104">
        <f t="shared" si="68"/>
        <v>0</v>
      </c>
      <c r="AG111" s="84">
        <f t="shared" si="61"/>
        <v>0</v>
      </c>
      <c r="AH111" s="105" t="str">
        <f t="shared" si="62"/>
        <v/>
      </c>
      <c r="AJ111" s="84">
        <f t="shared" si="63"/>
        <v>0</v>
      </c>
    </row>
    <row r="112" spans="1:36" x14ac:dyDescent="0.3">
      <c r="A112" s="113" t="s">
        <v>198</v>
      </c>
      <c r="B112" s="84">
        <f>IFERROR(SUMIF([2]Jan26A!$A:$A,$A112,INDEX([2]Jan26A!$A:$N,0,MATCH($A$1,[2]Jan26A!$A$7:$N$7,0))),0)</f>
        <v>0</v>
      </c>
      <c r="C112" s="84">
        <f>IFERROR(SUMIF([2]Feb26A!$A:$A,$A112,INDEX([2]Feb26A!$A:$N,0,MATCH($A$1,[2]Feb26A!$A$7:$N$7,0))),0)</f>
        <v>0</v>
      </c>
      <c r="D112" s="84">
        <f>IFERROR(SUMIF([2]Mar26A!$A:$A,$A112,INDEX([2]Mar26A!$A:$N,0,MATCH($A$1,[2]Mar26A!$A$7:$N$7,0))),0)</f>
        <v>0</v>
      </c>
      <c r="E112" s="84">
        <f>IFERROR(SUMIF([2]Apr26A!$A:$A,$A112,INDEX([2]Apr26A!$A:$N,0,MATCH($A$1,[2]Apr26A!$A$7:$N$7,0))),0)</f>
        <v>0</v>
      </c>
      <c r="F112" s="84">
        <f>IFERROR(SUMIF([2]May26A!$A:$A,$A112,INDEX([2]May26A!$A:$N,0,MATCH($A$1,[2]May26A!$A$7:$N$7,0))),0)</f>
        <v>0</v>
      </c>
      <c r="G112" s="84">
        <f>IFERROR(SUMIF([2]Jun26A!$A:$A,$A112,INDEX([2]Jun26A!$A:$N,0,MATCH($A$1,[2]Jun26A!$A$7:$N$7,0))),0)</f>
        <v>0</v>
      </c>
      <c r="H112" s="84">
        <f>IFERROR(SUMIF([2]Jul26A!$A:$A,$A112,INDEX([2]Jul26A!$A:$N,0,MATCH($A$1,[2]Jul26A!$A$7:$N$7,0))),0)</f>
        <v>0</v>
      </c>
      <c r="I112" s="84">
        <f>IFERROR(SUMIF([2]Aug26A!$A:$A,$A112,INDEX([2]Aug26A!$A:$N,0,MATCH($A$1,[2]Aug26A!$A$7:$N$7,0))),0)</f>
        <v>0</v>
      </c>
      <c r="J112" s="117">
        <v>0</v>
      </c>
      <c r="K112" s="117">
        <v>0</v>
      </c>
      <c r="L112" s="117">
        <v>0</v>
      </c>
      <c r="M112" s="117">
        <v>0</v>
      </c>
      <c r="N112" s="84">
        <f t="shared" si="58"/>
        <v>0</v>
      </c>
      <c r="O112" s="105" t="str">
        <f t="shared" si="59"/>
        <v/>
      </c>
      <c r="P112" s="84"/>
      <c r="Q112" s="84"/>
      <c r="R112" s="106" t="s">
        <v>99</v>
      </c>
      <c r="S112" s="107">
        <v>0</v>
      </c>
      <c r="T112" s="108">
        <v>0.05</v>
      </c>
      <c r="U112" s="104">
        <f t="shared" si="68"/>
        <v>0</v>
      </c>
      <c r="V112" s="104">
        <f t="shared" si="68"/>
        <v>0</v>
      </c>
      <c r="W112" s="104">
        <f t="shared" si="68"/>
        <v>0</v>
      </c>
      <c r="X112" s="104">
        <f t="shared" si="68"/>
        <v>0</v>
      </c>
      <c r="Y112" s="104">
        <f t="shared" si="68"/>
        <v>0</v>
      </c>
      <c r="Z112" s="104">
        <f t="shared" si="68"/>
        <v>0</v>
      </c>
      <c r="AA112" s="104">
        <f t="shared" si="68"/>
        <v>0</v>
      </c>
      <c r="AB112" s="104">
        <f t="shared" si="68"/>
        <v>0</v>
      </c>
      <c r="AC112" s="104">
        <f t="shared" si="68"/>
        <v>0</v>
      </c>
      <c r="AD112" s="104">
        <f t="shared" si="68"/>
        <v>0</v>
      </c>
      <c r="AE112" s="104">
        <f t="shared" si="68"/>
        <v>0</v>
      </c>
      <c r="AF112" s="104">
        <f t="shared" si="68"/>
        <v>0</v>
      </c>
      <c r="AG112" s="84">
        <f t="shared" si="61"/>
        <v>0</v>
      </c>
      <c r="AH112" s="105" t="str">
        <f t="shared" si="62"/>
        <v/>
      </c>
      <c r="AJ112" s="84">
        <f t="shared" si="63"/>
        <v>0</v>
      </c>
    </row>
    <row r="113" spans="1:36" x14ac:dyDescent="0.3">
      <c r="A113" s="113" t="s">
        <v>199</v>
      </c>
      <c r="B113" s="84">
        <f>IFERROR(SUMIF([2]Jan26A!$A:$A,$A113,INDEX([2]Jan26A!$A:$N,0,MATCH($A$1,[2]Jan26A!$A$7:$N$7,0))),0)</f>
        <v>0</v>
      </c>
      <c r="C113" s="84">
        <f>IFERROR(SUMIF([2]Feb26A!$A:$A,$A113,INDEX([2]Feb26A!$A:$N,0,MATCH($A$1,[2]Feb26A!$A$7:$N$7,0))),0)</f>
        <v>0</v>
      </c>
      <c r="D113" s="84">
        <f>IFERROR(SUMIF([2]Mar26A!$A:$A,$A113,INDEX([2]Mar26A!$A:$N,0,MATCH($A$1,[2]Mar26A!$A$7:$N$7,0))),0)</f>
        <v>0</v>
      </c>
      <c r="E113" s="84">
        <f>IFERROR(SUMIF([2]Apr26A!$A:$A,$A113,INDEX([2]Apr26A!$A:$N,0,MATCH($A$1,[2]Apr26A!$A$7:$N$7,0))),0)</f>
        <v>0</v>
      </c>
      <c r="F113" s="84">
        <f>IFERROR(SUMIF([2]May26A!$A:$A,$A113,INDEX([2]May26A!$A:$N,0,MATCH($A$1,[2]May26A!$A$7:$N$7,0))),0)</f>
        <v>0</v>
      </c>
      <c r="G113" s="84">
        <f>IFERROR(SUMIF([2]Jun26A!$A:$A,$A113,INDEX([2]Jun26A!$A:$N,0,MATCH($A$1,[2]Jun26A!$A$7:$N$7,0))),0)</f>
        <v>0</v>
      </c>
      <c r="H113" s="84">
        <f>IFERROR(SUMIF([2]Jul26A!$A:$A,$A113,INDEX([2]Jul26A!$A:$N,0,MATCH($A$1,[2]Jul26A!$A$7:$N$7,0))),0)</f>
        <v>0</v>
      </c>
      <c r="I113" s="84">
        <f>IFERROR(SUMIF([2]Aug26A!$A:$A,$A113,INDEX([2]Aug26A!$A:$N,0,MATCH($A$1,[2]Aug26A!$A$7:$N$7,0))),0)</f>
        <v>0</v>
      </c>
      <c r="J113" s="117">
        <v>0</v>
      </c>
      <c r="K113" s="117">
        <v>0</v>
      </c>
      <c r="L113" s="117">
        <v>0</v>
      </c>
      <c r="M113" s="117">
        <v>0</v>
      </c>
      <c r="N113" s="84">
        <f t="shared" si="58"/>
        <v>0</v>
      </c>
      <c r="O113" s="105" t="str">
        <f t="shared" si="59"/>
        <v/>
      </c>
      <c r="P113" s="84"/>
      <c r="Q113" s="84"/>
      <c r="R113" s="106" t="s">
        <v>99</v>
      </c>
      <c r="S113" s="107">
        <v>0</v>
      </c>
      <c r="T113" s="108">
        <v>0.05</v>
      </c>
      <c r="U113" s="104">
        <f t="shared" si="68"/>
        <v>0</v>
      </c>
      <c r="V113" s="104">
        <f t="shared" si="68"/>
        <v>0</v>
      </c>
      <c r="W113" s="104">
        <f t="shared" si="68"/>
        <v>0</v>
      </c>
      <c r="X113" s="104">
        <f t="shared" si="68"/>
        <v>0</v>
      </c>
      <c r="Y113" s="104">
        <f t="shared" si="68"/>
        <v>0</v>
      </c>
      <c r="Z113" s="104">
        <f t="shared" si="68"/>
        <v>0</v>
      </c>
      <c r="AA113" s="104">
        <f t="shared" si="68"/>
        <v>0</v>
      </c>
      <c r="AB113" s="104">
        <f t="shared" si="68"/>
        <v>0</v>
      </c>
      <c r="AC113" s="104">
        <f t="shared" si="68"/>
        <v>0</v>
      </c>
      <c r="AD113" s="104">
        <f t="shared" si="68"/>
        <v>0</v>
      </c>
      <c r="AE113" s="104">
        <f t="shared" si="68"/>
        <v>0</v>
      </c>
      <c r="AF113" s="104">
        <f t="shared" si="68"/>
        <v>0</v>
      </c>
      <c r="AG113" s="84">
        <f t="shared" si="61"/>
        <v>0</v>
      </c>
      <c r="AH113" s="105" t="str">
        <f t="shared" si="62"/>
        <v/>
      </c>
      <c r="AJ113" s="84">
        <f t="shared" si="63"/>
        <v>0</v>
      </c>
    </row>
    <row r="114" spans="1:36" x14ac:dyDescent="0.3">
      <c r="A114" s="113" t="s">
        <v>200</v>
      </c>
      <c r="B114" s="84">
        <f>IFERROR(SUMIF([2]Jan26A!$A:$A,$A114,INDEX([2]Jan26A!$A:$N,0,MATCH($A$1,[2]Jan26A!$A$7:$N$7,0))),0)</f>
        <v>0</v>
      </c>
      <c r="C114" s="84">
        <f>IFERROR(SUMIF([2]Feb26A!$A:$A,$A114,INDEX([2]Feb26A!$A:$N,0,MATCH($A$1,[2]Feb26A!$A$7:$N$7,0))),0)</f>
        <v>0</v>
      </c>
      <c r="D114" s="84">
        <f>IFERROR(SUMIF([2]Mar26A!$A:$A,$A114,INDEX([2]Mar26A!$A:$N,0,MATCH($A$1,[2]Mar26A!$A$7:$N$7,0))),0)</f>
        <v>0</v>
      </c>
      <c r="E114" s="84">
        <f>IFERROR(SUMIF([2]Apr26A!$A:$A,$A114,INDEX([2]Apr26A!$A:$N,0,MATCH($A$1,[2]Apr26A!$A$7:$N$7,0))),0)</f>
        <v>0</v>
      </c>
      <c r="F114" s="84">
        <f>IFERROR(SUMIF([2]May26A!$A:$A,$A114,INDEX([2]May26A!$A:$N,0,MATCH($A$1,[2]May26A!$A$7:$N$7,0))),0)</f>
        <v>0</v>
      </c>
      <c r="G114" s="84">
        <f>IFERROR(SUMIF([2]Jun26A!$A:$A,$A114,INDEX([2]Jun26A!$A:$N,0,MATCH($A$1,[2]Jun26A!$A$7:$N$7,0))),0)</f>
        <v>30.03</v>
      </c>
      <c r="H114" s="84">
        <f>IFERROR(SUMIF([2]Jul26A!$A:$A,$A114,INDEX([2]Jul26A!$A:$N,0,MATCH($A$1,[2]Jul26A!$A$7:$N$7,0))),0)</f>
        <v>0</v>
      </c>
      <c r="I114" s="84">
        <f>IFERROR(SUMIF([2]Aug26A!$A:$A,$A114,INDEX([2]Aug26A!$A:$N,0,MATCH($A$1,[2]Aug26A!$A$7:$N$7,0))),0)</f>
        <v>0</v>
      </c>
      <c r="J114" s="117">
        <v>0</v>
      </c>
      <c r="K114" s="117">
        <v>0</v>
      </c>
      <c r="L114" s="117">
        <v>0</v>
      </c>
      <c r="M114" s="117">
        <v>0</v>
      </c>
      <c r="N114" s="84">
        <f t="shared" si="58"/>
        <v>30.03</v>
      </c>
      <c r="O114" s="105" t="str">
        <f t="shared" si="59"/>
        <v/>
      </c>
      <c r="P114" s="84"/>
      <c r="Q114" s="84"/>
      <c r="R114" s="106" t="s">
        <v>99</v>
      </c>
      <c r="S114" s="107">
        <v>0</v>
      </c>
      <c r="T114" s="108">
        <v>0.05</v>
      </c>
      <c r="U114" s="104">
        <f t="shared" si="68"/>
        <v>0</v>
      </c>
      <c r="V114" s="104">
        <f t="shared" si="68"/>
        <v>0</v>
      </c>
      <c r="W114" s="104">
        <f t="shared" si="68"/>
        <v>0</v>
      </c>
      <c r="X114" s="104">
        <f t="shared" si="68"/>
        <v>0</v>
      </c>
      <c r="Y114" s="104">
        <f t="shared" si="68"/>
        <v>0</v>
      </c>
      <c r="Z114" s="104">
        <f t="shared" si="68"/>
        <v>0</v>
      </c>
      <c r="AA114" s="104">
        <f t="shared" si="68"/>
        <v>0</v>
      </c>
      <c r="AB114" s="104">
        <f t="shared" si="68"/>
        <v>0</v>
      </c>
      <c r="AC114" s="104">
        <f t="shared" si="68"/>
        <v>0</v>
      </c>
      <c r="AD114" s="104">
        <f t="shared" si="68"/>
        <v>0</v>
      </c>
      <c r="AE114" s="104">
        <f t="shared" si="68"/>
        <v>0</v>
      </c>
      <c r="AF114" s="104">
        <f t="shared" si="68"/>
        <v>0</v>
      </c>
      <c r="AG114" s="84">
        <f t="shared" si="61"/>
        <v>0</v>
      </c>
      <c r="AH114" s="105" t="str">
        <f t="shared" si="62"/>
        <v/>
      </c>
      <c r="AJ114" s="84">
        <f t="shared" si="63"/>
        <v>30.03</v>
      </c>
    </row>
    <row r="115" spans="1:36" x14ac:dyDescent="0.3">
      <c r="A115" s="113" t="s">
        <v>201</v>
      </c>
      <c r="B115" s="84">
        <f>IFERROR(SUMIF([2]Jan26A!$A:$A,$A115,INDEX([2]Jan26A!$A:$N,0,MATCH($A$1,[2]Jan26A!$A$7:$N$7,0))),0)</f>
        <v>0</v>
      </c>
      <c r="C115" s="84">
        <f>IFERROR(SUMIF([2]Feb26A!$A:$A,$A115,INDEX([2]Feb26A!$A:$N,0,MATCH($A$1,[2]Feb26A!$A$7:$N$7,0))),0)</f>
        <v>0</v>
      </c>
      <c r="D115" s="84">
        <f>IFERROR(SUMIF([2]Mar26A!$A:$A,$A115,INDEX([2]Mar26A!$A:$N,0,MATCH($A$1,[2]Mar26A!$A$7:$N$7,0))),0)</f>
        <v>0</v>
      </c>
      <c r="E115" s="84">
        <f>IFERROR(SUMIF([2]Apr26A!$A:$A,$A115,INDEX([2]Apr26A!$A:$N,0,MATCH($A$1,[2]Apr26A!$A$7:$N$7,0))),0)</f>
        <v>0</v>
      </c>
      <c r="F115" s="84">
        <f>IFERROR(SUMIF([2]May26A!$A:$A,$A115,INDEX([2]May26A!$A:$N,0,MATCH($A$1,[2]May26A!$A$7:$N$7,0))),0)</f>
        <v>0</v>
      </c>
      <c r="G115" s="84">
        <f>IFERROR(SUMIF([2]Jun26A!$A:$A,$A115,INDEX([2]Jun26A!$A:$N,0,MATCH($A$1,[2]Jun26A!$A$7:$N$7,0))),0)</f>
        <v>0</v>
      </c>
      <c r="H115" s="84">
        <f>IFERROR(SUMIF([2]Jul26A!$A:$A,$A115,INDEX([2]Jul26A!$A:$N,0,MATCH($A$1,[2]Jul26A!$A$7:$N$7,0))),0)</f>
        <v>0</v>
      </c>
      <c r="I115" s="84">
        <f>IFERROR(SUMIF([2]Aug26A!$A:$A,$A115,INDEX([2]Aug26A!$A:$N,0,MATCH($A$1,[2]Aug26A!$A$7:$N$7,0))),0)</f>
        <v>0</v>
      </c>
      <c r="J115" s="117">
        <v>0</v>
      </c>
      <c r="K115" s="117">
        <v>0</v>
      </c>
      <c r="L115" s="117">
        <v>0</v>
      </c>
      <c r="M115" s="117">
        <v>0</v>
      </c>
      <c r="N115" s="84">
        <f t="shared" si="58"/>
        <v>0</v>
      </c>
      <c r="O115" s="105" t="str">
        <f t="shared" si="59"/>
        <v/>
      </c>
      <c r="P115" s="84"/>
      <c r="Q115" s="84"/>
      <c r="R115" s="106" t="s">
        <v>99</v>
      </c>
      <c r="S115" s="107">
        <v>0</v>
      </c>
      <c r="T115" s="108">
        <v>0.05</v>
      </c>
      <c r="U115" s="104">
        <f t="shared" si="68"/>
        <v>0</v>
      </c>
      <c r="V115" s="104">
        <f t="shared" si="68"/>
        <v>0</v>
      </c>
      <c r="W115" s="104">
        <f t="shared" si="68"/>
        <v>0</v>
      </c>
      <c r="X115" s="104">
        <f t="shared" si="68"/>
        <v>0</v>
      </c>
      <c r="Y115" s="104">
        <f t="shared" si="68"/>
        <v>0</v>
      </c>
      <c r="Z115" s="104">
        <f t="shared" si="68"/>
        <v>0</v>
      </c>
      <c r="AA115" s="104">
        <f t="shared" si="68"/>
        <v>0</v>
      </c>
      <c r="AB115" s="104">
        <f t="shared" si="68"/>
        <v>0</v>
      </c>
      <c r="AC115" s="104">
        <f t="shared" si="68"/>
        <v>0</v>
      </c>
      <c r="AD115" s="104">
        <f t="shared" si="68"/>
        <v>0</v>
      </c>
      <c r="AE115" s="104">
        <f t="shared" si="68"/>
        <v>0</v>
      </c>
      <c r="AF115" s="104">
        <f t="shared" si="68"/>
        <v>0</v>
      </c>
      <c r="AG115" s="84">
        <f t="shared" si="61"/>
        <v>0</v>
      </c>
      <c r="AH115" s="105" t="str">
        <f t="shared" si="62"/>
        <v/>
      </c>
      <c r="AJ115" s="84">
        <f t="shared" si="63"/>
        <v>0</v>
      </c>
    </row>
    <row r="116" spans="1:36" x14ac:dyDescent="0.3">
      <c r="A116" s="114" t="s">
        <v>202</v>
      </c>
      <c r="B116" s="110">
        <f t="shared" ref="B116:M116" si="69">B73+SUM(B74:B80)+B87+SUM(B88:B115)</f>
        <v>65310.06</v>
      </c>
      <c r="C116" s="110">
        <f t="shared" si="69"/>
        <v>77160.67</v>
      </c>
      <c r="D116" s="110">
        <f t="shared" si="69"/>
        <v>82593.39</v>
      </c>
      <c r="E116" s="110">
        <f t="shared" si="69"/>
        <v>72512.55</v>
      </c>
      <c r="F116" s="110">
        <f t="shared" si="69"/>
        <v>59107.839999999997</v>
      </c>
      <c r="G116" s="110">
        <f t="shared" si="69"/>
        <v>55557.939999999995</v>
      </c>
      <c r="H116" s="110">
        <f t="shared" si="69"/>
        <v>39816.779999999992</v>
      </c>
      <c r="I116" s="110">
        <f t="shared" si="69"/>
        <v>41958.41</v>
      </c>
      <c r="J116" s="110">
        <f t="shared" si="69"/>
        <v>60606</v>
      </c>
      <c r="K116" s="110">
        <f t="shared" si="69"/>
        <v>68674</v>
      </c>
      <c r="L116" s="110">
        <f t="shared" si="69"/>
        <v>71974</v>
      </c>
      <c r="M116" s="110">
        <f t="shared" si="69"/>
        <v>68674</v>
      </c>
      <c r="N116" s="110">
        <f t="shared" si="58"/>
        <v>763945.64</v>
      </c>
      <c r="O116" s="111" t="str">
        <f t="shared" si="59"/>
        <v/>
      </c>
      <c r="P116" s="84"/>
      <c r="Q116" s="84"/>
      <c r="R116" s="112"/>
      <c r="S116" s="112"/>
      <c r="T116" s="112"/>
      <c r="U116" s="110">
        <f t="shared" ref="U116:AF116" si="70">U73+SUM(U74:U80)+U87+SUM(U88:U115)</f>
        <v>51196.130753748868</v>
      </c>
      <c r="V116" s="110">
        <f t="shared" si="70"/>
        <v>51196.130753748868</v>
      </c>
      <c r="W116" s="110">
        <f t="shared" si="70"/>
        <v>51196.130753748868</v>
      </c>
      <c r="X116" s="110">
        <f t="shared" si="70"/>
        <v>51196.130753748868</v>
      </c>
      <c r="Y116" s="110">
        <f t="shared" si="70"/>
        <v>51196.130753748868</v>
      </c>
      <c r="Z116" s="110">
        <f t="shared" si="70"/>
        <v>51196.130753748868</v>
      </c>
      <c r="AA116" s="110">
        <f t="shared" si="70"/>
        <v>51196.130753748868</v>
      </c>
      <c r="AB116" s="110">
        <f t="shared" si="70"/>
        <v>51196.130753748868</v>
      </c>
      <c r="AC116" s="110">
        <f t="shared" si="70"/>
        <v>51196.130753748868</v>
      </c>
      <c r="AD116" s="110">
        <f t="shared" si="70"/>
        <v>52732.014676361345</v>
      </c>
      <c r="AE116" s="110">
        <f t="shared" si="70"/>
        <v>52732.014676361345</v>
      </c>
      <c r="AF116" s="110">
        <f t="shared" si="70"/>
        <v>52732.014676361345</v>
      </c>
      <c r="AG116" s="110">
        <f t="shared" si="61"/>
        <v>618961.22081282386</v>
      </c>
      <c r="AH116" s="111" t="str">
        <f t="shared" si="62"/>
        <v/>
      </c>
      <c r="AJ116" s="110">
        <f t="shared" si="63"/>
        <v>144984.41918717616</v>
      </c>
    </row>
    <row r="117" spans="1:36" x14ac:dyDescent="0.3">
      <c r="A117" s="122" t="s">
        <v>203</v>
      </c>
      <c r="B117" s="110">
        <f t="shared" ref="B117:M117" si="71">B64-B116</f>
        <v>-66311.7</v>
      </c>
      <c r="C117" s="110">
        <f t="shared" si="71"/>
        <v>-81047.03</v>
      </c>
      <c r="D117" s="110">
        <f t="shared" si="71"/>
        <v>-82593.39</v>
      </c>
      <c r="E117" s="110">
        <f t="shared" si="71"/>
        <v>-72770.3</v>
      </c>
      <c r="F117" s="110">
        <f t="shared" si="71"/>
        <v>-59276.92</v>
      </c>
      <c r="G117" s="110">
        <f t="shared" si="71"/>
        <v>-57071.109999999993</v>
      </c>
      <c r="H117" s="110">
        <f t="shared" si="71"/>
        <v>-40910.749999999993</v>
      </c>
      <c r="I117" s="110">
        <f t="shared" si="71"/>
        <v>-43030.73</v>
      </c>
      <c r="J117" s="110">
        <f t="shared" si="71"/>
        <v>-60606</v>
      </c>
      <c r="K117" s="110">
        <f t="shared" si="71"/>
        <v>-68674</v>
      </c>
      <c r="L117" s="110">
        <f t="shared" si="71"/>
        <v>-71974</v>
      </c>
      <c r="M117" s="110">
        <f t="shared" si="71"/>
        <v>-68674</v>
      </c>
      <c r="N117" s="110">
        <f t="shared" si="58"/>
        <v>-772939.92999999993</v>
      </c>
      <c r="O117" s="111" t="str">
        <f>IFERROR(N117/N$16,"")</f>
        <v/>
      </c>
      <c r="P117" s="84"/>
      <c r="Q117" s="84"/>
      <c r="R117" s="112"/>
      <c r="S117" s="112"/>
      <c r="T117" s="112"/>
      <c r="U117" s="110">
        <f t="shared" ref="U117:AF117" si="72">U64-U116</f>
        <v>-51196.130753748868</v>
      </c>
      <c r="V117" s="110">
        <f t="shared" si="72"/>
        <v>-51196.130753748868</v>
      </c>
      <c r="W117" s="110">
        <f t="shared" si="72"/>
        <v>-51196.130753748868</v>
      </c>
      <c r="X117" s="110">
        <f t="shared" si="72"/>
        <v>-51196.130753748868</v>
      </c>
      <c r="Y117" s="110">
        <f t="shared" si="72"/>
        <v>-51196.130753748868</v>
      </c>
      <c r="Z117" s="110">
        <f t="shared" si="72"/>
        <v>-51196.130753748868</v>
      </c>
      <c r="AA117" s="110">
        <f t="shared" si="72"/>
        <v>-51196.130753748868</v>
      </c>
      <c r="AB117" s="110">
        <f t="shared" si="72"/>
        <v>-51196.130753748868</v>
      </c>
      <c r="AC117" s="110">
        <f t="shared" si="72"/>
        <v>-51196.130753748868</v>
      </c>
      <c r="AD117" s="110">
        <f t="shared" si="72"/>
        <v>-52732.014676361345</v>
      </c>
      <c r="AE117" s="110">
        <f t="shared" si="72"/>
        <v>-52732.014676361345</v>
      </c>
      <c r="AF117" s="110">
        <f t="shared" si="72"/>
        <v>-52732.014676361345</v>
      </c>
      <c r="AG117" s="110">
        <f t="shared" si="61"/>
        <v>-618961.22081282386</v>
      </c>
      <c r="AH117" s="111" t="str">
        <f>IFERROR(AG117/AG$16,"")</f>
        <v/>
      </c>
      <c r="AJ117" s="110">
        <f>AG117-N117</f>
        <v>153978.70918717608</v>
      </c>
    </row>
    <row r="118" spans="1:36" x14ac:dyDescent="0.3">
      <c r="A118" s="100" t="s">
        <v>204</v>
      </c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105"/>
      <c r="P118" s="84"/>
      <c r="Q118" s="84"/>
      <c r="R118" s="112"/>
      <c r="S118" s="112"/>
      <c r="T118" s="112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105"/>
      <c r="AJ118" s="84"/>
    </row>
    <row r="119" spans="1:36" x14ac:dyDescent="0.3">
      <c r="A119" s="101" t="s">
        <v>205</v>
      </c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105"/>
      <c r="P119" s="84"/>
      <c r="Q119" s="84"/>
      <c r="R119" s="112"/>
      <c r="S119" s="112"/>
      <c r="T119" s="112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105"/>
      <c r="AJ119" s="84"/>
    </row>
    <row r="120" spans="1:36" x14ac:dyDescent="0.3">
      <c r="A120" s="113" t="s">
        <v>206</v>
      </c>
      <c r="B120" s="84">
        <f>IFERROR(SUMIF([2]Jan26A!$A:$A,$A120,INDEX([2]Jan26A!$A:$N,0,MATCH($A$1,[2]Jan26A!$A$7:$N$7,0))),0)</f>
        <v>0</v>
      </c>
      <c r="C120" s="84">
        <f>IFERROR(SUMIF([2]Feb26A!$A:$A,$A120,INDEX([2]Feb26A!$A:$N,0,MATCH($A$1,[2]Feb26A!$A$7:$N$7,0))),0)</f>
        <v>0</v>
      </c>
      <c r="D120" s="84">
        <f>IFERROR(SUMIF([2]Mar26A!$A:$A,$A120,INDEX([2]Mar26A!$A:$N,0,MATCH($A$1,[2]Mar26A!$A$7:$N$7,0))),0)</f>
        <v>0</v>
      </c>
      <c r="E120" s="84">
        <f>IFERROR(SUMIF([2]Apr26A!$A:$A,$A120,INDEX([2]Apr26A!$A:$N,0,MATCH($A$1,[2]Apr26A!$A$7:$N$7,0))),0)</f>
        <v>0</v>
      </c>
      <c r="F120" s="84">
        <f>IFERROR(SUMIF([2]May26A!$A:$A,$A120,INDEX([2]May26A!$A:$N,0,MATCH($A$1,[2]May26A!$A$7:$N$7,0))),0)</f>
        <v>0</v>
      </c>
      <c r="G120" s="84">
        <f>IFERROR(SUMIF([2]Jun26A!$A:$A,$A120,INDEX([2]Jun26A!$A:$N,0,MATCH($A$1,[2]Jun26A!$A$7:$N$7,0))),0)</f>
        <v>0</v>
      </c>
      <c r="H120" s="84">
        <f>IFERROR(SUMIF([2]Jul26A!$A:$A,$A120,INDEX([2]Jul26A!$A:$N,0,MATCH($A$1,[2]Jul26A!$A$7:$N$7,0))),0)</f>
        <v>0</v>
      </c>
      <c r="I120" s="84">
        <f>IFERROR(SUMIF([2]Aug26A!$A:$A,$A120,INDEX([2]Aug26A!$A:$N,0,MATCH($A$1,[2]Aug26A!$A$7:$N$7,0))),0)</f>
        <v>0</v>
      </c>
      <c r="J120" s="117">
        <v>0</v>
      </c>
      <c r="K120" s="117">
        <v>0</v>
      </c>
      <c r="L120" s="117">
        <v>0</v>
      </c>
      <c r="M120" s="117">
        <v>0</v>
      </c>
      <c r="N120" s="84">
        <f>SUM(B120:M120)</f>
        <v>0</v>
      </c>
      <c r="O120" s="105" t="str">
        <f>IFERROR(N120/N$16,"")</f>
        <v/>
      </c>
      <c r="P120" s="84"/>
      <c r="Q120" s="84"/>
      <c r="R120" s="106" t="s">
        <v>99</v>
      </c>
      <c r="S120" s="107">
        <v>0</v>
      </c>
      <c r="T120" s="108">
        <v>0.05</v>
      </c>
      <c r="U120" s="104">
        <f t="shared" ref="U120:AF121" si="73">IF($R120="Manual","",IFERROR(IF($R120="YOY Growth",$N120*(1+$T120)/12,$S120/12),""))</f>
        <v>0</v>
      </c>
      <c r="V120" s="104">
        <f t="shared" si="73"/>
        <v>0</v>
      </c>
      <c r="W120" s="104">
        <f t="shared" si="73"/>
        <v>0</v>
      </c>
      <c r="X120" s="104">
        <f t="shared" si="73"/>
        <v>0</v>
      </c>
      <c r="Y120" s="104">
        <f t="shared" si="73"/>
        <v>0</v>
      </c>
      <c r="Z120" s="104">
        <f t="shared" si="73"/>
        <v>0</v>
      </c>
      <c r="AA120" s="104">
        <f t="shared" si="73"/>
        <v>0</v>
      </c>
      <c r="AB120" s="104">
        <f t="shared" si="73"/>
        <v>0</v>
      </c>
      <c r="AC120" s="104">
        <f t="shared" si="73"/>
        <v>0</v>
      </c>
      <c r="AD120" s="104">
        <f t="shared" si="73"/>
        <v>0</v>
      </c>
      <c r="AE120" s="104">
        <f t="shared" si="73"/>
        <v>0</v>
      </c>
      <c r="AF120" s="104">
        <f t="shared" si="73"/>
        <v>0</v>
      </c>
      <c r="AG120" s="84">
        <f>SUM(U120:AF120)</f>
        <v>0</v>
      </c>
      <c r="AH120" s="105" t="str">
        <f>IFERROR(AG120/AG$16,"")</f>
        <v/>
      </c>
      <c r="AJ120" s="84">
        <f>AG120-N120</f>
        <v>0</v>
      </c>
    </row>
    <row r="121" spans="1:36" x14ac:dyDescent="0.3">
      <c r="A121" s="113" t="s">
        <v>207</v>
      </c>
      <c r="B121" s="84">
        <f>IFERROR(SUMIF([2]Jan26A!$A:$A,$A121,INDEX([2]Jan26A!$A:$N,0,MATCH($A$1,[2]Jan26A!$A$7:$N$7,0))),0)</f>
        <v>0</v>
      </c>
      <c r="C121" s="84">
        <f>IFERROR(SUMIF([2]Feb26A!$A:$A,$A121,INDEX([2]Feb26A!$A:$N,0,MATCH($A$1,[2]Feb26A!$A$7:$N$7,0))),0)</f>
        <v>0</v>
      </c>
      <c r="D121" s="84">
        <f>IFERROR(SUMIF([2]Mar26A!$A:$A,$A121,INDEX([2]Mar26A!$A:$N,0,MATCH($A$1,[2]Mar26A!$A$7:$N$7,0))),0)</f>
        <v>0</v>
      </c>
      <c r="E121" s="84">
        <f>IFERROR(SUMIF([2]Apr26A!$A:$A,$A121,INDEX([2]Apr26A!$A:$N,0,MATCH($A$1,[2]Apr26A!$A$7:$N$7,0))),0)</f>
        <v>0</v>
      </c>
      <c r="F121" s="84">
        <f>IFERROR(SUMIF([2]May26A!$A:$A,$A121,INDEX([2]May26A!$A:$N,0,MATCH($A$1,[2]May26A!$A$7:$N$7,0))),0)</f>
        <v>0</v>
      </c>
      <c r="G121" s="84">
        <f>IFERROR(SUMIF([2]Jun26A!$A:$A,$A121,INDEX([2]Jun26A!$A:$N,0,MATCH($A$1,[2]Jun26A!$A$7:$N$7,0))),0)</f>
        <v>0</v>
      </c>
      <c r="H121" s="84">
        <f>IFERROR(SUMIF([2]Jul26A!$A:$A,$A121,INDEX([2]Jul26A!$A:$N,0,MATCH($A$1,[2]Jul26A!$A$7:$N$7,0))),0)</f>
        <v>0</v>
      </c>
      <c r="I121" s="84">
        <f>IFERROR(SUMIF([2]Aug26A!$A:$A,$A121,INDEX([2]Aug26A!$A:$N,0,MATCH($A$1,[2]Aug26A!$A$7:$N$7,0))),0)</f>
        <v>0</v>
      </c>
      <c r="J121" s="117">
        <v>0</v>
      </c>
      <c r="K121" s="117">
        <v>0</v>
      </c>
      <c r="L121" s="117">
        <v>0</v>
      </c>
      <c r="M121" s="117">
        <v>0</v>
      </c>
      <c r="N121" s="84">
        <f>SUM(B121:M121)</f>
        <v>0</v>
      </c>
      <c r="O121" s="105" t="str">
        <f>IFERROR(N121/N$16,"")</f>
        <v/>
      </c>
      <c r="P121" s="84"/>
      <c r="Q121" s="84"/>
      <c r="R121" s="106" t="s">
        <v>99</v>
      </c>
      <c r="S121" s="107">
        <v>0</v>
      </c>
      <c r="T121" s="108">
        <v>0.05</v>
      </c>
      <c r="U121" s="104">
        <f t="shared" si="73"/>
        <v>0</v>
      </c>
      <c r="V121" s="104">
        <f t="shared" si="73"/>
        <v>0</v>
      </c>
      <c r="W121" s="104">
        <f t="shared" si="73"/>
        <v>0</v>
      </c>
      <c r="X121" s="104">
        <f t="shared" si="73"/>
        <v>0</v>
      </c>
      <c r="Y121" s="104">
        <f t="shared" si="73"/>
        <v>0</v>
      </c>
      <c r="Z121" s="104">
        <f t="shared" si="73"/>
        <v>0</v>
      </c>
      <c r="AA121" s="104">
        <f t="shared" si="73"/>
        <v>0</v>
      </c>
      <c r="AB121" s="104">
        <f t="shared" si="73"/>
        <v>0</v>
      </c>
      <c r="AC121" s="104">
        <f t="shared" si="73"/>
        <v>0</v>
      </c>
      <c r="AD121" s="104">
        <f t="shared" si="73"/>
        <v>0</v>
      </c>
      <c r="AE121" s="104">
        <f t="shared" si="73"/>
        <v>0</v>
      </c>
      <c r="AF121" s="104">
        <f t="shared" si="73"/>
        <v>0</v>
      </c>
      <c r="AG121" s="84">
        <f>SUM(U121:AF121)</f>
        <v>0</v>
      </c>
      <c r="AH121" s="105" t="str">
        <f>IFERROR(AG121/AG$16,"")</f>
        <v/>
      </c>
      <c r="AJ121" s="84">
        <f>AG121-N121</f>
        <v>0</v>
      </c>
    </row>
    <row r="122" spans="1:36" x14ac:dyDescent="0.3">
      <c r="A122" s="114" t="s">
        <v>208</v>
      </c>
      <c r="B122" s="110">
        <f t="shared" ref="B122:M122" si="74">SUM(B120:B121)</f>
        <v>0</v>
      </c>
      <c r="C122" s="110">
        <f t="shared" si="74"/>
        <v>0</v>
      </c>
      <c r="D122" s="110">
        <f t="shared" si="74"/>
        <v>0</v>
      </c>
      <c r="E122" s="110">
        <f t="shared" si="74"/>
        <v>0</v>
      </c>
      <c r="F122" s="110">
        <f t="shared" si="74"/>
        <v>0</v>
      </c>
      <c r="G122" s="110">
        <f t="shared" si="74"/>
        <v>0</v>
      </c>
      <c r="H122" s="110">
        <f t="shared" si="74"/>
        <v>0</v>
      </c>
      <c r="I122" s="110">
        <f t="shared" si="74"/>
        <v>0</v>
      </c>
      <c r="J122" s="110">
        <f t="shared" si="74"/>
        <v>0</v>
      </c>
      <c r="K122" s="110">
        <f t="shared" si="74"/>
        <v>0</v>
      </c>
      <c r="L122" s="110">
        <f t="shared" si="74"/>
        <v>0</v>
      </c>
      <c r="M122" s="110">
        <f t="shared" si="74"/>
        <v>0</v>
      </c>
      <c r="N122" s="110">
        <f>SUM(B122:M122)</f>
        <v>0</v>
      </c>
      <c r="O122" s="111" t="str">
        <f>IFERROR(N122/N$16,"")</f>
        <v/>
      </c>
      <c r="P122" s="84"/>
      <c r="Q122" s="84"/>
      <c r="R122" s="112"/>
      <c r="S122" s="112"/>
      <c r="T122" s="112"/>
      <c r="U122" s="110">
        <f t="shared" ref="U122:AF122" si="75">SUM(U120:U121)</f>
        <v>0</v>
      </c>
      <c r="V122" s="110">
        <f t="shared" si="75"/>
        <v>0</v>
      </c>
      <c r="W122" s="110">
        <f t="shared" si="75"/>
        <v>0</v>
      </c>
      <c r="X122" s="110">
        <f t="shared" si="75"/>
        <v>0</v>
      </c>
      <c r="Y122" s="110">
        <f t="shared" si="75"/>
        <v>0</v>
      </c>
      <c r="Z122" s="110">
        <f t="shared" si="75"/>
        <v>0</v>
      </c>
      <c r="AA122" s="110">
        <f t="shared" si="75"/>
        <v>0</v>
      </c>
      <c r="AB122" s="110">
        <f t="shared" si="75"/>
        <v>0</v>
      </c>
      <c r="AC122" s="110">
        <f t="shared" si="75"/>
        <v>0</v>
      </c>
      <c r="AD122" s="110">
        <f t="shared" si="75"/>
        <v>0</v>
      </c>
      <c r="AE122" s="110">
        <f t="shared" si="75"/>
        <v>0</v>
      </c>
      <c r="AF122" s="110">
        <f t="shared" si="75"/>
        <v>0</v>
      </c>
      <c r="AG122" s="110">
        <f>SUM(U122:AF122)</f>
        <v>0</v>
      </c>
      <c r="AH122" s="111" t="str">
        <f>IFERROR(AG122/AG$16,"")</f>
        <v/>
      </c>
      <c r="AJ122" s="110">
        <f>AG122-N122</f>
        <v>0</v>
      </c>
    </row>
    <row r="123" spans="1:36" x14ac:dyDescent="0.3">
      <c r="A123" s="101" t="s">
        <v>209</v>
      </c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105"/>
      <c r="P123" s="84"/>
      <c r="Q123" s="84"/>
      <c r="R123" s="112"/>
      <c r="S123" s="112"/>
      <c r="T123" s="112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105"/>
      <c r="AJ123" s="84"/>
    </row>
    <row r="124" spans="1:36" x14ac:dyDescent="0.3">
      <c r="A124" s="161" t="s">
        <v>210</v>
      </c>
      <c r="B124" s="84">
        <f>IFERROR(SUMIF([2]Jan26A!$A:$A,$A124,INDEX([2]Jan26A!$A:$N,0,MATCH($A$1,[2]Jan26A!$A$7:$N$7,0))),0)</f>
        <v>0</v>
      </c>
      <c r="C124" s="84">
        <f>IFERROR(SUMIF([2]Feb26A!$A:$A,$A124,INDEX([2]Feb26A!$A:$N,0,MATCH($A$1,[2]Feb26A!$A$7:$N$7,0))),0)</f>
        <v>0</v>
      </c>
      <c r="D124" s="84">
        <f>IFERROR(SUMIF([2]Mar26A!$A:$A,$A124,INDEX([2]Mar26A!$A:$N,0,MATCH($A$1,[2]Mar26A!$A$7:$N$7,0))),0)</f>
        <v>0</v>
      </c>
      <c r="E124" s="84">
        <f>IFERROR(SUMIF([2]Apr26A!$A:$A,$A124,INDEX([2]Apr26A!$A:$N,0,MATCH($A$1,[2]Apr26A!$A$7:$N$7,0))),0)</f>
        <v>0</v>
      </c>
      <c r="F124" s="84">
        <f>IFERROR(SUMIF([2]May26A!$A:$A,$A124,INDEX([2]May26A!$A:$N,0,MATCH($A$1,[2]May26A!$A$7:$N$7,0))),0)</f>
        <v>0</v>
      </c>
      <c r="G124" s="84">
        <f>IFERROR(SUMIF([2]Jun26A!$A:$A,$A124,INDEX([2]Jun26A!$A:$N,0,MATCH($A$1,[2]Jun26A!$A$7:$N$7,0))),0)</f>
        <v>0</v>
      </c>
      <c r="H124" s="84">
        <f>IFERROR(SUMIF([2]Jul26A!$A:$A,$A124,INDEX([2]Jul26A!$A:$N,0,MATCH($A$1,[2]Jul26A!$A$7:$N$7,0))),0)</f>
        <v>0</v>
      </c>
      <c r="I124" s="84">
        <f>IFERROR(SUMIF([2]Aug26A!$A:$A,$A124,INDEX([2]Aug26A!$A:$N,0,MATCH($A$1,[2]Aug26A!$A$7:$N$7,0))),0)</f>
        <v>0</v>
      </c>
      <c r="J124" s="117"/>
      <c r="K124" s="117"/>
      <c r="L124" s="117"/>
      <c r="M124" s="117"/>
      <c r="N124" s="84">
        <v>0</v>
      </c>
      <c r="O124" s="105" t="str">
        <f t="shared" ref="O124:O132" si="76">IFERROR(N124/N$16,"")</f>
        <v/>
      </c>
      <c r="P124" s="84"/>
      <c r="Q124" s="84"/>
      <c r="R124" s="106" t="s">
        <v>99</v>
      </c>
      <c r="S124" s="107">
        <v>0</v>
      </c>
      <c r="T124" s="108">
        <v>0.05</v>
      </c>
      <c r="U124" s="104">
        <f t="shared" ref="U124:AF129" si="77">IF($R124="Manual","",IFERROR(IF($R124="YOY Growth",$N124*(1+$T124)/12,$S124/12),""))</f>
        <v>0</v>
      </c>
      <c r="V124" s="104">
        <f t="shared" si="77"/>
        <v>0</v>
      </c>
      <c r="W124" s="104">
        <f t="shared" si="77"/>
        <v>0</v>
      </c>
      <c r="X124" s="104">
        <f t="shared" si="77"/>
        <v>0</v>
      </c>
      <c r="Y124" s="104">
        <f t="shared" si="77"/>
        <v>0</v>
      </c>
      <c r="Z124" s="104">
        <f t="shared" si="77"/>
        <v>0</v>
      </c>
      <c r="AA124" s="104">
        <f t="shared" si="77"/>
        <v>0</v>
      </c>
      <c r="AB124" s="104">
        <f t="shared" si="77"/>
        <v>0</v>
      </c>
      <c r="AC124" s="104">
        <f t="shared" si="77"/>
        <v>0</v>
      </c>
      <c r="AD124" s="104">
        <f t="shared" si="77"/>
        <v>0</v>
      </c>
      <c r="AE124" s="104">
        <f t="shared" si="77"/>
        <v>0</v>
      </c>
      <c r="AF124" s="104">
        <f t="shared" si="77"/>
        <v>0</v>
      </c>
      <c r="AG124" s="84">
        <f t="shared" ref="AG124:AG132" si="78">SUM(U124:AF124)</f>
        <v>0</v>
      </c>
      <c r="AH124" s="105" t="str">
        <f t="shared" ref="AH124:AH132" si="79">IFERROR(AG124/AG$16,"")</f>
        <v/>
      </c>
      <c r="AJ124" s="84">
        <f>N124-AG124</f>
        <v>0</v>
      </c>
    </row>
    <row r="125" spans="1:36" x14ac:dyDescent="0.3">
      <c r="A125" s="113" t="s">
        <v>211</v>
      </c>
      <c r="B125" s="84">
        <f>IFERROR(SUMIF([2]Jan26A!$A:$A,$A125,INDEX([2]Jan26A!$A:$N,0,MATCH($A$1,[2]Jan26A!$A$7:$N$7,0))),0)</f>
        <v>0</v>
      </c>
      <c r="C125" s="84">
        <f>IFERROR(SUMIF([2]Feb26A!$A:$A,$A125,INDEX([2]Feb26A!$A:$N,0,MATCH($A$1,[2]Feb26A!$A$7:$N$7,0))),0)</f>
        <v>0</v>
      </c>
      <c r="D125" s="84">
        <f>IFERROR(SUMIF([2]Mar26A!$A:$A,$A125,INDEX([2]Mar26A!$A:$N,0,MATCH($A$1,[2]Mar26A!$A$7:$N$7,0))),0)</f>
        <v>0</v>
      </c>
      <c r="E125" s="84">
        <f>IFERROR(SUMIF([2]Apr26A!$A:$A,$A125,INDEX([2]Apr26A!$A:$N,0,MATCH($A$1,[2]Apr26A!$A$7:$N$7,0))),0)</f>
        <v>0</v>
      </c>
      <c r="F125" s="84">
        <f>IFERROR(SUMIF([2]May26A!$A:$A,$A125,INDEX([2]May26A!$A:$N,0,MATCH($A$1,[2]May26A!$A$7:$N$7,0))),0)</f>
        <v>0</v>
      </c>
      <c r="G125" s="84">
        <f>IFERROR(SUMIF([2]Jun26A!$A:$A,$A125,INDEX([2]Jun26A!$A:$N,0,MATCH($A$1,[2]Jun26A!$A$7:$N$7,0))),0)</f>
        <v>0</v>
      </c>
      <c r="H125" s="84">
        <f>IFERROR(SUMIF([2]Jul26A!$A:$A,$A125,INDEX([2]Jul26A!$A:$N,0,MATCH($A$1,[2]Jul26A!$A$7:$N$7,0))),0)</f>
        <v>0</v>
      </c>
      <c r="I125" s="84">
        <f>IFERROR(SUMIF([2]Aug26A!$A:$A,$A125,INDEX([2]Aug26A!$A:$N,0,MATCH($A$1,[2]Aug26A!$A$7:$N$7,0))),0)</f>
        <v>0</v>
      </c>
      <c r="J125" s="117">
        <v>0</v>
      </c>
      <c r="K125" s="117">
        <v>0</v>
      </c>
      <c r="L125" s="117">
        <v>0</v>
      </c>
      <c r="M125" s="117">
        <v>0</v>
      </c>
      <c r="N125" s="84">
        <f t="shared" ref="N125:N132" si="80">SUM(B125:M125)</f>
        <v>0</v>
      </c>
      <c r="O125" s="105" t="str">
        <f t="shared" si="76"/>
        <v/>
      </c>
      <c r="P125" s="84"/>
      <c r="Q125" s="84"/>
      <c r="R125" s="106" t="s">
        <v>99</v>
      </c>
      <c r="S125" s="107">
        <v>0</v>
      </c>
      <c r="T125" s="108">
        <v>0.05</v>
      </c>
      <c r="U125" s="104">
        <f t="shared" si="77"/>
        <v>0</v>
      </c>
      <c r="V125" s="104">
        <f t="shared" si="77"/>
        <v>0</v>
      </c>
      <c r="W125" s="104">
        <f t="shared" si="77"/>
        <v>0</v>
      </c>
      <c r="X125" s="104">
        <f t="shared" si="77"/>
        <v>0</v>
      </c>
      <c r="Y125" s="104">
        <f t="shared" si="77"/>
        <v>0</v>
      </c>
      <c r="Z125" s="104">
        <f t="shared" si="77"/>
        <v>0</v>
      </c>
      <c r="AA125" s="104">
        <f t="shared" si="77"/>
        <v>0</v>
      </c>
      <c r="AB125" s="104">
        <f t="shared" si="77"/>
        <v>0</v>
      </c>
      <c r="AC125" s="104">
        <f t="shared" si="77"/>
        <v>0</v>
      </c>
      <c r="AD125" s="104">
        <f t="shared" si="77"/>
        <v>0</v>
      </c>
      <c r="AE125" s="104">
        <f t="shared" si="77"/>
        <v>0</v>
      </c>
      <c r="AF125" s="104">
        <f t="shared" si="77"/>
        <v>0</v>
      </c>
      <c r="AG125" s="84">
        <f t="shared" si="78"/>
        <v>0</v>
      </c>
      <c r="AH125" s="105" t="str">
        <f t="shared" si="79"/>
        <v/>
      </c>
      <c r="AJ125" s="84">
        <f>N125-AG125</f>
        <v>0</v>
      </c>
    </row>
    <row r="126" spans="1:36" x14ac:dyDescent="0.3">
      <c r="A126" s="113" t="s">
        <v>212</v>
      </c>
      <c r="B126" s="84">
        <f>IFERROR(SUMIF([2]Jan26A!$A:$A,$A126,INDEX([2]Jan26A!$A:$N,0,MATCH($A$1,[2]Jan26A!$A$7:$N$7,0))),0)</f>
        <v>0</v>
      </c>
      <c r="C126" s="84">
        <f>IFERROR(SUMIF([2]Feb26A!$A:$A,$A126,INDEX([2]Feb26A!$A:$N,0,MATCH($A$1,[2]Feb26A!$A$7:$N$7,0))),0)</f>
        <v>0</v>
      </c>
      <c r="D126" s="84">
        <f>IFERROR(SUMIF([2]Mar26A!$A:$A,$A126,INDEX([2]Mar26A!$A:$N,0,MATCH($A$1,[2]Mar26A!$A$7:$N$7,0))),0)</f>
        <v>0</v>
      </c>
      <c r="E126" s="84">
        <f>IFERROR(SUMIF([2]Apr26A!$A:$A,$A126,INDEX([2]Apr26A!$A:$N,0,MATCH($A$1,[2]Apr26A!$A$7:$N$7,0))),0)</f>
        <v>0</v>
      </c>
      <c r="F126" s="84">
        <f>IFERROR(SUMIF([2]May26A!$A:$A,$A126,INDEX([2]May26A!$A:$N,0,MATCH($A$1,[2]May26A!$A$7:$N$7,0))),0)</f>
        <v>0</v>
      </c>
      <c r="G126" s="84">
        <f>IFERROR(SUMIF([2]Jun26A!$A:$A,$A126,INDEX([2]Jun26A!$A:$N,0,MATCH($A$1,[2]Jun26A!$A$7:$N$7,0))),0)</f>
        <v>0</v>
      </c>
      <c r="H126" s="84">
        <f>IFERROR(SUMIF([2]Jul26A!$A:$A,$A126,INDEX([2]Jul26A!$A:$N,0,MATCH($A$1,[2]Jul26A!$A$7:$N$7,0))),0)</f>
        <v>0</v>
      </c>
      <c r="I126" s="84">
        <f>IFERROR(SUMIF([2]Aug26A!$A:$A,$A126,INDEX([2]Aug26A!$A:$N,0,MATCH($A$1,[2]Aug26A!$A$7:$N$7,0))),0)</f>
        <v>0</v>
      </c>
      <c r="J126" s="117">
        <v>0</v>
      </c>
      <c r="K126" s="117">
        <v>0</v>
      </c>
      <c r="L126" s="117">
        <v>0</v>
      </c>
      <c r="M126" s="117">
        <v>0</v>
      </c>
      <c r="N126" s="84">
        <f t="shared" si="80"/>
        <v>0</v>
      </c>
      <c r="O126" s="105" t="str">
        <f t="shared" si="76"/>
        <v/>
      </c>
      <c r="P126" s="84"/>
      <c r="Q126" s="84"/>
      <c r="R126" s="106" t="s">
        <v>99</v>
      </c>
      <c r="S126" s="107">
        <v>0</v>
      </c>
      <c r="T126" s="108">
        <v>0.05</v>
      </c>
      <c r="U126" s="104">
        <f t="shared" si="77"/>
        <v>0</v>
      </c>
      <c r="V126" s="104">
        <f t="shared" si="77"/>
        <v>0</v>
      </c>
      <c r="W126" s="104">
        <f t="shared" si="77"/>
        <v>0</v>
      </c>
      <c r="X126" s="104">
        <f t="shared" si="77"/>
        <v>0</v>
      </c>
      <c r="Y126" s="104">
        <f t="shared" si="77"/>
        <v>0</v>
      </c>
      <c r="Z126" s="104">
        <f t="shared" si="77"/>
        <v>0</v>
      </c>
      <c r="AA126" s="104">
        <f t="shared" si="77"/>
        <v>0</v>
      </c>
      <c r="AB126" s="104">
        <f t="shared" si="77"/>
        <v>0</v>
      </c>
      <c r="AC126" s="104">
        <f t="shared" si="77"/>
        <v>0</v>
      </c>
      <c r="AD126" s="104">
        <f t="shared" si="77"/>
        <v>0</v>
      </c>
      <c r="AE126" s="104">
        <f t="shared" si="77"/>
        <v>0</v>
      </c>
      <c r="AF126" s="104">
        <f t="shared" si="77"/>
        <v>0</v>
      </c>
      <c r="AG126" s="84">
        <f t="shared" si="78"/>
        <v>0</v>
      </c>
      <c r="AH126" s="105" t="str">
        <f t="shared" si="79"/>
        <v/>
      </c>
      <c r="AJ126" s="84">
        <f>N126-AG126</f>
        <v>0</v>
      </c>
    </row>
    <row r="127" spans="1:36" x14ac:dyDescent="0.3">
      <c r="A127" s="113" t="s">
        <v>213</v>
      </c>
      <c r="B127" s="84">
        <f>IFERROR(SUMIF([2]Jan26A!$A:$A,$A127,INDEX([2]Jan26A!$A:$N,0,MATCH($A$1,[2]Jan26A!$A$7:$N$7,0))),0)</f>
        <v>0</v>
      </c>
      <c r="C127" s="84">
        <f>IFERROR(SUMIF([2]Feb26A!$A:$A,$A127,INDEX([2]Feb26A!$A:$N,0,MATCH($A$1,[2]Feb26A!$A$7:$N$7,0))),0)</f>
        <v>0</v>
      </c>
      <c r="D127" s="84">
        <f>IFERROR(SUMIF([2]Mar26A!$A:$A,$A127,INDEX([2]Mar26A!$A:$N,0,MATCH($A$1,[2]Mar26A!$A$7:$N$7,0))),0)</f>
        <v>0</v>
      </c>
      <c r="E127" s="84">
        <f>IFERROR(SUMIF([2]Apr26A!$A:$A,$A127,INDEX([2]Apr26A!$A:$N,0,MATCH($A$1,[2]Apr26A!$A$7:$N$7,0))),0)</f>
        <v>0</v>
      </c>
      <c r="F127" s="84">
        <f>IFERROR(SUMIF([2]May26A!$A:$A,$A127,INDEX([2]May26A!$A:$N,0,MATCH($A$1,[2]May26A!$A$7:$N$7,0))),0)</f>
        <v>0</v>
      </c>
      <c r="G127" s="84">
        <f>IFERROR(SUMIF([2]Jun26A!$A:$A,$A127,INDEX([2]Jun26A!$A:$N,0,MATCH($A$1,[2]Jun26A!$A$7:$N$7,0))),0)</f>
        <v>0</v>
      </c>
      <c r="H127" s="84">
        <f>IFERROR(SUMIF([2]Jul26A!$A:$A,$A127,INDEX([2]Jul26A!$A:$N,0,MATCH($A$1,[2]Jul26A!$A$7:$N$7,0))),0)</f>
        <v>0</v>
      </c>
      <c r="I127" s="84">
        <f>IFERROR(SUMIF([2]Aug26A!$A:$A,$A127,INDEX([2]Aug26A!$A:$N,0,MATCH($A$1,[2]Aug26A!$A$7:$N$7,0))),0)</f>
        <v>0</v>
      </c>
      <c r="J127" s="117"/>
      <c r="K127" s="117"/>
      <c r="L127" s="117"/>
      <c r="M127" s="117"/>
      <c r="N127" s="84"/>
      <c r="O127" s="105"/>
      <c r="P127" s="84"/>
      <c r="Q127" s="84"/>
      <c r="R127" s="106" t="s">
        <v>99</v>
      </c>
      <c r="S127" s="107">
        <v>0</v>
      </c>
      <c r="T127" s="108">
        <v>0.05</v>
      </c>
      <c r="U127" s="104">
        <f t="shared" si="77"/>
        <v>0</v>
      </c>
      <c r="V127" s="104">
        <f t="shared" si="77"/>
        <v>0</v>
      </c>
      <c r="W127" s="104">
        <f t="shared" si="77"/>
        <v>0</v>
      </c>
      <c r="X127" s="104">
        <f t="shared" si="77"/>
        <v>0</v>
      </c>
      <c r="Y127" s="104">
        <f t="shared" si="77"/>
        <v>0</v>
      </c>
      <c r="Z127" s="104">
        <f t="shared" si="77"/>
        <v>0</v>
      </c>
      <c r="AA127" s="104">
        <f t="shared" si="77"/>
        <v>0</v>
      </c>
      <c r="AB127" s="104">
        <f t="shared" si="77"/>
        <v>0</v>
      </c>
      <c r="AC127" s="104">
        <f t="shared" si="77"/>
        <v>0</v>
      </c>
      <c r="AD127" s="104">
        <f t="shared" si="77"/>
        <v>0</v>
      </c>
      <c r="AE127" s="104">
        <f t="shared" si="77"/>
        <v>0</v>
      </c>
      <c r="AF127" s="104">
        <f t="shared" si="77"/>
        <v>0</v>
      </c>
      <c r="AG127" s="84"/>
      <c r="AH127" s="105"/>
      <c r="AJ127" s="84"/>
    </row>
    <row r="128" spans="1:36" x14ac:dyDescent="0.3">
      <c r="A128" s="113" t="s">
        <v>214</v>
      </c>
      <c r="B128" s="84">
        <f>IFERROR(SUMIF([2]Jan26A!$A:$A,$A128,INDEX([2]Jan26A!$A:$N,0,MATCH($A$1,[2]Jan26A!$A$7:$N$7,0))),0)</f>
        <v>0</v>
      </c>
      <c r="C128" s="84">
        <f>IFERROR(SUMIF([2]Feb26A!$A:$A,$A128,INDEX([2]Feb26A!$A:$N,0,MATCH($A$1,[2]Feb26A!$A$7:$N$7,0))),0)</f>
        <v>0</v>
      </c>
      <c r="D128" s="84">
        <f>IFERROR(SUMIF([2]Mar26A!$A:$A,$A128,INDEX([2]Mar26A!$A:$N,0,MATCH($A$1,[2]Mar26A!$A$7:$N$7,0))),0)</f>
        <v>0</v>
      </c>
      <c r="E128" s="84">
        <f>IFERROR(SUMIF([2]Apr26A!$A:$A,$A128,INDEX([2]Apr26A!$A:$N,0,MATCH($A$1,[2]Apr26A!$A$7:$N$7,0))),0)</f>
        <v>0</v>
      </c>
      <c r="F128" s="84">
        <f>IFERROR(SUMIF([2]May26A!$A:$A,$A128,INDEX([2]May26A!$A:$N,0,MATCH($A$1,[2]May26A!$A$7:$N$7,0))),0)</f>
        <v>0</v>
      </c>
      <c r="G128" s="84">
        <f>IFERROR(SUMIF([2]Jun26A!$A:$A,$A128,INDEX([2]Jun26A!$A:$N,0,MATCH($A$1,[2]Jun26A!$A$7:$N$7,0))),0)</f>
        <v>0</v>
      </c>
      <c r="H128" s="84">
        <f>IFERROR(SUMIF([2]Jul26A!$A:$A,$A128,INDEX([2]Jul26A!$A:$N,0,MATCH($A$1,[2]Jul26A!$A$7:$N$7,0))),0)</f>
        <v>0</v>
      </c>
      <c r="I128" s="84">
        <f>IFERROR(SUMIF([2]Aug26A!$A:$A,$A128,INDEX([2]Aug26A!$A:$N,0,MATCH($A$1,[2]Aug26A!$A$7:$N$7,0))),0)</f>
        <v>0</v>
      </c>
      <c r="J128" s="117">
        <v>0</v>
      </c>
      <c r="K128" s="117">
        <v>0</v>
      </c>
      <c r="L128" s="117">
        <v>0</v>
      </c>
      <c r="M128" s="117">
        <v>0</v>
      </c>
      <c r="N128" s="84">
        <f t="shared" si="80"/>
        <v>0</v>
      </c>
      <c r="O128" s="105" t="str">
        <f t="shared" si="76"/>
        <v/>
      </c>
      <c r="P128" s="84"/>
      <c r="Q128" s="84"/>
      <c r="R128" s="106" t="s">
        <v>99</v>
      </c>
      <c r="S128" s="107">
        <v>0</v>
      </c>
      <c r="T128" s="108">
        <v>0.05</v>
      </c>
      <c r="U128" s="104">
        <f t="shared" si="77"/>
        <v>0</v>
      </c>
      <c r="V128" s="104">
        <f t="shared" si="77"/>
        <v>0</v>
      </c>
      <c r="W128" s="104">
        <f t="shared" si="77"/>
        <v>0</v>
      </c>
      <c r="X128" s="104">
        <f t="shared" si="77"/>
        <v>0</v>
      </c>
      <c r="Y128" s="104">
        <f t="shared" si="77"/>
        <v>0</v>
      </c>
      <c r="Z128" s="104">
        <f t="shared" si="77"/>
        <v>0</v>
      </c>
      <c r="AA128" s="104">
        <f t="shared" si="77"/>
        <v>0</v>
      </c>
      <c r="AB128" s="104">
        <f t="shared" si="77"/>
        <v>0</v>
      </c>
      <c r="AC128" s="104">
        <f t="shared" si="77"/>
        <v>0</v>
      </c>
      <c r="AD128" s="104">
        <f t="shared" si="77"/>
        <v>0</v>
      </c>
      <c r="AE128" s="104">
        <f t="shared" si="77"/>
        <v>0</v>
      </c>
      <c r="AF128" s="104">
        <f t="shared" si="77"/>
        <v>0</v>
      </c>
      <c r="AG128" s="84">
        <f t="shared" si="78"/>
        <v>0</v>
      </c>
      <c r="AH128" s="105" t="str">
        <f t="shared" si="79"/>
        <v/>
      </c>
      <c r="AJ128" s="84">
        <f>N128-AG128</f>
        <v>0</v>
      </c>
    </row>
    <row r="129" spans="1:36" x14ac:dyDescent="0.3">
      <c r="A129" s="113" t="s">
        <v>215</v>
      </c>
      <c r="B129" s="84">
        <f>IFERROR(SUMIF([2]Jan26A!$A:$A,$A129,INDEX([2]Jan26A!$A:$N,0,MATCH($A$1,[2]Jan26A!$A$7:$N$7,0))),0)</f>
        <v>0</v>
      </c>
      <c r="C129" s="84">
        <f>IFERROR(SUMIF([2]Feb26A!$A:$A,$A129,INDEX([2]Feb26A!$A:$N,0,MATCH($A$1,[2]Feb26A!$A$7:$N$7,0))),0)</f>
        <v>0</v>
      </c>
      <c r="D129" s="84">
        <f>IFERROR(SUMIF([2]Mar26A!$A:$A,$A129,INDEX([2]Mar26A!$A:$N,0,MATCH($A$1,[2]Mar26A!$A$7:$N$7,0))),0)</f>
        <v>0</v>
      </c>
      <c r="E129" s="84">
        <f>IFERROR(SUMIF([2]Apr26A!$A:$A,$A129,INDEX([2]Apr26A!$A:$N,0,MATCH($A$1,[2]Apr26A!$A$7:$N$7,0))),0)</f>
        <v>0</v>
      </c>
      <c r="F129" s="84">
        <f>IFERROR(SUMIF([2]May26A!$A:$A,$A129,INDEX([2]May26A!$A:$N,0,MATCH($A$1,[2]May26A!$A$7:$N$7,0))),0)</f>
        <v>0</v>
      </c>
      <c r="G129" s="84">
        <f>IFERROR(SUMIF([2]Jun26A!$A:$A,$A129,INDEX([2]Jun26A!$A:$N,0,MATCH($A$1,[2]Jun26A!$A$7:$N$7,0))),0)</f>
        <v>0</v>
      </c>
      <c r="H129" s="84">
        <f>IFERROR(SUMIF([2]Jul26A!$A:$A,$A129,INDEX([2]Jul26A!$A:$N,0,MATCH($A$1,[2]Jul26A!$A$7:$N$7,0))),0)</f>
        <v>0</v>
      </c>
      <c r="I129" s="84">
        <f>IFERROR(SUMIF([2]Aug26A!$A:$A,$A129,INDEX([2]Aug26A!$A:$N,0,MATCH($A$1,[2]Aug26A!$A$7:$N$7,0))),0)</f>
        <v>0</v>
      </c>
      <c r="J129" s="117">
        <v>0</v>
      </c>
      <c r="K129" s="117">
        <v>0</v>
      </c>
      <c r="L129" s="117">
        <v>0</v>
      </c>
      <c r="M129" s="117">
        <v>0</v>
      </c>
      <c r="N129" s="84">
        <f t="shared" si="80"/>
        <v>0</v>
      </c>
      <c r="O129" s="105" t="str">
        <f t="shared" si="76"/>
        <v/>
      </c>
      <c r="P129" s="84"/>
      <c r="Q129" s="84"/>
      <c r="R129" s="106" t="s">
        <v>99</v>
      </c>
      <c r="S129" s="107">
        <v>0</v>
      </c>
      <c r="T129" s="108">
        <v>0.05</v>
      </c>
      <c r="U129" s="104">
        <f t="shared" si="77"/>
        <v>0</v>
      </c>
      <c r="V129" s="104">
        <f t="shared" si="77"/>
        <v>0</v>
      </c>
      <c r="W129" s="104">
        <f t="shared" si="77"/>
        <v>0</v>
      </c>
      <c r="X129" s="104">
        <f t="shared" si="77"/>
        <v>0</v>
      </c>
      <c r="Y129" s="104">
        <f t="shared" si="77"/>
        <v>0</v>
      </c>
      <c r="Z129" s="104">
        <f t="shared" si="77"/>
        <v>0</v>
      </c>
      <c r="AA129" s="104">
        <f t="shared" si="77"/>
        <v>0</v>
      </c>
      <c r="AB129" s="104">
        <f t="shared" si="77"/>
        <v>0</v>
      </c>
      <c r="AC129" s="104">
        <f t="shared" si="77"/>
        <v>0</v>
      </c>
      <c r="AD129" s="104">
        <f t="shared" si="77"/>
        <v>0</v>
      </c>
      <c r="AE129" s="104">
        <f t="shared" si="77"/>
        <v>0</v>
      </c>
      <c r="AF129" s="104">
        <f t="shared" si="77"/>
        <v>0</v>
      </c>
      <c r="AG129" s="84">
        <f t="shared" si="78"/>
        <v>0</v>
      </c>
      <c r="AH129" s="105" t="str">
        <f t="shared" si="79"/>
        <v/>
      </c>
      <c r="AJ129" s="84">
        <f>N129-AG129</f>
        <v>0</v>
      </c>
    </row>
    <row r="130" spans="1:36" x14ac:dyDescent="0.3">
      <c r="A130" s="114" t="s">
        <v>216</v>
      </c>
      <c r="B130" s="110">
        <f t="shared" ref="B130:M130" si="81">SUM(B124:B129)</f>
        <v>0</v>
      </c>
      <c r="C130" s="110">
        <f t="shared" si="81"/>
        <v>0</v>
      </c>
      <c r="D130" s="110">
        <f t="shared" si="81"/>
        <v>0</v>
      </c>
      <c r="E130" s="110">
        <f t="shared" si="81"/>
        <v>0</v>
      </c>
      <c r="F130" s="110">
        <f t="shared" si="81"/>
        <v>0</v>
      </c>
      <c r="G130" s="110">
        <f t="shared" si="81"/>
        <v>0</v>
      </c>
      <c r="H130" s="110">
        <f t="shared" si="81"/>
        <v>0</v>
      </c>
      <c r="I130" s="110">
        <f t="shared" si="81"/>
        <v>0</v>
      </c>
      <c r="J130" s="110">
        <f t="shared" si="81"/>
        <v>0</v>
      </c>
      <c r="K130" s="110">
        <f t="shared" si="81"/>
        <v>0</v>
      </c>
      <c r="L130" s="110">
        <f t="shared" si="81"/>
        <v>0</v>
      </c>
      <c r="M130" s="110">
        <f t="shared" si="81"/>
        <v>0</v>
      </c>
      <c r="N130" s="110">
        <f t="shared" si="80"/>
        <v>0</v>
      </c>
      <c r="O130" s="111" t="str">
        <f t="shared" si="76"/>
        <v/>
      </c>
      <c r="P130" s="84"/>
      <c r="Q130" s="84"/>
      <c r="R130" s="112"/>
      <c r="S130" s="112"/>
      <c r="T130" s="112"/>
      <c r="U130" s="110">
        <f t="shared" ref="U130:AF130" si="82">SUM(U124:U129)</f>
        <v>0</v>
      </c>
      <c r="V130" s="110">
        <f t="shared" si="82"/>
        <v>0</v>
      </c>
      <c r="W130" s="110">
        <f t="shared" si="82"/>
        <v>0</v>
      </c>
      <c r="X130" s="110">
        <f t="shared" si="82"/>
        <v>0</v>
      </c>
      <c r="Y130" s="110">
        <f t="shared" si="82"/>
        <v>0</v>
      </c>
      <c r="Z130" s="110">
        <f t="shared" si="82"/>
        <v>0</v>
      </c>
      <c r="AA130" s="110">
        <f t="shared" si="82"/>
        <v>0</v>
      </c>
      <c r="AB130" s="110">
        <f t="shared" si="82"/>
        <v>0</v>
      </c>
      <c r="AC130" s="110">
        <f t="shared" si="82"/>
        <v>0</v>
      </c>
      <c r="AD130" s="110">
        <f t="shared" si="82"/>
        <v>0</v>
      </c>
      <c r="AE130" s="110">
        <f t="shared" si="82"/>
        <v>0</v>
      </c>
      <c r="AF130" s="110">
        <f t="shared" si="82"/>
        <v>0</v>
      </c>
      <c r="AG130" s="110">
        <f t="shared" si="78"/>
        <v>0</v>
      </c>
      <c r="AH130" s="111" t="str">
        <f t="shared" si="79"/>
        <v/>
      </c>
      <c r="AJ130" s="110">
        <f>N130-AG130</f>
        <v>0</v>
      </c>
    </row>
    <row r="131" spans="1:36" x14ac:dyDescent="0.3">
      <c r="A131" s="122" t="s">
        <v>217</v>
      </c>
      <c r="B131" s="110">
        <f t="shared" ref="B131:M131" si="83">B122-B130</f>
        <v>0</v>
      </c>
      <c r="C131" s="110">
        <f t="shared" si="83"/>
        <v>0</v>
      </c>
      <c r="D131" s="110">
        <f t="shared" si="83"/>
        <v>0</v>
      </c>
      <c r="E131" s="110">
        <f t="shared" si="83"/>
        <v>0</v>
      </c>
      <c r="F131" s="110">
        <f t="shared" si="83"/>
        <v>0</v>
      </c>
      <c r="G131" s="110">
        <f t="shared" si="83"/>
        <v>0</v>
      </c>
      <c r="H131" s="110">
        <f t="shared" si="83"/>
        <v>0</v>
      </c>
      <c r="I131" s="110">
        <f t="shared" si="83"/>
        <v>0</v>
      </c>
      <c r="J131" s="110">
        <f t="shared" si="83"/>
        <v>0</v>
      </c>
      <c r="K131" s="110">
        <f t="shared" si="83"/>
        <v>0</v>
      </c>
      <c r="L131" s="110">
        <f t="shared" si="83"/>
        <v>0</v>
      </c>
      <c r="M131" s="110">
        <f t="shared" si="83"/>
        <v>0</v>
      </c>
      <c r="N131" s="110">
        <f t="shared" si="80"/>
        <v>0</v>
      </c>
      <c r="O131" s="111" t="str">
        <f t="shared" si="76"/>
        <v/>
      </c>
      <c r="P131" s="84"/>
      <c r="Q131" s="84"/>
      <c r="R131" s="112"/>
      <c r="S131" s="112"/>
      <c r="T131" s="112"/>
      <c r="U131" s="110">
        <f t="shared" ref="U131:AF131" si="84">U122-U130</f>
        <v>0</v>
      </c>
      <c r="V131" s="110">
        <f t="shared" si="84"/>
        <v>0</v>
      </c>
      <c r="W131" s="110">
        <f t="shared" si="84"/>
        <v>0</v>
      </c>
      <c r="X131" s="110">
        <f t="shared" si="84"/>
        <v>0</v>
      </c>
      <c r="Y131" s="110">
        <f t="shared" si="84"/>
        <v>0</v>
      </c>
      <c r="Z131" s="110">
        <f t="shared" si="84"/>
        <v>0</v>
      </c>
      <c r="AA131" s="110">
        <f t="shared" si="84"/>
        <v>0</v>
      </c>
      <c r="AB131" s="110">
        <f t="shared" si="84"/>
        <v>0</v>
      </c>
      <c r="AC131" s="110">
        <f t="shared" si="84"/>
        <v>0</v>
      </c>
      <c r="AD131" s="110">
        <f t="shared" si="84"/>
        <v>0</v>
      </c>
      <c r="AE131" s="110">
        <f t="shared" si="84"/>
        <v>0</v>
      </c>
      <c r="AF131" s="110">
        <f t="shared" si="84"/>
        <v>0</v>
      </c>
      <c r="AG131" s="110">
        <f t="shared" si="78"/>
        <v>0</v>
      </c>
      <c r="AH131" s="111" t="str">
        <f t="shared" si="79"/>
        <v/>
      </c>
      <c r="AJ131" s="110">
        <f>AG131-N131</f>
        <v>0</v>
      </c>
    </row>
    <row r="132" spans="1:36" ht="14.4" thickBot="1" x14ac:dyDescent="0.35">
      <c r="A132" s="122" t="s">
        <v>218</v>
      </c>
      <c r="B132" s="123">
        <f t="shared" ref="B132:M132" si="85">B117+B131</f>
        <v>-66311.7</v>
      </c>
      <c r="C132" s="123">
        <f t="shared" si="85"/>
        <v>-81047.03</v>
      </c>
      <c r="D132" s="123">
        <f t="shared" si="85"/>
        <v>-82593.39</v>
      </c>
      <c r="E132" s="123">
        <f t="shared" si="85"/>
        <v>-72770.3</v>
      </c>
      <c r="F132" s="123">
        <f t="shared" si="85"/>
        <v>-59276.92</v>
      </c>
      <c r="G132" s="123">
        <f t="shared" si="85"/>
        <v>-57071.109999999993</v>
      </c>
      <c r="H132" s="123">
        <f t="shared" si="85"/>
        <v>-40910.749999999993</v>
      </c>
      <c r="I132" s="123">
        <f t="shared" si="85"/>
        <v>-43030.73</v>
      </c>
      <c r="J132" s="123">
        <f t="shared" si="85"/>
        <v>-60606</v>
      </c>
      <c r="K132" s="123">
        <f t="shared" si="85"/>
        <v>-68674</v>
      </c>
      <c r="L132" s="123">
        <f t="shared" si="85"/>
        <v>-71974</v>
      </c>
      <c r="M132" s="123">
        <f t="shared" si="85"/>
        <v>-68674</v>
      </c>
      <c r="N132" s="123">
        <f t="shared" si="80"/>
        <v>-772939.92999999993</v>
      </c>
      <c r="O132" s="124" t="str">
        <f t="shared" si="76"/>
        <v/>
      </c>
      <c r="P132" s="84"/>
      <c r="Q132" s="84"/>
      <c r="R132" s="112"/>
      <c r="S132" s="112"/>
      <c r="T132" s="112"/>
      <c r="U132" s="123">
        <f t="shared" ref="U132:AF132" si="86">U117+U131</f>
        <v>-51196.130753748868</v>
      </c>
      <c r="V132" s="123">
        <f t="shared" si="86"/>
        <v>-51196.130753748868</v>
      </c>
      <c r="W132" s="123">
        <f t="shared" si="86"/>
        <v>-51196.130753748868</v>
      </c>
      <c r="X132" s="123">
        <f t="shared" si="86"/>
        <v>-51196.130753748868</v>
      </c>
      <c r="Y132" s="123">
        <f t="shared" si="86"/>
        <v>-51196.130753748868</v>
      </c>
      <c r="Z132" s="123">
        <f t="shared" si="86"/>
        <v>-51196.130753748868</v>
      </c>
      <c r="AA132" s="123">
        <f t="shared" si="86"/>
        <v>-51196.130753748868</v>
      </c>
      <c r="AB132" s="123">
        <f t="shared" si="86"/>
        <v>-51196.130753748868</v>
      </c>
      <c r="AC132" s="123">
        <f t="shared" si="86"/>
        <v>-51196.130753748868</v>
      </c>
      <c r="AD132" s="123">
        <f t="shared" si="86"/>
        <v>-52732.014676361345</v>
      </c>
      <c r="AE132" s="123">
        <f t="shared" si="86"/>
        <v>-52732.014676361345</v>
      </c>
      <c r="AF132" s="123">
        <f t="shared" si="86"/>
        <v>-52732.014676361345</v>
      </c>
      <c r="AG132" s="123">
        <f t="shared" si="78"/>
        <v>-618961.22081282386</v>
      </c>
      <c r="AH132" s="124" t="str">
        <f t="shared" si="79"/>
        <v/>
      </c>
      <c r="AJ132" s="123">
        <f>AG132-N132</f>
        <v>153978.70918717608</v>
      </c>
    </row>
    <row r="133" spans="1:36" ht="14.4" thickTop="1" x14ac:dyDescent="0.3">
      <c r="B133" s="163"/>
      <c r="C133" s="163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4"/>
      <c r="P133" s="163"/>
      <c r="Q133" s="163"/>
      <c r="R133" s="112"/>
      <c r="S133" s="112"/>
      <c r="T133" s="112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2"/>
      <c r="AH133" s="84"/>
    </row>
    <row r="134" spans="1:36" x14ac:dyDescent="0.3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105"/>
      <c r="P134" s="84"/>
      <c r="Q134" s="84"/>
      <c r="R134" s="112"/>
      <c r="S134" s="112"/>
      <c r="T134" s="112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</row>
    <row r="135" spans="1:36" x14ac:dyDescent="0.3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105"/>
      <c r="P135" s="84"/>
      <c r="Q135" s="84"/>
      <c r="R135" s="112"/>
      <c r="S135" s="112"/>
      <c r="T135" s="112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</row>
    <row r="136" spans="1:36" x14ac:dyDescent="0.3">
      <c r="B136" s="150"/>
      <c r="C136" s="150"/>
      <c r="D136" s="150"/>
      <c r="E136" s="150"/>
      <c r="F136" s="150"/>
      <c r="G136" s="150"/>
      <c r="H136" s="150"/>
      <c r="I136" s="150"/>
      <c r="J136" s="150"/>
      <c r="K136" s="150"/>
      <c r="L136" s="150"/>
      <c r="M136" s="150"/>
      <c r="N136" s="150"/>
      <c r="O136" s="105"/>
      <c r="P136" s="84"/>
      <c r="Q136" s="84"/>
      <c r="R136" s="112"/>
      <c r="S136" s="112"/>
      <c r="T136" s="112"/>
      <c r="U136" s="150"/>
      <c r="V136" s="150"/>
      <c r="W136" s="150"/>
      <c r="X136" s="150"/>
      <c r="Y136" s="150"/>
      <c r="Z136" s="150"/>
      <c r="AA136" s="150"/>
      <c r="AB136" s="150"/>
      <c r="AC136" s="150"/>
      <c r="AD136" s="150"/>
      <c r="AE136" s="150"/>
      <c r="AF136" s="150"/>
      <c r="AG136" s="150"/>
      <c r="AH136" s="84"/>
    </row>
    <row r="137" spans="1:36" x14ac:dyDescent="0.3">
      <c r="A137" s="125" t="s">
        <v>219</v>
      </c>
      <c r="B137" s="84">
        <f t="shared" ref="B137:N140" si="87">SUMIF($A$9:$A$132,"*"&amp;$A137&amp;"*",B$9:B$132)</f>
        <v>55695.15</v>
      </c>
      <c r="C137" s="84">
        <f t="shared" si="87"/>
        <v>27654.39</v>
      </c>
      <c r="D137" s="84">
        <f t="shared" si="87"/>
        <v>61502.28</v>
      </c>
      <c r="E137" s="84">
        <f t="shared" si="87"/>
        <v>55315.58</v>
      </c>
      <c r="F137" s="84">
        <f t="shared" si="87"/>
        <v>42282.65</v>
      </c>
      <c r="G137" s="84">
        <f t="shared" si="87"/>
        <v>43025.7</v>
      </c>
      <c r="H137" s="84">
        <f t="shared" si="87"/>
        <v>32866.879999999997</v>
      </c>
      <c r="I137" s="84">
        <f t="shared" si="87"/>
        <v>31543.74</v>
      </c>
      <c r="J137" s="84">
        <f t="shared" si="87"/>
        <v>44900</v>
      </c>
      <c r="K137" s="84">
        <f t="shared" si="87"/>
        <v>46100</v>
      </c>
      <c r="L137" s="84">
        <f t="shared" si="87"/>
        <v>46100</v>
      </c>
      <c r="M137" s="84">
        <f t="shared" si="87"/>
        <v>46100</v>
      </c>
      <c r="N137" s="84">
        <f t="shared" si="87"/>
        <v>533086.37</v>
      </c>
      <c r="O137" s="105"/>
      <c r="R137" s="112"/>
      <c r="S137" s="112"/>
      <c r="T137" s="112"/>
      <c r="U137" s="84">
        <f t="shared" ref="U137:AG140" si="88">SUMIF($A$9:$A$132,"*"&amp;$A137&amp;"*",U$9:U$132)</f>
        <v>43709.833333333328</v>
      </c>
      <c r="V137" s="84">
        <f t="shared" si="88"/>
        <v>43709.833333333328</v>
      </c>
      <c r="W137" s="84">
        <f t="shared" si="88"/>
        <v>43709.833333333328</v>
      </c>
      <c r="X137" s="84">
        <f t="shared" si="88"/>
        <v>43709.833333333328</v>
      </c>
      <c r="Y137" s="84">
        <f t="shared" si="88"/>
        <v>43709.833333333328</v>
      </c>
      <c r="Z137" s="84">
        <f t="shared" si="88"/>
        <v>43709.833333333328</v>
      </c>
      <c r="AA137" s="84">
        <f t="shared" si="88"/>
        <v>43709.833333333328</v>
      </c>
      <c r="AB137" s="84">
        <f t="shared" si="88"/>
        <v>43709.833333333328</v>
      </c>
      <c r="AC137" s="84">
        <f t="shared" si="88"/>
        <v>43709.833333333328</v>
      </c>
      <c r="AD137" s="84">
        <f t="shared" si="88"/>
        <v>45021.128333333334</v>
      </c>
      <c r="AE137" s="84">
        <f t="shared" si="88"/>
        <v>45021.128333333334</v>
      </c>
      <c r="AF137" s="84">
        <f t="shared" si="88"/>
        <v>45021.128333333334</v>
      </c>
      <c r="AG137" s="84">
        <f t="shared" si="88"/>
        <v>528451.88499999989</v>
      </c>
      <c r="AH137" s="162"/>
      <c r="AJ137" s="84"/>
    </row>
    <row r="138" spans="1:36" x14ac:dyDescent="0.3">
      <c r="A138" s="125" t="s">
        <v>220</v>
      </c>
      <c r="B138" s="84">
        <f t="shared" si="87"/>
        <v>0</v>
      </c>
      <c r="C138" s="84">
        <f t="shared" si="87"/>
        <v>0</v>
      </c>
      <c r="D138" s="84">
        <f t="shared" si="87"/>
        <v>0</v>
      </c>
      <c r="E138" s="84">
        <f t="shared" si="87"/>
        <v>0</v>
      </c>
      <c r="F138" s="84">
        <f t="shared" si="87"/>
        <v>0</v>
      </c>
      <c r="G138" s="84">
        <f t="shared" si="87"/>
        <v>0</v>
      </c>
      <c r="H138" s="84">
        <f t="shared" si="87"/>
        <v>0</v>
      </c>
      <c r="I138" s="84">
        <f t="shared" si="87"/>
        <v>0</v>
      </c>
      <c r="J138" s="84">
        <f t="shared" si="87"/>
        <v>0</v>
      </c>
      <c r="K138" s="84">
        <f t="shared" si="87"/>
        <v>0</v>
      </c>
      <c r="L138" s="84">
        <f t="shared" si="87"/>
        <v>0</v>
      </c>
      <c r="M138" s="84">
        <f t="shared" si="87"/>
        <v>0</v>
      </c>
      <c r="N138" s="84">
        <f t="shared" si="87"/>
        <v>0</v>
      </c>
      <c r="O138" s="150"/>
      <c r="P138" s="84"/>
      <c r="Q138" s="84"/>
      <c r="R138" s="112"/>
      <c r="S138" s="112"/>
      <c r="T138" s="112"/>
      <c r="U138" s="84">
        <f t="shared" si="88"/>
        <v>0</v>
      </c>
      <c r="V138" s="84">
        <f t="shared" si="88"/>
        <v>0</v>
      </c>
      <c r="W138" s="84">
        <f t="shared" si="88"/>
        <v>0</v>
      </c>
      <c r="X138" s="84">
        <f t="shared" si="88"/>
        <v>0</v>
      </c>
      <c r="Y138" s="84">
        <f t="shared" si="88"/>
        <v>0</v>
      </c>
      <c r="Z138" s="84">
        <f t="shared" si="88"/>
        <v>0</v>
      </c>
      <c r="AA138" s="84">
        <f t="shared" si="88"/>
        <v>0</v>
      </c>
      <c r="AB138" s="84">
        <f t="shared" si="88"/>
        <v>0</v>
      </c>
      <c r="AC138" s="84">
        <f t="shared" si="88"/>
        <v>0</v>
      </c>
      <c r="AD138" s="84">
        <f t="shared" si="88"/>
        <v>0</v>
      </c>
      <c r="AE138" s="84">
        <f t="shared" si="88"/>
        <v>0</v>
      </c>
      <c r="AF138" s="84">
        <f t="shared" si="88"/>
        <v>0</v>
      </c>
      <c r="AG138" s="84">
        <f t="shared" si="88"/>
        <v>0</v>
      </c>
      <c r="AH138" s="84"/>
    </row>
    <row r="139" spans="1:36" x14ac:dyDescent="0.3">
      <c r="A139" s="125" t="s">
        <v>21</v>
      </c>
      <c r="B139" s="84">
        <f t="shared" si="87"/>
        <v>4847.17</v>
      </c>
      <c r="C139" s="84">
        <f t="shared" si="87"/>
        <v>30502.16</v>
      </c>
      <c r="D139" s="84">
        <f t="shared" si="87"/>
        <v>2634.91</v>
      </c>
      <c r="E139" s="84">
        <f t="shared" si="87"/>
        <v>2624.16</v>
      </c>
      <c r="F139" s="84">
        <f t="shared" si="87"/>
        <v>2207.77</v>
      </c>
      <c r="G139" s="84">
        <f t="shared" si="87"/>
        <v>2215.29</v>
      </c>
      <c r="H139" s="84">
        <f t="shared" si="87"/>
        <v>1907.84</v>
      </c>
      <c r="I139" s="84">
        <f t="shared" si="87"/>
        <v>1885.04</v>
      </c>
      <c r="J139" s="84">
        <f t="shared" si="87"/>
        <v>1796</v>
      </c>
      <c r="K139" s="84">
        <f t="shared" si="87"/>
        <v>1844</v>
      </c>
      <c r="L139" s="84">
        <f t="shared" si="87"/>
        <v>1844</v>
      </c>
      <c r="M139" s="84">
        <f t="shared" si="87"/>
        <v>1844</v>
      </c>
      <c r="N139" s="84">
        <f t="shared" si="87"/>
        <v>56152.34</v>
      </c>
      <c r="O139" s="150"/>
      <c r="P139" s="84"/>
      <c r="Q139" s="84"/>
      <c r="R139" s="112"/>
      <c r="S139" s="112"/>
      <c r="T139" s="112"/>
      <c r="U139" s="84">
        <f t="shared" si="88"/>
        <v>2282.289750957741</v>
      </c>
      <c r="V139" s="84">
        <f t="shared" si="88"/>
        <v>2282.289750957741</v>
      </c>
      <c r="W139" s="84">
        <f t="shared" si="88"/>
        <v>2282.289750957741</v>
      </c>
      <c r="X139" s="84">
        <f t="shared" si="88"/>
        <v>2282.289750957741</v>
      </c>
      <c r="Y139" s="84">
        <f t="shared" si="88"/>
        <v>2282.289750957741</v>
      </c>
      <c r="Z139" s="84">
        <f t="shared" si="88"/>
        <v>2282.289750957741</v>
      </c>
      <c r="AA139" s="84">
        <f t="shared" si="88"/>
        <v>2282.289750957741</v>
      </c>
      <c r="AB139" s="84">
        <f t="shared" si="88"/>
        <v>2282.289750957741</v>
      </c>
      <c r="AC139" s="84">
        <f t="shared" si="88"/>
        <v>2282.289750957741</v>
      </c>
      <c r="AD139" s="84">
        <f t="shared" si="88"/>
        <v>2350.7584434864734</v>
      </c>
      <c r="AE139" s="84">
        <f t="shared" si="88"/>
        <v>2350.7584434864734</v>
      </c>
      <c r="AF139" s="84">
        <f t="shared" si="88"/>
        <v>2350.7584434864734</v>
      </c>
      <c r="AG139" s="84">
        <f t="shared" si="88"/>
        <v>27592.883089079089</v>
      </c>
      <c r="AH139" s="84"/>
      <c r="AJ139" s="84"/>
    </row>
    <row r="140" spans="1:36" x14ac:dyDescent="0.3">
      <c r="A140" s="125" t="s">
        <v>23</v>
      </c>
      <c r="B140" s="84">
        <f t="shared" si="87"/>
        <v>-3426.05</v>
      </c>
      <c r="C140" s="84">
        <f t="shared" si="87"/>
        <v>1939.53</v>
      </c>
      <c r="D140" s="84">
        <f t="shared" si="87"/>
        <v>6037.99</v>
      </c>
      <c r="E140" s="84">
        <f t="shared" si="87"/>
        <v>6694.27</v>
      </c>
      <c r="F140" s="84">
        <f t="shared" si="87"/>
        <v>5034.09</v>
      </c>
      <c r="G140" s="84">
        <f t="shared" si="87"/>
        <v>5883.1</v>
      </c>
      <c r="H140" s="84">
        <f t="shared" si="87"/>
        <v>1906.75</v>
      </c>
      <c r="I140" s="84">
        <f t="shared" si="87"/>
        <v>5215.08</v>
      </c>
      <c r="J140" s="84">
        <f t="shared" si="87"/>
        <v>4490</v>
      </c>
      <c r="K140" s="84">
        <f t="shared" si="87"/>
        <v>4610</v>
      </c>
      <c r="L140" s="84">
        <f t="shared" si="87"/>
        <v>4610</v>
      </c>
      <c r="M140" s="84">
        <f t="shared" si="87"/>
        <v>4610</v>
      </c>
      <c r="N140" s="84">
        <f t="shared" si="87"/>
        <v>47604.76</v>
      </c>
      <c r="O140" s="150"/>
      <c r="P140" s="84"/>
      <c r="Q140" s="84"/>
      <c r="R140" s="112"/>
      <c r="S140" s="112"/>
      <c r="T140" s="112"/>
      <c r="U140" s="84">
        <f t="shared" si="88"/>
        <v>5204.0076694578029</v>
      </c>
      <c r="V140" s="84">
        <f t="shared" si="88"/>
        <v>5204.0076694578029</v>
      </c>
      <c r="W140" s="84">
        <f t="shared" si="88"/>
        <v>5204.0076694578029</v>
      </c>
      <c r="X140" s="84">
        <f t="shared" si="88"/>
        <v>5204.0076694578029</v>
      </c>
      <c r="Y140" s="84">
        <f t="shared" si="88"/>
        <v>5204.0076694578029</v>
      </c>
      <c r="Z140" s="84">
        <f t="shared" si="88"/>
        <v>5204.0076694578029</v>
      </c>
      <c r="AA140" s="84">
        <f t="shared" si="88"/>
        <v>5204.0076694578029</v>
      </c>
      <c r="AB140" s="84">
        <f t="shared" si="88"/>
        <v>5204.0076694578029</v>
      </c>
      <c r="AC140" s="84">
        <f t="shared" si="88"/>
        <v>5204.0076694578029</v>
      </c>
      <c r="AD140" s="84">
        <f t="shared" si="88"/>
        <v>5360.1278995415378</v>
      </c>
      <c r="AE140" s="84">
        <f t="shared" si="88"/>
        <v>5360.1278995415378</v>
      </c>
      <c r="AF140" s="84">
        <f t="shared" si="88"/>
        <v>5360.1278995415378</v>
      </c>
      <c r="AG140" s="84">
        <f t="shared" si="88"/>
        <v>62916.452723744835</v>
      </c>
      <c r="AH140" s="84"/>
      <c r="AJ140" s="84"/>
    </row>
    <row r="141" spans="1:36" x14ac:dyDescent="0.3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150"/>
      <c r="P141" s="84"/>
      <c r="Q141" s="84"/>
      <c r="R141" s="112"/>
      <c r="S141" s="112"/>
      <c r="T141" s="112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J141" s="84"/>
    </row>
    <row r="142" spans="1:36" x14ac:dyDescent="0.3">
      <c r="A142" s="83" t="s">
        <v>221</v>
      </c>
      <c r="B142" s="105">
        <f>IFERROR(SUM(B139:B140)/SUM(B137:B138),"")</f>
        <v>2.5516045831638839E-2</v>
      </c>
      <c r="C142" s="105">
        <f>IFERROR(SUM(C139:C140)/SUM(C137:C138),"")</f>
        <v>1.1731117554934316</v>
      </c>
      <c r="D142" s="105">
        <f>IFERROR(SUM(D139:D140)/SUM(D137:D138),"")</f>
        <v>0.14101753626044433</v>
      </c>
      <c r="E142" s="105">
        <f t="shared" ref="E142:N142" si="89">IFERROR(SUM(E139:E140)/SUM(E137:E138),"")</f>
        <v>0.16845941053135483</v>
      </c>
      <c r="F142" s="105">
        <f t="shared" si="89"/>
        <v>0.17127261418099388</v>
      </c>
      <c r="G142" s="105">
        <f t="shared" si="89"/>
        <v>0.18822215559537675</v>
      </c>
      <c r="H142" s="105">
        <f t="shared" si="89"/>
        <v>0.11606182272244887</v>
      </c>
      <c r="I142" s="105">
        <f t="shared" si="89"/>
        <v>0.22508808403822753</v>
      </c>
      <c r="J142" s="105">
        <f t="shared" si="89"/>
        <v>0.14000000000000001</v>
      </c>
      <c r="K142" s="105">
        <f t="shared" si="89"/>
        <v>0.14000000000000001</v>
      </c>
      <c r="L142" s="105">
        <f t="shared" si="89"/>
        <v>0.14000000000000001</v>
      </c>
      <c r="M142" s="105">
        <f t="shared" si="89"/>
        <v>0.14000000000000001</v>
      </c>
      <c r="N142" s="105">
        <f t="shared" si="89"/>
        <v>0.19463468930935152</v>
      </c>
      <c r="O142" s="105"/>
      <c r="P142" s="162"/>
      <c r="Q142" s="162"/>
      <c r="R142" s="112"/>
      <c r="S142" s="112"/>
      <c r="T142" s="112"/>
      <c r="U142" s="105">
        <f t="shared" ref="U142:AG142" si="90">IFERROR(SUM(U139:U140)/SUM(U137:U138),"")</f>
        <v>0.17127261418099385</v>
      </c>
      <c r="V142" s="105">
        <f t="shared" si="90"/>
        <v>0.17127261418099385</v>
      </c>
      <c r="W142" s="105">
        <f t="shared" si="90"/>
        <v>0.17127261418099385</v>
      </c>
      <c r="X142" s="105">
        <f t="shared" si="90"/>
        <v>0.17127261418099385</v>
      </c>
      <c r="Y142" s="105">
        <f t="shared" si="90"/>
        <v>0.17127261418099385</v>
      </c>
      <c r="Z142" s="105">
        <f t="shared" si="90"/>
        <v>0.17127261418099385</v>
      </c>
      <c r="AA142" s="105">
        <f t="shared" si="90"/>
        <v>0.17127261418099385</v>
      </c>
      <c r="AB142" s="105">
        <f t="shared" si="90"/>
        <v>0.17127261418099385</v>
      </c>
      <c r="AC142" s="105">
        <f t="shared" si="90"/>
        <v>0.17127261418099385</v>
      </c>
      <c r="AD142" s="105">
        <f t="shared" si="90"/>
        <v>0.17127261418099385</v>
      </c>
      <c r="AE142" s="105">
        <f t="shared" si="90"/>
        <v>0.17127261418099385</v>
      </c>
      <c r="AF142" s="105">
        <f t="shared" si="90"/>
        <v>0.17127261418099385</v>
      </c>
      <c r="AG142" s="105">
        <f t="shared" si="90"/>
        <v>0.17127261418099388</v>
      </c>
      <c r="AH142" s="162"/>
      <c r="AI142" s="162"/>
      <c r="AJ142" s="162"/>
    </row>
    <row r="143" spans="1:36" x14ac:dyDescent="0.3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105"/>
      <c r="P143" s="84"/>
      <c r="Q143" s="84"/>
      <c r="R143" s="112"/>
      <c r="S143" s="112"/>
      <c r="T143" s="112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</row>
    <row r="144" spans="1:36" x14ac:dyDescent="0.3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105"/>
      <c r="P144" s="84"/>
      <c r="Q144" s="84"/>
      <c r="R144" s="112"/>
      <c r="S144" s="112"/>
      <c r="T144" s="112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</row>
    <row r="145" spans="15:20" x14ac:dyDescent="0.3">
      <c r="O145" s="105"/>
      <c r="R145" s="126"/>
      <c r="S145" s="126"/>
      <c r="T145" s="126"/>
    </row>
    <row r="146" spans="15:20" x14ac:dyDescent="0.3">
      <c r="O146" s="105"/>
      <c r="R146" s="126"/>
      <c r="S146" s="126"/>
      <c r="T146" s="126"/>
    </row>
    <row r="147" spans="15:20" x14ac:dyDescent="0.3">
      <c r="O147" s="105"/>
      <c r="R147" s="126"/>
      <c r="S147" s="126"/>
      <c r="T147" s="126"/>
    </row>
    <row r="148" spans="15:20" x14ac:dyDescent="0.3">
      <c r="O148" s="105"/>
      <c r="R148" s="126"/>
      <c r="S148" s="126"/>
      <c r="T148" s="126"/>
    </row>
    <row r="149" spans="15:20" x14ac:dyDescent="0.3">
      <c r="O149" s="105"/>
      <c r="R149" s="126"/>
      <c r="S149" s="126"/>
      <c r="T149" s="126"/>
    </row>
    <row r="150" spans="15:20" x14ac:dyDescent="0.3">
      <c r="O150" s="105"/>
      <c r="R150" s="126"/>
      <c r="S150" s="126"/>
      <c r="T150" s="126"/>
    </row>
    <row r="151" spans="15:20" x14ac:dyDescent="0.3">
      <c r="O151" s="105"/>
      <c r="R151" s="126"/>
      <c r="S151" s="126"/>
      <c r="T151" s="126"/>
    </row>
    <row r="152" spans="15:20" x14ac:dyDescent="0.3">
      <c r="O152" s="105"/>
      <c r="R152" s="126"/>
      <c r="S152" s="126"/>
      <c r="T152" s="126"/>
    </row>
    <row r="153" spans="15:20" x14ac:dyDescent="0.3">
      <c r="O153" s="105"/>
      <c r="R153" s="126"/>
      <c r="S153" s="126"/>
      <c r="T153" s="126"/>
    </row>
    <row r="154" spans="15:20" x14ac:dyDescent="0.3">
      <c r="O154" s="105"/>
      <c r="R154" s="126"/>
      <c r="S154" s="126"/>
      <c r="T154" s="126"/>
    </row>
    <row r="155" spans="15:20" x14ac:dyDescent="0.3">
      <c r="O155" s="105"/>
      <c r="R155" s="126"/>
      <c r="S155" s="126"/>
      <c r="T155" s="126"/>
    </row>
    <row r="156" spans="15:20" x14ac:dyDescent="0.3">
      <c r="O156" s="105"/>
      <c r="R156" s="126"/>
      <c r="S156" s="126"/>
      <c r="T156" s="126"/>
    </row>
    <row r="157" spans="15:20" x14ac:dyDescent="0.3">
      <c r="O157" s="105"/>
      <c r="R157" s="126"/>
      <c r="S157" s="126"/>
      <c r="T157" s="126"/>
    </row>
    <row r="158" spans="15:20" x14ac:dyDescent="0.3">
      <c r="O158" s="105"/>
      <c r="R158" s="126"/>
      <c r="S158" s="126"/>
      <c r="T158" s="126"/>
    </row>
    <row r="159" spans="15:20" x14ac:dyDescent="0.3">
      <c r="O159" s="105"/>
      <c r="R159" s="126"/>
      <c r="S159" s="126"/>
      <c r="T159" s="126"/>
    </row>
    <row r="160" spans="15:20" x14ac:dyDescent="0.3">
      <c r="O160" s="105"/>
      <c r="R160" s="126"/>
      <c r="S160" s="126"/>
      <c r="T160" s="126"/>
    </row>
    <row r="161" spans="15:20" x14ac:dyDescent="0.3">
      <c r="O161" s="105"/>
      <c r="R161" s="126"/>
      <c r="S161" s="126"/>
      <c r="T161" s="126"/>
    </row>
    <row r="162" spans="15:20" x14ac:dyDescent="0.3">
      <c r="O162" s="105"/>
      <c r="R162" s="126"/>
      <c r="S162" s="126"/>
      <c r="T162" s="126"/>
    </row>
    <row r="163" spans="15:20" x14ac:dyDescent="0.3">
      <c r="O163" s="105"/>
      <c r="R163" s="126"/>
      <c r="S163" s="126"/>
      <c r="T163" s="126"/>
    </row>
    <row r="164" spans="15:20" x14ac:dyDescent="0.3">
      <c r="O164" s="105"/>
      <c r="R164" s="126"/>
      <c r="S164" s="126"/>
      <c r="T164" s="126"/>
    </row>
    <row r="165" spans="15:20" x14ac:dyDescent="0.3">
      <c r="O165" s="105"/>
    </row>
    <row r="166" spans="15:20" x14ac:dyDescent="0.3">
      <c r="O166" s="105"/>
    </row>
    <row r="167" spans="15:20" x14ac:dyDescent="0.3">
      <c r="O167" s="105"/>
    </row>
    <row r="168" spans="15:20" x14ac:dyDescent="0.3">
      <c r="O168" s="105"/>
    </row>
    <row r="169" spans="15:20" x14ac:dyDescent="0.3">
      <c r="O169" s="105"/>
    </row>
    <row r="170" spans="15:20" x14ac:dyDescent="0.3">
      <c r="O170" s="105"/>
    </row>
    <row r="171" spans="15:20" x14ac:dyDescent="0.3">
      <c r="O171" s="105"/>
    </row>
    <row r="172" spans="15:20" x14ac:dyDescent="0.3">
      <c r="O172" s="105"/>
    </row>
    <row r="173" spans="15:20" x14ac:dyDescent="0.3">
      <c r="O173" s="105"/>
    </row>
    <row r="174" spans="15:20" x14ac:dyDescent="0.3">
      <c r="O174" s="105"/>
    </row>
    <row r="175" spans="15:20" x14ac:dyDescent="0.3">
      <c r="O175" s="105"/>
    </row>
    <row r="176" spans="15:20" x14ac:dyDescent="0.3">
      <c r="O176" s="105"/>
    </row>
    <row r="177" spans="15:15" x14ac:dyDescent="0.3">
      <c r="O177" s="105"/>
    </row>
    <row r="178" spans="15:15" x14ac:dyDescent="0.3">
      <c r="O178" s="105"/>
    </row>
    <row r="179" spans="15:15" x14ac:dyDescent="0.3">
      <c r="O179" s="105"/>
    </row>
    <row r="180" spans="15:15" x14ac:dyDescent="0.3">
      <c r="O180" s="105"/>
    </row>
    <row r="181" spans="15:15" x14ac:dyDescent="0.3">
      <c r="O181" s="105"/>
    </row>
    <row r="182" spans="15:15" x14ac:dyDescent="0.3">
      <c r="O182" s="105"/>
    </row>
    <row r="183" spans="15:15" x14ac:dyDescent="0.3">
      <c r="O183" s="105"/>
    </row>
    <row r="184" spans="15:15" x14ac:dyDescent="0.3">
      <c r="O184" s="105"/>
    </row>
    <row r="185" spans="15:15" x14ac:dyDescent="0.3">
      <c r="O185" s="105"/>
    </row>
    <row r="186" spans="15:15" x14ac:dyDescent="0.3">
      <c r="O186" s="105"/>
    </row>
    <row r="187" spans="15:15" x14ac:dyDescent="0.3">
      <c r="O187" s="105"/>
    </row>
    <row r="188" spans="15:15" x14ac:dyDescent="0.3">
      <c r="O188" s="105"/>
    </row>
    <row r="189" spans="15:15" x14ac:dyDescent="0.3">
      <c r="O189" s="105"/>
    </row>
    <row r="190" spans="15:15" x14ac:dyDescent="0.3">
      <c r="O190" s="105"/>
    </row>
    <row r="191" spans="15:15" x14ac:dyDescent="0.3">
      <c r="O191" s="105"/>
    </row>
    <row r="192" spans="15:15" x14ac:dyDescent="0.3">
      <c r="O192" s="105"/>
    </row>
    <row r="193" spans="15:15" x14ac:dyDescent="0.3">
      <c r="O193" s="105"/>
    </row>
    <row r="194" spans="15:15" x14ac:dyDescent="0.3">
      <c r="O194" s="105"/>
    </row>
    <row r="195" spans="15:15" x14ac:dyDescent="0.3">
      <c r="O195" s="105"/>
    </row>
    <row r="196" spans="15:15" x14ac:dyDescent="0.3">
      <c r="O196" s="105"/>
    </row>
    <row r="197" spans="15:15" x14ac:dyDescent="0.3">
      <c r="O197" s="105"/>
    </row>
    <row r="198" spans="15:15" x14ac:dyDescent="0.3">
      <c r="O198" s="105"/>
    </row>
    <row r="199" spans="15:15" x14ac:dyDescent="0.3">
      <c r="O199" s="105"/>
    </row>
    <row r="200" spans="15:15" x14ac:dyDescent="0.3">
      <c r="O200" s="105"/>
    </row>
  </sheetData>
  <conditionalFormatting sqref="S12:S13">
    <cfRule type="expression" dxfId="44" priority="38">
      <formula>AND(NOT(_xlfn.ISFORMULA(S12)),ISNUMBER(S12))</formula>
    </cfRule>
  </conditionalFormatting>
  <conditionalFormatting sqref="S15">
    <cfRule type="expression" dxfId="43" priority="37">
      <formula>AND(NOT(_xlfn.ISFORMULA(S15)),ISNUMBER(S15))</formula>
    </cfRule>
  </conditionalFormatting>
  <conditionalFormatting sqref="S19:S22">
    <cfRule type="expression" dxfId="42" priority="33">
      <formula>AND(NOT(_xlfn.ISFORMULA(S19)),ISNUMBER(S19))</formula>
    </cfRule>
  </conditionalFormatting>
  <conditionalFormatting sqref="S24:S26">
    <cfRule type="expression" dxfId="41" priority="30">
      <formula>AND(NOT(_xlfn.ISFORMULA(S24)),ISNUMBER(S24))</formula>
    </cfRule>
  </conditionalFormatting>
  <conditionalFormatting sqref="S28:S31">
    <cfRule type="expression" dxfId="40" priority="26">
      <formula>AND(NOT(_xlfn.ISFORMULA(S28)),ISNUMBER(S28))</formula>
    </cfRule>
  </conditionalFormatting>
  <conditionalFormatting sqref="S38:S42">
    <cfRule type="expression" dxfId="39" priority="21">
      <formula>AND(NOT(_xlfn.ISFORMULA(S38)),ISNUMBER(S38))</formula>
    </cfRule>
  </conditionalFormatting>
  <conditionalFormatting sqref="S44:S50">
    <cfRule type="expression" dxfId="38" priority="14">
      <formula>AND(NOT(_xlfn.ISFORMULA(S44)),ISNUMBER(S44))</formula>
    </cfRule>
  </conditionalFormatting>
  <conditionalFormatting sqref="S58:S60">
    <cfRule type="expression" dxfId="37" priority="11">
      <formula>AND(NOT(_xlfn.ISFORMULA(S58)),ISNUMBER(S58))</formula>
    </cfRule>
  </conditionalFormatting>
  <conditionalFormatting sqref="S62">
    <cfRule type="expression" dxfId="36" priority="10">
      <formula>AND(NOT(_xlfn.ISFORMULA(S62)),ISNUMBER(S62))</formula>
    </cfRule>
  </conditionalFormatting>
  <conditionalFormatting sqref="S70:S72">
    <cfRule type="expression" dxfId="35" priority="7">
      <formula>AND(NOT(_xlfn.ISFORMULA(S70)),ISNUMBER(S70))</formula>
    </cfRule>
  </conditionalFormatting>
  <conditionalFormatting sqref="S74:S80">
    <cfRule type="expression" dxfId="34" priority="5">
      <formula>AND(NOT(_xlfn.ISFORMULA(S74)),ISNUMBER(S74))</formula>
    </cfRule>
  </conditionalFormatting>
  <conditionalFormatting sqref="S82:S86">
    <cfRule type="expression" dxfId="33" priority="4">
      <formula>AND(NOT(_xlfn.ISFORMULA(S82)),ISNUMBER(S82))</formula>
    </cfRule>
  </conditionalFormatting>
  <conditionalFormatting sqref="S88:S115">
    <cfRule type="expression" dxfId="32" priority="3">
      <formula>AND(NOT(_xlfn.ISFORMULA(S88)),ISNUMBER(S88))</formula>
    </cfRule>
  </conditionalFormatting>
  <conditionalFormatting sqref="S120:S121">
    <cfRule type="expression" dxfId="31" priority="2">
      <formula>AND(NOT(_xlfn.ISFORMULA(S120)),ISNUMBER(S120))</formula>
    </cfRule>
  </conditionalFormatting>
  <conditionalFormatting sqref="S124:S129">
    <cfRule type="expression" dxfId="30" priority="1">
      <formula>AND(NOT(_xlfn.ISFORMULA(S124)),ISNUMBER(S124))</formula>
    </cfRule>
  </conditionalFormatting>
  <dataValidations disablePrompts="1" count="2">
    <dataValidation type="decimal" allowBlank="1" showInputMessage="1" showErrorMessage="1" errorTitle="Numbers only" error="Please enter a number (no text)." sqref="S12:AF13 S15:AF15 S19:AF22 S24:AF26 S28:AF31 S38:AF42 S44:AF50 S58:AF60 S62:AF62 S70:AF72 S74:AF80 S82:AF86 S88:AF115 S120:AF121 S124:AF129" xr:uid="{F344E114-D231-4AA3-84CD-DD554604D310}">
      <formula1>-1000000000000000</formula1>
      <formula2>1000000000000000</formula2>
    </dataValidation>
    <dataValidation type="list" allowBlank="1" showInputMessage="1" showErrorMessage="1" sqref="R12:R13 R15 R19:R22 R24:R26 R28:R31 R38:R42 R44:R50 R58:R60 R62 R70:R72 R74:R80 R82:R86 R88:R115 R120:R121 R124:R129" xr:uid="{3EC4A303-1BAC-44DF-A0A4-1198C9FA3D9C}">
      <formula1>"Even,YOY Growth,Manual"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2902C-4B79-4506-9B74-86A9E52F707D}">
  <sheetPr>
    <tabColor theme="9" tint="0.59999389629810485"/>
  </sheetPr>
  <dimension ref="A1:AJ200"/>
  <sheetViews>
    <sheetView zoomScale="80" zoomScaleNormal="80" workbookViewId="0">
      <pane xSplit="1" ySplit="8" topLeftCell="B35" activePane="bottomRight" state="frozen"/>
      <selection activeCell="B9" sqref="B9"/>
      <selection pane="topRight" activeCell="B9" sqref="B9"/>
      <selection pane="bottomLeft" activeCell="B9" sqref="B9"/>
      <selection pane="bottomRight" activeCell="B9" sqref="B9"/>
    </sheetView>
  </sheetViews>
  <sheetFormatPr defaultColWidth="7.44140625" defaultRowHeight="13.8" outlineLevelCol="1" x14ac:dyDescent="0.3"/>
  <cols>
    <col min="1" max="1" width="54.77734375" style="83" customWidth="1"/>
    <col min="2" max="13" width="11.33203125" style="83" customWidth="1" outlineLevel="1"/>
    <col min="14" max="14" width="14.21875" style="83" customWidth="1"/>
    <col min="15" max="15" width="12.77734375" style="83" customWidth="1"/>
    <col min="16" max="17" width="7.5546875" style="83" customWidth="1"/>
    <col min="18" max="18" width="15" style="83" customWidth="1"/>
    <col min="19" max="19" width="13.6640625" style="83" customWidth="1"/>
    <col min="20" max="20" width="12.77734375" style="83" customWidth="1"/>
    <col min="21" max="32" width="11.33203125" style="83" customWidth="1" outlineLevel="1"/>
    <col min="33" max="33" width="14.21875" style="83" customWidth="1"/>
    <col min="34" max="34" width="12.77734375" style="83" customWidth="1"/>
    <col min="35" max="35" width="7.44140625" style="83"/>
    <col min="36" max="36" width="13.109375" style="83" customWidth="1"/>
    <col min="37" max="16384" width="7.44140625" style="83"/>
  </cols>
  <sheetData>
    <row r="1" spans="1:36" ht="21" x14ac:dyDescent="0.4">
      <c r="A1" s="82" t="s">
        <v>14</v>
      </c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</row>
    <row r="2" spans="1:36" ht="15.6" x14ac:dyDescent="0.3">
      <c r="A2" s="86" t="s">
        <v>69</v>
      </c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</row>
    <row r="4" spans="1:36" ht="14.4" x14ac:dyDescent="0.3">
      <c r="A4" s="87" t="s">
        <v>70</v>
      </c>
    </row>
    <row r="5" spans="1:36" x14ac:dyDescent="0.3"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</row>
    <row r="7" spans="1:36" x14ac:dyDescent="0.3">
      <c r="A7" s="89"/>
      <c r="B7" s="90" t="s">
        <v>71</v>
      </c>
      <c r="C7" s="90" t="s">
        <v>71</v>
      </c>
      <c r="D7" s="90" t="s">
        <v>71</v>
      </c>
      <c r="E7" s="90" t="s">
        <v>71</v>
      </c>
      <c r="F7" s="90" t="s">
        <v>71</v>
      </c>
      <c r="G7" s="90" t="s">
        <v>71</v>
      </c>
      <c r="H7" s="90" t="s">
        <v>71</v>
      </c>
      <c r="I7" s="90" t="s">
        <v>71</v>
      </c>
      <c r="J7" s="91" t="s">
        <v>72</v>
      </c>
      <c r="K7" s="91" t="s">
        <v>72</v>
      </c>
      <c r="L7" s="91" t="s">
        <v>72</v>
      </c>
      <c r="M7" s="91" t="s">
        <v>72</v>
      </c>
      <c r="N7" s="91" t="s">
        <v>72</v>
      </c>
      <c r="O7" s="91" t="s">
        <v>72</v>
      </c>
      <c r="R7" s="92"/>
      <c r="S7" s="93" t="s">
        <v>73</v>
      </c>
      <c r="T7" s="93" t="s">
        <v>74</v>
      </c>
      <c r="U7" s="94" t="s">
        <v>75</v>
      </c>
      <c r="V7" s="94" t="s">
        <v>75</v>
      </c>
      <c r="W7" s="94" t="s">
        <v>75</v>
      </c>
      <c r="X7" s="94" t="s">
        <v>75</v>
      </c>
      <c r="Y7" s="94" t="s">
        <v>75</v>
      </c>
      <c r="Z7" s="94" t="s">
        <v>75</v>
      </c>
      <c r="AA7" s="94" t="s">
        <v>75</v>
      </c>
      <c r="AB7" s="94" t="s">
        <v>75</v>
      </c>
      <c r="AC7" s="94" t="s">
        <v>75</v>
      </c>
      <c r="AD7" s="94" t="s">
        <v>75</v>
      </c>
      <c r="AE7" s="94" t="s">
        <v>75</v>
      </c>
      <c r="AF7" s="94" t="s">
        <v>75</v>
      </c>
      <c r="AG7" s="94" t="s">
        <v>75</v>
      </c>
      <c r="AH7" s="94" t="s">
        <v>75</v>
      </c>
      <c r="AJ7" s="95" t="s">
        <v>74</v>
      </c>
    </row>
    <row r="8" spans="1:36" x14ac:dyDescent="0.3">
      <c r="A8" s="89" t="s">
        <v>76</v>
      </c>
      <c r="B8" s="96" t="s">
        <v>77</v>
      </c>
      <c r="C8" s="96" t="s">
        <v>78</v>
      </c>
      <c r="D8" s="96" t="s">
        <v>79</v>
      </c>
      <c r="E8" s="96" t="s">
        <v>80</v>
      </c>
      <c r="F8" s="96" t="s">
        <v>81</v>
      </c>
      <c r="G8" s="96" t="s">
        <v>82</v>
      </c>
      <c r="H8" s="96" t="s">
        <v>83</v>
      </c>
      <c r="I8" s="96" t="s">
        <v>84</v>
      </c>
      <c r="J8" s="96" t="s">
        <v>85</v>
      </c>
      <c r="K8" s="96" t="s">
        <v>86</v>
      </c>
      <c r="L8" s="96" t="s">
        <v>87</v>
      </c>
      <c r="M8" s="96" t="s">
        <v>88</v>
      </c>
      <c r="N8" s="90">
        <v>2026</v>
      </c>
      <c r="O8" s="90" t="s">
        <v>89</v>
      </c>
      <c r="R8" s="92" t="s">
        <v>90</v>
      </c>
      <c r="S8" s="93" t="s">
        <v>91</v>
      </c>
      <c r="T8" s="93" t="s">
        <v>92</v>
      </c>
      <c r="U8" s="97" t="s">
        <v>77</v>
      </c>
      <c r="V8" s="97" t="s">
        <v>78</v>
      </c>
      <c r="W8" s="97" t="s">
        <v>79</v>
      </c>
      <c r="X8" s="97" t="s">
        <v>80</v>
      </c>
      <c r="Y8" s="97" t="s">
        <v>81</v>
      </c>
      <c r="Z8" s="97" t="s">
        <v>82</v>
      </c>
      <c r="AA8" s="97" t="s">
        <v>83</v>
      </c>
      <c r="AB8" s="97" t="s">
        <v>84</v>
      </c>
      <c r="AC8" s="97" t="s">
        <v>85</v>
      </c>
      <c r="AD8" s="97" t="s">
        <v>86</v>
      </c>
      <c r="AE8" s="97" t="s">
        <v>87</v>
      </c>
      <c r="AF8" s="97" t="s">
        <v>88</v>
      </c>
      <c r="AG8" s="98" t="s">
        <v>93</v>
      </c>
      <c r="AH8" s="94" t="s">
        <v>89</v>
      </c>
      <c r="AJ8" s="99" t="s">
        <v>94</v>
      </c>
    </row>
    <row r="9" spans="1:36" x14ac:dyDescent="0.3">
      <c r="A9" s="100" t="s">
        <v>95</v>
      </c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6" x14ac:dyDescent="0.3">
      <c r="A10" s="101" t="s">
        <v>96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</row>
    <row r="11" spans="1:36" x14ac:dyDescent="0.3">
      <c r="A11" s="102" t="s">
        <v>97</v>
      </c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</row>
    <row r="12" spans="1:36" x14ac:dyDescent="0.3">
      <c r="A12" s="103" t="s">
        <v>98</v>
      </c>
      <c r="B12" s="84">
        <f>IFERROR(SUMIF([2]Jan26A!$A:$A,$A12,INDEX([2]Jan26A!$A:$N,0,MATCH($A$1,[2]Jan26A!$A$7:$N$7,0))),0)</f>
        <v>0</v>
      </c>
      <c r="C12" s="84">
        <f>IFERROR(SUMIF([2]Feb26A!$A:$A,$A12,INDEX([2]Feb26A!$A:$N,0,MATCH($A$1,[2]Feb26A!$A$7:$N$7,0))),0)</f>
        <v>0</v>
      </c>
      <c r="D12" s="84">
        <f>IFERROR(SUMIF([2]Mar26A!$A:$A,$A12,INDEX([2]Mar26A!$A:$N,0,MATCH($A$1,[2]Mar26A!$A$7:$N$7,0))),0)</f>
        <v>0</v>
      </c>
      <c r="E12" s="84">
        <f>IFERROR(SUMIF([2]Apr26A!$A:$A,$A12,INDEX([2]Apr26A!$A:$N,0,MATCH($A$1,[2]Apr26A!$A$7:$N$7,0))),0)</f>
        <v>0</v>
      </c>
      <c r="F12" s="84">
        <f>IFERROR(SUMIF([2]May26A!$A:$A,$A12,INDEX([2]May26A!$A:$N,0,MATCH($A$1,[2]May26A!$A$7:$N$7,0))),0)</f>
        <v>0</v>
      </c>
      <c r="G12" s="84">
        <f>IFERROR(SUMIF([2]Jun26A!$A:$A,$A12,INDEX([2]Jun26A!$A:$N,0,MATCH($A$1,[2]Jun26A!$A$7:$N$7,0))),0)</f>
        <v>0</v>
      </c>
      <c r="H12" s="84">
        <f>IFERROR(SUMIF([2]Jul26A!$A:$A,$A12,INDEX([2]Jul26A!$A:$N,0,MATCH($A$1,[2]Jul26A!$A$7:$N$7,0))),0)</f>
        <v>0</v>
      </c>
      <c r="I12" s="84">
        <f>IFERROR(SUMIF([2]Aug26A!$A:$A,$A12,INDEX([2]Aug26A!$A:$N,0,MATCH($A$1,[2]Aug26A!$A$7:$N$7,0))),0)</f>
        <v>0</v>
      </c>
      <c r="J12" s="104"/>
      <c r="K12" s="104"/>
      <c r="L12" s="104"/>
      <c r="M12" s="104"/>
      <c r="N12" s="84">
        <f>SUM(B12:M12)</f>
        <v>0</v>
      </c>
      <c r="O12" s="105" t="str">
        <f>IFERROR(N12/N$16,"")</f>
        <v/>
      </c>
      <c r="P12" s="84"/>
      <c r="Q12" s="84"/>
      <c r="R12" s="106" t="s">
        <v>99</v>
      </c>
      <c r="S12" s="107"/>
      <c r="T12" s="108">
        <v>0.05</v>
      </c>
      <c r="U12" s="104">
        <f t="shared" ref="U12:AF13" si="0">IF($R12="Manual","",IFERROR(IF($R12="YOY Growth",$N12*(1+$T12)/12,$S12/12),""))</f>
        <v>0</v>
      </c>
      <c r="V12" s="104">
        <f t="shared" si="0"/>
        <v>0</v>
      </c>
      <c r="W12" s="104">
        <f t="shared" si="0"/>
        <v>0</v>
      </c>
      <c r="X12" s="104">
        <f t="shared" si="0"/>
        <v>0</v>
      </c>
      <c r="Y12" s="104">
        <f t="shared" si="0"/>
        <v>0</v>
      </c>
      <c r="Z12" s="104">
        <f t="shared" si="0"/>
        <v>0</v>
      </c>
      <c r="AA12" s="104">
        <f t="shared" si="0"/>
        <v>0</v>
      </c>
      <c r="AB12" s="104">
        <f t="shared" si="0"/>
        <v>0</v>
      </c>
      <c r="AC12" s="104">
        <f t="shared" si="0"/>
        <v>0</v>
      </c>
      <c r="AD12" s="104">
        <f t="shared" si="0"/>
        <v>0</v>
      </c>
      <c r="AE12" s="104">
        <f t="shared" si="0"/>
        <v>0</v>
      </c>
      <c r="AF12" s="104">
        <f t="shared" si="0"/>
        <v>0</v>
      </c>
      <c r="AG12" s="84">
        <f>SUM(U12:AF12)</f>
        <v>0</v>
      </c>
      <c r="AH12" s="105" t="str">
        <f>IFERROR(AG12/AG$16,"")</f>
        <v/>
      </c>
      <c r="AJ12" s="84">
        <f>AG12-N12</f>
        <v>0</v>
      </c>
    </row>
    <row r="13" spans="1:36" x14ac:dyDescent="0.3">
      <c r="A13" s="103" t="s">
        <v>100</v>
      </c>
      <c r="B13" s="84">
        <f>IFERROR(SUMIF([2]Jan26A!$A:$A,$A13,INDEX([2]Jan26A!$A:$N,0,MATCH($A$1,[2]Jan26A!$A$7:$N$7,0))),0)</f>
        <v>0</v>
      </c>
      <c r="C13" s="84">
        <f>IFERROR(SUMIF([2]Feb26A!$A:$A,$A13,INDEX([2]Feb26A!$A:$N,0,MATCH($A$1,[2]Feb26A!$A$7:$N$7,0))),0)</f>
        <v>0</v>
      </c>
      <c r="D13" s="84">
        <f>IFERROR(SUMIF([2]Mar26A!$A:$A,$A13,INDEX([2]Mar26A!$A:$N,0,MATCH($A$1,[2]Mar26A!$A$7:$N$7,0))),0)</f>
        <v>0</v>
      </c>
      <c r="E13" s="84">
        <f>IFERROR(SUMIF([2]Apr26A!$A:$A,$A13,INDEX([2]Apr26A!$A:$N,0,MATCH($A$1,[2]Apr26A!$A$7:$N$7,0))),0)</f>
        <v>0</v>
      </c>
      <c r="F13" s="84">
        <f>IFERROR(SUMIF([2]May26A!$A:$A,$A13,INDEX([2]May26A!$A:$N,0,MATCH($A$1,[2]May26A!$A$7:$N$7,0))),0)</f>
        <v>0</v>
      </c>
      <c r="G13" s="84">
        <f>IFERROR(SUMIF([2]Jun26A!$A:$A,$A13,INDEX([2]Jun26A!$A:$N,0,MATCH($A$1,[2]Jun26A!$A$7:$N$7,0))),0)</f>
        <v>0</v>
      </c>
      <c r="H13" s="84">
        <f>IFERROR(SUMIF([2]Jul26A!$A:$A,$A13,INDEX([2]Jul26A!$A:$N,0,MATCH($A$1,[2]Jul26A!$A$7:$N$7,0))),0)</f>
        <v>0</v>
      </c>
      <c r="I13" s="84">
        <f>IFERROR(SUMIF([2]Aug26A!$A:$A,$A13,INDEX([2]Aug26A!$A:$N,0,MATCH($A$1,[2]Aug26A!$A$7:$N$7,0))),0)</f>
        <v>0</v>
      </c>
      <c r="J13" s="104"/>
      <c r="K13" s="104"/>
      <c r="L13" s="104"/>
      <c r="M13" s="104"/>
      <c r="N13" s="84">
        <f>SUM(B13:M13)</f>
        <v>0</v>
      </c>
      <c r="O13" s="105" t="str">
        <f>IFERROR(N13/N$16,"")</f>
        <v/>
      </c>
      <c r="P13" s="84"/>
      <c r="Q13" s="84"/>
      <c r="R13" s="106" t="s">
        <v>99</v>
      </c>
      <c r="S13" s="107">
        <v>0</v>
      </c>
      <c r="T13" s="108">
        <v>0.05</v>
      </c>
      <c r="U13" s="104">
        <f t="shared" si="0"/>
        <v>0</v>
      </c>
      <c r="V13" s="104">
        <f t="shared" si="0"/>
        <v>0</v>
      </c>
      <c r="W13" s="104">
        <f t="shared" si="0"/>
        <v>0</v>
      </c>
      <c r="X13" s="104">
        <f t="shared" si="0"/>
        <v>0</v>
      </c>
      <c r="Y13" s="104">
        <f t="shared" si="0"/>
        <v>0</v>
      </c>
      <c r="Z13" s="104">
        <f t="shared" si="0"/>
        <v>0</v>
      </c>
      <c r="AA13" s="104">
        <f t="shared" si="0"/>
        <v>0</v>
      </c>
      <c r="AB13" s="104">
        <f t="shared" si="0"/>
        <v>0</v>
      </c>
      <c r="AC13" s="104">
        <f t="shared" si="0"/>
        <v>0</v>
      </c>
      <c r="AD13" s="104">
        <f t="shared" si="0"/>
        <v>0</v>
      </c>
      <c r="AE13" s="104">
        <f t="shared" si="0"/>
        <v>0</v>
      </c>
      <c r="AF13" s="104">
        <f t="shared" si="0"/>
        <v>0</v>
      </c>
      <c r="AG13" s="84">
        <f>SUM(U13:AF13)</f>
        <v>0</v>
      </c>
      <c r="AH13" s="105" t="str">
        <f>IFERROR(AG13/AG$16,"")</f>
        <v/>
      </c>
      <c r="AJ13" s="84">
        <f>AG13-N13</f>
        <v>0</v>
      </c>
    </row>
    <row r="14" spans="1:36" x14ac:dyDescent="0.3">
      <c r="A14" s="109" t="s">
        <v>101</v>
      </c>
      <c r="B14" s="110">
        <f t="shared" ref="B14:M14" si="1">SUM(B12:B13)</f>
        <v>0</v>
      </c>
      <c r="C14" s="110">
        <f t="shared" si="1"/>
        <v>0</v>
      </c>
      <c r="D14" s="110">
        <f t="shared" si="1"/>
        <v>0</v>
      </c>
      <c r="E14" s="110">
        <f t="shared" si="1"/>
        <v>0</v>
      </c>
      <c r="F14" s="110">
        <f t="shared" si="1"/>
        <v>0</v>
      </c>
      <c r="G14" s="110">
        <f t="shared" si="1"/>
        <v>0</v>
      </c>
      <c r="H14" s="110">
        <f t="shared" si="1"/>
        <v>0</v>
      </c>
      <c r="I14" s="110">
        <f t="shared" si="1"/>
        <v>0</v>
      </c>
      <c r="J14" s="110">
        <f t="shared" si="1"/>
        <v>0</v>
      </c>
      <c r="K14" s="110">
        <f t="shared" si="1"/>
        <v>0</v>
      </c>
      <c r="L14" s="110">
        <f t="shared" si="1"/>
        <v>0</v>
      </c>
      <c r="M14" s="110">
        <f t="shared" si="1"/>
        <v>0</v>
      </c>
      <c r="N14" s="110">
        <f>SUM(B14:M14)</f>
        <v>0</v>
      </c>
      <c r="O14" s="111">
        <f>SUM(O12:O13)</f>
        <v>0</v>
      </c>
      <c r="P14" s="84"/>
      <c r="Q14" s="84"/>
      <c r="R14" s="112"/>
      <c r="S14" s="112"/>
      <c r="T14" s="112"/>
      <c r="U14" s="110">
        <f t="shared" ref="U14:AF14" si="2">SUM(U12:U13)</f>
        <v>0</v>
      </c>
      <c r="V14" s="110">
        <f t="shared" si="2"/>
        <v>0</v>
      </c>
      <c r="W14" s="110">
        <f t="shared" si="2"/>
        <v>0</v>
      </c>
      <c r="X14" s="110">
        <f t="shared" si="2"/>
        <v>0</v>
      </c>
      <c r="Y14" s="110">
        <f t="shared" si="2"/>
        <v>0</v>
      </c>
      <c r="Z14" s="110">
        <f t="shared" si="2"/>
        <v>0</v>
      </c>
      <c r="AA14" s="110">
        <f t="shared" si="2"/>
        <v>0</v>
      </c>
      <c r="AB14" s="110">
        <f t="shared" si="2"/>
        <v>0</v>
      </c>
      <c r="AC14" s="110">
        <f t="shared" si="2"/>
        <v>0</v>
      </c>
      <c r="AD14" s="110">
        <f t="shared" si="2"/>
        <v>0</v>
      </c>
      <c r="AE14" s="110">
        <f t="shared" si="2"/>
        <v>0</v>
      </c>
      <c r="AF14" s="110">
        <f t="shared" si="2"/>
        <v>0</v>
      </c>
      <c r="AG14" s="110">
        <f>SUM(U14:AF14)</f>
        <v>0</v>
      </c>
      <c r="AH14" s="111">
        <f>SUM(AH12:AH13)</f>
        <v>0</v>
      </c>
      <c r="AJ14" s="110">
        <f>AG14-N14</f>
        <v>0</v>
      </c>
    </row>
    <row r="15" spans="1:36" x14ac:dyDescent="0.3">
      <c r="A15" s="113" t="s">
        <v>102</v>
      </c>
      <c r="B15" s="84">
        <f>IFERROR(SUMIF([2]Jan26A!$A:$A,$A15,INDEX([2]Jan26A!$A:$N,0,MATCH($A$1,[2]Jan26A!$A$7:$N$7,0))),0)</f>
        <v>0</v>
      </c>
      <c r="C15" s="84">
        <f>IFERROR(SUMIF([2]Feb26A!$A:$A,$A15,INDEX([2]Feb26A!$A:$N,0,MATCH($A$1,[2]Feb26A!$A$7:$N$7,0))),0)</f>
        <v>0</v>
      </c>
      <c r="D15" s="84">
        <f>IFERROR(SUMIF([2]Mar26A!$A:$A,$A15,INDEX([2]Mar26A!$A:$N,0,MATCH($A$1,[2]Mar26A!$A$7:$N$7,0))),0)</f>
        <v>0</v>
      </c>
      <c r="E15" s="84">
        <f>IFERROR(SUMIF([2]Apr26A!$A:$A,$A15,INDEX([2]Apr26A!$A:$N,0,MATCH($A$1,[2]Apr26A!$A$7:$N$7,0))),0)</f>
        <v>0</v>
      </c>
      <c r="F15" s="84">
        <f>IFERROR(SUMIF([2]May26A!$A:$A,$A15,INDEX([2]May26A!$A:$N,0,MATCH($A$1,[2]May26A!$A$7:$N$7,0))),0)</f>
        <v>0</v>
      </c>
      <c r="G15" s="84">
        <f>IFERROR(SUMIF([2]Jun26A!$A:$A,$A15,INDEX([2]Jun26A!$A:$N,0,MATCH($A$1,[2]Jun26A!$A$7:$N$7,0))),0)</f>
        <v>0</v>
      </c>
      <c r="H15" s="84">
        <f>IFERROR(SUMIF([2]Jul26A!$A:$A,$A15,INDEX([2]Jul26A!$A:$N,0,MATCH($A$1,[2]Jul26A!$A$7:$N$7,0))),0)</f>
        <v>0</v>
      </c>
      <c r="I15" s="84">
        <f>IFERROR(SUMIF([2]Aug26A!$A:$A,$A15,INDEX([2]Aug26A!$A:$N,0,MATCH($A$1,[2]Aug26A!$A$7:$N$7,0))),0)</f>
        <v>0</v>
      </c>
      <c r="J15" s="104"/>
      <c r="K15" s="104"/>
      <c r="L15" s="104"/>
      <c r="M15" s="104"/>
      <c r="N15" s="84">
        <f>SUM(B15:M15)</f>
        <v>0</v>
      </c>
      <c r="O15" s="105" t="str">
        <f>IFERROR(N15/N$16,"")</f>
        <v/>
      </c>
      <c r="P15" s="84"/>
      <c r="Q15" s="84"/>
      <c r="R15" s="106" t="s">
        <v>99</v>
      </c>
      <c r="S15" s="107">
        <v>0</v>
      </c>
      <c r="T15" s="108">
        <v>0.05</v>
      </c>
      <c r="U15" s="104">
        <f t="shared" ref="U15:AF15" si="3">IF($R15="Manual","",IFERROR(IF($R15="YOY Growth",$N15*(1+$T15)/12,$S15/12),""))</f>
        <v>0</v>
      </c>
      <c r="V15" s="104">
        <f t="shared" si="3"/>
        <v>0</v>
      </c>
      <c r="W15" s="104">
        <f t="shared" si="3"/>
        <v>0</v>
      </c>
      <c r="X15" s="104">
        <f t="shared" si="3"/>
        <v>0</v>
      </c>
      <c r="Y15" s="104">
        <f t="shared" si="3"/>
        <v>0</v>
      </c>
      <c r="Z15" s="104">
        <f t="shared" si="3"/>
        <v>0</v>
      </c>
      <c r="AA15" s="104">
        <f t="shared" si="3"/>
        <v>0</v>
      </c>
      <c r="AB15" s="104">
        <f t="shared" si="3"/>
        <v>0</v>
      </c>
      <c r="AC15" s="104">
        <f t="shared" si="3"/>
        <v>0</v>
      </c>
      <c r="AD15" s="104">
        <f t="shared" si="3"/>
        <v>0</v>
      </c>
      <c r="AE15" s="104">
        <f t="shared" si="3"/>
        <v>0</v>
      </c>
      <c r="AF15" s="104">
        <f t="shared" si="3"/>
        <v>0</v>
      </c>
      <c r="AG15" s="84">
        <f>SUM(U15:AF15)</f>
        <v>0</v>
      </c>
      <c r="AH15" s="105" t="str">
        <f>IFERROR(AG15/AG$16,"")</f>
        <v/>
      </c>
      <c r="AJ15" s="84">
        <f>AG15-N15</f>
        <v>0</v>
      </c>
    </row>
    <row r="16" spans="1:36" x14ac:dyDescent="0.3">
      <c r="A16" s="114" t="s">
        <v>103</v>
      </c>
      <c r="B16" s="110">
        <f t="shared" ref="B16:M16" si="4">B14+B15</f>
        <v>0</v>
      </c>
      <c r="C16" s="110">
        <f t="shared" si="4"/>
        <v>0</v>
      </c>
      <c r="D16" s="110">
        <f t="shared" si="4"/>
        <v>0</v>
      </c>
      <c r="E16" s="110">
        <f t="shared" si="4"/>
        <v>0</v>
      </c>
      <c r="F16" s="110">
        <f t="shared" si="4"/>
        <v>0</v>
      </c>
      <c r="G16" s="110">
        <f t="shared" si="4"/>
        <v>0</v>
      </c>
      <c r="H16" s="110">
        <f t="shared" si="4"/>
        <v>0</v>
      </c>
      <c r="I16" s="110">
        <f t="shared" si="4"/>
        <v>0</v>
      </c>
      <c r="J16" s="110">
        <f t="shared" si="4"/>
        <v>0</v>
      </c>
      <c r="K16" s="110">
        <f t="shared" si="4"/>
        <v>0</v>
      </c>
      <c r="L16" s="110">
        <f t="shared" si="4"/>
        <v>0</v>
      </c>
      <c r="M16" s="110">
        <f t="shared" si="4"/>
        <v>0</v>
      </c>
      <c r="N16" s="110">
        <f>SUM(B16:M16)</f>
        <v>0</v>
      </c>
      <c r="O16" s="111">
        <f>SUM(O14:O15)</f>
        <v>0</v>
      </c>
      <c r="P16" s="84"/>
      <c r="Q16" s="84"/>
      <c r="R16" s="112"/>
      <c r="S16" s="112"/>
      <c r="T16" s="112"/>
      <c r="U16" s="110">
        <f t="shared" ref="U16:AF16" si="5">U14+U15</f>
        <v>0</v>
      </c>
      <c r="V16" s="110">
        <f t="shared" si="5"/>
        <v>0</v>
      </c>
      <c r="W16" s="110">
        <f t="shared" si="5"/>
        <v>0</v>
      </c>
      <c r="X16" s="110">
        <f t="shared" si="5"/>
        <v>0</v>
      </c>
      <c r="Y16" s="110">
        <f t="shared" si="5"/>
        <v>0</v>
      </c>
      <c r="Z16" s="110">
        <f t="shared" si="5"/>
        <v>0</v>
      </c>
      <c r="AA16" s="110">
        <f t="shared" si="5"/>
        <v>0</v>
      </c>
      <c r="AB16" s="110">
        <f t="shared" si="5"/>
        <v>0</v>
      </c>
      <c r="AC16" s="110">
        <f t="shared" si="5"/>
        <v>0</v>
      </c>
      <c r="AD16" s="110">
        <f t="shared" si="5"/>
        <v>0</v>
      </c>
      <c r="AE16" s="110">
        <f t="shared" si="5"/>
        <v>0</v>
      </c>
      <c r="AF16" s="110">
        <f t="shared" si="5"/>
        <v>0</v>
      </c>
      <c r="AG16" s="110">
        <f>SUM(U16:AF16)</f>
        <v>0</v>
      </c>
      <c r="AH16" s="111">
        <f>SUM(AH14:AH15)</f>
        <v>0</v>
      </c>
      <c r="AJ16" s="110">
        <f>AG16-N16</f>
        <v>0</v>
      </c>
    </row>
    <row r="17" spans="1:36" x14ac:dyDescent="0.3">
      <c r="A17" s="101" t="s">
        <v>104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105"/>
      <c r="P17" s="84"/>
      <c r="Q17" s="84"/>
      <c r="R17" s="112"/>
      <c r="S17" s="112"/>
      <c r="T17" s="112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105"/>
      <c r="AJ17" s="84"/>
    </row>
    <row r="18" spans="1:36" x14ac:dyDescent="0.3">
      <c r="A18" s="102" t="s">
        <v>105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105"/>
      <c r="P18" s="84"/>
      <c r="Q18" s="84"/>
      <c r="R18" s="112"/>
      <c r="S18" s="112"/>
      <c r="T18" s="112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105"/>
      <c r="AJ18" s="84"/>
    </row>
    <row r="19" spans="1:36" x14ac:dyDescent="0.3">
      <c r="A19" s="103" t="s">
        <v>106</v>
      </c>
      <c r="B19" s="84">
        <f>IFERROR(SUMIF([2]Jan26A!$A:$A,$A19,INDEX([2]Jan26A!$A:$N,0,MATCH($A$1,[2]Jan26A!$A$7:$N$7,0))),0)</f>
        <v>0</v>
      </c>
      <c r="C19" s="84">
        <f>IFERROR(SUMIF([2]Feb26A!$A:$A,$A19,INDEX([2]Feb26A!$A:$N,0,MATCH($A$1,[2]Feb26A!$A$7:$N$7,0))),0)</f>
        <v>0</v>
      </c>
      <c r="D19" s="84">
        <f>IFERROR(SUMIF([2]Mar26A!$A:$A,$A19,INDEX([2]Mar26A!$A:$N,0,MATCH($A$1,[2]Mar26A!$A$7:$N$7,0))),0)</f>
        <v>0</v>
      </c>
      <c r="E19" s="84">
        <f>IFERROR(SUMIF([2]Apr26A!$A:$A,$A19,INDEX([2]Apr26A!$A:$N,0,MATCH($A$1,[2]Apr26A!$A$7:$N$7,0))),0)</f>
        <v>0</v>
      </c>
      <c r="F19" s="84">
        <f>IFERROR(SUMIF([2]May26A!$A:$A,$A19,INDEX([2]May26A!$A:$N,0,MATCH($A$1,[2]May26A!$A$7:$N$7,0))),0)</f>
        <v>0</v>
      </c>
      <c r="G19" s="84">
        <f>IFERROR(SUMIF([2]Jun26A!$A:$A,$A19,INDEX([2]Jun26A!$A:$N,0,MATCH($A$1,[2]Jun26A!$A$7:$N$7,0))),0)</f>
        <v>0</v>
      </c>
      <c r="H19" s="84">
        <f>IFERROR(SUMIF([2]Jul26A!$A:$A,$A19,INDEX([2]Jul26A!$A:$N,0,MATCH($A$1,[2]Jul26A!$A$7:$N$7,0))),0)</f>
        <v>0</v>
      </c>
      <c r="I19" s="84">
        <f>IFERROR(SUMIF([2]Aug26A!$A:$A,$A19,INDEX([2]Aug26A!$A:$N,0,MATCH($A$1,[2]Aug26A!$A$7:$N$7,0))),0)</f>
        <v>0</v>
      </c>
      <c r="J19" s="104"/>
      <c r="K19" s="104"/>
      <c r="L19" s="104"/>
      <c r="M19" s="104"/>
      <c r="N19" s="84">
        <f>SUM(B19:M19)</f>
        <v>0</v>
      </c>
      <c r="O19" s="105" t="str">
        <f>IFERROR(N19/N$16,"")</f>
        <v/>
      </c>
      <c r="P19" s="84"/>
      <c r="Q19" s="84"/>
      <c r="R19" s="106" t="s">
        <v>99</v>
      </c>
      <c r="S19" s="107">
        <v>0</v>
      </c>
      <c r="T19" s="108">
        <v>0.05</v>
      </c>
      <c r="U19" s="104">
        <f t="shared" ref="U19:AF22" si="6">IF($R19="Manual","",IFERROR(IF($R19="YOY Growth",$N19*(1+$T19)/12,$S19/12),""))</f>
        <v>0</v>
      </c>
      <c r="V19" s="104">
        <f t="shared" si="6"/>
        <v>0</v>
      </c>
      <c r="W19" s="104">
        <f t="shared" si="6"/>
        <v>0</v>
      </c>
      <c r="X19" s="104">
        <f t="shared" si="6"/>
        <v>0</v>
      </c>
      <c r="Y19" s="104">
        <f t="shared" si="6"/>
        <v>0</v>
      </c>
      <c r="Z19" s="104">
        <f t="shared" si="6"/>
        <v>0</v>
      </c>
      <c r="AA19" s="104">
        <f t="shared" si="6"/>
        <v>0</v>
      </c>
      <c r="AB19" s="104">
        <f t="shared" si="6"/>
        <v>0</v>
      </c>
      <c r="AC19" s="104">
        <f t="shared" si="6"/>
        <v>0</v>
      </c>
      <c r="AD19" s="104">
        <f t="shared" si="6"/>
        <v>0</v>
      </c>
      <c r="AE19" s="104">
        <f t="shared" si="6"/>
        <v>0</v>
      </c>
      <c r="AF19" s="104">
        <f t="shared" si="6"/>
        <v>0</v>
      </c>
      <c r="AG19" s="84">
        <f>SUM(U19:AF19)</f>
        <v>0</v>
      </c>
      <c r="AH19" s="105" t="str">
        <f>IFERROR(AG19/AG$16,"")</f>
        <v/>
      </c>
      <c r="AJ19" s="84">
        <f>N19-AG19</f>
        <v>0</v>
      </c>
    </row>
    <row r="20" spans="1:36" x14ac:dyDescent="0.3">
      <c r="A20" s="103" t="s">
        <v>107</v>
      </c>
      <c r="B20" s="84">
        <f>IFERROR(SUMIF([2]Jan26A!$A:$A,$A20,INDEX([2]Jan26A!$A:$N,0,MATCH($A$1,[2]Jan26A!$A$7:$N$7,0))),0)</f>
        <v>0</v>
      </c>
      <c r="C20" s="84">
        <f>IFERROR(SUMIF([2]Feb26A!$A:$A,$A20,INDEX([2]Feb26A!$A:$N,0,MATCH($A$1,[2]Feb26A!$A$7:$N$7,0))),0)</f>
        <v>0</v>
      </c>
      <c r="D20" s="84">
        <f>IFERROR(SUMIF([2]Mar26A!$A:$A,$A20,INDEX([2]Mar26A!$A:$N,0,MATCH($A$1,[2]Mar26A!$A$7:$N$7,0))),0)</f>
        <v>0</v>
      </c>
      <c r="E20" s="84">
        <f>IFERROR(SUMIF([2]Apr26A!$A:$A,$A20,INDEX([2]Apr26A!$A:$N,0,MATCH($A$1,[2]Apr26A!$A$7:$N$7,0))),0)</f>
        <v>0</v>
      </c>
      <c r="F20" s="84">
        <f>IFERROR(SUMIF([2]May26A!$A:$A,$A20,INDEX([2]May26A!$A:$N,0,MATCH($A$1,[2]May26A!$A$7:$N$7,0))),0)</f>
        <v>0</v>
      </c>
      <c r="G20" s="84">
        <f>IFERROR(SUMIF([2]Jun26A!$A:$A,$A20,INDEX([2]Jun26A!$A:$N,0,MATCH($A$1,[2]Jun26A!$A$7:$N$7,0))),0)</f>
        <v>0</v>
      </c>
      <c r="H20" s="84">
        <f>IFERROR(SUMIF([2]Jul26A!$A:$A,$A20,INDEX([2]Jul26A!$A:$N,0,MATCH($A$1,[2]Jul26A!$A$7:$N$7,0))),0)</f>
        <v>0</v>
      </c>
      <c r="I20" s="84">
        <f>IFERROR(SUMIF([2]Aug26A!$A:$A,$A20,INDEX([2]Aug26A!$A:$N,0,MATCH($A$1,[2]Aug26A!$A$7:$N$7,0))),0)</f>
        <v>0</v>
      </c>
      <c r="J20" s="104"/>
      <c r="K20" s="104"/>
      <c r="L20" s="104"/>
      <c r="M20" s="104"/>
      <c r="N20" s="84">
        <f>SUM(B20:M20)</f>
        <v>0</v>
      </c>
      <c r="O20" s="105" t="str">
        <f>IFERROR(N20/N$16,"")</f>
        <v/>
      </c>
      <c r="P20" s="84"/>
      <c r="Q20" s="84"/>
      <c r="R20" s="106" t="s">
        <v>99</v>
      </c>
      <c r="S20" s="107">
        <v>0</v>
      </c>
      <c r="T20" s="108">
        <v>0.05</v>
      </c>
      <c r="U20" s="104">
        <f t="shared" si="6"/>
        <v>0</v>
      </c>
      <c r="V20" s="104">
        <f t="shared" si="6"/>
        <v>0</v>
      </c>
      <c r="W20" s="104">
        <f t="shared" si="6"/>
        <v>0</v>
      </c>
      <c r="X20" s="104">
        <f t="shared" si="6"/>
        <v>0</v>
      </c>
      <c r="Y20" s="104">
        <f t="shared" si="6"/>
        <v>0</v>
      </c>
      <c r="Z20" s="104">
        <f t="shared" si="6"/>
        <v>0</v>
      </c>
      <c r="AA20" s="104">
        <f t="shared" si="6"/>
        <v>0</v>
      </c>
      <c r="AB20" s="104">
        <f t="shared" si="6"/>
        <v>0</v>
      </c>
      <c r="AC20" s="104">
        <f t="shared" si="6"/>
        <v>0</v>
      </c>
      <c r="AD20" s="104">
        <f t="shared" si="6"/>
        <v>0</v>
      </c>
      <c r="AE20" s="104">
        <f t="shared" si="6"/>
        <v>0</v>
      </c>
      <c r="AF20" s="104">
        <f t="shared" si="6"/>
        <v>0</v>
      </c>
      <c r="AG20" s="84">
        <f>SUM(U20:AF20)</f>
        <v>0</v>
      </c>
      <c r="AH20" s="105" t="str">
        <f>IFERROR(AG20/AG$16,"")</f>
        <v/>
      </c>
      <c r="AJ20" s="84">
        <f>N20-AG20</f>
        <v>0</v>
      </c>
    </row>
    <row r="21" spans="1:36" x14ac:dyDescent="0.3">
      <c r="A21" s="103" t="s">
        <v>108</v>
      </c>
      <c r="B21" s="84">
        <f>IFERROR(SUMIF([2]Jan26A!$A:$A,$A21,INDEX([2]Jan26A!$A:$N,0,MATCH($A$1,[2]Jan26A!$A$7:$N$7,0))),0)</f>
        <v>0</v>
      </c>
      <c r="C21" s="84">
        <f>IFERROR(SUMIF([2]Feb26A!$A:$A,$A21,INDEX([2]Feb26A!$A:$N,0,MATCH($A$1,[2]Feb26A!$A$7:$N$7,0))),0)</f>
        <v>0</v>
      </c>
      <c r="D21" s="84">
        <f>IFERROR(SUMIF([2]Mar26A!$A:$A,$A21,INDEX([2]Mar26A!$A:$N,0,MATCH($A$1,[2]Mar26A!$A$7:$N$7,0))),0)</f>
        <v>0</v>
      </c>
      <c r="E21" s="84">
        <f>IFERROR(SUMIF([2]Apr26A!$A:$A,$A21,INDEX([2]Apr26A!$A:$N,0,MATCH($A$1,[2]Apr26A!$A$7:$N$7,0))),0)</f>
        <v>0</v>
      </c>
      <c r="F21" s="84">
        <f>IFERROR(SUMIF([2]May26A!$A:$A,$A21,INDEX([2]May26A!$A:$N,0,MATCH($A$1,[2]May26A!$A$7:$N$7,0))),0)</f>
        <v>0</v>
      </c>
      <c r="G21" s="84">
        <f>IFERROR(SUMIF([2]Jun26A!$A:$A,$A21,INDEX([2]Jun26A!$A:$N,0,MATCH($A$1,[2]Jun26A!$A$7:$N$7,0))),0)</f>
        <v>0</v>
      </c>
      <c r="H21" s="84">
        <f>IFERROR(SUMIF([2]Jul26A!$A:$A,$A21,INDEX([2]Jul26A!$A:$N,0,MATCH($A$1,[2]Jul26A!$A$7:$N$7,0))),0)</f>
        <v>0</v>
      </c>
      <c r="I21" s="84">
        <f>IFERROR(SUMIF([2]Aug26A!$A:$A,$A21,INDEX([2]Aug26A!$A:$N,0,MATCH($A$1,[2]Aug26A!$A$7:$N$7,0))),0)</f>
        <v>0</v>
      </c>
      <c r="J21" s="104"/>
      <c r="K21" s="104"/>
      <c r="L21" s="104"/>
      <c r="M21" s="104"/>
      <c r="N21" s="84">
        <f>SUM(B21:M21)</f>
        <v>0</v>
      </c>
      <c r="O21" s="105" t="str">
        <f>IFERROR(N21/N$16,"")</f>
        <v/>
      </c>
      <c r="P21" s="84"/>
      <c r="Q21" s="84"/>
      <c r="R21" s="106" t="s">
        <v>99</v>
      </c>
      <c r="S21" s="107">
        <v>0</v>
      </c>
      <c r="T21" s="108">
        <v>0.05</v>
      </c>
      <c r="U21" s="104">
        <f t="shared" si="6"/>
        <v>0</v>
      </c>
      <c r="V21" s="104">
        <f t="shared" si="6"/>
        <v>0</v>
      </c>
      <c r="W21" s="104">
        <f t="shared" si="6"/>
        <v>0</v>
      </c>
      <c r="X21" s="104">
        <f t="shared" si="6"/>
        <v>0</v>
      </c>
      <c r="Y21" s="104">
        <f t="shared" si="6"/>
        <v>0</v>
      </c>
      <c r="Z21" s="104">
        <f t="shared" si="6"/>
        <v>0</v>
      </c>
      <c r="AA21" s="104">
        <f t="shared" si="6"/>
        <v>0</v>
      </c>
      <c r="AB21" s="104">
        <f t="shared" si="6"/>
        <v>0</v>
      </c>
      <c r="AC21" s="104">
        <f t="shared" si="6"/>
        <v>0</v>
      </c>
      <c r="AD21" s="104">
        <f t="shared" si="6"/>
        <v>0</v>
      </c>
      <c r="AE21" s="104">
        <f t="shared" si="6"/>
        <v>0</v>
      </c>
      <c r="AF21" s="104">
        <f t="shared" si="6"/>
        <v>0</v>
      </c>
      <c r="AG21" s="84">
        <f>SUM(U21:AF21)</f>
        <v>0</v>
      </c>
      <c r="AH21" s="105" t="str">
        <f>IFERROR(AG21/AG$16,"")</f>
        <v/>
      </c>
      <c r="AJ21" s="84">
        <f>N21-AG21</f>
        <v>0</v>
      </c>
    </row>
    <row r="22" spans="1:36" x14ac:dyDescent="0.3">
      <c r="A22" s="103" t="s">
        <v>109</v>
      </c>
      <c r="B22" s="84">
        <f>IFERROR(SUMIF([2]Jan26A!$A:$A,$A22,INDEX([2]Jan26A!$A:$N,0,MATCH($A$1,[2]Jan26A!$A$7:$N$7,0))),0)</f>
        <v>0</v>
      </c>
      <c r="C22" s="84">
        <f>IFERROR(SUMIF([2]Feb26A!$A:$A,$A22,INDEX([2]Feb26A!$A:$N,0,MATCH($A$1,[2]Feb26A!$A$7:$N$7,0))),0)</f>
        <v>0</v>
      </c>
      <c r="D22" s="84">
        <f>IFERROR(SUMIF([2]Mar26A!$A:$A,$A22,INDEX([2]Mar26A!$A:$N,0,MATCH($A$1,[2]Mar26A!$A$7:$N$7,0))),0)</f>
        <v>0</v>
      </c>
      <c r="E22" s="84">
        <f>IFERROR(SUMIF([2]Apr26A!$A:$A,$A22,INDEX([2]Apr26A!$A:$N,0,MATCH($A$1,[2]Apr26A!$A$7:$N$7,0))),0)</f>
        <v>0</v>
      </c>
      <c r="F22" s="84">
        <f>IFERROR(SUMIF([2]May26A!$A:$A,$A22,INDEX([2]May26A!$A:$N,0,MATCH($A$1,[2]May26A!$A$7:$N$7,0))),0)</f>
        <v>0</v>
      </c>
      <c r="G22" s="84">
        <f>IFERROR(SUMIF([2]Jun26A!$A:$A,$A22,INDEX([2]Jun26A!$A:$N,0,MATCH($A$1,[2]Jun26A!$A$7:$N$7,0))),0)</f>
        <v>0</v>
      </c>
      <c r="H22" s="84">
        <f>IFERROR(SUMIF([2]Jul26A!$A:$A,$A22,INDEX([2]Jul26A!$A:$N,0,MATCH($A$1,[2]Jul26A!$A$7:$N$7,0))),0)</f>
        <v>0</v>
      </c>
      <c r="I22" s="84">
        <f>IFERROR(SUMIF([2]Aug26A!$A:$A,$A22,INDEX([2]Aug26A!$A:$N,0,MATCH($A$1,[2]Aug26A!$A$7:$N$7,0))),0)</f>
        <v>0</v>
      </c>
      <c r="J22" s="104"/>
      <c r="K22" s="104"/>
      <c r="L22" s="104"/>
      <c r="M22" s="104"/>
      <c r="N22" s="84">
        <f>SUM(B22:M22)</f>
        <v>0</v>
      </c>
      <c r="O22" s="105" t="str">
        <f>IFERROR(N22/N$16,"")</f>
        <v/>
      </c>
      <c r="P22" s="84"/>
      <c r="Q22" s="84"/>
      <c r="R22" s="106" t="s">
        <v>99</v>
      </c>
      <c r="S22" s="107">
        <v>0</v>
      </c>
      <c r="T22" s="108">
        <v>0.05</v>
      </c>
      <c r="U22" s="104">
        <f t="shared" si="6"/>
        <v>0</v>
      </c>
      <c r="V22" s="104">
        <f t="shared" si="6"/>
        <v>0</v>
      </c>
      <c r="W22" s="104">
        <f t="shared" si="6"/>
        <v>0</v>
      </c>
      <c r="X22" s="104">
        <f t="shared" si="6"/>
        <v>0</v>
      </c>
      <c r="Y22" s="104">
        <f t="shared" si="6"/>
        <v>0</v>
      </c>
      <c r="Z22" s="104">
        <f t="shared" si="6"/>
        <v>0</v>
      </c>
      <c r="AA22" s="104">
        <f t="shared" si="6"/>
        <v>0</v>
      </c>
      <c r="AB22" s="104">
        <f t="shared" si="6"/>
        <v>0</v>
      </c>
      <c r="AC22" s="104">
        <f t="shared" si="6"/>
        <v>0</v>
      </c>
      <c r="AD22" s="104">
        <f t="shared" si="6"/>
        <v>0</v>
      </c>
      <c r="AE22" s="104">
        <f t="shared" si="6"/>
        <v>0</v>
      </c>
      <c r="AF22" s="104">
        <f t="shared" si="6"/>
        <v>0</v>
      </c>
      <c r="AG22" s="84">
        <f>SUM(U22:AF22)</f>
        <v>0</v>
      </c>
      <c r="AH22" s="105" t="str">
        <f>IFERROR(AG22/AG$16,"")</f>
        <v/>
      </c>
      <c r="AJ22" s="84">
        <f>N22-AG22</f>
        <v>0</v>
      </c>
    </row>
    <row r="23" spans="1:36" x14ac:dyDescent="0.3">
      <c r="A23" s="115" t="s">
        <v>110</v>
      </c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105"/>
      <c r="P23" s="84"/>
      <c r="Q23" s="84"/>
      <c r="R23" s="112"/>
      <c r="S23" s="112"/>
      <c r="T23" s="112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105"/>
      <c r="AJ23" s="84"/>
    </row>
    <row r="24" spans="1:36" x14ac:dyDescent="0.3">
      <c r="A24" s="116" t="s">
        <v>110</v>
      </c>
      <c r="B24" s="84">
        <f>IFERROR(SUMIF([2]Jan26A!$A:$A,$A24,INDEX([2]Jan26A!$A:$N,0,MATCH($A$1,[2]Jan26A!$A$7:$N$7,0))),0)</f>
        <v>0</v>
      </c>
      <c r="C24" s="84">
        <f>IFERROR(SUMIF([2]Feb26A!$A:$A,$A24,INDEX([2]Feb26A!$A:$N,0,MATCH($A$1,[2]Feb26A!$A$7:$N$7,0))),0)</f>
        <v>0</v>
      </c>
      <c r="D24" s="84">
        <f>IFERROR(SUMIF([2]Mar26A!$A:$A,$A24,INDEX([2]Mar26A!$A:$N,0,MATCH($A$1,[2]Mar26A!$A$7:$N$7,0))),0)</f>
        <v>0</v>
      </c>
      <c r="E24" s="84">
        <f>IFERROR(SUMIF([2]Apr26A!$A:$A,$A24,INDEX([2]Apr26A!$A:$N,0,MATCH($A$1,[2]Apr26A!$A$7:$N$7,0))),0)</f>
        <v>0</v>
      </c>
      <c r="F24" s="84">
        <f>IFERROR(SUMIF([2]May26A!$A:$A,$A24,INDEX([2]May26A!$A:$N,0,MATCH($A$1,[2]May26A!$A$7:$N$7,0))),0)</f>
        <v>0</v>
      </c>
      <c r="G24" s="84">
        <f>IFERROR(SUMIF([2]Jun26A!$A:$A,$A24,INDEX([2]Jun26A!$A:$N,0,MATCH($A$1,[2]Jun26A!$A$7:$N$7,0))),0)</f>
        <v>0</v>
      </c>
      <c r="H24" s="84">
        <f>IFERROR(SUMIF([2]Jul26A!$A:$A,$A24,INDEX([2]Jul26A!$A:$N,0,MATCH($A$1,[2]Jul26A!$A$7:$N$7,0))),0)</f>
        <v>0</v>
      </c>
      <c r="I24" s="84">
        <f>IFERROR(SUMIF([2]Aug26A!$A:$A,$A24,INDEX([2]Aug26A!$A:$N,0,MATCH($A$1,[2]Aug26A!$A$7:$N$7,0))),0)</f>
        <v>0</v>
      </c>
      <c r="J24" s="117">
        <v>0</v>
      </c>
      <c r="K24" s="117">
        <v>0</v>
      </c>
      <c r="L24" s="117">
        <v>0</v>
      </c>
      <c r="M24" s="117">
        <v>0</v>
      </c>
      <c r="N24" s="84">
        <f t="shared" ref="N24:N31" si="7">SUM(B24:M24)</f>
        <v>0</v>
      </c>
      <c r="O24" s="105" t="str">
        <f t="shared" ref="O24:O31" si="8">IFERROR(N24/N$16,"")</f>
        <v/>
      </c>
      <c r="P24" s="84"/>
      <c r="Q24" s="84"/>
      <c r="R24" s="106" t="s">
        <v>99</v>
      </c>
      <c r="S24" s="107">
        <v>0</v>
      </c>
      <c r="T24" s="108">
        <v>0.05</v>
      </c>
      <c r="U24" s="104">
        <f t="shared" ref="U24:AF26" si="9">IF($R24="Manual","",IFERROR(IF($R24="YOY Growth",$N24*(1+$T24)/12,$S24/12),""))</f>
        <v>0</v>
      </c>
      <c r="V24" s="104">
        <f t="shared" si="9"/>
        <v>0</v>
      </c>
      <c r="W24" s="104">
        <f t="shared" si="9"/>
        <v>0</v>
      </c>
      <c r="X24" s="104">
        <f t="shared" si="9"/>
        <v>0</v>
      </c>
      <c r="Y24" s="104">
        <f t="shared" si="9"/>
        <v>0</v>
      </c>
      <c r="Z24" s="104">
        <f t="shared" si="9"/>
        <v>0</v>
      </c>
      <c r="AA24" s="104">
        <f t="shared" si="9"/>
        <v>0</v>
      </c>
      <c r="AB24" s="104">
        <f t="shared" si="9"/>
        <v>0</v>
      </c>
      <c r="AC24" s="104">
        <f t="shared" si="9"/>
        <v>0</v>
      </c>
      <c r="AD24" s="104">
        <f t="shared" si="9"/>
        <v>0</v>
      </c>
      <c r="AE24" s="104">
        <f t="shared" si="9"/>
        <v>0</v>
      </c>
      <c r="AF24" s="104">
        <f t="shared" si="9"/>
        <v>0</v>
      </c>
      <c r="AG24" s="84">
        <f t="shared" ref="AG24:AG31" si="10">SUM(U24:AF24)</f>
        <v>0</v>
      </c>
      <c r="AH24" s="105" t="str">
        <f t="shared" ref="AH24:AH31" si="11">IFERROR(AG24/AG$16,"")</f>
        <v/>
      </c>
      <c r="AJ24" s="84">
        <f t="shared" ref="AJ24:AJ31" si="12">N24-AG24</f>
        <v>0</v>
      </c>
    </row>
    <row r="25" spans="1:36" x14ac:dyDescent="0.3">
      <c r="A25" s="116" t="s">
        <v>111</v>
      </c>
      <c r="B25" s="84">
        <f>IFERROR(SUMIF([2]Jan26A!$A:$A,$A25,INDEX([2]Jan26A!$A:$N,0,MATCH($A$1,[2]Jan26A!$A$7:$N$7,0))),0)</f>
        <v>0</v>
      </c>
      <c r="C25" s="84">
        <f>IFERROR(SUMIF([2]Feb26A!$A:$A,$A25,INDEX([2]Feb26A!$A:$N,0,MATCH($A$1,[2]Feb26A!$A$7:$N$7,0))),0)</f>
        <v>0</v>
      </c>
      <c r="D25" s="84">
        <f>IFERROR(SUMIF([2]Mar26A!$A:$A,$A25,INDEX([2]Mar26A!$A:$N,0,MATCH($A$1,[2]Mar26A!$A$7:$N$7,0))),0)</f>
        <v>0</v>
      </c>
      <c r="E25" s="84">
        <f>IFERROR(SUMIF([2]Apr26A!$A:$A,$A25,INDEX([2]Apr26A!$A:$N,0,MATCH($A$1,[2]Apr26A!$A$7:$N$7,0))),0)</f>
        <v>0</v>
      </c>
      <c r="F25" s="84">
        <f>IFERROR(SUMIF([2]May26A!$A:$A,$A25,INDEX([2]May26A!$A:$N,0,MATCH($A$1,[2]May26A!$A$7:$N$7,0))),0)</f>
        <v>0</v>
      </c>
      <c r="G25" s="84">
        <f>IFERROR(SUMIF([2]Jun26A!$A:$A,$A25,INDEX([2]Jun26A!$A:$N,0,MATCH($A$1,[2]Jun26A!$A$7:$N$7,0))),0)</f>
        <v>0</v>
      </c>
      <c r="H25" s="84">
        <f>IFERROR(SUMIF([2]Jul26A!$A:$A,$A25,INDEX([2]Jul26A!$A:$N,0,MATCH($A$1,[2]Jul26A!$A$7:$N$7,0))),0)</f>
        <v>0</v>
      </c>
      <c r="I25" s="84">
        <f>IFERROR(SUMIF([2]Aug26A!$A:$A,$A25,INDEX([2]Aug26A!$A:$N,0,MATCH($A$1,[2]Aug26A!$A$7:$N$7,0))),0)</f>
        <v>0</v>
      </c>
      <c r="J25" s="117">
        <v>0</v>
      </c>
      <c r="K25" s="117">
        <v>0</v>
      </c>
      <c r="L25" s="117">
        <v>0</v>
      </c>
      <c r="M25" s="117">
        <v>0</v>
      </c>
      <c r="N25" s="84">
        <f t="shared" si="7"/>
        <v>0</v>
      </c>
      <c r="O25" s="105" t="str">
        <f t="shared" si="8"/>
        <v/>
      </c>
      <c r="P25" s="84"/>
      <c r="Q25" s="84"/>
      <c r="R25" s="106" t="s">
        <v>99</v>
      </c>
      <c r="S25" s="107">
        <v>0</v>
      </c>
      <c r="T25" s="108">
        <v>0.05</v>
      </c>
      <c r="U25" s="104">
        <f t="shared" si="9"/>
        <v>0</v>
      </c>
      <c r="V25" s="104">
        <f t="shared" si="9"/>
        <v>0</v>
      </c>
      <c r="W25" s="104">
        <f t="shared" si="9"/>
        <v>0</v>
      </c>
      <c r="X25" s="104">
        <f t="shared" si="9"/>
        <v>0</v>
      </c>
      <c r="Y25" s="104">
        <f t="shared" si="9"/>
        <v>0</v>
      </c>
      <c r="Z25" s="104">
        <f t="shared" si="9"/>
        <v>0</v>
      </c>
      <c r="AA25" s="104">
        <f t="shared" si="9"/>
        <v>0</v>
      </c>
      <c r="AB25" s="104">
        <f t="shared" si="9"/>
        <v>0</v>
      </c>
      <c r="AC25" s="104">
        <f t="shared" si="9"/>
        <v>0</v>
      </c>
      <c r="AD25" s="104">
        <f t="shared" si="9"/>
        <v>0</v>
      </c>
      <c r="AE25" s="104">
        <f t="shared" si="9"/>
        <v>0</v>
      </c>
      <c r="AF25" s="104">
        <f t="shared" si="9"/>
        <v>0</v>
      </c>
      <c r="AG25" s="84">
        <f t="shared" si="10"/>
        <v>0</v>
      </c>
      <c r="AH25" s="105" t="str">
        <f t="shared" si="11"/>
        <v/>
      </c>
      <c r="AJ25" s="84">
        <f t="shared" si="12"/>
        <v>0</v>
      </c>
    </row>
    <row r="26" spans="1:36" x14ac:dyDescent="0.3">
      <c r="A26" s="116" t="s">
        <v>112</v>
      </c>
      <c r="B26" s="84">
        <f>IFERROR(SUMIF([2]Jan26A!$A:$A,$A26,INDEX([2]Jan26A!$A:$N,0,MATCH($A$1,[2]Jan26A!$A$7:$N$7,0))),0)</f>
        <v>0</v>
      </c>
      <c r="C26" s="84">
        <f>IFERROR(SUMIF([2]Feb26A!$A:$A,$A26,INDEX([2]Feb26A!$A:$N,0,MATCH($A$1,[2]Feb26A!$A$7:$N$7,0))),0)</f>
        <v>0</v>
      </c>
      <c r="D26" s="84">
        <f>IFERROR(SUMIF([2]Mar26A!$A:$A,$A26,INDEX([2]Mar26A!$A:$N,0,MATCH($A$1,[2]Mar26A!$A$7:$N$7,0))),0)</f>
        <v>0</v>
      </c>
      <c r="E26" s="84">
        <f>IFERROR(SUMIF([2]Apr26A!$A:$A,$A26,INDEX([2]Apr26A!$A:$N,0,MATCH($A$1,[2]Apr26A!$A$7:$N$7,0))),0)</f>
        <v>0</v>
      </c>
      <c r="F26" s="84">
        <f>IFERROR(SUMIF([2]May26A!$A:$A,$A26,INDEX([2]May26A!$A:$N,0,MATCH($A$1,[2]May26A!$A$7:$N$7,0))),0)</f>
        <v>0</v>
      </c>
      <c r="G26" s="84">
        <f>IFERROR(SUMIF([2]Jun26A!$A:$A,$A26,INDEX([2]Jun26A!$A:$N,0,MATCH($A$1,[2]Jun26A!$A$7:$N$7,0))),0)</f>
        <v>0</v>
      </c>
      <c r="H26" s="84">
        <f>IFERROR(SUMIF([2]Jul26A!$A:$A,$A26,INDEX([2]Jul26A!$A:$N,0,MATCH($A$1,[2]Jul26A!$A$7:$N$7,0))),0)</f>
        <v>0</v>
      </c>
      <c r="I26" s="84">
        <f>IFERROR(SUMIF([2]Aug26A!$A:$A,$A26,INDEX([2]Aug26A!$A:$N,0,MATCH($A$1,[2]Aug26A!$A$7:$N$7,0))),0)</f>
        <v>0</v>
      </c>
      <c r="J26" s="117">
        <v>0</v>
      </c>
      <c r="K26" s="117">
        <v>0</v>
      </c>
      <c r="L26" s="117">
        <v>0</v>
      </c>
      <c r="M26" s="117">
        <v>0</v>
      </c>
      <c r="N26" s="84">
        <f t="shared" si="7"/>
        <v>0</v>
      </c>
      <c r="O26" s="105" t="str">
        <f t="shared" si="8"/>
        <v/>
      </c>
      <c r="P26" s="84"/>
      <c r="Q26" s="84"/>
      <c r="R26" s="106" t="s">
        <v>99</v>
      </c>
      <c r="S26" s="107">
        <v>0</v>
      </c>
      <c r="T26" s="108">
        <v>0.05</v>
      </c>
      <c r="U26" s="104">
        <f t="shared" si="9"/>
        <v>0</v>
      </c>
      <c r="V26" s="104">
        <f t="shared" si="9"/>
        <v>0</v>
      </c>
      <c r="W26" s="104">
        <f t="shared" si="9"/>
        <v>0</v>
      </c>
      <c r="X26" s="104">
        <f t="shared" si="9"/>
        <v>0</v>
      </c>
      <c r="Y26" s="104">
        <f t="shared" si="9"/>
        <v>0</v>
      </c>
      <c r="Z26" s="104">
        <f t="shared" si="9"/>
        <v>0</v>
      </c>
      <c r="AA26" s="104">
        <f t="shared" si="9"/>
        <v>0</v>
      </c>
      <c r="AB26" s="104">
        <f t="shared" si="9"/>
        <v>0</v>
      </c>
      <c r="AC26" s="104">
        <f t="shared" si="9"/>
        <v>0</v>
      </c>
      <c r="AD26" s="104">
        <f t="shared" si="9"/>
        <v>0</v>
      </c>
      <c r="AE26" s="104">
        <f t="shared" si="9"/>
        <v>0</v>
      </c>
      <c r="AF26" s="104">
        <f t="shared" si="9"/>
        <v>0</v>
      </c>
      <c r="AG26" s="84">
        <f t="shared" si="10"/>
        <v>0</v>
      </c>
      <c r="AH26" s="105" t="str">
        <f t="shared" si="11"/>
        <v/>
      </c>
      <c r="AJ26" s="84">
        <f t="shared" si="12"/>
        <v>0</v>
      </c>
    </row>
    <row r="27" spans="1:36" x14ac:dyDescent="0.3">
      <c r="A27" s="118" t="s">
        <v>113</v>
      </c>
      <c r="B27" s="110">
        <f t="shared" ref="B27:M27" si="13">SUM(B24:B26)</f>
        <v>0</v>
      </c>
      <c r="C27" s="110">
        <f t="shared" si="13"/>
        <v>0</v>
      </c>
      <c r="D27" s="110">
        <f t="shared" si="13"/>
        <v>0</v>
      </c>
      <c r="E27" s="110">
        <f t="shared" si="13"/>
        <v>0</v>
      </c>
      <c r="F27" s="110">
        <f t="shared" si="13"/>
        <v>0</v>
      </c>
      <c r="G27" s="110">
        <f t="shared" si="13"/>
        <v>0</v>
      </c>
      <c r="H27" s="110">
        <f t="shared" si="13"/>
        <v>0</v>
      </c>
      <c r="I27" s="110">
        <f t="shared" si="13"/>
        <v>0</v>
      </c>
      <c r="J27" s="110">
        <f t="shared" si="13"/>
        <v>0</v>
      </c>
      <c r="K27" s="110">
        <f t="shared" si="13"/>
        <v>0</v>
      </c>
      <c r="L27" s="110">
        <f t="shared" si="13"/>
        <v>0</v>
      </c>
      <c r="M27" s="110">
        <f t="shared" si="13"/>
        <v>0</v>
      </c>
      <c r="N27" s="110">
        <f t="shared" si="7"/>
        <v>0</v>
      </c>
      <c r="O27" s="111" t="str">
        <f t="shared" si="8"/>
        <v/>
      </c>
      <c r="P27" s="84"/>
      <c r="Q27" s="84"/>
      <c r="R27" s="112"/>
      <c r="S27" s="112"/>
      <c r="T27" s="112"/>
      <c r="U27" s="110">
        <f t="shared" ref="U27:AF27" si="14">SUM(U24:U26)</f>
        <v>0</v>
      </c>
      <c r="V27" s="110">
        <f t="shared" si="14"/>
        <v>0</v>
      </c>
      <c r="W27" s="110">
        <f t="shared" si="14"/>
        <v>0</v>
      </c>
      <c r="X27" s="110">
        <f t="shared" si="14"/>
        <v>0</v>
      </c>
      <c r="Y27" s="110">
        <f t="shared" si="14"/>
        <v>0</v>
      </c>
      <c r="Z27" s="110">
        <f t="shared" si="14"/>
        <v>0</v>
      </c>
      <c r="AA27" s="110">
        <f t="shared" si="14"/>
        <v>0</v>
      </c>
      <c r="AB27" s="110">
        <f t="shared" si="14"/>
        <v>0</v>
      </c>
      <c r="AC27" s="110">
        <f t="shared" si="14"/>
        <v>0</v>
      </c>
      <c r="AD27" s="110">
        <f t="shared" si="14"/>
        <v>0</v>
      </c>
      <c r="AE27" s="110">
        <f t="shared" si="14"/>
        <v>0</v>
      </c>
      <c r="AF27" s="110">
        <f t="shared" si="14"/>
        <v>0</v>
      </c>
      <c r="AG27" s="110">
        <f t="shared" si="10"/>
        <v>0</v>
      </c>
      <c r="AH27" s="111" t="str">
        <f t="shared" si="11"/>
        <v/>
      </c>
      <c r="AJ27" s="110">
        <f t="shared" si="12"/>
        <v>0</v>
      </c>
    </row>
    <row r="28" spans="1:36" x14ac:dyDescent="0.3">
      <c r="A28" s="103" t="s">
        <v>114</v>
      </c>
      <c r="B28" s="84">
        <f>IFERROR(SUMIF([2]Jan26A!$A:$A,$A28,INDEX([2]Jan26A!$A:$N,0,MATCH($A$1,[2]Jan26A!$A$7:$N$7,0))),0)</f>
        <v>0</v>
      </c>
      <c r="C28" s="84">
        <f>IFERROR(SUMIF([2]Feb26A!$A:$A,$A28,INDEX([2]Feb26A!$A:$N,0,MATCH($A$1,[2]Feb26A!$A$7:$N$7,0))),0)</f>
        <v>0</v>
      </c>
      <c r="D28" s="84">
        <f>IFERROR(SUMIF([2]Mar26A!$A:$A,$A28,INDEX([2]Mar26A!$A:$N,0,MATCH($A$1,[2]Mar26A!$A$7:$N$7,0))),0)</f>
        <v>0</v>
      </c>
      <c r="E28" s="84">
        <f>IFERROR(SUMIF([2]Apr26A!$A:$A,$A28,INDEX([2]Apr26A!$A:$N,0,MATCH($A$1,[2]Apr26A!$A$7:$N$7,0))),0)</f>
        <v>1312.33</v>
      </c>
      <c r="F28" s="84">
        <f>IFERROR(SUMIF([2]May26A!$A:$A,$A28,INDEX([2]May26A!$A:$N,0,MATCH($A$1,[2]May26A!$A$7:$N$7,0))),0)</f>
        <v>0</v>
      </c>
      <c r="G28" s="84">
        <f>IFERROR(SUMIF([2]Jun26A!$A:$A,$A28,INDEX([2]Jun26A!$A:$N,0,MATCH($A$1,[2]Jun26A!$A$7:$N$7,0))),0)</f>
        <v>0</v>
      </c>
      <c r="H28" s="84">
        <f>IFERROR(SUMIF([2]Jul26A!$A:$A,$A28,INDEX([2]Jul26A!$A:$N,0,MATCH($A$1,[2]Jul26A!$A$7:$N$7,0))),0)</f>
        <v>0</v>
      </c>
      <c r="I28" s="84">
        <f>IFERROR(SUMIF([2]Aug26A!$A:$A,$A28,INDEX([2]Aug26A!$A:$N,0,MATCH($A$1,[2]Aug26A!$A$7:$N$7,0))),0)</f>
        <v>0</v>
      </c>
      <c r="J28" s="117">
        <v>0</v>
      </c>
      <c r="K28" s="117">
        <v>0</v>
      </c>
      <c r="L28" s="117">
        <v>0</v>
      </c>
      <c r="M28" s="117">
        <v>0</v>
      </c>
      <c r="N28" s="84">
        <f t="shared" si="7"/>
        <v>1312.33</v>
      </c>
      <c r="O28" s="105" t="str">
        <f t="shared" si="8"/>
        <v/>
      </c>
      <c r="P28" s="84"/>
      <c r="Q28" s="84"/>
      <c r="R28" s="106" t="s">
        <v>99</v>
      </c>
      <c r="S28" s="107">
        <v>0</v>
      </c>
      <c r="T28" s="108">
        <v>0.05</v>
      </c>
      <c r="U28" s="104">
        <f t="shared" ref="U28:AF31" si="15">IF($R28="Manual","",IFERROR(IF($R28="YOY Growth",$N28*(1+$T28)/12,$S28/12),""))</f>
        <v>0</v>
      </c>
      <c r="V28" s="104">
        <f t="shared" si="15"/>
        <v>0</v>
      </c>
      <c r="W28" s="104">
        <f t="shared" si="15"/>
        <v>0</v>
      </c>
      <c r="X28" s="104">
        <f t="shared" si="15"/>
        <v>0</v>
      </c>
      <c r="Y28" s="104">
        <f t="shared" si="15"/>
        <v>0</v>
      </c>
      <c r="Z28" s="104">
        <f t="shared" si="15"/>
        <v>0</v>
      </c>
      <c r="AA28" s="104">
        <f t="shared" si="15"/>
        <v>0</v>
      </c>
      <c r="AB28" s="104">
        <f t="shared" si="15"/>
        <v>0</v>
      </c>
      <c r="AC28" s="104">
        <f t="shared" si="15"/>
        <v>0</v>
      </c>
      <c r="AD28" s="104">
        <f t="shared" si="15"/>
        <v>0</v>
      </c>
      <c r="AE28" s="104">
        <f t="shared" si="15"/>
        <v>0</v>
      </c>
      <c r="AF28" s="104">
        <f t="shared" si="15"/>
        <v>0</v>
      </c>
      <c r="AG28" s="84">
        <f t="shared" si="10"/>
        <v>0</v>
      </c>
      <c r="AH28" s="105" t="str">
        <f t="shared" si="11"/>
        <v/>
      </c>
      <c r="AJ28" s="84">
        <f t="shared" si="12"/>
        <v>1312.33</v>
      </c>
    </row>
    <row r="29" spans="1:36" x14ac:dyDescent="0.3">
      <c r="A29" s="103" t="s">
        <v>115</v>
      </c>
      <c r="B29" s="84">
        <f>IFERROR(SUMIF([2]Jan26A!$A:$A,$A29,INDEX([2]Jan26A!$A:$N,0,MATCH($A$1,[2]Jan26A!$A$7:$N$7,0))),0)</f>
        <v>118.63</v>
      </c>
      <c r="C29" s="84">
        <f>IFERROR(SUMIF([2]Feb26A!$A:$A,$A29,INDEX([2]Feb26A!$A:$N,0,MATCH($A$1,[2]Feb26A!$A$7:$N$7,0))),0)</f>
        <v>0</v>
      </c>
      <c r="D29" s="84">
        <f>IFERROR(SUMIF([2]Mar26A!$A:$A,$A29,INDEX([2]Mar26A!$A:$N,0,MATCH($A$1,[2]Mar26A!$A$7:$N$7,0))),0)</f>
        <v>0</v>
      </c>
      <c r="E29" s="84">
        <f>IFERROR(SUMIF([2]Apr26A!$A:$A,$A29,INDEX([2]Apr26A!$A:$N,0,MATCH($A$1,[2]Apr26A!$A$7:$N$7,0))),0)</f>
        <v>0</v>
      </c>
      <c r="F29" s="84">
        <f>IFERROR(SUMIF([2]May26A!$A:$A,$A29,INDEX([2]May26A!$A:$N,0,MATCH($A$1,[2]May26A!$A$7:$N$7,0))),0)</f>
        <v>14.38</v>
      </c>
      <c r="G29" s="84">
        <f>IFERROR(SUMIF([2]Jun26A!$A:$A,$A29,INDEX([2]Jun26A!$A:$N,0,MATCH($A$1,[2]Jun26A!$A$7:$N$7,0))),0)</f>
        <v>0</v>
      </c>
      <c r="H29" s="84">
        <f>IFERROR(SUMIF([2]Jul26A!$A:$A,$A29,INDEX([2]Jul26A!$A:$N,0,MATCH($A$1,[2]Jul26A!$A$7:$N$7,0))),0)</f>
        <v>0</v>
      </c>
      <c r="I29" s="84">
        <f>IFERROR(SUMIF([2]Aug26A!$A:$A,$A29,INDEX([2]Aug26A!$A:$N,0,MATCH($A$1,[2]Aug26A!$A$7:$N$7,0))),0)</f>
        <v>0</v>
      </c>
      <c r="J29" s="117">
        <v>0</v>
      </c>
      <c r="K29" s="117">
        <v>0</v>
      </c>
      <c r="L29" s="117">
        <v>0</v>
      </c>
      <c r="M29" s="117">
        <v>0</v>
      </c>
      <c r="N29" s="84">
        <f t="shared" si="7"/>
        <v>133.01</v>
      </c>
      <c r="O29" s="105" t="str">
        <f t="shared" si="8"/>
        <v/>
      </c>
      <c r="P29" s="84"/>
      <c r="Q29" s="84"/>
      <c r="R29" s="106" t="s">
        <v>99</v>
      </c>
      <c r="S29" s="107">
        <v>0</v>
      </c>
      <c r="T29" s="108">
        <v>0.05</v>
      </c>
      <c r="U29" s="104">
        <f t="shared" si="15"/>
        <v>0</v>
      </c>
      <c r="V29" s="104">
        <f t="shared" si="15"/>
        <v>0</v>
      </c>
      <c r="W29" s="104">
        <f t="shared" si="15"/>
        <v>0</v>
      </c>
      <c r="X29" s="104">
        <f t="shared" si="15"/>
        <v>0</v>
      </c>
      <c r="Y29" s="104">
        <f t="shared" si="15"/>
        <v>0</v>
      </c>
      <c r="Z29" s="104">
        <f t="shared" si="15"/>
        <v>0</v>
      </c>
      <c r="AA29" s="104">
        <f t="shared" si="15"/>
        <v>0</v>
      </c>
      <c r="AB29" s="104">
        <f t="shared" si="15"/>
        <v>0</v>
      </c>
      <c r="AC29" s="104">
        <f t="shared" si="15"/>
        <v>0</v>
      </c>
      <c r="AD29" s="104">
        <f t="shared" si="15"/>
        <v>0</v>
      </c>
      <c r="AE29" s="104">
        <f t="shared" si="15"/>
        <v>0</v>
      </c>
      <c r="AF29" s="104">
        <f t="shared" si="15"/>
        <v>0</v>
      </c>
      <c r="AG29" s="84">
        <f t="shared" si="10"/>
        <v>0</v>
      </c>
      <c r="AH29" s="105" t="str">
        <f t="shared" si="11"/>
        <v/>
      </c>
      <c r="AJ29" s="84">
        <f t="shared" si="12"/>
        <v>133.01</v>
      </c>
    </row>
    <row r="30" spans="1:36" x14ac:dyDescent="0.3">
      <c r="A30" s="103" t="s">
        <v>116</v>
      </c>
      <c r="B30" s="84">
        <f>IFERROR(SUMIF([2]Jan26A!$A:$A,$A30,INDEX([2]Jan26A!$A:$N,0,MATCH($A$1,[2]Jan26A!$A$7:$N$7,0))),0)</f>
        <v>6093.31</v>
      </c>
      <c r="C30" s="84">
        <f>IFERROR(SUMIF([2]Feb26A!$A:$A,$A30,INDEX([2]Feb26A!$A:$N,0,MATCH($A$1,[2]Feb26A!$A$7:$N$7,0))),0)</f>
        <v>3188.15</v>
      </c>
      <c r="D30" s="84">
        <f>IFERROR(SUMIF([2]Mar26A!$A:$A,$A30,INDEX([2]Mar26A!$A:$N,0,MATCH($A$1,[2]Mar26A!$A$7:$N$7,0))),0)</f>
        <v>6516.64</v>
      </c>
      <c r="E30" s="84">
        <f>IFERROR(SUMIF([2]Apr26A!$A:$A,$A30,INDEX([2]Apr26A!$A:$N,0,MATCH($A$1,[2]Apr26A!$A$7:$N$7,0))),0)</f>
        <v>4232.2299999999996</v>
      </c>
      <c r="F30" s="84">
        <f>IFERROR(SUMIF([2]May26A!$A:$A,$A30,INDEX([2]May26A!$A:$N,0,MATCH($A$1,[2]May26A!$A$7:$N$7,0))),0)</f>
        <v>13531.9</v>
      </c>
      <c r="G30" s="84">
        <f>IFERROR(SUMIF([2]Jun26A!$A:$A,$A30,INDEX([2]Jun26A!$A:$N,0,MATCH($A$1,[2]Jun26A!$A$7:$N$7,0))),0)</f>
        <v>2938.06</v>
      </c>
      <c r="H30" s="84">
        <f>IFERROR(SUMIF([2]Jul26A!$A:$A,$A30,INDEX([2]Jul26A!$A:$N,0,MATCH($A$1,[2]Jul26A!$A$7:$N$7,0))),0)</f>
        <v>3402.48</v>
      </c>
      <c r="I30" s="84">
        <f>IFERROR(SUMIF([2]Aug26A!$A:$A,$A30,INDEX([2]Aug26A!$A:$N,0,MATCH($A$1,[2]Aug26A!$A$7:$N$7,0))),0)</f>
        <v>5552.25</v>
      </c>
      <c r="J30" s="117">
        <v>13000</v>
      </c>
      <c r="K30" s="117">
        <v>13000</v>
      </c>
      <c r="L30" s="117">
        <v>9000</v>
      </c>
      <c r="M30" s="117">
        <v>7000</v>
      </c>
      <c r="N30" s="84">
        <f t="shared" si="7"/>
        <v>87455.02</v>
      </c>
      <c r="O30" s="105" t="str">
        <f t="shared" si="8"/>
        <v/>
      </c>
      <c r="P30" s="84"/>
      <c r="Q30" s="84"/>
      <c r="R30" s="106" t="s">
        <v>99</v>
      </c>
      <c r="S30" s="107">
        <v>0</v>
      </c>
      <c r="T30" s="108">
        <v>0.05</v>
      </c>
      <c r="U30" s="104">
        <f t="shared" si="15"/>
        <v>0</v>
      </c>
      <c r="V30" s="104">
        <f t="shared" si="15"/>
        <v>0</v>
      </c>
      <c r="W30" s="104">
        <f t="shared" si="15"/>
        <v>0</v>
      </c>
      <c r="X30" s="104">
        <f t="shared" si="15"/>
        <v>0</v>
      </c>
      <c r="Y30" s="104">
        <f t="shared" si="15"/>
        <v>0</v>
      </c>
      <c r="Z30" s="104">
        <f t="shared" si="15"/>
        <v>0</v>
      </c>
      <c r="AA30" s="104">
        <f t="shared" si="15"/>
        <v>0</v>
      </c>
      <c r="AB30" s="104">
        <f t="shared" si="15"/>
        <v>0</v>
      </c>
      <c r="AC30" s="104">
        <f t="shared" si="15"/>
        <v>0</v>
      </c>
      <c r="AD30" s="104">
        <f t="shared" si="15"/>
        <v>0</v>
      </c>
      <c r="AE30" s="104">
        <f t="shared" si="15"/>
        <v>0</v>
      </c>
      <c r="AF30" s="104">
        <f t="shared" si="15"/>
        <v>0</v>
      </c>
      <c r="AG30" s="84">
        <f t="shared" si="10"/>
        <v>0</v>
      </c>
      <c r="AH30" s="105" t="str">
        <f t="shared" si="11"/>
        <v/>
      </c>
      <c r="AJ30" s="84">
        <f t="shared" si="12"/>
        <v>87455.02</v>
      </c>
    </row>
    <row r="31" spans="1:36" x14ac:dyDescent="0.3">
      <c r="A31" s="103" t="s">
        <v>117</v>
      </c>
      <c r="B31" s="84">
        <f>IFERROR(SUMIF([2]Jan26A!$A:$A,$A31,INDEX([2]Jan26A!$A:$N,0,MATCH($A$1,[2]Jan26A!$A$7:$N$7,0))),0)</f>
        <v>623.1</v>
      </c>
      <c r="C31" s="84">
        <f>IFERROR(SUMIF([2]Feb26A!$A:$A,$A31,INDEX([2]Feb26A!$A:$N,0,MATCH($A$1,[2]Feb26A!$A$7:$N$7,0))),0)</f>
        <v>491.08</v>
      </c>
      <c r="D31" s="84">
        <f>IFERROR(SUMIF([2]Mar26A!$A:$A,$A31,INDEX([2]Mar26A!$A:$N,0,MATCH($A$1,[2]Mar26A!$A$7:$N$7,0))),0)</f>
        <v>878.77</v>
      </c>
      <c r="E31" s="84">
        <f>IFERROR(SUMIF([2]Apr26A!$A:$A,$A31,INDEX([2]Apr26A!$A:$N,0,MATCH($A$1,[2]Apr26A!$A$7:$N$7,0))),0)</f>
        <v>846.11</v>
      </c>
      <c r="F31" s="84">
        <f>IFERROR(SUMIF([2]May26A!$A:$A,$A31,INDEX([2]May26A!$A:$N,0,MATCH($A$1,[2]May26A!$A$7:$N$7,0))),0)</f>
        <v>1479.8</v>
      </c>
      <c r="G31" s="84">
        <f>IFERROR(SUMIF([2]Jun26A!$A:$A,$A31,INDEX([2]Jun26A!$A:$N,0,MATCH($A$1,[2]Jun26A!$A$7:$N$7,0))),0)</f>
        <v>235.83</v>
      </c>
      <c r="H31" s="84">
        <f>IFERROR(SUMIF([2]Jul26A!$A:$A,$A31,INDEX([2]Jul26A!$A:$N,0,MATCH($A$1,[2]Jul26A!$A$7:$N$7,0))),0)</f>
        <v>436.9</v>
      </c>
      <c r="I31" s="84">
        <f>IFERROR(SUMIF([2]Aug26A!$A:$A,$A31,INDEX([2]Aug26A!$A:$N,0,MATCH($A$1,[2]Aug26A!$A$7:$N$7,0))),0)</f>
        <v>721.59</v>
      </c>
      <c r="J31" s="117">
        <v>1400</v>
      </c>
      <c r="K31" s="117">
        <v>1400</v>
      </c>
      <c r="L31" s="117">
        <v>1000</v>
      </c>
      <c r="M31" s="117">
        <v>800</v>
      </c>
      <c r="N31" s="84">
        <f t="shared" si="7"/>
        <v>10313.18</v>
      </c>
      <c r="O31" s="105" t="str">
        <f t="shared" si="8"/>
        <v/>
      </c>
      <c r="P31" s="84"/>
      <c r="Q31" s="84"/>
      <c r="R31" s="106" t="s">
        <v>99</v>
      </c>
      <c r="S31" s="107">
        <v>0</v>
      </c>
      <c r="T31" s="108">
        <v>0.05</v>
      </c>
      <c r="U31" s="104">
        <f t="shared" si="15"/>
        <v>0</v>
      </c>
      <c r="V31" s="104">
        <f t="shared" si="15"/>
        <v>0</v>
      </c>
      <c r="W31" s="104">
        <f t="shared" si="15"/>
        <v>0</v>
      </c>
      <c r="X31" s="104">
        <f t="shared" si="15"/>
        <v>0</v>
      </c>
      <c r="Y31" s="104">
        <f t="shared" si="15"/>
        <v>0</v>
      </c>
      <c r="Z31" s="104">
        <f t="shared" si="15"/>
        <v>0</v>
      </c>
      <c r="AA31" s="104">
        <f t="shared" si="15"/>
        <v>0</v>
      </c>
      <c r="AB31" s="104">
        <f t="shared" si="15"/>
        <v>0</v>
      </c>
      <c r="AC31" s="104">
        <f t="shared" si="15"/>
        <v>0</v>
      </c>
      <c r="AD31" s="104">
        <f t="shared" si="15"/>
        <v>0</v>
      </c>
      <c r="AE31" s="104">
        <f t="shared" si="15"/>
        <v>0</v>
      </c>
      <c r="AF31" s="104">
        <f t="shared" si="15"/>
        <v>0</v>
      </c>
      <c r="AG31" s="84">
        <f t="shared" si="10"/>
        <v>0</v>
      </c>
      <c r="AH31" s="105" t="str">
        <f t="shared" si="11"/>
        <v/>
      </c>
      <c r="AJ31" s="84">
        <f t="shared" si="12"/>
        <v>10313.18</v>
      </c>
    </row>
    <row r="32" spans="1:36" x14ac:dyDescent="0.3">
      <c r="A32" s="115" t="s">
        <v>118</v>
      </c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105"/>
      <c r="P32" s="84"/>
      <c r="Q32" s="84"/>
      <c r="R32" s="112"/>
      <c r="S32" s="112"/>
      <c r="T32" s="112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105"/>
      <c r="AJ32" s="84"/>
    </row>
    <row r="33" spans="1:36" x14ac:dyDescent="0.3">
      <c r="A33" s="116" t="s">
        <v>119</v>
      </c>
      <c r="B33" s="84">
        <f>IFERROR(SUMIF([2]Jan26A!$A:$A,$A33,INDEX([2]Jan26A!$A:$N,0,MATCH($A$1,[2]Jan26A!$A$7:$N$7,0))),0)</f>
        <v>0</v>
      </c>
      <c r="C33" s="84">
        <f>IFERROR(SUMIF([2]Feb26A!$A:$A,$A33,INDEX([2]Feb26A!$A:$N,0,MATCH($A$1,[2]Feb26A!$A$7:$N$7,0))),0)</f>
        <v>0</v>
      </c>
      <c r="D33" s="84">
        <f>IFERROR(SUMIF([2]Mar26A!$A:$A,$A33,INDEX([2]Mar26A!$A:$N,0,MATCH($A$1,[2]Mar26A!$A$7:$N$7,0))),0)</f>
        <v>0</v>
      </c>
      <c r="E33" s="84">
        <f>IFERROR(SUMIF([2]Apr26A!$A:$A,$A33,INDEX([2]Apr26A!$A:$N,0,MATCH($A$1,[2]Apr26A!$A$7:$N$7,0))),0)</f>
        <v>0</v>
      </c>
      <c r="F33" s="84">
        <f>IFERROR(SUMIF([2]May26A!$A:$A,$A33,INDEX([2]May26A!$A:$N,0,MATCH($A$1,[2]May26A!$A$7:$N$7,0))),0)</f>
        <v>0</v>
      </c>
      <c r="G33" s="84">
        <f>IFERROR(SUMIF([2]Jun26A!$A:$A,$A33,INDEX([2]Jun26A!$A:$N,0,MATCH($A$1,[2]Jun26A!$A$7:$N$7,0))),0)</f>
        <v>0</v>
      </c>
      <c r="H33" s="84">
        <f>IFERROR(SUMIF([2]Jul26A!$A:$A,$A33,INDEX([2]Jul26A!$A:$N,0,MATCH($A$1,[2]Jul26A!$A$7:$N$7,0))),0)</f>
        <v>0</v>
      </c>
      <c r="I33" s="84">
        <f>IFERROR(SUMIF([2]Aug26A!$A:$A,$A33,INDEX([2]Aug26A!$A:$N,0,MATCH($A$1,[2]Aug26A!$A$7:$N$7,0))),0)</f>
        <v>0</v>
      </c>
      <c r="J33" s="117">
        <v>0</v>
      </c>
      <c r="K33" s="117">
        <v>0</v>
      </c>
      <c r="L33" s="117">
        <v>0</v>
      </c>
      <c r="M33" s="117">
        <v>0</v>
      </c>
      <c r="N33" s="84">
        <f t="shared" ref="N33:N42" si="16">SUM(B33:M33)</f>
        <v>0</v>
      </c>
      <c r="O33" s="105" t="str">
        <f t="shared" ref="O33:O42" si="17">IFERROR(N33/N$16,"")</f>
        <v/>
      </c>
      <c r="P33" s="84"/>
      <c r="Q33" s="84"/>
      <c r="R33" s="112"/>
      <c r="S33" s="112"/>
      <c r="T33" s="112"/>
      <c r="U33" s="168"/>
      <c r="V33" s="168"/>
      <c r="W33" s="168"/>
      <c r="X33" s="168"/>
      <c r="Y33" s="168"/>
      <c r="Z33" s="168"/>
      <c r="AA33" s="168"/>
      <c r="AB33" s="168"/>
      <c r="AC33" s="168"/>
      <c r="AD33" s="168"/>
      <c r="AE33" s="168"/>
      <c r="AF33" s="168"/>
      <c r="AG33" s="84">
        <f t="shared" ref="AG33:AG42" si="18">SUM(U33:AF33)</f>
        <v>0</v>
      </c>
      <c r="AH33" s="105" t="str">
        <f t="shared" ref="AH33:AH42" si="19">IFERROR(AG33/AG$16,"")</f>
        <v/>
      </c>
      <c r="AJ33" s="84">
        <f t="shared" ref="AJ33:AJ42" si="20">N33-AG33</f>
        <v>0</v>
      </c>
    </row>
    <row r="34" spans="1:36" x14ac:dyDescent="0.3">
      <c r="A34" s="116" t="s">
        <v>120</v>
      </c>
      <c r="B34" s="84">
        <f>IFERROR(SUMIF([2]Jan26A!$A:$A,$A34,INDEX([2]Jan26A!$A:$N,0,MATCH($A$1,[2]Jan26A!$A$7:$N$7,0))),0)</f>
        <v>0</v>
      </c>
      <c r="C34" s="84">
        <f>IFERROR(SUMIF([2]Feb26A!$A:$A,$A34,INDEX([2]Feb26A!$A:$N,0,MATCH($A$1,[2]Feb26A!$A$7:$N$7,0))),0)</f>
        <v>0</v>
      </c>
      <c r="D34" s="84">
        <f>IFERROR(SUMIF([2]Mar26A!$A:$A,$A34,INDEX([2]Mar26A!$A:$N,0,MATCH($A$1,[2]Mar26A!$A$7:$N$7,0))),0)</f>
        <v>0</v>
      </c>
      <c r="E34" s="84">
        <f>IFERROR(SUMIF([2]Apr26A!$A:$A,$A34,INDEX([2]Apr26A!$A:$N,0,MATCH($A$1,[2]Apr26A!$A$7:$N$7,0))),0)</f>
        <v>0</v>
      </c>
      <c r="F34" s="84">
        <f>IFERROR(SUMIF([2]May26A!$A:$A,$A34,INDEX([2]May26A!$A:$N,0,MATCH($A$1,[2]May26A!$A$7:$N$7,0))),0)</f>
        <v>0</v>
      </c>
      <c r="G34" s="84">
        <f>IFERROR(SUMIF([2]Jun26A!$A:$A,$A34,INDEX([2]Jun26A!$A:$N,0,MATCH($A$1,[2]Jun26A!$A$7:$N$7,0))),0)</f>
        <v>0</v>
      </c>
      <c r="H34" s="84">
        <f>IFERROR(SUMIF([2]Jul26A!$A:$A,$A34,INDEX([2]Jul26A!$A:$N,0,MATCH($A$1,[2]Jul26A!$A$7:$N$7,0))),0)</f>
        <v>0</v>
      </c>
      <c r="I34" s="84">
        <f>IFERROR(SUMIF([2]Aug26A!$A:$A,$A34,INDEX([2]Aug26A!$A:$N,0,MATCH($A$1,[2]Aug26A!$A$7:$N$7,0))),0)</f>
        <v>0</v>
      </c>
      <c r="J34" s="117">
        <v>0</v>
      </c>
      <c r="K34" s="117">
        <v>0</v>
      </c>
      <c r="L34" s="117">
        <v>0</v>
      </c>
      <c r="M34" s="117">
        <v>0</v>
      </c>
      <c r="N34" s="84">
        <f t="shared" si="16"/>
        <v>0</v>
      </c>
      <c r="O34" s="105" t="str">
        <f t="shared" si="17"/>
        <v/>
      </c>
      <c r="P34" s="84"/>
      <c r="Q34" s="84"/>
      <c r="R34" s="112"/>
      <c r="S34" s="112"/>
      <c r="T34" s="112"/>
      <c r="U34" s="168"/>
      <c r="V34" s="168"/>
      <c r="W34" s="168"/>
      <c r="X34" s="168"/>
      <c r="Y34" s="168"/>
      <c r="Z34" s="168"/>
      <c r="AA34" s="168"/>
      <c r="AB34" s="168"/>
      <c r="AC34" s="168"/>
      <c r="AD34" s="168"/>
      <c r="AE34" s="168"/>
      <c r="AF34" s="168"/>
      <c r="AG34" s="84">
        <f t="shared" si="18"/>
        <v>0</v>
      </c>
      <c r="AH34" s="105" t="str">
        <f t="shared" si="19"/>
        <v/>
      </c>
      <c r="AJ34" s="84">
        <f t="shared" si="20"/>
        <v>0</v>
      </c>
    </row>
    <row r="35" spans="1:36" x14ac:dyDescent="0.3">
      <c r="A35" s="116" t="s">
        <v>121</v>
      </c>
      <c r="B35" s="84">
        <f>IFERROR(SUMIF([2]Jan26A!$A:$A,$A35,INDEX([2]Jan26A!$A:$N,0,MATCH($A$1,[2]Jan26A!$A$7:$N$7,0))),0)</f>
        <v>0</v>
      </c>
      <c r="C35" s="84">
        <f>IFERROR(SUMIF([2]Feb26A!$A:$A,$A35,INDEX([2]Feb26A!$A:$N,0,MATCH($A$1,[2]Feb26A!$A$7:$N$7,0))),0)</f>
        <v>0</v>
      </c>
      <c r="D35" s="84">
        <f>IFERROR(SUMIF([2]Mar26A!$A:$A,$A35,INDEX([2]Mar26A!$A:$N,0,MATCH($A$1,[2]Mar26A!$A$7:$N$7,0))),0)</f>
        <v>0</v>
      </c>
      <c r="E35" s="84">
        <f>IFERROR(SUMIF([2]Apr26A!$A:$A,$A35,INDEX([2]Apr26A!$A:$N,0,MATCH($A$1,[2]Apr26A!$A$7:$N$7,0))),0)</f>
        <v>0</v>
      </c>
      <c r="F35" s="84">
        <f>IFERROR(SUMIF([2]May26A!$A:$A,$A35,INDEX([2]May26A!$A:$N,0,MATCH($A$1,[2]May26A!$A$7:$N$7,0))),0)</f>
        <v>0</v>
      </c>
      <c r="G35" s="84">
        <f>IFERROR(SUMIF([2]Jun26A!$A:$A,$A35,INDEX([2]Jun26A!$A:$N,0,MATCH($A$1,[2]Jun26A!$A$7:$N$7,0))),0)</f>
        <v>0</v>
      </c>
      <c r="H35" s="84">
        <f>IFERROR(SUMIF([2]Jul26A!$A:$A,$A35,INDEX([2]Jul26A!$A:$N,0,MATCH($A$1,[2]Jul26A!$A$7:$N$7,0))),0)</f>
        <v>0</v>
      </c>
      <c r="I35" s="84">
        <f>IFERROR(SUMIF([2]Aug26A!$A:$A,$A35,INDEX([2]Aug26A!$A:$N,0,MATCH($A$1,[2]Aug26A!$A$7:$N$7,0))),0)</f>
        <v>0</v>
      </c>
      <c r="J35" s="117">
        <v>0</v>
      </c>
      <c r="K35" s="117">
        <v>0</v>
      </c>
      <c r="L35" s="117">
        <v>0</v>
      </c>
      <c r="M35" s="117">
        <v>0</v>
      </c>
      <c r="N35" s="84">
        <f t="shared" si="16"/>
        <v>0</v>
      </c>
      <c r="O35" s="105" t="str">
        <f t="shared" si="17"/>
        <v/>
      </c>
      <c r="P35" s="84"/>
      <c r="Q35" s="84"/>
      <c r="R35" s="112"/>
      <c r="S35" s="112"/>
      <c r="T35" s="112"/>
      <c r="U35" s="168"/>
      <c r="V35" s="168"/>
      <c r="W35" s="168"/>
      <c r="X35" s="168"/>
      <c r="Y35" s="168"/>
      <c r="Z35" s="168"/>
      <c r="AA35" s="168"/>
      <c r="AB35" s="168"/>
      <c r="AC35" s="168"/>
      <c r="AD35" s="168"/>
      <c r="AE35" s="168"/>
      <c r="AF35" s="168"/>
      <c r="AG35" s="84">
        <f t="shared" si="18"/>
        <v>0</v>
      </c>
      <c r="AH35" s="105" t="str">
        <f t="shared" si="19"/>
        <v/>
      </c>
      <c r="AJ35" s="84">
        <f t="shared" si="20"/>
        <v>0</v>
      </c>
    </row>
    <row r="36" spans="1:36" x14ac:dyDescent="0.3">
      <c r="A36" s="118" t="s">
        <v>122</v>
      </c>
      <c r="B36" s="110">
        <f t="shared" ref="B36:M36" si="21">SUM(B33:B35)</f>
        <v>0</v>
      </c>
      <c r="C36" s="110">
        <f t="shared" si="21"/>
        <v>0</v>
      </c>
      <c r="D36" s="110">
        <f t="shared" si="21"/>
        <v>0</v>
      </c>
      <c r="E36" s="110">
        <f t="shared" si="21"/>
        <v>0</v>
      </c>
      <c r="F36" s="110">
        <f t="shared" si="21"/>
        <v>0</v>
      </c>
      <c r="G36" s="110">
        <f t="shared" si="21"/>
        <v>0</v>
      </c>
      <c r="H36" s="110">
        <f t="shared" si="21"/>
        <v>0</v>
      </c>
      <c r="I36" s="110">
        <f t="shared" si="21"/>
        <v>0</v>
      </c>
      <c r="J36" s="110">
        <f t="shared" si="21"/>
        <v>0</v>
      </c>
      <c r="K36" s="110">
        <f t="shared" si="21"/>
        <v>0</v>
      </c>
      <c r="L36" s="110">
        <f t="shared" si="21"/>
        <v>0</v>
      </c>
      <c r="M36" s="110">
        <f t="shared" si="21"/>
        <v>0</v>
      </c>
      <c r="N36" s="110">
        <f t="shared" si="16"/>
        <v>0</v>
      </c>
      <c r="O36" s="111" t="str">
        <f t="shared" si="17"/>
        <v/>
      </c>
      <c r="P36" s="84"/>
      <c r="Q36" s="84"/>
      <c r="R36" s="112"/>
      <c r="S36" s="112"/>
      <c r="T36" s="112"/>
      <c r="U36" s="110">
        <f t="shared" ref="U36:AF36" si="22">SUM(U33:U35)</f>
        <v>0</v>
      </c>
      <c r="V36" s="110">
        <f t="shared" si="22"/>
        <v>0</v>
      </c>
      <c r="W36" s="110">
        <f t="shared" si="22"/>
        <v>0</v>
      </c>
      <c r="X36" s="110">
        <f t="shared" si="22"/>
        <v>0</v>
      </c>
      <c r="Y36" s="110">
        <f t="shared" si="22"/>
        <v>0</v>
      </c>
      <c r="Z36" s="110">
        <f t="shared" si="22"/>
        <v>0</v>
      </c>
      <c r="AA36" s="110">
        <f t="shared" si="22"/>
        <v>0</v>
      </c>
      <c r="AB36" s="110">
        <f t="shared" si="22"/>
        <v>0</v>
      </c>
      <c r="AC36" s="110">
        <f t="shared" si="22"/>
        <v>0</v>
      </c>
      <c r="AD36" s="110">
        <f t="shared" si="22"/>
        <v>0</v>
      </c>
      <c r="AE36" s="110">
        <f t="shared" si="22"/>
        <v>0</v>
      </c>
      <c r="AF36" s="110">
        <f t="shared" si="22"/>
        <v>0</v>
      </c>
      <c r="AG36" s="110">
        <f t="shared" si="18"/>
        <v>0</v>
      </c>
      <c r="AH36" s="111" t="str">
        <f t="shared" si="19"/>
        <v/>
      </c>
      <c r="AJ36" s="110">
        <f t="shared" si="20"/>
        <v>0</v>
      </c>
    </row>
    <row r="37" spans="1:36" x14ac:dyDescent="0.3">
      <c r="A37" s="109" t="s">
        <v>123</v>
      </c>
      <c r="B37" s="110">
        <f t="shared" ref="B37:M37" si="23">B19+B22+B27+B28+B29+B30+B31+B36+B20+B21</f>
        <v>6835.0400000000009</v>
      </c>
      <c r="C37" s="110">
        <f t="shared" si="23"/>
        <v>3679.23</v>
      </c>
      <c r="D37" s="110">
        <f t="shared" si="23"/>
        <v>7395.41</v>
      </c>
      <c r="E37" s="110">
        <f t="shared" si="23"/>
        <v>6390.6699999999992</v>
      </c>
      <c r="F37" s="110">
        <f t="shared" si="23"/>
        <v>15026.079999999998</v>
      </c>
      <c r="G37" s="110">
        <f t="shared" si="23"/>
        <v>3173.89</v>
      </c>
      <c r="H37" s="110">
        <f t="shared" si="23"/>
        <v>3839.38</v>
      </c>
      <c r="I37" s="110">
        <f t="shared" si="23"/>
        <v>6273.84</v>
      </c>
      <c r="J37" s="110">
        <f t="shared" si="23"/>
        <v>14400</v>
      </c>
      <c r="K37" s="110">
        <f t="shared" si="23"/>
        <v>14400</v>
      </c>
      <c r="L37" s="110">
        <f t="shared" si="23"/>
        <v>10000</v>
      </c>
      <c r="M37" s="110">
        <f t="shared" si="23"/>
        <v>7800</v>
      </c>
      <c r="N37" s="110">
        <f t="shared" si="16"/>
        <v>99213.54</v>
      </c>
      <c r="O37" s="111" t="str">
        <f t="shared" si="17"/>
        <v/>
      </c>
      <c r="P37" s="84"/>
      <c r="Q37" s="84"/>
      <c r="R37" s="112"/>
      <c r="S37" s="112"/>
      <c r="T37" s="112"/>
      <c r="U37" s="110">
        <f t="shared" ref="U37:AF37" si="24">U19+U22+U27+U28+U29+U30+U31+U36+U20+U21</f>
        <v>0</v>
      </c>
      <c r="V37" s="110">
        <f t="shared" si="24"/>
        <v>0</v>
      </c>
      <c r="W37" s="110">
        <f t="shared" si="24"/>
        <v>0</v>
      </c>
      <c r="X37" s="110">
        <f t="shared" si="24"/>
        <v>0</v>
      </c>
      <c r="Y37" s="110">
        <f t="shared" si="24"/>
        <v>0</v>
      </c>
      <c r="Z37" s="110">
        <f t="shared" si="24"/>
        <v>0</v>
      </c>
      <c r="AA37" s="110">
        <f t="shared" si="24"/>
        <v>0</v>
      </c>
      <c r="AB37" s="110">
        <f t="shared" si="24"/>
        <v>0</v>
      </c>
      <c r="AC37" s="110">
        <f t="shared" si="24"/>
        <v>0</v>
      </c>
      <c r="AD37" s="110">
        <f t="shared" si="24"/>
        <v>0</v>
      </c>
      <c r="AE37" s="110">
        <f t="shared" si="24"/>
        <v>0</v>
      </c>
      <c r="AF37" s="110">
        <f t="shared" si="24"/>
        <v>0</v>
      </c>
      <c r="AG37" s="110">
        <f t="shared" si="18"/>
        <v>0</v>
      </c>
      <c r="AH37" s="111" t="str">
        <f t="shared" si="19"/>
        <v/>
      </c>
      <c r="AJ37" s="110">
        <f t="shared" si="20"/>
        <v>99213.54</v>
      </c>
    </row>
    <row r="38" spans="1:36" x14ac:dyDescent="0.3">
      <c r="A38" s="113" t="s">
        <v>124</v>
      </c>
      <c r="B38" s="84">
        <f>IFERROR(SUMIF([2]Jan26A!$A:$A,$A38,INDEX([2]Jan26A!$A:$N,0,MATCH($A$1,[2]Jan26A!$A$7:$N$7,0))),0)</f>
        <v>0</v>
      </c>
      <c r="C38" s="84">
        <f>IFERROR(SUMIF([2]Feb26A!$A:$A,$A38,INDEX([2]Feb26A!$A:$N,0,MATCH($A$1,[2]Feb26A!$A$7:$N$7,0))),0)</f>
        <v>0</v>
      </c>
      <c r="D38" s="84">
        <f>IFERROR(SUMIF([2]Mar26A!$A:$A,$A38,INDEX([2]Mar26A!$A:$N,0,MATCH($A$1,[2]Mar26A!$A$7:$N$7,0))),0)</f>
        <v>0</v>
      </c>
      <c r="E38" s="84">
        <f>IFERROR(SUMIF([2]Apr26A!$A:$A,$A38,INDEX([2]Apr26A!$A:$N,0,MATCH($A$1,[2]Apr26A!$A$7:$N$7,0))),0)</f>
        <v>0</v>
      </c>
      <c r="F38" s="84">
        <f>IFERROR(SUMIF([2]May26A!$A:$A,$A38,INDEX([2]May26A!$A:$N,0,MATCH($A$1,[2]May26A!$A$7:$N$7,0))),0)</f>
        <v>0</v>
      </c>
      <c r="G38" s="84">
        <f>IFERROR(SUMIF([2]Jun26A!$A:$A,$A38,INDEX([2]Jun26A!$A:$N,0,MATCH($A$1,[2]Jun26A!$A$7:$N$7,0))),0)</f>
        <v>0</v>
      </c>
      <c r="H38" s="84">
        <f>IFERROR(SUMIF([2]Jul26A!$A:$A,$A38,INDEX([2]Jul26A!$A:$N,0,MATCH($A$1,[2]Jul26A!$A$7:$N$7,0))),0)</f>
        <v>0</v>
      </c>
      <c r="I38" s="84">
        <f>IFERROR(SUMIF([2]Aug26A!$A:$A,$A38,INDEX([2]Aug26A!$A:$N,0,MATCH($A$1,[2]Aug26A!$A$7:$N$7,0))),0)</f>
        <v>0</v>
      </c>
      <c r="J38" s="117">
        <v>0</v>
      </c>
      <c r="K38" s="117">
        <v>0</v>
      </c>
      <c r="L38" s="117">
        <v>0</v>
      </c>
      <c r="M38" s="117">
        <v>0</v>
      </c>
      <c r="N38" s="84">
        <f t="shared" si="16"/>
        <v>0</v>
      </c>
      <c r="O38" s="105" t="str">
        <f t="shared" si="17"/>
        <v/>
      </c>
      <c r="P38" s="84"/>
      <c r="Q38" s="84"/>
      <c r="R38" s="106" t="s">
        <v>99</v>
      </c>
      <c r="S38" s="107">
        <v>0</v>
      </c>
      <c r="T38" s="108">
        <v>0.05</v>
      </c>
      <c r="U38" s="104">
        <f t="shared" ref="U38:AF42" si="25">IF($R38="Manual","",IFERROR(IF($R38="YOY Growth",$N38*(1+$T38)/12,$S38/12),""))</f>
        <v>0</v>
      </c>
      <c r="V38" s="104">
        <f t="shared" si="25"/>
        <v>0</v>
      </c>
      <c r="W38" s="104">
        <f t="shared" si="25"/>
        <v>0</v>
      </c>
      <c r="X38" s="104">
        <f t="shared" si="25"/>
        <v>0</v>
      </c>
      <c r="Y38" s="104">
        <f t="shared" si="25"/>
        <v>0</v>
      </c>
      <c r="Z38" s="104">
        <f t="shared" si="25"/>
        <v>0</v>
      </c>
      <c r="AA38" s="104">
        <f t="shared" si="25"/>
        <v>0</v>
      </c>
      <c r="AB38" s="104">
        <f t="shared" si="25"/>
        <v>0</v>
      </c>
      <c r="AC38" s="104">
        <f t="shared" si="25"/>
        <v>0</v>
      </c>
      <c r="AD38" s="104">
        <f t="shared" si="25"/>
        <v>0</v>
      </c>
      <c r="AE38" s="104">
        <f t="shared" si="25"/>
        <v>0</v>
      </c>
      <c r="AF38" s="104">
        <f t="shared" si="25"/>
        <v>0</v>
      </c>
      <c r="AG38" s="84">
        <f t="shared" si="18"/>
        <v>0</v>
      </c>
      <c r="AH38" s="105" t="str">
        <f t="shared" si="19"/>
        <v/>
      </c>
      <c r="AJ38" s="84">
        <f t="shared" si="20"/>
        <v>0</v>
      </c>
    </row>
    <row r="39" spans="1:36" x14ac:dyDescent="0.3">
      <c r="A39" s="113" t="s">
        <v>125</v>
      </c>
      <c r="B39" s="84">
        <f>IFERROR(SUMIF([2]Jan26A!$A:$A,$A39,INDEX([2]Jan26A!$A:$N,0,MATCH($A$1,[2]Jan26A!$A$7:$N$7,0))),0)</f>
        <v>0</v>
      </c>
      <c r="C39" s="84">
        <f>IFERROR(SUMIF([2]Feb26A!$A:$A,$A39,INDEX([2]Feb26A!$A:$N,0,MATCH($A$1,[2]Feb26A!$A$7:$N$7,0))),0)</f>
        <v>0</v>
      </c>
      <c r="D39" s="84">
        <f>IFERROR(SUMIF([2]Mar26A!$A:$A,$A39,INDEX([2]Mar26A!$A:$N,0,MATCH($A$1,[2]Mar26A!$A$7:$N$7,0))),0)</f>
        <v>0</v>
      </c>
      <c r="E39" s="84">
        <f>IFERROR(SUMIF([2]Apr26A!$A:$A,$A39,INDEX([2]Apr26A!$A:$N,0,MATCH($A$1,[2]Apr26A!$A$7:$N$7,0))),0)</f>
        <v>0</v>
      </c>
      <c r="F39" s="84">
        <f>IFERROR(SUMIF([2]May26A!$A:$A,$A39,INDEX([2]May26A!$A:$N,0,MATCH($A$1,[2]May26A!$A$7:$N$7,0))),0)</f>
        <v>0</v>
      </c>
      <c r="G39" s="84">
        <f>IFERROR(SUMIF([2]Jun26A!$A:$A,$A39,INDEX([2]Jun26A!$A:$N,0,MATCH($A$1,[2]Jun26A!$A$7:$N$7,0))),0)</f>
        <v>0</v>
      </c>
      <c r="H39" s="84">
        <f>IFERROR(SUMIF([2]Jul26A!$A:$A,$A39,INDEX([2]Jul26A!$A:$N,0,MATCH($A$1,[2]Jul26A!$A$7:$N$7,0))),0)</f>
        <v>0</v>
      </c>
      <c r="I39" s="84">
        <f>IFERROR(SUMIF([2]Aug26A!$A:$A,$A39,INDEX([2]Aug26A!$A:$N,0,MATCH($A$1,[2]Aug26A!$A$7:$N$7,0))),0)</f>
        <v>0</v>
      </c>
      <c r="J39" s="117">
        <v>0</v>
      </c>
      <c r="K39" s="117">
        <v>0</v>
      </c>
      <c r="L39" s="117">
        <v>0</v>
      </c>
      <c r="M39" s="117">
        <v>0</v>
      </c>
      <c r="N39" s="84">
        <f t="shared" si="16"/>
        <v>0</v>
      </c>
      <c r="O39" s="105" t="str">
        <f t="shared" si="17"/>
        <v/>
      </c>
      <c r="P39" s="84"/>
      <c r="Q39" s="84"/>
      <c r="R39" s="106" t="s">
        <v>99</v>
      </c>
      <c r="S39" s="107">
        <v>0</v>
      </c>
      <c r="T39" s="108">
        <v>0.05</v>
      </c>
      <c r="U39" s="104">
        <f t="shared" si="25"/>
        <v>0</v>
      </c>
      <c r="V39" s="104">
        <f t="shared" si="25"/>
        <v>0</v>
      </c>
      <c r="W39" s="104">
        <f t="shared" si="25"/>
        <v>0</v>
      </c>
      <c r="X39" s="104">
        <f t="shared" si="25"/>
        <v>0</v>
      </c>
      <c r="Y39" s="104">
        <f t="shared" si="25"/>
        <v>0</v>
      </c>
      <c r="Z39" s="104">
        <f t="shared" si="25"/>
        <v>0</v>
      </c>
      <c r="AA39" s="104">
        <f t="shared" si="25"/>
        <v>0</v>
      </c>
      <c r="AB39" s="104">
        <f t="shared" si="25"/>
        <v>0</v>
      </c>
      <c r="AC39" s="104">
        <f t="shared" si="25"/>
        <v>0</v>
      </c>
      <c r="AD39" s="104">
        <f t="shared" si="25"/>
        <v>0</v>
      </c>
      <c r="AE39" s="104">
        <f t="shared" si="25"/>
        <v>0</v>
      </c>
      <c r="AF39" s="104">
        <f t="shared" si="25"/>
        <v>0</v>
      </c>
      <c r="AG39" s="84">
        <f t="shared" si="18"/>
        <v>0</v>
      </c>
      <c r="AH39" s="105" t="str">
        <f t="shared" si="19"/>
        <v/>
      </c>
      <c r="AJ39" s="84">
        <f t="shared" si="20"/>
        <v>0</v>
      </c>
    </row>
    <row r="40" spans="1:36" x14ac:dyDescent="0.3">
      <c r="A40" s="113" t="s">
        <v>126</v>
      </c>
      <c r="B40" s="84">
        <f>IFERROR(SUMIF([2]Jan26A!$A:$A,$A40,INDEX([2]Jan26A!$A:$N,0,MATCH($A$1,[2]Jan26A!$A$7:$N$7,0))),0)</f>
        <v>0</v>
      </c>
      <c r="C40" s="84">
        <f>IFERROR(SUMIF([2]Feb26A!$A:$A,$A40,INDEX([2]Feb26A!$A:$N,0,MATCH($A$1,[2]Feb26A!$A$7:$N$7,0))),0)</f>
        <v>0</v>
      </c>
      <c r="D40" s="84">
        <f>IFERROR(SUMIF([2]Mar26A!$A:$A,$A40,INDEX([2]Mar26A!$A:$N,0,MATCH($A$1,[2]Mar26A!$A$7:$N$7,0))),0)</f>
        <v>0</v>
      </c>
      <c r="E40" s="84">
        <f>IFERROR(SUMIF([2]Apr26A!$A:$A,$A40,INDEX([2]Apr26A!$A:$N,0,MATCH($A$1,[2]Apr26A!$A$7:$N$7,0))),0)</f>
        <v>0</v>
      </c>
      <c r="F40" s="84">
        <f>IFERROR(SUMIF([2]May26A!$A:$A,$A40,INDEX([2]May26A!$A:$N,0,MATCH($A$1,[2]May26A!$A$7:$N$7,0))),0)</f>
        <v>0</v>
      </c>
      <c r="G40" s="84">
        <f>IFERROR(SUMIF([2]Jun26A!$A:$A,$A40,INDEX([2]Jun26A!$A:$N,0,MATCH($A$1,[2]Jun26A!$A$7:$N$7,0))),0)</f>
        <v>0</v>
      </c>
      <c r="H40" s="84">
        <f>IFERROR(SUMIF([2]Jul26A!$A:$A,$A40,INDEX([2]Jul26A!$A:$N,0,MATCH($A$1,[2]Jul26A!$A$7:$N$7,0))),0)</f>
        <v>0</v>
      </c>
      <c r="I40" s="84">
        <f>IFERROR(SUMIF([2]Aug26A!$A:$A,$A40,INDEX([2]Aug26A!$A:$N,0,MATCH($A$1,[2]Aug26A!$A$7:$N$7,0))),0)</f>
        <v>0</v>
      </c>
      <c r="J40" s="117">
        <v>0</v>
      </c>
      <c r="K40" s="117">
        <v>0</v>
      </c>
      <c r="L40" s="117">
        <v>0</v>
      </c>
      <c r="M40" s="117">
        <v>0</v>
      </c>
      <c r="N40" s="84">
        <f t="shared" si="16"/>
        <v>0</v>
      </c>
      <c r="O40" s="105" t="str">
        <f t="shared" si="17"/>
        <v/>
      </c>
      <c r="P40" s="84"/>
      <c r="Q40" s="84"/>
      <c r="R40" s="106" t="s">
        <v>99</v>
      </c>
      <c r="S40" s="107">
        <v>0</v>
      </c>
      <c r="T40" s="108">
        <v>0.05</v>
      </c>
      <c r="U40" s="104">
        <f t="shared" si="25"/>
        <v>0</v>
      </c>
      <c r="V40" s="104">
        <f t="shared" si="25"/>
        <v>0</v>
      </c>
      <c r="W40" s="104">
        <f t="shared" si="25"/>
        <v>0</v>
      </c>
      <c r="X40" s="104">
        <f t="shared" si="25"/>
        <v>0</v>
      </c>
      <c r="Y40" s="104">
        <f t="shared" si="25"/>
        <v>0</v>
      </c>
      <c r="Z40" s="104">
        <f t="shared" si="25"/>
        <v>0</v>
      </c>
      <c r="AA40" s="104">
        <f t="shared" si="25"/>
        <v>0</v>
      </c>
      <c r="AB40" s="104">
        <f t="shared" si="25"/>
        <v>0</v>
      </c>
      <c r="AC40" s="104">
        <f t="shared" si="25"/>
        <v>0</v>
      </c>
      <c r="AD40" s="104">
        <f t="shared" si="25"/>
        <v>0</v>
      </c>
      <c r="AE40" s="104">
        <f t="shared" si="25"/>
        <v>0</v>
      </c>
      <c r="AF40" s="104">
        <f t="shared" si="25"/>
        <v>0</v>
      </c>
      <c r="AG40" s="84">
        <f t="shared" si="18"/>
        <v>0</v>
      </c>
      <c r="AH40" s="105" t="str">
        <f t="shared" si="19"/>
        <v/>
      </c>
      <c r="AJ40" s="84">
        <f t="shared" si="20"/>
        <v>0</v>
      </c>
    </row>
    <row r="41" spans="1:36" x14ac:dyDescent="0.3">
      <c r="A41" s="113" t="s">
        <v>127</v>
      </c>
      <c r="B41" s="84">
        <f>IFERROR(SUMIF([2]Jan26A!$A:$A,$A41,INDEX([2]Jan26A!$A:$N,0,MATCH($A$1,[2]Jan26A!$A$7:$N$7,0))),0)</f>
        <v>0</v>
      </c>
      <c r="C41" s="84">
        <f>IFERROR(SUMIF([2]Feb26A!$A:$A,$A41,INDEX([2]Feb26A!$A:$N,0,MATCH($A$1,[2]Feb26A!$A$7:$N$7,0))),0)</f>
        <v>0</v>
      </c>
      <c r="D41" s="84">
        <f>IFERROR(SUMIF([2]Mar26A!$A:$A,$A41,INDEX([2]Mar26A!$A:$N,0,MATCH($A$1,[2]Mar26A!$A$7:$N$7,0))),0)</f>
        <v>0</v>
      </c>
      <c r="E41" s="84">
        <f>IFERROR(SUMIF([2]Apr26A!$A:$A,$A41,INDEX([2]Apr26A!$A:$N,0,MATCH($A$1,[2]Apr26A!$A$7:$N$7,0))),0)</f>
        <v>0</v>
      </c>
      <c r="F41" s="84">
        <f>IFERROR(SUMIF([2]May26A!$A:$A,$A41,INDEX([2]May26A!$A:$N,0,MATCH($A$1,[2]May26A!$A$7:$N$7,0))),0)</f>
        <v>0</v>
      </c>
      <c r="G41" s="84">
        <f>IFERROR(SUMIF([2]Jun26A!$A:$A,$A41,INDEX([2]Jun26A!$A:$N,0,MATCH($A$1,[2]Jun26A!$A$7:$N$7,0))),0)</f>
        <v>0</v>
      </c>
      <c r="H41" s="84">
        <f>IFERROR(SUMIF([2]Jul26A!$A:$A,$A41,INDEX([2]Jul26A!$A:$N,0,MATCH($A$1,[2]Jul26A!$A$7:$N$7,0))),0)</f>
        <v>0</v>
      </c>
      <c r="I41" s="84">
        <f>IFERROR(SUMIF([2]Aug26A!$A:$A,$A41,INDEX([2]Aug26A!$A:$N,0,MATCH($A$1,[2]Aug26A!$A$7:$N$7,0))),0)</f>
        <v>0</v>
      </c>
      <c r="J41" s="117"/>
      <c r="K41" s="117"/>
      <c r="L41" s="117"/>
      <c r="M41" s="117"/>
      <c r="N41" s="84">
        <f t="shared" si="16"/>
        <v>0</v>
      </c>
      <c r="O41" s="105" t="str">
        <f t="shared" si="17"/>
        <v/>
      </c>
      <c r="P41" s="84"/>
      <c r="Q41" s="84"/>
      <c r="R41" s="106" t="s">
        <v>99</v>
      </c>
      <c r="S41" s="107">
        <v>0</v>
      </c>
      <c r="T41" s="108">
        <v>0.05</v>
      </c>
      <c r="U41" s="104">
        <f t="shared" si="25"/>
        <v>0</v>
      </c>
      <c r="V41" s="104">
        <f t="shared" si="25"/>
        <v>0</v>
      </c>
      <c r="W41" s="104">
        <f t="shared" si="25"/>
        <v>0</v>
      </c>
      <c r="X41" s="104">
        <f t="shared" si="25"/>
        <v>0</v>
      </c>
      <c r="Y41" s="104">
        <f t="shared" si="25"/>
        <v>0</v>
      </c>
      <c r="Z41" s="104">
        <f t="shared" si="25"/>
        <v>0</v>
      </c>
      <c r="AA41" s="104">
        <f t="shared" si="25"/>
        <v>0</v>
      </c>
      <c r="AB41" s="104">
        <f t="shared" si="25"/>
        <v>0</v>
      </c>
      <c r="AC41" s="104">
        <f t="shared" si="25"/>
        <v>0</v>
      </c>
      <c r="AD41" s="104">
        <f t="shared" si="25"/>
        <v>0</v>
      </c>
      <c r="AE41" s="104">
        <f t="shared" si="25"/>
        <v>0</v>
      </c>
      <c r="AF41" s="104">
        <f t="shared" si="25"/>
        <v>0</v>
      </c>
      <c r="AG41" s="84">
        <f t="shared" si="18"/>
        <v>0</v>
      </c>
      <c r="AH41" s="105" t="str">
        <f t="shared" si="19"/>
        <v/>
      </c>
      <c r="AJ41" s="84">
        <f t="shared" si="20"/>
        <v>0</v>
      </c>
    </row>
    <row r="42" spans="1:36" x14ac:dyDescent="0.3">
      <c r="A42" s="113" t="s">
        <v>128</v>
      </c>
      <c r="B42" s="84">
        <f>IFERROR(SUMIF([2]Jan26A!$A:$A,$A42,INDEX([2]Jan26A!$A:$N,0,MATCH($A$1,[2]Jan26A!$A$7:$N$7,0))),0)</f>
        <v>0</v>
      </c>
      <c r="C42" s="84">
        <f>IFERROR(SUMIF([2]Feb26A!$A:$A,$A42,INDEX([2]Feb26A!$A:$N,0,MATCH($A$1,[2]Feb26A!$A$7:$N$7,0))),0)</f>
        <v>0</v>
      </c>
      <c r="D42" s="84">
        <f>IFERROR(SUMIF([2]Mar26A!$A:$A,$A42,INDEX([2]Mar26A!$A:$N,0,MATCH($A$1,[2]Mar26A!$A$7:$N$7,0))),0)</f>
        <v>0</v>
      </c>
      <c r="E42" s="84">
        <f>IFERROR(SUMIF([2]Apr26A!$A:$A,$A42,INDEX([2]Apr26A!$A:$N,0,MATCH($A$1,[2]Apr26A!$A$7:$N$7,0))),0)</f>
        <v>0</v>
      </c>
      <c r="F42" s="84">
        <f>IFERROR(SUMIF([2]May26A!$A:$A,$A42,INDEX([2]May26A!$A:$N,0,MATCH($A$1,[2]May26A!$A$7:$N$7,0))),0)</f>
        <v>0</v>
      </c>
      <c r="G42" s="84">
        <f>IFERROR(SUMIF([2]Jun26A!$A:$A,$A42,INDEX([2]Jun26A!$A:$N,0,MATCH($A$1,[2]Jun26A!$A$7:$N$7,0))),0)</f>
        <v>0</v>
      </c>
      <c r="H42" s="84">
        <f>IFERROR(SUMIF([2]Jul26A!$A:$A,$A42,INDEX([2]Jul26A!$A:$N,0,MATCH($A$1,[2]Jul26A!$A$7:$N$7,0))),0)</f>
        <v>0</v>
      </c>
      <c r="I42" s="84">
        <f>IFERROR(SUMIF([2]Aug26A!$A:$A,$A42,INDEX([2]Aug26A!$A:$N,0,MATCH($A$1,[2]Aug26A!$A$7:$N$7,0))),0)</f>
        <v>0</v>
      </c>
      <c r="J42" s="117">
        <v>0</v>
      </c>
      <c r="K42" s="117">
        <v>0</v>
      </c>
      <c r="L42" s="117">
        <v>0</v>
      </c>
      <c r="M42" s="117">
        <v>0</v>
      </c>
      <c r="N42" s="84">
        <f t="shared" si="16"/>
        <v>0</v>
      </c>
      <c r="O42" s="105" t="str">
        <f t="shared" si="17"/>
        <v/>
      </c>
      <c r="P42" s="84"/>
      <c r="Q42" s="84"/>
      <c r="R42" s="106" t="s">
        <v>99</v>
      </c>
      <c r="S42" s="107">
        <v>0</v>
      </c>
      <c r="T42" s="108">
        <v>0.05</v>
      </c>
      <c r="U42" s="104">
        <f t="shared" si="25"/>
        <v>0</v>
      </c>
      <c r="V42" s="104">
        <f t="shared" si="25"/>
        <v>0</v>
      </c>
      <c r="W42" s="104">
        <f t="shared" si="25"/>
        <v>0</v>
      </c>
      <c r="X42" s="104">
        <f t="shared" si="25"/>
        <v>0</v>
      </c>
      <c r="Y42" s="104">
        <f t="shared" si="25"/>
        <v>0</v>
      </c>
      <c r="Z42" s="104">
        <f t="shared" si="25"/>
        <v>0</v>
      </c>
      <c r="AA42" s="104">
        <f t="shared" si="25"/>
        <v>0</v>
      </c>
      <c r="AB42" s="104">
        <f t="shared" si="25"/>
        <v>0</v>
      </c>
      <c r="AC42" s="104">
        <f t="shared" si="25"/>
        <v>0</v>
      </c>
      <c r="AD42" s="104">
        <f t="shared" si="25"/>
        <v>0</v>
      </c>
      <c r="AE42" s="104">
        <f t="shared" si="25"/>
        <v>0</v>
      </c>
      <c r="AF42" s="104">
        <f t="shared" si="25"/>
        <v>0</v>
      </c>
      <c r="AG42" s="84">
        <f t="shared" si="18"/>
        <v>0</v>
      </c>
      <c r="AH42" s="105" t="str">
        <f t="shared" si="19"/>
        <v/>
      </c>
      <c r="AJ42" s="84">
        <f t="shared" si="20"/>
        <v>0</v>
      </c>
    </row>
    <row r="43" spans="1:36" x14ac:dyDescent="0.3">
      <c r="A43" s="102" t="s">
        <v>129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105"/>
      <c r="P43" s="84"/>
      <c r="Q43" s="84"/>
      <c r="R43" s="112"/>
      <c r="S43" s="112"/>
      <c r="T43" s="112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105"/>
      <c r="AJ43" s="84"/>
    </row>
    <row r="44" spans="1:36" x14ac:dyDescent="0.3">
      <c r="A44" s="103" t="s">
        <v>130</v>
      </c>
      <c r="B44" s="84">
        <f>IFERROR(SUMIF([2]Jan26A!$A:$A,$A44,INDEX([2]Jan26A!$A:$N,0,MATCH($A$1,[2]Jan26A!$A$7:$N$7,0))),0)</f>
        <v>0</v>
      </c>
      <c r="C44" s="84">
        <f>IFERROR(SUMIF([2]Feb26A!$A:$A,$A44,INDEX([2]Feb26A!$A:$N,0,MATCH($A$1,[2]Feb26A!$A$7:$N$7,0))),0)</f>
        <v>0</v>
      </c>
      <c r="D44" s="84">
        <f>IFERROR(SUMIF([2]Mar26A!$A:$A,$A44,INDEX([2]Mar26A!$A:$N,0,MATCH($A$1,[2]Mar26A!$A$7:$N$7,0))),0)</f>
        <v>0</v>
      </c>
      <c r="E44" s="84">
        <f>IFERROR(SUMIF([2]Apr26A!$A:$A,$A44,INDEX([2]Apr26A!$A:$N,0,MATCH($A$1,[2]Apr26A!$A$7:$N$7,0))),0)</f>
        <v>0</v>
      </c>
      <c r="F44" s="84">
        <f>IFERROR(SUMIF([2]May26A!$A:$A,$A44,INDEX([2]May26A!$A:$N,0,MATCH($A$1,[2]May26A!$A$7:$N$7,0))),0)</f>
        <v>0</v>
      </c>
      <c r="G44" s="84">
        <f>IFERROR(SUMIF([2]Jun26A!$A:$A,$A44,INDEX([2]Jun26A!$A:$N,0,MATCH($A$1,[2]Jun26A!$A$7:$N$7,0))),0)</f>
        <v>0</v>
      </c>
      <c r="H44" s="84">
        <f>IFERROR(SUMIF([2]Jul26A!$A:$A,$A44,INDEX([2]Jul26A!$A:$N,0,MATCH($A$1,[2]Jul26A!$A$7:$N$7,0))),0)</f>
        <v>0</v>
      </c>
      <c r="I44" s="84">
        <f>IFERROR(SUMIF([2]Aug26A!$A:$A,$A44,INDEX([2]Aug26A!$A:$N,0,MATCH($A$1,[2]Aug26A!$A$7:$N$7,0))),0)</f>
        <v>0</v>
      </c>
      <c r="J44" s="117">
        <v>0</v>
      </c>
      <c r="K44" s="117">
        <v>0</v>
      </c>
      <c r="L44" s="117">
        <v>0</v>
      </c>
      <c r="M44" s="117">
        <v>0</v>
      </c>
      <c r="N44" s="84">
        <f t="shared" ref="N44:N50" si="26">SUM(B44:M44)</f>
        <v>0</v>
      </c>
      <c r="O44" s="105" t="str">
        <f t="shared" ref="O44:O50" si="27">IFERROR(N44/N$16,"")</f>
        <v/>
      </c>
      <c r="P44" s="84"/>
      <c r="Q44" s="84"/>
      <c r="R44" s="106" t="s">
        <v>99</v>
      </c>
      <c r="S44" s="107">
        <v>0</v>
      </c>
      <c r="T44" s="108">
        <v>0.05</v>
      </c>
      <c r="U44" s="104">
        <f t="shared" ref="U44:AF50" si="28">IF($R44="Manual","",IFERROR(IF($R44="YOY Growth",$N44*(1+$T44)/12,$S44/12),""))</f>
        <v>0</v>
      </c>
      <c r="V44" s="104">
        <f t="shared" si="28"/>
        <v>0</v>
      </c>
      <c r="W44" s="104">
        <f t="shared" si="28"/>
        <v>0</v>
      </c>
      <c r="X44" s="104">
        <f t="shared" si="28"/>
        <v>0</v>
      </c>
      <c r="Y44" s="104">
        <f t="shared" si="28"/>
        <v>0</v>
      </c>
      <c r="Z44" s="104">
        <f t="shared" si="28"/>
        <v>0</v>
      </c>
      <c r="AA44" s="104">
        <f t="shared" si="28"/>
        <v>0</v>
      </c>
      <c r="AB44" s="104">
        <f t="shared" si="28"/>
        <v>0</v>
      </c>
      <c r="AC44" s="104">
        <f t="shared" si="28"/>
        <v>0</v>
      </c>
      <c r="AD44" s="104">
        <f t="shared" si="28"/>
        <v>0</v>
      </c>
      <c r="AE44" s="104">
        <f t="shared" si="28"/>
        <v>0</v>
      </c>
      <c r="AF44" s="104">
        <f t="shared" si="28"/>
        <v>0</v>
      </c>
      <c r="AG44" s="84">
        <f t="shared" ref="AG44:AG50" si="29">SUM(U44:AF44)</f>
        <v>0</v>
      </c>
      <c r="AH44" s="105" t="str">
        <f t="shared" ref="AH44:AH50" si="30">IFERROR(AG44/AG$16,"")</f>
        <v/>
      </c>
      <c r="AJ44" s="84">
        <f t="shared" ref="AJ44:AJ50" si="31">N44-AG44</f>
        <v>0</v>
      </c>
    </row>
    <row r="45" spans="1:36" x14ac:dyDescent="0.3">
      <c r="A45" s="103" t="s">
        <v>131</v>
      </c>
      <c r="B45" s="84">
        <f>IFERROR(SUMIF([2]Jan26A!$A:$A,$A45,INDEX([2]Jan26A!$A:$N,0,MATCH($A$1,[2]Jan26A!$A$7:$N$7,0))),0)</f>
        <v>166.17</v>
      </c>
      <c r="C45" s="84">
        <f>IFERROR(SUMIF([2]Feb26A!$A:$A,$A45,INDEX([2]Feb26A!$A:$N,0,MATCH($A$1,[2]Feb26A!$A$7:$N$7,0))),0)</f>
        <v>0</v>
      </c>
      <c r="D45" s="84">
        <f>IFERROR(SUMIF([2]Mar26A!$A:$A,$A45,INDEX([2]Mar26A!$A:$N,0,MATCH($A$1,[2]Mar26A!$A$7:$N$7,0))),0)</f>
        <v>0</v>
      </c>
      <c r="E45" s="84">
        <f>IFERROR(SUMIF([2]Apr26A!$A:$A,$A45,INDEX([2]Apr26A!$A:$N,0,MATCH($A$1,[2]Apr26A!$A$7:$N$7,0))),0)</f>
        <v>0</v>
      </c>
      <c r="F45" s="84">
        <f>IFERROR(SUMIF([2]May26A!$A:$A,$A45,INDEX([2]May26A!$A:$N,0,MATCH($A$1,[2]May26A!$A$7:$N$7,0))),0)</f>
        <v>0</v>
      </c>
      <c r="G45" s="84">
        <f>IFERROR(SUMIF([2]Jun26A!$A:$A,$A45,INDEX([2]Jun26A!$A:$N,0,MATCH($A$1,[2]Jun26A!$A$7:$N$7,0))),0)</f>
        <v>0</v>
      </c>
      <c r="H45" s="84">
        <f>IFERROR(SUMIF([2]Jul26A!$A:$A,$A45,INDEX([2]Jul26A!$A:$N,0,MATCH($A$1,[2]Jul26A!$A$7:$N$7,0))),0)</f>
        <v>0</v>
      </c>
      <c r="I45" s="84">
        <f>IFERROR(SUMIF([2]Aug26A!$A:$A,$A45,INDEX([2]Aug26A!$A:$N,0,MATCH($A$1,[2]Aug26A!$A$7:$N$7,0))),0)</f>
        <v>0</v>
      </c>
      <c r="J45" s="117">
        <v>0</v>
      </c>
      <c r="K45" s="117">
        <v>0</v>
      </c>
      <c r="L45" s="117">
        <v>0</v>
      </c>
      <c r="M45" s="117">
        <v>0</v>
      </c>
      <c r="N45" s="84">
        <f t="shared" si="26"/>
        <v>166.17</v>
      </c>
      <c r="O45" s="105" t="str">
        <f t="shared" si="27"/>
        <v/>
      </c>
      <c r="P45" s="84"/>
      <c r="Q45" s="84"/>
      <c r="R45" s="106" t="s">
        <v>99</v>
      </c>
      <c r="S45" s="107">
        <v>0</v>
      </c>
      <c r="T45" s="108">
        <v>0.05</v>
      </c>
      <c r="U45" s="104">
        <f t="shared" si="28"/>
        <v>0</v>
      </c>
      <c r="V45" s="104">
        <f t="shared" si="28"/>
        <v>0</v>
      </c>
      <c r="W45" s="104">
        <f t="shared" si="28"/>
        <v>0</v>
      </c>
      <c r="X45" s="104">
        <f t="shared" si="28"/>
        <v>0</v>
      </c>
      <c r="Y45" s="104">
        <f t="shared" si="28"/>
        <v>0</v>
      </c>
      <c r="Z45" s="104">
        <f t="shared" si="28"/>
        <v>0</v>
      </c>
      <c r="AA45" s="104">
        <f t="shared" si="28"/>
        <v>0</v>
      </c>
      <c r="AB45" s="104">
        <f t="shared" si="28"/>
        <v>0</v>
      </c>
      <c r="AC45" s="104">
        <f t="shared" si="28"/>
        <v>0</v>
      </c>
      <c r="AD45" s="104">
        <f t="shared" si="28"/>
        <v>0</v>
      </c>
      <c r="AE45" s="104">
        <f t="shared" si="28"/>
        <v>0</v>
      </c>
      <c r="AF45" s="104">
        <f t="shared" si="28"/>
        <v>0</v>
      </c>
      <c r="AG45" s="84">
        <f t="shared" si="29"/>
        <v>0</v>
      </c>
      <c r="AH45" s="105" t="str">
        <f t="shared" si="30"/>
        <v/>
      </c>
      <c r="AJ45" s="84">
        <f t="shared" si="31"/>
        <v>166.17</v>
      </c>
    </row>
    <row r="46" spans="1:36" x14ac:dyDescent="0.3">
      <c r="A46" s="103" t="s">
        <v>132</v>
      </c>
      <c r="B46" s="84">
        <f>IFERROR(SUMIF([2]Jan26A!$A:$A,$A46,INDEX([2]Jan26A!$A:$N,0,MATCH($A$1,[2]Jan26A!$A$7:$N$7,0))),0)</f>
        <v>2183.21</v>
      </c>
      <c r="C46" s="84">
        <f>IFERROR(SUMIF([2]Feb26A!$A:$A,$A46,INDEX([2]Feb26A!$A:$N,0,MATCH($A$1,[2]Feb26A!$A$7:$N$7,0))),0)</f>
        <v>1487.15</v>
      </c>
      <c r="D46" s="84">
        <f>IFERROR(SUMIF([2]Mar26A!$A:$A,$A46,INDEX([2]Mar26A!$A:$N,0,MATCH($A$1,[2]Mar26A!$A$7:$N$7,0))),0)</f>
        <v>1055.56</v>
      </c>
      <c r="E46" s="84">
        <f>IFERROR(SUMIF([2]Apr26A!$A:$A,$A46,INDEX([2]Apr26A!$A:$N,0,MATCH($A$1,[2]Apr26A!$A$7:$N$7,0))),0)</f>
        <v>37.64</v>
      </c>
      <c r="F46" s="84">
        <f>IFERROR(SUMIF([2]May26A!$A:$A,$A46,INDEX([2]May26A!$A:$N,0,MATCH($A$1,[2]May26A!$A$7:$N$7,0))),0)</f>
        <v>1945.1</v>
      </c>
      <c r="G46" s="84">
        <f>IFERROR(SUMIF([2]Jun26A!$A:$A,$A46,INDEX([2]Jun26A!$A:$N,0,MATCH($A$1,[2]Jun26A!$A$7:$N$7,0))),0)</f>
        <v>359.11</v>
      </c>
      <c r="H46" s="84">
        <f>IFERROR(SUMIF([2]Jul26A!$A:$A,$A46,INDEX([2]Jul26A!$A:$N,0,MATCH($A$1,[2]Jul26A!$A$7:$N$7,0))),0)</f>
        <v>-16.62</v>
      </c>
      <c r="I46" s="84">
        <f>IFERROR(SUMIF([2]Aug26A!$A:$A,$A46,INDEX([2]Aug26A!$A:$N,0,MATCH($A$1,[2]Aug26A!$A$7:$N$7,0))),0)</f>
        <v>169.57</v>
      </c>
      <c r="J46" s="117">
        <v>1900</v>
      </c>
      <c r="K46" s="117">
        <v>1900</v>
      </c>
      <c r="L46" s="117">
        <v>1900</v>
      </c>
      <c r="M46" s="117">
        <v>1900</v>
      </c>
      <c r="N46" s="84">
        <f t="shared" si="26"/>
        <v>14820.72</v>
      </c>
      <c r="O46" s="105" t="str">
        <f t="shared" si="27"/>
        <v/>
      </c>
      <c r="P46" s="84"/>
      <c r="Q46" s="84"/>
      <c r="R46" s="106" t="s">
        <v>99</v>
      </c>
      <c r="S46" s="107">
        <v>0</v>
      </c>
      <c r="T46" s="108">
        <v>0.05</v>
      </c>
      <c r="U46" s="104">
        <f t="shared" si="28"/>
        <v>0</v>
      </c>
      <c r="V46" s="104">
        <f t="shared" si="28"/>
        <v>0</v>
      </c>
      <c r="W46" s="104">
        <f t="shared" si="28"/>
        <v>0</v>
      </c>
      <c r="X46" s="104">
        <f t="shared" si="28"/>
        <v>0</v>
      </c>
      <c r="Y46" s="104">
        <f t="shared" si="28"/>
        <v>0</v>
      </c>
      <c r="Z46" s="104">
        <f t="shared" si="28"/>
        <v>0</v>
      </c>
      <c r="AA46" s="104">
        <f t="shared" si="28"/>
        <v>0</v>
      </c>
      <c r="AB46" s="104">
        <f t="shared" si="28"/>
        <v>0</v>
      </c>
      <c r="AC46" s="104">
        <f t="shared" si="28"/>
        <v>0</v>
      </c>
      <c r="AD46" s="104">
        <f t="shared" si="28"/>
        <v>0</v>
      </c>
      <c r="AE46" s="104">
        <f t="shared" si="28"/>
        <v>0</v>
      </c>
      <c r="AF46" s="104">
        <f t="shared" si="28"/>
        <v>0</v>
      </c>
      <c r="AG46" s="84">
        <f t="shared" si="29"/>
        <v>0</v>
      </c>
      <c r="AH46" s="105" t="str">
        <f t="shared" si="30"/>
        <v/>
      </c>
      <c r="AJ46" s="84">
        <f t="shared" si="31"/>
        <v>14820.72</v>
      </c>
    </row>
    <row r="47" spans="1:36" x14ac:dyDescent="0.3">
      <c r="A47" s="103" t="s">
        <v>133</v>
      </c>
      <c r="B47" s="84">
        <f>IFERROR(SUMIF([2]Jan26A!$A:$A,$A47,INDEX([2]Jan26A!$A:$N,0,MATCH($A$1,[2]Jan26A!$A$7:$N$7,0))),0)</f>
        <v>245.8</v>
      </c>
      <c r="C47" s="84">
        <f>IFERROR(SUMIF([2]Feb26A!$A:$A,$A47,INDEX([2]Feb26A!$A:$N,0,MATCH($A$1,[2]Feb26A!$A$7:$N$7,0))),0)</f>
        <v>0</v>
      </c>
      <c r="D47" s="84">
        <f>IFERROR(SUMIF([2]Mar26A!$A:$A,$A47,INDEX([2]Mar26A!$A:$N,0,MATCH($A$1,[2]Mar26A!$A$7:$N$7,0))),0)</f>
        <v>0</v>
      </c>
      <c r="E47" s="84">
        <f>IFERROR(SUMIF([2]Apr26A!$A:$A,$A47,INDEX([2]Apr26A!$A:$N,0,MATCH($A$1,[2]Apr26A!$A$7:$N$7,0))),0)</f>
        <v>21.59</v>
      </c>
      <c r="F47" s="84">
        <f>IFERROR(SUMIF([2]May26A!$A:$A,$A47,INDEX([2]May26A!$A:$N,0,MATCH($A$1,[2]May26A!$A$7:$N$7,0))),0)</f>
        <v>12.62</v>
      </c>
      <c r="G47" s="84">
        <f>IFERROR(SUMIF([2]Jun26A!$A:$A,$A47,INDEX([2]Jun26A!$A:$N,0,MATCH($A$1,[2]Jun26A!$A$7:$N$7,0))),0)</f>
        <v>0</v>
      </c>
      <c r="H47" s="84">
        <f>IFERROR(SUMIF([2]Jul26A!$A:$A,$A47,INDEX([2]Jul26A!$A:$N,0,MATCH($A$1,[2]Jul26A!$A$7:$N$7,0))),0)</f>
        <v>0</v>
      </c>
      <c r="I47" s="84">
        <f>IFERROR(SUMIF([2]Aug26A!$A:$A,$A47,INDEX([2]Aug26A!$A:$N,0,MATCH($A$1,[2]Aug26A!$A$7:$N$7,0))),0)</f>
        <v>73.45</v>
      </c>
      <c r="J47" s="117">
        <v>0</v>
      </c>
      <c r="K47" s="117">
        <v>0</v>
      </c>
      <c r="L47" s="117">
        <v>0</v>
      </c>
      <c r="M47" s="117">
        <v>0</v>
      </c>
      <c r="N47" s="84">
        <f t="shared" si="26"/>
        <v>353.46</v>
      </c>
      <c r="O47" s="105" t="str">
        <f t="shared" si="27"/>
        <v/>
      </c>
      <c r="P47" s="84"/>
      <c r="Q47" s="84"/>
      <c r="R47" s="106" t="s">
        <v>99</v>
      </c>
      <c r="S47" s="107">
        <v>0</v>
      </c>
      <c r="T47" s="108">
        <v>0.05</v>
      </c>
      <c r="U47" s="104">
        <f t="shared" si="28"/>
        <v>0</v>
      </c>
      <c r="V47" s="104">
        <f t="shared" si="28"/>
        <v>0</v>
      </c>
      <c r="W47" s="104">
        <f t="shared" si="28"/>
        <v>0</v>
      </c>
      <c r="X47" s="104">
        <f t="shared" si="28"/>
        <v>0</v>
      </c>
      <c r="Y47" s="104">
        <f t="shared" si="28"/>
        <v>0</v>
      </c>
      <c r="Z47" s="104">
        <f t="shared" si="28"/>
        <v>0</v>
      </c>
      <c r="AA47" s="104">
        <f t="shared" si="28"/>
        <v>0</v>
      </c>
      <c r="AB47" s="104">
        <f t="shared" si="28"/>
        <v>0</v>
      </c>
      <c r="AC47" s="104">
        <f t="shared" si="28"/>
        <v>0</v>
      </c>
      <c r="AD47" s="104">
        <f t="shared" si="28"/>
        <v>0</v>
      </c>
      <c r="AE47" s="104">
        <f t="shared" si="28"/>
        <v>0</v>
      </c>
      <c r="AF47" s="104">
        <f t="shared" si="28"/>
        <v>0</v>
      </c>
      <c r="AG47" s="84">
        <f t="shared" si="29"/>
        <v>0</v>
      </c>
      <c r="AH47" s="105" t="str">
        <f t="shared" si="30"/>
        <v/>
      </c>
      <c r="AJ47" s="84">
        <f t="shared" si="31"/>
        <v>353.46</v>
      </c>
    </row>
    <row r="48" spans="1:36" x14ac:dyDescent="0.3">
      <c r="A48" s="103" t="s">
        <v>134</v>
      </c>
      <c r="B48" s="84">
        <f>IFERROR(SUMIF([2]Jan26A!$A:$A,$A48,INDEX([2]Jan26A!$A:$N,0,MATCH($A$1,[2]Jan26A!$A$7:$N$7,0))),0)</f>
        <v>0</v>
      </c>
      <c r="C48" s="84">
        <f>IFERROR(SUMIF([2]Feb26A!$A:$A,$A48,INDEX([2]Feb26A!$A:$N,0,MATCH($A$1,[2]Feb26A!$A$7:$N$7,0))),0)</f>
        <v>0</v>
      </c>
      <c r="D48" s="84">
        <f>IFERROR(SUMIF([2]Mar26A!$A:$A,$A48,INDEX([2]Mar26A!$A:$N,0,MATCH($A$1,[2]Mar26A!$A$7:$N$7,0))),0)</f>
        <v>0</v>
      </c>
      <c r="E48" s="84">
        <f>IFERROR(SUMIF([2]Apr26A!$A:$A,$A48,INDEX([2]Apr26A!$A:$N,0,MATCH($A$1,[2]Apr26A!$A$7:$N$7,0))),0)</f>
        <v>0</v>
      </c>
      <c r="F48" s="84">
        <f>IFERROR(SUMIF([2]May26A!$A:$A,$A48,INDEX([2]May26A!$A:$N,0,MATCH($A$1,[2]May26A!$A$7:$N$7,0))),0)</f>
        <v>0</v>
      </c>
      <c r="G48" s="84">
        <f>IFERROR(SUMIF([2]Jun26A!$A:$A,$A48,INDEX([2]Jun26A!$A:$N,0,MATCH($A$1,[2]Jun26A!$A$7:$N$7,0))),0)</f>
        <v>0</v>
      </c>
      <c r="H48" s="84">
        <f>IFERROR(SUMIF([2]Jul26A!$A:$A,$A48,INDEX([2]Jul26A!$A:$N,0,MATCH($A$1,[2]Jul26A!$A$7:$N$7,0))),0)</f>
        <v>0</v>
      </c>
      <c r="I48" s="84">
        <f>IFERROR(SUMIF([2]Aug26A!$A:$A,$A48,INDEX([2]Aug26A!$A:$N,0,MATCH($A$1,[2]Aug26A!$A$7:$N$7,0))),0)</f>
        <v>0</v>
      </c>
      <c r="J48" s="117">
        <v>0</v>
      </c>
      <c r="K48" s="117">
        <v>0</v>
      </c>
      <c r="L48" s="117">
        <v>0</v>
      </c>
      <c r="M48" s="117">
        <v>0</v>
      </c>
      <c r="N48" s="84">
        <f t="shared" si="26"/>
        <v>0</v>
      </c>
      <c r="O48" s="105" t="str">
        <f t="shared" si="27"/>
        <v/>
      </c>
      <c r="P48" s="84"/>
      <c r="Q48" s="84"/>
      <c r="R48" s="106" t="s">
        <v>99</v>
      </c>
      <c r="S48" s="107">
        <v>0</v>
      </c>
      <c r="T48" s="108">
        <v>0.05</v>
      </c>
      <c r="U48" s="104">
        <f t="shared" si="28"/>
        <v>0</v>
      </c>
      <c r="V48" s="104">
        <f t="shared" si="28"/>
        <v>0</v>
      </c>
      <c r="W48" s="104">
        <f t="shared" si="28"/>
        <v>0</v>
      </c>
      <c r="X48" s="104">
        <f t="shared" si="28"/>
        <v>0</v>
      </c>
      <c r="Y48" s="104">
        <f t="shared" si="28"/>
        <v>0</v>
      </c>
      <c r="Z48" s="104">
        <f t="shared" si="28"/>
        <v>0</v>
      </c>
      <c r="AA48" s="104">
        <f t="shared" si="28"/>
        <v>0</v>
      </c>
      <c r="AB48" s="104">
        <f t="shared" si="28"/>
        <v>0</v>
      </c>
      <c r="AC48" s="104">
        <f t="shared" si="28"/>
        <v>0</v>
      </c>
      <c r="AD48" s="104">
        <f t="shared" si="28"/>
        <v>0</v>
      </c>
      <c r="AE48" s="104">
        <f t="shared" si="28"/>
        <v>0</v>
      </c>
      <c r="AF48" s="104">
        <f t="shared" si="28"/>
        <v>0</v>
      </c>
      <c r="AG48" s="84">
        <f t="shared" si="29"/>
        <v>0</v>
      </c>
      <c r="AH48" s="105" t="str">
        <f t="shared" si="30"/>
        <v/>
      </c>
      <c r="AJ48" s="84">
        <f t="shared" si="31"/>
        <v>0</v>
      </c>
    </row>
    <row r="49" spans="1:36" x14ac:dyDescent="0.3">
      <c r="A49" s="103" t="s">
        <v>135</v>
      </c>
      <c r="B49" s="84">
        <f>IFERROR(SUMIF([2]Jan26A!$A:$A,$A49,INDEX([2]Jan26A!$A:$N,0,MATCH($A$1,[2]Jan26A!$A$7:$N$7,0))),0)</f>
        <v>60</v>
      </c>
      <c r="C49" s="84">
        <f>IFERROR(SUMIF([2]Feb26A!$A:$A,$A49,INDEX([2]Feb26A!$A:$N,0,MATCH($A$1,[2]Feb26A!$A$7:$N$7,0))),0)</f>
        <v>0</v>
      </c>
      <c r="D49" s="84">
        <f>IFERROR(SUMIF([2]Mar26A!$A:$A,$A49,INDEX([2]Mar26A!$A:$N,0,MATCH($A$1,[2]Mar26A!$A$7:$N$7,0))),0)</f>
        <v>281.44</v>
      </c>
      <c r="E49" s="84">
        <f>IFERROR(SUMIF([2]Apr26A!$A:$A,$A49,INDEX([2]Apr26A!$A:$N,0,MATCH($A$1,[2]Apr26A!$A$7:$N$7,0))),0)</f>
        <v>302.02999999999997</v>
      </c>
      <c r="F49" s="84">
        <f>IFERROR(SUMIF([2]May26A!$A:$A,$A49,INDEX([2]May26A!$A:$N,0,MATCH($A$1,[2]May26A!$A$7:$N$7,0))),0)</f>
        <v>0</v>
      </c>
      <c r="G49" s="84">
        <f>IFERROR(SUMIF([2]Jun26A!$A:$A,$A49,INDEX([2]Jun26A!$A:$N,0,MATCH($A$1,[2]Jun26A!$A$7:$N$7,0))),0)</f>
        <v>0</v>
      </c>
      <c r="H49" s="84">
        <f>IFERROR(SUMIF([2]Jul26A!$A:$A,$A49,INDEX([2]Jul26A!$A:$N,0,MATCH($A$1,[2]Jul26A!$A$7:$N$7,0))),0)</f>
        <v>0</v>
      </c>
      <c r="I49" s="84">
        <f>IFERROR(SUMIF([2]Aug26A!$A:$A,$A49,INDEX([2]Aug26A!$A:$N,0,MATCH($A$1,[2]Aug26A!$A$7:$N$7,0))),0)</f>
        <v>471.85</v>
      </c>
      <c r="J49" s="117">
        <v>0</v>
      </c>
      <c r="K49" s="117">
        <v>0</v>
      </c>
      <c r="L49" s="117">
        <v>0</v>
      </c>
      <c r="M49" s="117">
        <v>0</v>
      </c>
      <c r="N49" s="84">
        <f t="shared" si="26"/>
        <v>1115.3200000000002</v>
      </c>
      <c r="O49" s="105" t="str">
        <f t="shared" si="27"/>
        <v/>
      </c>
      <c r="P49" s="84"/>
      <c r="Q49" s="84"/>
      <c r="R49" s="106" t="s">
        <v>99</v>
      </c>
      <c r="S49" s="107">
        <v>0</v>
      </c>
      <c r="T49" s="108">
        <v>0.05</v>
      </c>
      <c r="U49" s="104">
        <f t="shared" si="28"/>
        <v>0</v>
      </c>
      <c r="V49" s="104">
        <f t="shared" si="28"/>
        <v>0</v>
      </c>
      <c r="W49" s="104">
        <f t="shared" si="28"/>
        <v>0</v>
      </c>
      <c r="X49" s="104">
        <f t="shared" si="28"/>
        <v>0</v>
      </c>
      <c r="Y49" s="104">
        <f t="shared" si="28"/>
        <v>0</v>
      </c>
      <c r="Z49" s="104">
        <f t="shared" si="28"/>
        <v>0</v>
      </c>
      <c r="AA49" s="104">
        <f t="shared" si="28"/>
        <v>0</v>
      </c>
      <c r="AB49" s="104">
        <f t="shared" si="28"/>
        <v>0</v>
      </c>
      <c r="AC49" s="104">
        <f t="shared" si="28"/>
        <v>0</v>
      </c>
      <c r="AD49" s="104">
        <f t="shared" si="28"/>
        <v>0</v>
      </c>
      <c r="AE49" s="104">
        <f t="shared" si="28"/>
        <v>0</v>
      </c>
      <c r="AF49" s="104">
        <f t="shared" si="28"/>
        <v>0</v>
      </c>
      <c r="AG49" s="84">
        <f t="shared" si="29"/>
        <v>0</v>
      </c>
      <c r="AH49" s="105" t="str">
        <f t="shared" si="30"/>
        <v/>
      </c>
      <c r="AJ49" s="84">
        <f t="shared" si="31"/>
        <v>1115.3200000000002</v>
      </c>
    </row>
    <row r="50" spans="1:36" x14ac:dyDescent="0.3">
      <c r="A50" s="103" t="s">
        <v>136</v>
      </c>
      <c r="B50" s="84">
        <f>IFERROR(SUMIF([2]Jan26A!$A:$A,$A50,INDEX([2]Jan26A!$A:$N,0,MATCH($A$1,[2]Jan26A!$A$7:$N$7,0))),0)</f>
        <v>0</v>
      </c>
      <c r="C50" s="84">
        <f>IFERROR(SUMIF([2]Feb26A!$A:$A,$A50,INDEX([2]Feb26A!$A:$N,0,MATCH($A$1,[2]Feb26A!$A$7:$N$7,0))),0)</f>
        <v>0</v>
      </c>
      <c r="D50" s="84">
        <f>IFERROR(SUMIF([2]Mar26A!$A:$A,$A50,INDEX([2]Mar26A!$A:$N,0,MATCH($A$1,[2]Mar26A!$A$7:$N$7,0))),0)</f>
        <v>160.63</v>
      </c>
      <c r="E50" s="84">
        <f>IFERROR(SUMIF([2]Apr26A!$A:$A,$A50,INDEX([2]Apr26A!$A:$N,0,MATCH($A$1,[2]Apr26A!$A$7:$N$7,0))),0)</f>
        <v>0</v>
      </c>
      <c r="F50" s="84">
        <f>IFERROR(SUMIF([2]May26A!$A:$A,$A50,INDEX([2]May26A!$A:$N,0,MATCH($A$1,[2]May26A!$A$7:$N$7,0))),0)</f>
        <v>0</v>
      </c>
      <c r="G50" s="84">
        <f>IFERROR(SUMIF([2]Jun26A!$A:$A,$A50,INDEX([2]Jun26A!$A:$N,0,MATCH($A$1,[2]Jun26A!$A$7:$N$7,0))),0)</f>
        <v>0</v>
      </c>
      <c r="H50" s="84">
        <f>IFERROR(SUMIF([2]Jul26A!$A:$A,$A50,INDEX([2]Jul26A!$A:$N,0,MATCH($A$1,[2]Jul26A!$A$7:$N$7,0))),0)</f>
        <v>0</v>
      </c>
      <c r="I50" s="84">
        <f>IFERROR(SUMIF([2]Aug26A!$A:$A,$A50,INDEX([2]Aug26A!$A:$N,0,MATCH($A$1,[2]Aug26A!$A$7:$N$7,0))),0)</f>
        <v>0</v>
      </c>
      <c r="J50" s="117">
        <v>0</v>
      </c>
      <c r="K50" s="117">
        <v>0</v>
      </c>
      <c r="L50" s="117">
        <v>0</v>
      </c>
      <c r="M50" s="117">
        <v>0</v>
      </c>
      <c r="N50" s="84">
        <f t="shared" si="26"/>
        <v>160.63</v>
      </c>
      <c r="O50" s="105" t="str">
        <f t="shared" si="27"/>
        <v/>
      </c>
      <c r="P50" s="84"/>
      <c r="Q50" s="84"/>
      <c r="R50" s="106" t="s">
        <v>99</v>
      </c>
      <c r="S50" s="107">
        <v>0</v>
      </c>
      <c r="T50" s="108">
        <v>0.05</v>
      </c>
      <c r="U50" s="104">
        <f t="shared" si="28"/>
        <v>0</v>
      </c>
      <c r="V50" s="104">
        <f t="shared" si="28"/>
        <v>0</v>
      </c>
      <c r="W50" s="104">
        <f t="shared" si="28"/>
        <v>0</v>
      </c>
      <c r="X50" s="104">
        <f t="shared" si="28"/>
        <v>0</v>
      </c>
      <c r="Y50" s="104">
        <f t="shared" si="28"/>
        <v>0</v>
      </c>
      <c r="Z50" s="104">
        <f t="shared" si="28"/>
        <v>0</v>
      </c>
      <c r="AA50" s="104">
        <f t="shared" si="28"/>
        <v>0</v>
      </c>
      <c r="AB50" s="104">
        <f t="shared" si="28"/>
        <v>0</v>
      </c>
      <c r="AC50" s="104">
        <f t="shared" si="28"/>
        <v>0</v>
      </c>
      <c r="AD50" s="104">
        <f t="shared" si="28"/>
        <v>0</v>
      </c>
      <c r="AE50" s="104">
        <f t="shared" si="28"/>
        <v>0</v>
      </c>
      <c r="AF50" s="104">
        <f t="shared" si="28"/>
        <v>0</v>
      </c>
      <c r="AG50" s="84">
        <f t="shared" si="29"/>
        <v>0</v>
      </c>
      <c r="AH50" s="105" t="str">
        <f t="shared" si="30"/>
        <v/>
      </c>
      <c r="AJ50" s="84">
        <f t="shared" si="31"/>
        <v>160.63</v>
      </c>
    </row>
    <row r="51" spans="1:36" x14ac:dyDescent="0.3">
      <c r="A51" s="115" t="s">
        <v>137</v>
      </c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105"/>
      <c r="P51" s="84"/>
      <c r="Q51" s="84"/>
      <c r="R51" s="112"/>
      <c r="S51" s="112"/>
      <c r="T51" s="112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105"/>
      <c r="AJ51" s="84"/>
    </row>
    <row r="52" spans="1:36" x14ac:dyDescent="0.3">
      <c r="A52" s="116" t="s">
        <v>138</v>
      </c>
      <c r="B52" s="84">
        <f>IFERROR(SUMIF([2]Jan26A!$A:$A,$A52,INDEX([2]Jan26A!$A:$N,0,MATCH($A$1,[2]Jan26A!$A$7:$N$7,0))),0)</f>
        <v>0</v>
      </c>
      <c r="C52" s="84">
        <f>IFERROR(SUMIF([2]Feb26A!$A:$A,$A52,INDEX([2]Feb26A!$A:$N,0,MATCH($A$1,[2]Feb26A!$A$7:$N$7,0))),0)</f>
        <v>0</v>
      </c>
      <c r="D52" s="84">
        <f>IFERROR(SUMIF([2]Mar26A!$A:$A,$A52,INDEX([2]Mar26A!$A:$N,0,MATCH($A$1,[2]Mar26A!$A$7:$N$7,0))),0)</f>
        <v>0</v>
      </c>
      <c r="E52" s="84">
        <f>IFERROR(SUMIF([2]Apr26A!$A:$A,$A52,INDEX([2]Apr26A!$A:$N,0,MATCH($A$1,[2]Apr26A!$A$7:$N$7,0))),0)</f>
        <v>0</v>
      </c>
      <c r="F52" s="84">
        <f>IFERROR(SUMIF([2]May26A!$A:$A,$A52,INDEX([2]May26A!$A:$N,0,MATCH($A$1,[2]May26A!$A$7:$N$7,0))),0)</f>
        <v>0</v>
      </c>
      <c r="G52" s="84">
        <f>IFERROR(SUMIF([2]Jun26A!$A:$A,$A52,INDEX([2]Jun26A!$A:$N,0,MATCH($A$1,[2]Jun26A!$A$7:$N$7,0))),0)</f>
        <v>0</v>
      </c>
      <c r="H52" s="84">
        <f>IFERROR(SUMIF([2]Jul26A!$A:$A,$A52,INDEX([2]Jul26A!$A:$N,0,MATCH($A$1,[2]Jul26A!$A$7:$N$7,0))),0)</f>
        <v>0</v>
      </c>
      <c r="I52" s="84">
        <f>IFERROR(SUMIF([2]Aug26A!$A:$A,$A52,INDEX([2]Aug26A!$A:$N,0,MATCH($A$1,[2]Aug26A!$A$7:$N$7,0))),0)</f>
        <v>0</v>
      </c>
      <c r="J52" s="117">
        <v>0</v>
      </c>
      <c r="K52" s="117">
        <v>0</v>
      </c>
      <c r="L52" s="117">
        <v>0</v>
      </c>
      <c r="M52" s="117">
        <v>0</v>
      </c>
      <c r="N52" s="84">
        <f>SUM(B52:M52)</f>
        <v>0</v>
      </c>
      <c r="O52" s="105" t="str">
        <f>IFERROR(N52/N$16,"")</f>
        <v/>
      </c>
      <c r="P52" s="84"/>
      <c r="Q52" s="84"/>
      <c r="R52" s="168"/>
      <c r="S52" s="168"/>
      <c r="T52" s="168"/>
      <c r="U52" s="168"/>
      <c r="V52" s="168"/>
      <c r="W52" s="168"/>
      <c r="X52" s="168"/>
      <c r="Y52" s="168"/>
      <c r="Z52" s="168"/>
      <c r="AA52" s="168"/>
      <c r="AB52" s="168"/>
      <c r="AC52" s="168"/>
      <c r="AD52" s="168"/>
      <c r="AE52" s="168"/>
      <c r="AF52" s="168"/>
      <c r="AG52" s="84">
        <f>SUM(U52:AF52)</f>
        <v>0</v>
      </c>
      <c r="AH52" s="105" t="str">
        <f>IFERROR(AG52/AG$16,"")</f>
        <v/>
      </c>
      <c r="AJ52" s="84">
        <f>N52-AG52</f>
        <v>0</v>
      </c>
    </row>
    <row r="53" spans="1:36" x14ac:dyDescent="0.3">
      <c r="A53" s="116" t="s">
        <v>139</v>
      </c>
      <c r="B53" s="84">
        <f>IFERROR(SUMIF([2]Jan26A!$A:$A,$A53,INDEX([2]Jan26A!$A:$N,0,MATCH($A$1,[2]Jan26A!$A$7:$N$7,0))),0)</f>
        <v>0</v>
      </c>
      <c r="C53" s="84">
        <f>IFERROR(SUMIF([2]Feb26A!$A:$A,$A53,INDEX([2]Feb26A!$A:$N,0,MATCH($A$1,[2]Feb26A!$A$7:$N$7,0))),0)</f>
        <v>0</v>
      </c>
      <c r="D53" s="84">
        <f>IFERROR(SUMIF([2]Mar26A!$A:$A,$A53,INDEX([2]Mar26A!$A:$N,0,MATCH($A$1,[2]Mar26A!$A$7:$N$7,0))),0)</f>
        <v>0</v>
      </c>
      <c r="E53" s="84">
        <f>IFERROR(SUMIF([2]Apr26A!$A:$A,$A53,INDEX([2]Apr26A!$A:$N,0,MATCH($A$1,[2]Apr26A!$A$7:$N$7,0))),0)</f>
        <v>0</v>
      </c>
      <c r="F53" s="84">
        <f>IFERROR(SUMIF([2]May26A!$A:$A,$A53,INDEX([2]May26A!$A:$N,0,MATCH($A$1,[2]May26A!$A$7:$N$7,0))),0)</f>
        <v>0</v>
      </c>
      <c r="G53" s="84">
        <f>IFERROR(SUMIF([2]Jun26A!$A:$A,$A53,INDEX([2]Jun26A!$A:$N,0,MATCH($A$1,[2]Jun26A!$A$7:$N$7,0))),0)</f>
        <v>0</v>
      </c>
      <c r="H53" s="84">
        <f>IFERROR(SUMIF([2]Jul26A!$A:$A,$A53,INDEX([2]Jul26A!$A:$N,0,MATCH($A$1,[2]Jul26A!$A$7:$N$7,0))),0)</f>
        <v>0</v>
      </c>
      <c r="I53" s="84">
        <f>IFERROR(SUMIF([2]Aug26A!$A:$A,$A53,INDEX([2]Aug26A!$A:$N,0,MATCH($A$1,[2]Aug26A!$A$7:$N$7,0))),0)</f>
        <v>0</v>
      </c>
      <c r="J53" s="117">
        <v>0</v>
      </c>
      <c r="K53" s="117">
        <v>0</v>
      </c>
      <c r="L53" s="117">
        <v>0</v>
      </c>
      <c r="M53" s="117">
        <v>0</v>
      </c>
      <c r="N53" s="84">
        <f>SUM(B53:M53)</f>
        <v>0</v>
      </c>
      <c r="O53" s="105" t="str">
        <f>IFERROR(N53/N$16,"")</f>
        <v/>
      </c>
      <c r="P53" s="84"/>
      <c r="Q53" s="84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168"/>
      <c r="AE53" s="168"/>
      <c r="AF53" s="168"/>
      <c r="AG53" s="84">
        <f>SUM(U53:AF53)</f>
        <v>0</v>
      </c>
      <c r="AH53" s="105" t="str">
        <f>IFERROR(AG53/AG$16,"")</f>
        <v/>
      </c>
      <c r="AJ53" s="84">
        <f>N53-AG53</f>
        <v>0</v>
      </c>
    </row>
    <row r="54" spans="1:36" x14ac:dyDescent="0.3">
      <c r="A54" s="116" t="s">
        <v>140</v>
      </c>
      <c r="B54" s="84">
        <f>IFERROR(SUMIF([2]Jan26A!$A:$A,$A54,INDEX([2]Jan26A!$A:$N,0,MATCH($A$1,[2]Jan26A!$A$7:$N$7,0))),0)</f>
        <v>0</v>
      </c>
      <c r="C54" s="84">
        <f>IFERROR(SUMIF([2]Feb26A!$A:$A,$A54,INDEX([2]Feb26A!$A:$N,0,MATCH($A$1,[2]Feb26A!$A$7:$N$7,0))),0)</f>
        <v>0</v>
      </c>
      <c r="D54" s="84">
        <f>IFERROR(SUMIF([2]Mar26A!$A:$A,$A54,INDEX([2]Mar26A!$A:$N,0,MATCH($A$1,[2]Mar26A!$A$7:$N$7,0))),0)</f>
        <v>0</v>
      </c>
      <c r="E54" s="84">
        <f>IFERROR(SUMIF([2]Apr26A!$A:$A,$A54,INDEX([2]Apr26A!$A:$N,0,MATCH($A$1,[2]Apr26A!$A$7:$N$7,0))),0)</f>
        <v>0</v>
      </c>
      <c r="F54" s="84">
        <f>IFERROR(SUMIF([2]May26A!$A:$A,$A54,INDEX([2]May26A!$A:$N,0,MATCH($A$1,[2]May26A!$A$7:$N$7,0))),0)</f>
        <v>0</v>
      </c>
      <c r="G54" s="84">
        <f>IFERROR(SUMIF([2]Jun26A!$A:$A,$A54,INDEX([2]Jun26A!$A:$N,0,MATCH($A$1,[2]Jun26A!$A$7:$N$7,0))),0)</f>
        <v>0</v>
      </c>
      <c r="H54" s="84">
        <f>IFERROR(SUMIF([2]Jul26A!$A:$A,$A54,INDEX([2]Jul26A!$A:$N,0,MATCH($A$1,[2]Jul26A!$A$7:$N$7,0))),0)</f>
        <v>0</v>
      </c>
      <c r="I54" s="84">
        <f>IFERROR(SUMIF([2]Aug26A!$A:$A,$A54,INDEX([2]Aug26A!$A:$N,0,MATCH($A$1,[2]Aug26A!$A$7:$N$7,0))),0)</f>
        <v>0</v>
      </c>
      <c r="J54" s="117">
        <v>0</v>
      </c>
      <c r="K54" s="117">
        <v>0</v>
      </c>
      <c r="L54" s="117">
        <v>0</v>
      </c>
      <c r="M54" s="117">
        <v>0</v>
      </c>
      <c r="N54" s="84">
        <f>SUM(B54:M54)</f>
        <v>0</v>
      </c>
      <c r="O54" s="105" t="str">
        <f>IFERROR(N54/N$16,"")</f>
        <v/>
      </c>
      <c r="P54" s="84"/>
      <c r="Q54" s="84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  <c r="AC54" s="168"/>
      <c r="AD54" s="168"/>
      <c r="AE54" s="168"/>
      <c r="AF54" s="168"/>
      <c r="AG54" s="84">
        <f>SUM(U54:AF54)</f>
        <v>0</v>
      </c>
      <c r="AH54" s="105" t="str">
        <f>IFERROR(AG54/AG$16,"")</f>
        <v/>
      </c>
      <c r="AJ54" s="84">
        <f>N54-AG54</f>
        <v>0</v>
      </c>
    </row>
    <row r="55" spans="1:36" x14ac:dyDescent="0.3">
      <c r="A55" s="118" t="s">
        <v>141</v>
      </c>
      <c r="B55" s="110">
        <f t="shared" ref="B55:M55" si="32">SUM(B52:B54)</f>
        <v>0</v>
      </c>
      <c r="C55" s="110">
        <f t="shared" si="32"/>
        <v>0</v>
      </c>
      <c r="D55" s="110">
        <f t="shared" si="32"/>
        <v>0</v>
      </c>
      <c r="E55" s="110">
        <f t="shared" si="32"/>
        <v>0</v>
      </c>
      <c r="F55" s="110">
        <f t="shared" si="32"/>
        <v>0</v>
      </c>
      <c r="G55" s="110">
        <f t="shared" si="32"/>
        <v>0</v>
      </c>
      <c r="H55" s="110">
        <f t="shared" si="32"/>
        <v>0</v>
      </c>
      <c r="I55" s="110">
        <f t="shared" si="32"/>
        <v>0</v>
      </c>
      <c r="J55" s="110">
        <f t="shared" si="32"/>
        <v>0</v>
      </c>
      <c r="K55" s="110">
        <f t="shared" si="32"/>
        <v>0</v>
      </c>
      <c r="L55" s="110">
        <f t="shared" si="32"/>
        <v>0</v>
      </c>
      <c r="M55" s="110">
        <f t="shared" si="32"/>
        <v>0</v>
      </c>
      <c r="N55" s="110">
        <f>SUM(B55:M55)</f>
        <v>0</v>
      </c>
      <c r="O55" s="111" t="str">
        <f>IFERROR(N55/N$16,"")</f>
        <v/>
      </c>
      <c r="P55" s="84"/>
      <c r="Q55" s="84"/>
      <c r="R55" s="180"/>
      <c r="S55" s="180"/>
      <c r="T55" s="180"/>
      <c r="U55" s="110">
        <f t="shared" ref="U55:AF55" si="33">SUM(U52:U54)</f>
        <v>0</v>
      </c>
      <c r="V55" s="110">
        <f t="shared" si="33"/>
        <v>0</v>
      </c>
      <c r="W55" s="110">
        <f t="shared" si="33"/>
        <v>0</v>
      </c>
      <c r="X55" s="110">
        <f t="shared" si="33"/>
        <v>0</v>
      </c>
      <c r="Y55" s="110">
        <f t="shared" si="33"/>
        <v>0</v>
      </c>
      <c r="Z55" s="110">
        <f t="shared" si="33"/>
        <v>0</v>
      </c>
      <c r="AA55" s="110">
        <f t="shared" si="33"/>
        <v>0</v>
      </c>
      <c r="AB55" s="110">
        <f t="shared" si="33"/>
        <v>0</v>
      </c>
      <c r="AC55" s="110">
        <f t="shared" si="33"/>
        <v>0</v>
      </c>
      <c r="AD55" s="110">
        <f t="shared" si="33"/>
        <v>0</v>
      </c>
      <c r="AE55" s="110">
        <f t="shared" si="33"/>
        <v>0</v>
      </c>
      <c r="AF55" s="110">
        <f t="shared" si="33"/>
        <v>0</v>
      </c>
      <c r="AG55" s="110">
        <f>SUM(U55:AF55)</f>
        <v>0</v>
      </c>
      <c r="AH55" s="111" t="str">
        <f>IFERROR(AG55/AG$16,"")</f>
        <v/>
      </c>
      <c r="AJ55" s="110">
        <f>N55-AG55</f>
        <v>0</v>
      </c>
    </row>
    <row r="56" spans="1:36" x14ac:dyDescent="0.3">
      <c r="A56" s="109" t="s">
        <v>142</v>
      </c>
      <c r="B56" s="110">
        <f t="shared" ref="B56:M56" si="34">B44+B45+B46+B47+B48+B49+B50+B55</f>
        <v>2655.1800000000003</v>
      </c>
      <c r="C56" s="110">
        <f t="shared" si="34"/>
        <v>1487.15</v>
      </c>
      <c r="D56" s="110">
        <f t="shared" si="34"/>
        <v>1497.63</v>
      </c>
      <c r="E56" s="110">
        <f t="shared" si="34"/>
        <v>361.26</v>
      </c>
      <c r="F56" s="110">
        <f t="shared" si="34"/>
        <v>1957.7199999999998</v>
      </c>
      <c r="G56" s="110">
        <f t="shared" si="34"/>
        <v>359.11</v>
      </c>
      <c r="H56" s="110">
        <f t="shared" si="34"/>
        <v>-16.62</v>
      </c>
      <c r="I56" s="110">
        <f t="shared" si="34"/>
        <v>714.87</v>
      </c>
      <c r="J56" s="110">
        <f t="shared" si="34"/>
        <v>1900</v>
      </c>
      <c r="K56" s="110">
        <f t="shared" si="34"/>
        <v>1900</v>
      </c>
      <c r="L56" s="110">
        <f t="shared" si="34"/>
        <v>1900</v>
      </c>
      <c r="M56" s="110">
        <f t="shared" si="34"/>
        <v>1900</v>
      </c>
      <c r="N56" s="110">
        <f>SUM(B56:M56)</f>
        <v>16616.300000000003</v>
      </c>
      <c r="O56" s="111" t="str">
        <f>IFERROR(N56/N$16,"")</f>
        <v/>
      </c>
      <c r="P56" s="84"/>
      <c r="Q56" s="84"/>
      <c r="R56" s="112"/>
      <c r="S56" s="112"/>
      <c r="T56" s="112"/>
      <c r="U56" s="110">
        <f t="shared" ref="U56:AF56" si="35">U44+U45+U46+U47+U48+U49+U50+U55</f>
        <v>0</v>
      </c>
      <c r="V56" s="110">
        <f t="shared" si="35"/>
        <v>0</v>
      </c>
      <c r="W56" s="110">
        <f t="shared" si="35"/>
        <v>0</v>
      </c>
      <c r="X56" s="110">
        <f t="shared" si="35"/>
        <v>0</v>
      </c>
      <c r="Y56" s="110">
        <f t="shared" si="35"/>
        <v>0</v>
      </c>
      <c r="Z56" s="110">
        <f t="shared" si="35"/>
        <v>0</v>
      </c>
      <c r="AA56" s="110">
        <f t="shared" si="35"/>
        <v>0</v>
      </c>
      <c r="AB56" s="110">
        <f t="shared" si="35"/>
        <v>0</v>
      </c>
      <c r="AC56" s="110">
        <f t="shared" si="35"/>
        <v>0</v>
      </c>
      <c r="AD56" s="110">
        <f t="shared" si="35"/>
        <v>0</v>
      </c>
      <c r="AE56" s="110">
        <f t="shared" si="35"/>
        <v>0</v>
      </c>
      <c r="AF56" s="110">
        <f t="shared" si="35"/>
        <v>0</v>
      </c>
      <c r="AG56" s="110">
        <f>SUM(U56:AF56)</f>
        <v>0</v>
      </c>
      <c r="AH56" s="111" t="str">
        <f>IFERROR(AG56/AG$16,"")</f>
        <v/>
      </c>
      <c r="AJ56" s="110">
        <f>N56-AG56</f>
        <v>16616.300000000003</v>
      </c>
    </row>
    <row r="57" spans="1:36" x14ac:dyDescent="0.3">
      <c r="A57" s="102" t="s">
        <v>143</v>
      </c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105"/>
      <c r="P57" s="84"/>
      <c r="Q57" s="84"/>
      <c r="R57" s="112"/>
      <c r="S57" s="112"/>
      <c r="T57" s="112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105"/>
      <c r="AJ57" s="84"/>
    </row>
    <row r="58" spans="1:36" x14ac:dyDescent="0.3">
      <c r="A58" s="103" t="s">
        <v>144</v>
      </c>
      <c r="B58" s="84">
        <f>IFERROR(SUMIF([2]Jan26A!$A:$A,$A58,INDEX([2]Jan26A!$A:$N,0,MATCH($A$1,[2]Jan26A!$A$7:$N$7,0))),0)</f>
        <v>0</v>
      </c>
      <c r="C58" s="84">
        <f>IFERROR(SUMIF([2]Feb26A!$A:$A,$A58,INDEX([2]Feb26A!$A:$N,0,MATCH($A$1,[2]Feb26A!$A$7:$N$7,0))),0)</f>
        <v>0</v>
      </c>
      <c r="D58" s="84">
        <f>IFERROR(SUMIF([2]Mar26A!$A:$A,$A58,INDEX([2]Mar26A!$A:$N,0,MATCH($A$1,[2]Mar26A!$A$7:$N$7,0))),0)</f>
        <v>0</v>
      </c>
      <c r="E58" s="84">
        <f>IFERROR(SUMIF([2]Apr26A!$A:$A,$A58,INDEX([2]Apr26A!$A:$N,0,MATCH($A$1,[2]Apr26A!$A$7:$N$7,0))),0)</f>
        <v>0</v>
      </c>
      <c r="F58" s="84">
        <f>IFERROR(SUMIF([2]May26A!$A:$A,$A58,INDEX([2]May26A!$A:$N,0,MATCH($A$1,[2]May26A!$A$7:$N$7,0))),0)</f>
        <v>0</v>
      </c>
      <c r="G58" s="84">
        <f>IFERROR(SUMIF([2]Jun26A!$A:$A,$A58,INDEX([2]Jun26A!$A:$N,0,MATCH($A$1,[2]Jun26A!$A$7:$N$7,0))),0)</f>
        <v>0</v>
      </c>
      <c r="H58" s="84">
        <f>IFERROR(SUMIF([2]Jul26A!$A:$A,$A58,INDEX([2]Jul26A!$A:$N,0,MATCH($A$1,[2]Jul26A!$A$7:$N$7,0))),0)</f>
        <v>0</v>
      </c>
      <c r="I58" s="84">
        <f>IFERROR(SUMIF([2]Aug26A!$A:$A,$A58,INDEX([2]Aug26A!$A:$N,0,MATCH($A$1,[2]Aug26A!$A$7:$N$7,0))),0)</f>
        <v>93.99</v>
      </c>
      <c r="J58" s="117">
        <v>0</v>
      </c>
      <c r="K58" s="117">
        <v>0</v>
      </c>
      <c r="L58" s="117">
        <v>0</v>
      </c>
      <c r="M58" s="117">
        <v>0</v>
      </c>
      <c r="N58" s="84">
        <f t="shared" ref="N58:N64" si="36">SUM(B58:M58)</f>
        <v>93.99</v>
      </c>
      <c r="O58" s="105" t="str">
        <f t="shared" ref="O58:O64" si="37">IFERROR(N58/N$16,"")</f>
        <v/>
      </c>
      <c r="P58" s="84"/>
      <c r="Q58" s="84"/>
      <c r="R58" s="106" t="s">
        <v>99</v>
      </c>
      <c r="S58" s="107">
        <v>0</v>
      </c>
      <c r="T58" s="108">
        <v>0.05</v>
      </c>
      <c r="U58" s="104">
        <f t="shared" ref="U58:AF60" si="38">IF($R58="Manual","",IFERROR(IF($R58="YOY Growth",$N58*(1+$T58)/12,$S58/12),""))</f>
        <v>0</v>
      </c>
      <c r="V58" s="104">
        <f t="shared" si="38"/>
        <v>0</v>
      </c>
      <c r="W58" s="104">
        <f t="shared" si="38"/>
        <v>0</v>
      </c>
      <c r="X58" s="104">
        <f t="shared" si="38"/>
        <v>0</v>
      </c>
      <c r="Y58" s="104">
        <f t="shared" si="38"/>
        <v>0</v>
      </c>
      <c r="Z58" s="104">
        <f t="shared" si="38"/>
        <v>0</v>
      </c>
      <c r="AA58" s="104">
        <f t="shared" si="38"/>
        <v>0</v>
      </c>
      <c r="AB58" s="104">
        <f t="shared" si="38"/>
        <v>0</v>
      </c>
      <c r="AC58" s="104">
        <f t="shared" si="38"/>
        <v>0</v>
      </c>
      <c r="AD58" s="104">
        <f t="shared" si="38"/>
        <v>0</v>
      </c>
      <c r="AE58" s="104">
        <f t="shared" si="38"/>
        <v>0</v>
      </c>
      <c r="AF58" s="104">
        <f t="shared" si="38"/>
        <v>0</v>
      </c>
      <c r="AG58" s="84">
        <f t="shared" ref="AG58:AG64" si="39">SUM(U58:AF58)</f>
        <v>0</v>
      </c>
      <c r="AH58" s="105" t="str">
        <f t="shared" ref="AH58:AH64" si="40">IFERROR(AG58/AG$16,"")</f>
        <v/>
      </c>
      <c r="AJ58" s="84">
        <f t="shared" ref="AJ58:AJ63" si="41">N58-AG58</f>
        <v>93.99</v>
      </c>
    </row>
    <row r="59" spans="1:36" x14ac:dyDescent="0.3">
      <c r="A59" s="103" t="s">
        <v>145</v>
      </c>
      <c r="B59" s="84">
        <f>IFERROR(SUMIF([2]Jan26A!$A:$A,$A59,INDEX([2]Jan26A!$A:$N,0,MATCH($A$1,[2]Jan26A!$A$7:$N$7,0))),0)</f>
        <v>65</v>
      </c>
      <c r="C59" s="84">
        <f>IFERROR(SUMIF([2]Feb26A!$A:$A,$A59,INDEX([2]Feb26A!$A:$N,0,MATCH($A$1,[2]Feb26A!$A$7:$N$7,0))),0)</f>
        <v>0</v>
      </c>
      <c r="D59" s="84">
        <f>IFERROR(SUMIF([2]Mar26A!$A:$A,$A59,INDEX([2]Mar26A!$A:$N,0,MATCH($A$1,[2]Mar26A!$A$7:$N$7,0))),0)</f>
        <v>0</v>
      </c>
      <c r="E59" s="84">
        <f>IFERROR(SUMIF([2]Apr26A!$A:$A,$A59,INDEX([2]Apr26A!$A:$N,0,MATCH($A$1,[2]Apr26A!$A$7:$N$7,0))),0)</f>
        <v>0</v>
      </c>
      <c r="F59" s="84">
        <f>IFERROR(SUMIF([2]May26A!$A:$A,$A59,INDEX([2]May26A!$A:$N,0,MATCH($A$1,[2]May26A!$A$7:$N$7,0))),0)</f>
        <v>0</v>
      </c>
      <c r="G59" s="84">
        <f>IFERROR(SUMIF([2]Jun26A!$A:$A,$A59,INDEX([2]Jun26A!$A:$N,0,MATCH($A$1,[2]Jun26A!$A$7:$N$7,0))),0)</f>
        <v>0</v>
      </c>
      <c r="H59" s="84">
        <f>IFERROR(SUMIF([2]Jul26A!$A:$A,$A59,INDEX([2]Jul26A!$A:$N,0,MATCH($A$1,[2]Jul26A!$A$7:$N$7,0))),0)</f>
        <v>0</v>
      </c>
      <c r="I59" s="84">
        <f>IFERROR(SUMIF([2]Aug26A!$A:$A,$A59,INDEX([2]Aug26A!$A:$N,0,MATCH($A$1,[2]Aug26A!$A$7:$N$7,0))),0)</f>
        <v>0</v>
      </c>
      <c r="J59" s="117">
        <v>0</v>
      </c>
      <c r="K59" s="117">
        <v>0</v>
      </c>
      <c r="L59" s="117">
        <v>0</v>
      </c>
      <c r="M59" s="117">
        <v>0</v>
      </c>
      <c r="N59" s="84">
        <f t="shared" si="36"/>
        <v>65</v>
      </c>
      <c r="O59" s="105" t="str">
        <f t="shared" si="37"/>
        <v/>
      </c>
      <c r="P59" s="84"/>
      <c r="Q59" s="84"/>
      <c r="R59" s="106" t="s">
        <v>99</v>
      </c>
      <c r="S59" s="107">
        <v>0</v>
      </c>
      <c r="T59" s="108">
        <v>0.05</v>
      </c>
      <c r="U59" s="104">
        <f t="shared" si="38"/>
        <v>0</v>
      </c>
      <c r="V59" s="104">
        <f t="shared" si="38"/>
        <v>0</v>
      </c>
      <c r="W59" s="104">
        <f t="shared" si="38"/>
        <v>0</v>
      </c>
      <c r="X59" s="104">
        <f t="shared" si="38"/>
        <v>0</v>
      </c>
      <c r="Y59" s="104">
        <f t="shared" si="38"/>
        <v>0</v>
      </c>
      <c r="Z59" s="104">
        <f t="shared" si="38"/>
        <v>0</v>
      </c>
      <c r="AA59" s="104">
        <f t="shared" si="38"/>
        <v>0</v>
      </c>
      <c r="AB59" s="104">
        <f t="shared" si="38"/>
        <v>0</v>
      </c>
      <c r="AC59" s="104">
        <f t="shared" si="38"/>
        <v>0</v>
      </c>
      <c r="AD59" s="104">
        <f t="shared" si="38"/>
        <v>0</v>
      </c>
      <c r="AE59" s="104">
        <f t="shared" si="38"/>
        <v>0</v>
      </c>
      <c r="AF59" s="104">
        <f t="shared" si="38"/>
        <v>0</v>
      </c>
      <c r="AG59" s="84">
        <f t="shared" si="39"/>
        <v>0</v>
      </c>
      <c r="AH59" s="105" t="str">
        <f t="shared" si="40"/>
        <v/>
      </c>
      <c r="AJ59" s="84">
        <f t="shared" si="41"/>
        <v>65</v>
      </c>
    </row>
    <row r="60" spans="1:36" x14ac:dyDescent="0.3">
      <c r="A60" s="103" t="s">
        <v>146</v>
      </c>
      <c r="B60" s="84">
        <f>IFERROR(SUMIF([2]Jan26A!$A:$A,$A60,INDEX([2]Jan26A!$A:$N,0,MATCH($A$1,[2]Jan26A!$A$7:$N$7,0))),0)</f>
        <v>0</v>
      </c>
      <c r="C60" s="84">
        <f>IFERROR(SUMIF([2]Feb26A!$A:$A,$A60,INDEX([2]Feb26A!$A:$N,0,MATCH($A$1,[2]Feb26A!$A$7:$N$7,0))),0)</f>
        <v>0</v>
      </c>
      <c r="D60" s="84">
        <f>IFERROR(SUMIF([2]Mar26A!$A:$A,$A60,INDEX([2]Mar26A!$A:$N,0,MATCH($A$1,[2]Mar26A!$A$7:$N$7,0))),0)</f>
        <v>0</v>
      </c>
      <c r="E60" s="84">
        <f>IFERROR(SUMIF([2]Apr26A!$A:$A,$A60,INDEX([2]Apr26A!$A:$N,0,MATCH($A$1,[2]Apr26A!$A$7:$N$7,0))),0)</f>
        <v>0</v>
      </c>
      <c r="F60" s="84">
        <f>IFERROR(SUMIF([2]May26A!$A:$A,$A60,INDEX([2]May26A!$A:$N,0,MATCH($A$1,[2]May26A!$A$7:$N$7,0))),0)</f>
        <v>0</v>
      </c>
      <c r="G60" s="84">
        <f>IFERROR(SUMIF([2]Jun26A!$A:$A,$A60,INDEX([2]Jun26A!$A:$N,0,MATCH($A$1,[2]Jun26A!$A$7:$N$7,0))),0)</f>
        <v>0</v>
      </c>
      <c r="H60" s="84">
        <f>IFERROR(SUMIF([2]Jul26A!$A:$A,$A60,INDEX([2]Jul26A!$A:$N,0,MATCH($A$1,[2]Jul26A!$A$7:$N$7,0))),0)</f>
        <v>0</v>
      </c>
      <c r="I60" s="84">
        <f>IFERROR(SUMIF([2]Aug26A!$A:$A,$A60,INDEX([2]Aug26A!$A:$N,0,MATCH($A$1,[2]Aug26A!$A$7:$N$7,0))),0)</f>
        <v>0</v>
      </c>
      <c r="J60" s="117">
        <v>0</v>
      </c>
      <c r="K60" s="117">
        <v>0</v>
      </c>
      <c r="L60" s="117">
        <v>0</v>
      </c>
      <c r="M60" s="117">
        <v>0</v>
      </c>
      <c r="N60" s="84">
        <f t="shared" si="36"/>
        <v>0</v>
      </c>
      <c r="O60" s="105" t="str">
        <f t="shared" si="37"/>
        <v/>
      </c>
      <c r="P60" s="84"/>
      <c r="Q60" s="84"/>
      <c r="R60" s="106" t="s">
        <v>99</v>
      </c>
      <c r="S60" s="107">
        <v>0</v>
      </c>
      <c r="T60" s="108">
        <v>0.05</v>
      </c>
      <c r="U60" s="104">
        <f t="shared" si="38"/>
        <v>0</v>
      </c>
      <c r="V60" s="104">
        <f t="shared" si="38"/>
        <v>0</v>
      </c>
      <c r="W60" s="104">
        <f t="shared" si="38"/>
        <v>0</v>
      </c>
      <c r="X60" s="104">
        <f t="shared" si="38"/>
        <v>0</v>
      </c>
      <c r="Y60" s="104">
        <f t="shared" si="38"/>
        <v>0</v>
      </c>
      <c r="Z60" s="104">
        <f t="shared" si="38"/>
        <v>0</v>
      </c>
      <c r="AA60" s="104">
        <f t="shared" si="38"/>
        <v>0</v>
      </c>
      <c r="AB60" s="104">
        <f t="shared" si="38"/>
        <v>0</v>
      </c>
      <c r="AC60" s="104">
        <f t="shared" si="38"/>
        <v>0</v>
      </c>
      <c r="AD60" s="104">
        <f t="shared" si="38"/>
        <v>0</v>
      </c>
      <c r="AE60" s="104">
        <f t="shared" si="38"/>
        <v>0</v>
      </c>
      <c r="AF60" s="104">
        <f t="shared" si="38"/>
        <v>0</v>
      </c>
      <c r="AG60" s="84">
        <f t="shared" si="39"/>
        <v>0</v>
      </c>
      <c r="AH60" s="105" t="str">
        <f t="shared" si="40"/>
        <v/>
      </c>
      <c r="AJ60" s="84">
        <f t="shared" si="41"/>
        <v>0</v>
      </c>
    </row>
    <row r="61" spans="1:36" x14ac:dyDescent="0.3">
      <c r="A61" s="109" t="s">
        <v>147</v>
      </c>
      <c r="B61" s="119">
        <f t="shared" ref="B61:M61" si="42">SUM(B58:B60)</f>
        <v>65</v>
      </c>
      <c r="C61" s="119">
        <f t="shared" si="42"/>
        <v>0</v>
      </c>
      <c r="D61" s="119">
        <f t="shared" si="42"/>
        <v>0</v>
      </c>
      <c r="E61" s="119">
        <f t="shared" si="42"/>
        <v>0</v>
      </c>
      <c r="F61" s="119">
        <f t="shared" si="42"/>
        <v>0</v>
      </c>
      <c r="G61" s="119">
        <f t="shared" si="42"/>
        <v>0</v>
      </c>
      <c r="H61" s="119">
        <f t="shared" si="42"/>
        <v>0</v>
      </c>
      <c r="I61" s="119">
        <f t="shared" si="42"/>
        <v>93.99</v>
      </c>
      <c r="J61" s="119">
        <f t="shared" si="42"/>
        <v>0</v>
      </c>
      <c r="K61" s="119">
        <f t="shared" si="42"/>
        <v>0</v>
      </c>
      <c r="L61" s="119">
        <f t="shared" si="42"/>
        <v>0</v>
      </c>
      <c r="M61" s="119">
        <f t="shared" si="42"/>
        <v>0</v>
      </c>
      <c r="N61" s="119">
        <f t="shared" si="36"/>
        <v>158.99</v>
      </c>
      <c r="O61" s="120" t="str">
        <f t="shared" si="37"/>
        <v/>
      </c>
      <c r="P61" s="84"/>
      <c r="Q61" s="84"/>
      <c r="R61" s="112"/>
      <c r="S61" s="112"/>
      <c r="T61" s="112"/>
      <c r="U61" s="119">
        <f t="shared" ref="U61:AF61" si="43">SUM(U58:U60)</f>
        <v>0</v>
      </c>
      <c r="V61" s="119">
        <f t="shared" si="43"/>
        <v>0</v>
      </c>
      <c r="W61" s="119">
        <f t="shared" si="43"/>
        <v>0</v>
      </c>
      <c r="X61" s="119">
        <f t="shared" si="43"/>
        <v>0</v>
      </c>
      <c r="Y61" s="119">
        <f t="shared" si="43"/>
        <v>0</v>
      </c>
      <c r="Z61" s="119">
        <f t="shared" si="43"/>
        <v>0</v>
      </c>
      <c r="AA61" s="119">
        <f t="shared" si="43"/>
        <v>0</v>
      </c>
      <c r="AB61" s="119">
        <f t="shared" si="43"/>
        <v>0</v>
      </c>
      <c r="AC61" s="119">
        <f t="shared" si="43"/>
        <v>0</v>
      </c>
      <c r="AD61" s="119">
        <f t="shared" si="43"/>
        <v>0</v>
      </c>
      <c r="AE61" s="119">
        <f t="shared" si="43"/>
        <v>0</v>
      </c>
      <c r="AF61" s="119">
        <f t="shared" si="43"/>
        <v>0</v>
      </c>
      <c r="AG61" s="119">
        <f t="shared" si="39"/>
        <v>0</v>
      </c>
      <c r="AH61" s="120" t="str">
        <f t="shared" si="40"/>
        <v/>
      </c>
      <c r="AJ61" s="110">
        <f t="shared" si="41"/>
        <v>158.99</v>
      </c>
    </row>
    <row r="62" spans="1:36" x14ac:dyDescent="0.3">
      <c r="A62" s="161" t="s">
        <v>148</v>
      </c>
      <c r="B62" s="84">
        <f>IFERROR(SUMIF([2]Jan26A!$A:$A,$A62,INDEX([2]Jan26A!$A:$N,0,MATCH($A$1,[2]Jan26A!$A$7:$N$7,0))),0)</f>
        <v>0</v>
      </c>
      <c r="C62" s="84">
        <f>IFERROR(SUMIF([2]Feb26A!$A:$A,$A62,INDEX([2]Feb26A!$A:$N,0,MATCH($A$1,[2]Feb26A!$A$7:$N$7,0))),0)</f>
        <v>0</v>
      </c>
      <c r="D62" s="84">
        <f>IFERROR(SUMIF([2]Mar26A!$A:$A,$A62,INDEX([2]Mar26A!$A:$N,0,MATCH($A$1,[2]Mar26A!$A$7:$N$7,0))),0)</f>
        <v>0</v>
      </c>
      <c r="E62" s="84">
        <f>IFERROR(SUMIF([2]Apr26A!$A:$A,$A62,INDEX([2]Apr26A!$A:$N,0,MATCH($A$1,[2]Apr26A!$A$7:$N$7,0))),0)</f>
        <v>0</v>
      </c>
      <c r="F62" s="84">
        <f>IFERROR(SUMIF([2]May26A!$A:$A,$A62,INDEX([2]May26A!$A:$N,0,MATCH($A$1,[2]May26A!$A$7:$N$7,0))),0)</f>
        <v>0</v>
      </c>
      <c r="G62" s="84">
        <f>IFERROR(SUMIF([2]Jun26A!$A:$A,$A62,INDEX([2]Jun26A!$A:$N,0,MATCH($A$1,[2]Jun26A!$A$7:$N$7,0))),0)</f>
        <v>0</v>
      </c>
      <c r="H62" s="84">
        <f>IFERROR(SUMIF([2]Jul26A!$A:$A,$A62,INDEX([2]Jul26A!$A:$N,0,MATCH($A$1,[2]Jul26A!$A$7:$N$7,0))),0)</f>
        <v>0</v>
      </c>
      <c r="I62" s="84">
        <f>IFERROR(SUMIF([2]Aug26A!$A:$A,$A62,INDEX([2]Aug26A!$A:$N,0,MATCH($A$1,[2]Aug26A!$A$7:$N$7,0))),0)</f>
        <v>0</v>
      </c>
      <c r="J62" s="117">
        <v>0</v>
      </c>
      <c r="K62" s="117">
        <v>0</v>
      </c>
      <c r="L62" s="117">
        <v>0</v>
      </c>
      <c r="M62" s="117">
        <v>0</v>
      </c>
      <c r="N62" s="84">
        <f t="shared" si="36"/>
        <v>0</v>
      </c>
      <c r="O62" s="105" t="str">
        <f t="shared" si="37"/>
        <v/>
      </c>
      <c r="P62" s="84"/>
      <c r="Q62" s="84"/>
      <c r="R62" s="106" t="s">
        <v>99</v>
      </c>
      <c r="S62" s="107">
        <v>0</v>
      </c>
      <c r="T62" s="108">
        <v>0.05</v>
      </c>
      <c r="U62" s="104">
        <f t="shared" ref="U62:AF62" si="44">IF($R62="Manual","",IFERROR(IF($R62="YOY Growth",$N62*(1+$T62)/12,$S62/12),""))</f>
        <v>0</v>
      </c>
      <c r="V62" s="104">
        <f t="shared" si="44"/>
        <v>0</v>
      </c>
      <c r="W62" s="104">
        <f t="shared" si="44"/>
        <v>0</v>
      </c>
      <c r="X62" s="104">
        <f t="shared" si="44"/>
        <v>0</v>
      </c>
      <c r="Y62" s="104">
        <f t="shared" si="44"/>
        <v>0</v>
      </c>
      <c r="Z62" s="104">
        <f t="shared" si="44"/>
        <v>0</v>
      </c>
      <c r="AA62" s="104">
        <f t="shared" si="44"/>
        <v>0</v>
      </c>
      <c r="AB62" s="104">
        <f t="shared" si="44"/>
        <v>0</v>
      </c>
      <c r="AC62" s="104">
        <f t="shared" si="44"/>
        <v>0</v>
      </c>
      <c r="AD62" s="104">
        <f t="shared" si="44"/>
        <v>0</v>
      </c>
      <c r="AE62" s="104">
        <f t="shared" si="44"/>
        <v>0</v>
      </c>
      <c r="AF62" s="104">
        <f t="shared" si="44"/>
        <v>0</v>
      </c>
      <c r="AG62" s="84">
        <f t="shared" si="39"/>
        <v>0</v>
      </c>
      <c r="AH62" s="105" t="str">
        <f t="shared" si="40"/>
        <v/>
      </c>
      <c r="AJ62" s="84">
        <f t="shared" si="41"/>
        <v>0</v>
      </c>
    </row>
    <row r="63" spans="1:36" x14ac:dyDescent="0.3">
      <c r="A63" s="114" t="s">
        <v>149</v>
      </c>
      <c r="B63" s="110">
        <f>B37+B38+B39+B40+B41+B42+B56+B61+B62</f>
        <v>9555.2200000000012</v>
      </c>
      <c r="C63" s="110">
        <f t="shared" ref="C63:M63" si="45">C37+C38+C39+C40+C41+C42+C56+C61+C62</f>
        <v>5166.38</v>
      </c>
      <c r="D63" s="110">
        <f t="shared" si="45"/>
        <v>8893.0400000000009</v>
      </c>
      <c r="E63" s="110">
        <f t="shared" si="45"/>
        <v>6751.9299999999994</v>
      </c>
      <c r="F63" s="110">
        <f t="shared" si="45"/>
        <v>16983.8</v>
      </c>
      <c r="G63" s="110">
        <f t="shared" si="45"/>
        <v>3533</v>
      </c>
      <c r="H63" s="110">
        <f t="shared" si="45"/>
        <v>3822.76</v>
      </c>
      <c r="I63" s="110">
        <f t="shared" si="45"/>
        <v>7082.7</v>
      </c>
      <c r="J63" s="110">
        <f t="shared" si="45"/>
        <v>16300</v>
      </c>
      <c r="K63" s="110">
        <f t="shared" si="45"/>
        <v>16300</v>
      </c>
      <c r="L63" s="110">
        <f t="shared" si="45"/>
        <v>11900</v>
      </c>
      <c r="M63" s="110">
        <f t="shared" si="45"/>
        <v>9700</v>
      </c>
      <c r="N63" s="110">
        <f>SUM(B63:M63)</f>
        <v>115988.83</v>
      </c>
      <c r="O63" s="111" t="str">
        <f>IFERROR(N63/N$16,"")</f>
        <v/>
      </c>
      <c r="P63" s="84"/>
      <c r="Q63" s="84"/>
      <c r="R63" s="112"/>
      <c r="S63" s="112"/>
      <c r="T63" s="112"/>
      <c r="U63" s="110">
        <f>U37+U38+U39+U40+U41+U42+U56+U61+U62</f>
        <v>0</v>
      </c>
      <c r="V63" s="110">
        <f t="shared" ref="V63:AF63" si="46">V37+V38+V39+V40+V41+V42+V56+V61+V62</f>
        <v>0</v>
      </c>
      <c r="W63" s="110">
        <f t="shared" si="46"/>
        <v>0</v>
      </c>
      <c r="X63" s="110">
        <f t="shared" si="46"/>
        <v>0</v>
      </c>
      <c r="Y63" s="110">
        <f t="shared" si="46"/>
        <v>0</v>
      </c>
      <c r="Z63" s="110">
        <f t="shared" si="46"/>
        <v>0</v>
      </c>
      <c r="AA63" s="110">
        <f t="shared" si="46"/>
        <v>0</v>
      </c>
      <c r="AB63" s="110">
        <f t="shared" si="46"/>
        <v>0</v>
      </c>
      <c r="AC63" s="110">
        <f t="shared" si="46"/>
        <v>0</v>
      </c>
      <c r="AD63" s="110">
        <f t="shared" si="46"/>
        <v>0</v>
      </c>
      <c r="AE63" s="110">
        <f t="shared" si="46"/>
        <v>0</v>
      </c>
      <c r="AF63" s="110">
        <f t="shared" si="46"/>
        <v>0</v>
      </c>
      <c r="AG63" s="110">
        <f>SUM(U63:AF63)</f>
        <v>0</v>
      </c>
      <c r="AH63" s="111" t="str">
        <f>IFERROR(AG63/AG$16,"")</f>
        <v/>
      </c>
      <c r="AJ63" s="110">
        <f t="shared" si="41"/>
        <v>115988.83</v>
      </c>
    </row>
    <row r="64" spans="1:36" x14ac:dyDescent="0.3">
      <c r="A64" s="121" t="s">
        <v>150</v>
      </c>
      <c r="B64" s="110">
        <f t="shared" ref="B64:M64" si="47">B16-B63</f>
        <v>-9555.2200000000012</v>
      </c>
      <c r="C64" s="110">
        <f t="shared" si="47"/>
        <v>-5166.38</v>
      </c>
      <c r="D64" s="110">
        <f t="shared" si="47"/>
        <v>-8893.0400000000009</v>
      </c>
      <c r="E64" s="110">
        <f t="shared" si="47"/>
        <v>-6751.9299999999994</v>
      </c>
      <c r="F64" s="110">
        <f t="shared" si="47"/>
        <v>-16983.8</v>
      </c>
      <c r="G64" s="110">
        <f t="shared" si="47"/>
        <v>-3533</v>
      </c>
      <c r="H64" s="110">
        <f t="shared" si="47"/>
        <v>-3822.76</v>
      </c>
      <c r="I64" s="110">
        <f t="shared" si="47"/>
        <v>-7082.7</v>
      </c>
      <c r="J64" s="110">
        <f t="shared" si="47"/>
        <v>-16300</v>
      </c>
      <c r="K64" s="110">
        <f t="shared" si="47"/>
        <v>-16300</v>
      </c>
      <c r="L64" s="110">
        <f t="shared" si="47"/>
        <v>-11900</v>
      </c>
      <c r="M64" s="110">
        <f t="shared" si="47"/>
        <v>-9700</v>
      </c>
      <c r="N64" s="110">
        <f t="shared" si="36"/>
        <v>-115988.83</v>
      </c>
      <c r="O64" s="111" t="str">
        <f t="shared" si="37"/>
        <v/>
      </c>
      <c r="P64" s="84"/>
      <c r="Q64" s="84"/>
      <c r="R64" s="112"/>
      <c r="S64" s="112"/>
      <c r="T64" s="112"/>
      <c r="U64" s="110">
        <f t="shared" ref="U64:AF64" si="48">U16-U63</f>
        <v>0</v>
      </c>
      <c r="V64" s="110">
        <f t="shared" si="48"/>
        <v>0</v>
      </c>
      <c r="W64" s="110">
        <f t="shared" si="48"/>
        <v>0</v>
      </c>
      <c r="X64" s="110">
        <f t="shared" si="48"/>
        <v>0</v>
      </c>
      <c r="Y64" s="110">
        <f t="shared" si="48"/>
        <v>0</v>
      </c>
      <c r="Z64" s="110">
        <f t="shared" si="48"/>
        <v>0</v>
      </c>
      <c r="AA64" s="110">
        <f t="shared" si="48"/>
        <v>0</v>
      </c>
      <c r="AB64" s="110">
        <f t="shared" si="48"/>
        <v>0</v>
      </c>
      <c r="AC64" s="110">
        <f t="shared" si="48"/>
        <v>0</v>
      </c>
      <c r="AD64" s="110">
        <f t="shared" si="48"/>
        <v>0</v>
      </c>
      <c r="AE64" s="110">
        <f t="shared" si="48"/>
        <v>0</v>
      </c>
      <c r="AF64" s="110">
        <f t="shared" si="48"/>
        <v>0</v>
      </c>
      <c r="AG64" s="110">
        <f t="shared" si="39"/>
        <v>0</v>
      </c>
      <c r="AH64" s="111" t="str">
        <f t="shared" si="40"/>
        <v/>
      </c>
      <c r="AJ64" s="110">
        <f>AG64-N64</f>
        <v>115988.83</v>
      </c>
    </row>
    <row r="65" spans="1:36" x14ac:dyDescent="0.3">
      <c r="A65" s="101" t="s">
        <v>151</v>
      </c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05"/>
      <c r="P65" s="84"/>
      <c r="Q65" s="84"/>
      <c r="R65" s="112"/>
      <c r="S65" s="112"/>
      <c r="T65" s="11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05"/>
      <c r="AJ65" s="105"/>
    </row>
    <row r="66" spans="1:36" x14ac:dyDescent="0.3">
      <c r="A66" s="102" t="s">
        <v>152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105"/>
      <c r="P66" s="84"/>
      <c r="Q66" s="84"/>
      <c r="R66" s="112"/>
      <c r="S66" s="112"/>
      <c r="T66" s="112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105"/>
      <c r="AJ66" s="84"/>
    </row>
    <row r="67" spans="1:36" x14ac:dyDescent="0.3">
      <c r="A67" s="103" t="s">
        <v>153</v>
      </c>
      <c r="B67" s="84">
        <f>IFERROR(SUMIF([2]Jan26A!$A:$A,$A67,INDEX([2]Jan26A!$A:$N,0,MATCH($A$1,[2]Jan26A!$A$7:$N$7,0))),0)</f>
        <v>38333.32</v>
      </c>
      <c r="C67" s="84">
        <f>IFERROR(SUMIF([2]Feb26A!$A:$A,$A67,INDEX([2]Feb26A!$A:$N,0,MATCH($A$1,[2]Feb26A!$A$7:$N$7,0))),0)</f>
        <v>27897.23</v>
      </c>
      <c r="D67" s="84">
        <f>IFERROR(SUMIF([2]Mar26A!$A:$A,$A67,INDEX([2]Mar26A!$A:$N,0,MATCH($A$1,[2]Mar26A!$A$7:$N$7,0))),0)</f>
        <v>38333.32</v>
      </c>
      <c r="E67" s="84">
        <f>IFERROR(SUMIF([2]Apr26A!$A:$A,$A67,INDEX([2]Apr26A!$A:$N,0,MATCH($A$1,[2]Apr26A!$A$7:$N$7,0))),0)</f>
        <v>48324.65</v>
      </c>
      <c r="F67" s="84">
        <f>IFERROR(SUMIF([2]May26A!$A:$A,$A67,INDEX([2]May26A!$A:$N,0,MATCH($A$1,[2]May26A!$A$7:$N$7,0))),0)</f>
        <v>69698.22</v>
      </c>
      <c r="G67" s="84">
        <f>IFERROR(SUMIF([2]Jun26A!$A:$A,$A67,INDEX([2]Jun26A!$A:$N,0,MATCH($A$1,[2]Jun26A!$A$7:$N$7,0))),0)</f>
        <v>57128.18</v>
      </c>
      <c r="H67" s="84">
        <f>IFERROR(SUMIF([2]Jul26A!$A:$A,$A67,INDEX([2]Jul26A!$A:$N,0,MATCH($A$1,[2]Jul26A!$A$7:$N$7,0))),0)</f>
        <v>57596.54</v>
      </c>
      <c r="I67" s="84">
        <f>IFERROR(SUMIF([2]Aug26A!$A:$A,$A67,INDEX([2]Aug26A!$A:$N,0,MATCH($A$1,[2]Aug26A!$A$7:$N$7,0))),0)</f>
        <v>62503.19</v>
      </c>
      <c r="J67" s="117">
        <v>97900</v>
      </c>
      <c r="K67" s="117">
        <v>116100</v>
      </c>
      <c r="L67" s="117">
        <v>118400</v>
      </c>
      <c r="M67" s="117">
        <v>118400</v>
      </c>
      <c r="N67" s="84">
        <f t="shared" ref="N67:N80" si="49">SUM(B67:M67)</f>
        <v>850614.64999999991</v>
      </c>
      <c r="O67" s="105" t="str">
        <f t="shared" ref="O67:O80" si="50">IFERROR(N67/N$16,"")</f>
        <v/>
      </c>
      <c r="P67" s="84"/>
      <c r="Q67" s="84"/>
      <c r="R67" s="157"/>
      <c r="S67" s="157"/>
      <c r="T67" s="157"/>
      <c r="U67" s="157">
        <f>'FE HC'!M67</f>
        <v>67555.916666666672</v>
      </c>
      <c r="V67" s="157">
        <f>'FE HC'!N67</f>
        <v>67555.916666666672</v>
      </c>
      <c r="W67" s="157">
        <f>'FE HC'!O67</f>
        <v>67555.916666666672</v>
      </c>
      <c r="X67" s="157">
        <f>'FE HC'!P67</f>
        <v>67555.916666666672</v>
      </c>
      <c r="Y67" s="157">
        <f>'FE HC'!Q67</f>
        <v>67555.916666666672</v>
      </c>
      <c r="Z67" s="157">
        <f>'FE HC'!R67</f>
        <v>67555.916666666672</v>
      </c>
      <c r="AA67" s="157">
        <f>'FE HC'!S67</f>
        <v>67555.916666666672</v>
      </c>
      <c r="AB67" s="157">
        <f>'FE HC'!T67</f>
        <v>67555.916666666672</v>
      </c>
      <c r="AC67" s="157">
        <f>'FE HC'!U67</f>
        <v>67555.916666666672</v>
      </c>
      <c r="AD67" s="157">
        <f>'FE HC'!V67</f>
        <v>69582.594166666662</v>
      </c>
      <c r="AE67" s="157">
        <f>'FE HC'!W67</f>
        <v>69582.594166666662</v>
      </c>
      <c r="AF67" s="157">
        <f>'FE HC'!X67</f>
        <v>69582.594166666662</v>
      </c>
      <c r="AG67" s="84">
        <f t="shared" ref="AG67:AG80" si="51">SUM(U67:AF67)</f>
        <v>816751.03249999986</v>
      </c>
      <c r="AH67" s="105" t="str">
        <f t="shared" ref="AH67:AH80" si="52">IFERROR(AG67/AG$16,"")</f>
        <v/>
      </c>
      <c r="AJ67" s="84">
        <f t="shared" ref="AJ67:AJ80" si="53">N67-AG67</f>
        <v>33863.617500000051</v>
      </c>
    </row>
    <row r="68" spans="1:36" x14ac:dyDescent="0.3">
      <c r="A68" s="103" t="s">
        <v>154</v>
      </c>
      <c r="B68" s="84">
        <f>IFERROR(SUMIF([2]Jan26A!$A:$A,$A68,INDEX([2]Jan26A!$A:$N,0,MATCH($A$1,[2]Jan26A!$A$7:$N$7,0))),0)</f>
        <v>2025.41</v>
      </c>
      <c r="C68" s="84">
        <f>IFERROR(SUMIF([2]Feb26A!$A:$A,$A68,INDEX([2]Feb26A!$A:$N,0,MATCH($A$1,[2]Feb26A!$A$7:$N$7,0))),0)</f>
        <v>6652.05</v>
      </c>
      <c r="D68" s="84">
        <f>IFERROR(SUMIF([2]Mar26A!$A:$A,$A68,INDEX([2]Mar26A!$A:$N,0,MATCH($A$1,[2]Mar26A!$A$7:$N$7,0))),0)</f>
        <v>1617.41</v>
      </c>
      <c r="E68" s="84">
        <f>IFERROR(SUMIF([2]Apr26A!$A:$A,$A68,INDEX([2]Apr26A!$A:$N,0,MATCH($A$1,[2]Apr26A!$A$7:$N$7,0))),0)</f>
        <v>1966.43</v>
      </c>
      <c r="F68" s="84">
        <f>IFERROR(SUMIF([2]May26A!$A:$A,$A68,INDEX([2]May26A!$A:$N,0,MATCH($A$1,[2]May26A!$A$7:$N$7,0))),0)</f>
        <v>2481.0300000000002</v>
      </c>
      <c r="G68" s="84">
        <f>IFERROR(SUMIF([2]Jun26A!$A:$A,$A68,INDEX([2]Jun26A!$A:$N,0,MATCH($A$1,[2]Jun26A!$A$7:$N$7,0))),0)</f>
        <v>1978.27</v>
      </c>
      <c r="H68" s="84">
        <f>IFERROR(SUMIF([2]Jul26A!$A:$A,$A68,INDEX([2]Jul26A!$A:$N,0,MATCH($A$1,[2]Jul26A!$A$7:$N$7,0))),0)</f>
        <v>1940.51</v>
      </c>
      <c r="I68" s="84">
        <f>IFERROR(SUMIF([2]Aug26A!$A:$A,$A68,INDEX([2]Aug26A!$A:$N,0,MATCH($A$1,[2]Aug26A!$A$7:$N$7,0))),0)</f>
        <v>3746.33</v>
      </c>
      <c r="J68" s="117">
        <v>3916</v>
      </c>
      <c r="K68" s="117">
        <v>4644</v>
      </c>
      <c r="L68" s="117">
        <v>4736</v>
      </c>
      <c r="M68" s="117">
        <v>4736</v>
      </c>
      <c r="N68" s="84">
        <f t="shared" si="49"/>
        <v>40439.440000000002</v>
      </c>
      <c r="O68" s="105" t="str">
        <f t="shared" si="50"/>
        <v/>
      </c>
      <c r="P68" s="84"/>
      <c r="Q68" s="84"/>
      <c r="R68" s="157"/>
      <c r="S68" s="157"/>
      <c r="T68" s="157"/>
      <c r="U68" s="157">
        <f>'FE HC'!M68</f>
        <v>2748.9900332611483</v>
      </c>
      <c r="V68" s="157">
        <f>'FE HC'!N68</f>
        <v>2748.9900332611483</v>
      </c>
      <c r="W68" s="157">
        <f>'FE HC'!O68</f>
        <v>2748.9900332611483</v>
      </c>
      <c r="X68" s="157">
        <f>'FE HC'!P68</f>
        <v>2748.9900332611483</v>
      </c>
      <c r="Y68" s="157">
        <f>'FE HC'!Q68</f>
        <v>2748.9900332611483</v>
      </c>
      <c r="Z68" s="157">
        <f>'FE HC'!R68</f>
        <v>2748.9900332611483</v>
      </c>
      <c r="AA68" s="157">
        <f>'FE HC'!S68</f>
        <v>2748.9900332611483</v>
      </c>
      <c r="AB68" s="157">
        <f>'FE HC'!T68</f>
        <v>2748.9900332611483</v>
      </c>
      <c r="AC68" s="157">
        <f>'FE HC'!U68</f>
        <v>2748.9900332611483</v>
      </c>
      <c r="AD68" s="157">
        <f>'FE HC'!V68</f>
        <v>2831.4597342589823</v>
      </c>
      <c r="AE68" s="157">
        <f>'FE HC'!W68</f>
        <v>2831.4597342589823</v>
      </c>
      <c r="AF68" s="157">
        <f>'FE HC'!X68</f>
        <v>2831.4597342589823</v>
      </c>
      <c r="AG68" s="84">
        <f t="shared" si="51"/>
        <v>33235.289502127278</v>
      </c>
      <c r="AH68" s="105" t="str">
        <f t="shared" si="52"/>
        <v/>
      </c>
      <c r="AJ68" s="84">
        <f t="shared" si="53"/>
        <v>7204.1504978727244</v>
      </c>
    </row>
    <row r="69" spans="1:36" x14ac:dyDescent="0.3">
      <c r="A69" s="103" t="s">
        <v>155</v>
      </c>
      <c r="B69" s="84">
        <f>IFERROR(SUMIF([2]Jan26A!$A:$A,$A69,INDEX([2]Jan26A!$A:$N,0,MATCH($A$1,[2]Jan26A!$A$7:$N$7,0))),0)</f>
        <v>2047.73</v>
      </c>
      <c r="C69" s="84">
        <f>IFERROR(SUMIF([2]Feb26A!$A:$A,$A69,INDEX([2]Feb26A!$A:$N,0,MATCH($A$1,[2]Feb26A!$A$7:$N$7,0))),0)</f>
        <v>5252.34</v>
      </c>
      <c r="D69" s="84">
        <f>IFERROR(SUMIF([2]Mar26A!$A:$A,$A69,INDEX([2]Mar26A!$A:$N,0,MATCH($A$1,[2]Mar26A!$A$7:$N$7,0))),0)</f>
        <v>3981.87</v>
      </c>
      <c r="E69" s="84">
        <f>IFERROR(SUMIF([2]Apr26A!$A:$A,$A69,INDEX([2]Apr26A!$A:$N,0,MATCH($A$1,[2]Apr26A!$A$7:$N$7,0))),0)</f>
        <v>4255.59</v>
      </c>
      <c r="F69" s="84">
        <f>IFERROR(SUMIF([2]May26A!$A:$A,$A69,INDEX([2]May26A!$A:$N,0,MATCH($A$1,[2]May26A!$A$7:$N$7,0))),0)</f>
        <v>4157.09</v>
      </c>
      <c r="G69" s="84">
        <f>IFERROR(SUMIF([2]Jun26A!$A:$A,$A69,INDEX([2]Jun26A!$A:$N,0,MATCH($A$1,[2]Jun26A!$A$7:$N$7,0))),0)</f>
        <v>4325.33</v>
      </c>
      <c r="H69" s="84">
        <f>IFERROR(SUMIF([2]Jul26A!$A:$A,$A69,INDEX([2]Jul26A!$A:$N,0,MATCH($A$1,[2]Jul26A!$A$7:$N$7,0))),0)</f>
        <v>3959.5</v>
      </c>
      <c r="I69" s="84">
        <f>IFERROR(SUMIF([2]Aug26A!$A:$A,$A69,INDEX([2]Aug26A!$A:$N,0,MATCH($A$1,[2]Aug26A!$A$7:$N$7,0))),0)</f>
        <v>3814.97</v>
      </c>
      <c r="J69" s="117">
        <v>10573</v>
      </c>
      <c r="K69" s="117">
        <v>12539</v>
      </c>
      <c r="L69" s="117">
        <v>12787</v>
      </c>
      <c r="M69" s="117">
        <v>12787</v>
      </c>
      <c r="N69" s="84">
        <f t="shared" si="49"/>
        <v>80480.42</v>
      </c>
      <c r="O69" s="105" t="str">
        <f t="shared" si="50"/>
        <v/>
      </c>
      <c r="P69" s="84"/>
      <c r="Q69" s="84"/>
      <c r="R69" s="157"/>
      <c r="S69" s="157"/>
      <c r="T69" s="157"/>
      <c r="U69" s="157">
        <f>'FE HC'!M69</f>
        <v>4879.5020727722031</v>
      </c>
      <c r="V69" s="157">
        <f>'FE HC'!N69</f>
        <v>4879.5020727722031</v>
      </c>
      <c r="W69" s="157">
        <f>'FE HC'!O69</f>
        <v>4879.5020727722031</v>
      </c>
      <c r="X69" s="157">
        <f>'FE HC'!P69</f>
        <v>4879.5020727722031</v>
      </c>
      <c r="Y69" s="157">
        <f>'FE HC'!Q69</f>
        <v>4879.5020727722031</v>
      </c>
      <c r="Z69" s="157">
        <f>'FE HC'!R69</f>
        <v>4879.5020727722031</v>
      </c>
      <c r="AA69" s="157">
        <f>'FE HC'!S69</f>
        <v>4879.5020727722031</v>
      </c>
      <c r="AB69" s="157">
        <f>'FE HC'!T69</f>
        <v>4879.5020727722031</v>
      </c>
      <c r="AC69" s="157">
        <f>'FE HC'!U69</f>
        <v>4879.5020727722031</v>
      </c>
      <c r="AD69" s="157">
        <f>'FE HC'!V69</f>
        <v>5025.8871349553683</v>
      </c>
      <c r="AE69" s="157">
        <f>'FE HC'!W69</f>
        <v>5025.8871349553683</v>
      </c>
      <c r="AF69" s="157">
        <f>'FE HC'!X69</f>
        <v>5025.8871349553683</v>
      </c>
      <c r="AG69" s="84">
        <f t="shared" si="51"/>
        <v>58993.180059815924</v>
      </c>
      <c r="AH69" s="105" t="str">
        <f t="shared" si="52"/>
        <v/>
      </c>
      <c r="AJ69" s="84">
        <f t="shared" si="53"/>
        <v>21487.239940184074</v>
      </c>
    </row>
    <row r="70" spans="1:36" x14ac:dyDescent="0.3">
      <c r="A70" s="103" t="s">
        <v>156</v>
      </c>
      <c r="B70" s="84">
        <f>IFERROR(SUMIF([2]Jan26A!$A:$A,$A70,INDEX([2]Jan26A!$A:$N,0,MATCH($A$1,[2]Jan26A!$A$7:$N$7,0))),0)</f>
        <v>0</v>
      </c>
      <c r="C70" s="84">
        <f>IFERROR(SUMIF([2]Feb26A!$A:$A,$A70,INDEX([2]Feb26A!$A:$N,0,MATCH($A$1,[2]Feb26A!$A$7:$N$7,0))),0)</f>
        <v>0</v>
      </c>
      <c r="D70" s="84">
        <f>IFERROR(SUMIF([2]Mar26A!$A:$A,$A70,INDEX([2]Mar26A!$A:$N,0,MATCH($A$1,[2]Mar26A!$A$7:$N$7,0))),0)</f>
        <v>0</v>
      </c>
      <c r="E70" s="84">
        <f>IFERROR(SUMIF([2]Apr26A!$A:$A,$A70,INDEX([2]Apr26A!$A:$N,0,MATCH($A$1,[2]Apr26A!$A$7:$N$7,0))),0)</f>
        <v>0</v>
      </c>
      <c r="F70" s="84">
        <f>IFERROR(SUMIF([2]May26A!$A:$A,$A70,INDEX([2]May26A!$A:$N,0,MATCH($A$1,[2]May26A!$A$7:$N$7,0))),0)</f>
        <v>0</v>
      </c>
      <c r="G70" s="84">
        <f>IFERROR(SUMIF([2]Jun26A!$A:$A,$A70,INDEX([2]Jun26A!$A:$N,0,MATCH($A$1,[2]Jun26A!$A$7:$N$7,0))),0)</f>
        <v>0</v>
      </c>
      <c r="H70" s="84">
        <f>IFERROR(SUMIF([2]Jul26A!$A:$A,$A70,INDEX([2]Jul26A!$A:$N,0,MATCH($A$1,[2]Jul26A!$A$7:$N$7,0))),0)</f>
        <v>0</v>
      </c>
      <c r="I70" s="84">
        <f>IFERROR(SUMIF([2]Aug26A!$A:$A,$A70,INDEX([2]Aug26A!$A:$N,0,MATCH($A$1,[2]Aug26A!$A$7:$N$7,0))),0)</f>
        <v>0</v>
      </c>
      <c r="J70" s="117">
        <v>0</v>
      </c>
      <c r="K70" s="117">
        <v>0</v>
      </c>
      <c r="L70" s="117">
        <v>0</v>
      </c>
      <c r="M70" s="117">
        <v>0</v>
      </c>
      <c r="N70" s="84">
        <f t="shared" si="49"/>
        <v>0</v>
      </c>
      <c r="O70" s="105" t="str">
        <f t="shared" si="50"/>
        <v/>
      </c>
      <c r="P70" s="84"/>
      <c r="Q70" s="84"/>
      <c r="R70" s="106" t="s">
        <v>99</v>
      </c>
      <c r="S70" s="107">
        <v>0</v>
      </c>
      <c r="T70" s="108">
        <v>0.05</v>
      </c>
      <c r="U70" s="104">
        <f t="shared" ref="U70:AF72" si="54">IF($R70="Manual","",IFERROR(IF($R70="YOY Growth",$N70*(1+$T70)/12,$S70/12),""))</f>
        <v>0</v>
      </c>
      <c r="V70" s="104">
        <f t="shared" si="54"/>
        <v>0</v>
      </c>
      <c r="W70" s="104">
        <f t="shared" si="54"/>
        <v>0</v>
      </c>
      <c r="X70" s="104">
        <f t="shared" si="54"/>
        <v>0</v>
      </c>
      <c r="Y70" s="104">
        <f t="shared" si="54"/>
        <v>0</v>
      </c>
      <c r="Z70" s="104">
        <f t="shared" si="54"/>
        <v>0</v>
      </c>
      <c r="AA70" s="104">
        <f t="shared" si="54"/>
        <v>0</v>
      </c>
      <c r="AB70" s="104">
        <f t="shared" si="54"/>
        <v>0</v>
      </c>
      <c r="AC70" s="104">
        <f t="shared" si="54"/>
        <v>0</v>
      </c>
      <c r="AD70" s="104">
        <f t="shared" si="54"/>
        <v>0</v>
      </c>
      <c r="AE70" s="104">
        <f t="shared" si="54"/>
        <v>0</v>
      </c>
      <c r="AF70" s="104">
        <f t="shared" si="54"/>
        <v>0</v>
      </c>
      <c r="AG70" s="84">
        <f t="shared" si="51"/>
        <v>0</v>
      </c>
      <c r="AH70" s="105" t="str">
        <f t="shared" si="52"/>
        <v/>
      </c>
      <c r="AJ70" s="84">
        <f t="shared" si="53"/>
        <v>0</v>
      </c>
    </row>
    <row r="71" spans="1:36" x14ac:dyDescent="0.3">
      <c r="A71" s="103" t="s">
        <v>157</v>
      </c>
      <c r="B71" s="84">
        <f>IFERROR(SUMIF([2]Jan26A!$A:$A,$A71,INDEX([2]Jan26A!$A:$N,0,MATCH($A$1,[2]Jan26A!$A$7:$N$7,0))),0)</f>
        <v>0</v>
      </c>
      <c r="C71" s="84">
        <f>IFERROR(SUMIF([2]Feb26A!$A:$A,$A71,INDEX([2]Feb26A!$A:$N,0,MATCH($A$1,[2]Feb26A!$A$7:$N$7,0))),0)</f>
        <v>0</v>
      </c>
      <c r="D71" s="84">
        <f>IFERROR(SUMIF([2]Mar26A!$A:$A,$A71,INDEX([2]Mar26A!$A:$N,0,MATCH($A$1,[2]Mar26A!$A$7:$N$7,0))),0)</f>
        <v>0</v>
      </c>
      <c r="E71" s="84">
        <f>IFERROR(SUMIF([2]Apr26A!$A:$A,$A71,INDEX([2]Apr26A!$A:$N,0,MATCH($A$1,[2]Apr26A!$A$7:$N$7,0))),0)</f>
        <v>0</v>
      </c>
      <c r="F71" s="84">
        <f>IFERROR(SUMIF([2]May26A!$A:$A,$A71,INDEX([2]May26A!$A:$N,0,MATCH($A$1,[2]May26A!$A$7:$N$7,0))),0)</f>
        <v>0</v>
      </c>
      <c r="G71" s="84">
        <f>IFERROR(SUMIF([2]Jun26A!$A:$A,$A71,INDEX([2]Jun26A!$A:$N,0,MATCH($A$1,[2]Jun26A!$A$7:$N$7,0))),0)</f>
        <v>0</v>
      </c>
      <c r="H71" s="84">
        <f>IFERROR(SUMIF([2]Jul26A!$A:$A,$A71,INDEX([2]Jul26A!$A:$N,0,MATCH($A$1,[2]Jul26A!$A$7:$N$7,0))),0)</f>
        <v>0</v>
      </c>
      <c r="I71" s="84">
        <f>IFERROR(SUMIF([2]Aug26A!$A:$A,$A71,INDEX([2]Aug26A!$A:$N,0,MATCH($A$1,[2]Aug26A!$A$7:$N$7,0))),0)</f>
        <v>0</v>
      </c>
      <c r="J71" s="117">
        <v>0</v>
      </c>
      <c r="K71" s="117">
        <v>0</v>
      </c>
      <c r="L71" s="117">
        <v>0</v>
      </c>
      <c r="M71" s="117">
        <v>0</v>
      </c>
      <c r="N71" s="84">
        <f t="shared" si="49"/>
        <v>0</v>
      </c>
      <c r="O71" s="105" t="str">
        <f t="shared" si="50"/>
        <v/>
      </c>
      <c r="P71" s="84"/>
      <c r="Q71" s="84"/>
      <c r="R71" s="106" t="s">
        <v>99</v>
      </c>
      <c r="S71" s="107">
        <v>0</v>
      </c>
      <c r="T71" s="108">
        <v>0.05</v>
      </c>
      <c r="U71" s="104">
        <f t="shared" si="54"/>
        <v>0</v>
      </c>
      <c r="V71" s="104">
        <f t="shared" si="54"/>
        <v>0</v>
      </c>
      <c r="W71" s="104">
        <f t="shared" si="54"/>
        <v>0</v>
      </c>
      <c r="X71" s="104">
        <f t="shared" si="54"/>
        <v>0</v>
      </c>
      <c r="Y71" s="104">
        <f t="shared" si="54"/>
        <v>0</v>
      </c>
      <c r="Z71" s="104">
        <f t="shared" si="54"/>
        <v>0</v>
      </c>
      <c r="AA71" s="104">
        <f t="shared" si="54"/>
        <v>0</v>
      </c>
      <c r="AB71" s="104">
        <f t="shared" si="54"/>
        <v>0</v>
      </c>
      <c r="AC71" s="104">
        <f t="shared" si="54"/>
        <v>0</v>
      </c>
      <c r="AD71" s="104">
        <f t="shared" si="54"/>
        <v>0</v>
      </c>
      <c r="AE71" s="104">
        <f t="shared" si="54"/>
        <v>0</v>
      </c>
      <c r="AF71" s="104">
        <f t="shared" si="54"/>
        <v>0</v>
      </c>
      <c r="AG71" s="84">
        <f t="shared" si="51"/>
        <v>0</v>
      </c>
      <c r="AH71" s="105" t="str">
        <f t="shared" si="52"/>
        <v/>
      </c>
      <c r="AJ71" s="84">
        <f t="shared" si="53"/>
        <v>0</v>
      </c>
    </row>
    <row r="72" spans="1:36" x14ac:dyDescent="0.3">
      <c r="A72" s="103" t="s">
        <v>158</v>
      </c>
      <c r="B72" s="84">
        <f>IFERROR(SUMIF([2]Jan26A!$A:$A,$A72,INDEX([2]Jan26A!$A:$N,0,MATCH($A$1,[2]Jan26A!$A$7:$N$7,0))),0)</f>
        <v>0</v>
      </c>
      <c r="C72" s="84">
        <f>IFERROR(SUMIF([2]Feb26A!$A:$A,$A72,INDEX([2]Feb26A!$A:$N,0,MATCH($A$1,[2]Feb26A!$A$7:$N$7,0))),0)</f>
        <v>0</v>
      </c>
      <c r="D72" s="84">
        <f>IFERROR(SUMIF([2]Mar26A!$A:$A,$A72,INDEX([2]Mar26A!$A:$N,0,MATCH($A$1,[2]Mar26A!$A$7:$N$7,0))),0)</f>
        <v>0</v>
      </c>
      <c r="E72" s="84">
        <f>IFERROR(SUMIF([2]Apr26A!$A:$A,$A72,INDEX([2]Apr26A!$A:$N,0,MATCH($A$1,[2]Apr26A!$A$7:$N$7,0))),0)</f>
        <v>0</v>
      </c>
      <c r="F72" s="84">
        <f>IFERROR(SUMIF([2]May26A!$A:$A,$A72,INDEX([2]May26A!$A:$N,0,MATCH($A$1,[2]May26A!$A$7:$N$7,0))),0)</f>
        <v>0</v>
      </c>
      <c r="G72" s="84">
        <f>IFERROR(SUMIF([2]Jun26A!$A:$A,$A72,INDEX([2]Jun26A!$A:$N,0,MATCH($A$1,[2]Jun26A!$A$7:$N$7,0))),0)</f>
        <v>0</v>
      </c>
      <c r="H72" s="84">
        <f>IFERROR(SUMIF([2]Jul26A!$A:$A,$A72,INDEX([2]Jul26A!$A:$N,0,MATCH($A$1,[2]Jul26A!$A$7:$N$7,0))),0)</f>
        <v>0</v>
      </c>
      <c r="I72" s="84">
        <f>IFERROR(SUMIF([2]Aug26A!$A:$A,$A72,INDEX([2]Aug26A!$A:$N,0,MATCH($A$1,[2]Aug26A!$A$7:$N$7,0))),0)</f>
        <v>0</v>
      </c>
      <c r="J72" s="117">
        <v>0</v>
      </c>
      <c r="K72" s="117">
        <v>0</v>
      </c>
      <c r="L72" s="117">
        <v>0</v>
      </c>
      <c r="M72" s="117">
        <v>0</v>
      </c>
      <c r="N72" s="84">
        <f t="shared" si="49"/>
        <v>0</v>
      </c>
      <c r="O72" s="105" t="str">
        <f t="shared" si="50"/>
        <v/>
      </c>
      <c r="P72" s="84"/>
      <c r="Q72" s="84"/>
      <c r="R72" s="106" t="s">
        <v>99</v>
      </c>
      <c r="S72" s="107">
        <v>0</v>
      </c>
      <c r="T72" s="108">
        <v>0.05</v>
      </c>
      <c r="U72" s="104">
        <f t="shared" si="54"/>
        <v>0</v>
      </c>
      <c r="V72" s="104">
        <f t="shared" si="54"/>
        <v>0</v>
      </c>
      <c r="W72" s="104">
        <f t="shared" si="54"/>
        <v>0</v>
      </c>
      <c r="X72" s="104">
        <f t="shared" si="54"/>
        <v>0</v>
      </c>
      <c r="Y72" s="104">
        <f t="shared" si="54"/>
        <v>0</v>
      </c>
      <c r="Z72" s="104">
        <f t="shared" si="54"/>
        <v>0</v>
      </c>
      <c r="AA72" s="104">
        <f t="shared" si="54"/>
        <v>0</v>
      </c>
      <c r="AB72" s="104">
        <f t="shared" si="54"/>
        <v>0</v>
      </c>
      <c r="AC72" s="104">
        <f t="shared" si="54"/>
        <v>0</v>
      </c>
      <c r="AD72" s="104">
        <f t="shared" si="54"/>
        <v>0</v>
      </c>
      <c r="AE72" s="104">
        <f t="shared" si="54"/>
        <v>0</v>
      </c>
      <c r="AF72" s="104">
        <f t="shared" si="54"/>
        <v>0</v>
      </c>
      <c r="AG72" s="84">
        <f t="shared" si="51"/>
        <v>0</v>
      </c>
      <c r="AH72" s="105" t="str">
        <f t="shared" si="52"/>
        <v/>
      </c>
      <c r="AJ72" s="84">
        <f t="shared" si="53"/>
        <v>0</v>
      </c>
    </row>
    <row r="73" spans="1:36" x14ac:dyDescent="0.3">
      <c r="A73" s="109" t="s">
        <v>159</v>
      </c>
      <c r="B73" s="110">
        <f t="shared" ref="B73:M73" si="55">SUM(B67:B72)</f>
        <v>42406.460000000006</v>
      </c>
      <c r="C73" s="110">
        <f t="shared" si="55"/>
        <v>39801.619999999995</v>
      </c>
      <c r="D73" s="110">
        <f t="shared" si="55"/>
        <v>43932.600000000006</v>
      </c>
      <c r="E73" s="110">
        <f t="shared" si="55"/>
        <v>54546.67</v>
      </c>
      <c r="F73" s="110">
        <f t="shared" si="55"/>
        <v>76336.34</v>
      </c>
      <c r="G73" s="110">
        <f t="shared" si="55"/>
        <v>63431.78</v>
      </c>
      <c r="H73" s="110">
        <f t="shared" si="55"/>
        <v>63496.55</v>
      </c>
      <c r="I73" s="110">
        <f t="shared" si="55"/>
        <v>70064.490000000005</v>
      </c>
      <c r="J73" s="110">
        <f t="shared" si="55"/>
        <v>112389</v>
      </c>
      <c r="K73" s="110">
        <f t="shared" si="55"/>
        <v>133283</v>
      </c>
      <c r="L73" s="110">
        <f t="shared" si="55"/>
        <v>135923</v>
      </c>
      <c r="M73" s="110">
        <f t="shared" si="55"/>
        <v>135923</v>
      </c>
      <c r="N73" s="110">
        <f t="shared" si="49"/>
        <v>971534.51</v>
      </c>
      <c r="O73" s="111" t="str">
        <f t="shared" si="50"/>
        <v/>
      </c>
      <c r="P73" s="84"/>
      <c r="Q73" s="84"/>
      <c r="R73" s="112"/>
      <c r="S73" s="112"/>
      <c r="T73" s="112"/>
      <c r="U73" s="110">
        <f t="shared" ref="U73:AF73" si="56">SUM(U67:U72)</f>
        <v>75184.408772700015</v>
      </c>
      <c r="V73" s="110">
        <f t="shared" si="56"/>
        <v>75184.408772700015</v>
      </c>
      <c r="W73" s="110">
        <f t="shared" si="56"/>
        <v>75184.408772700015</v>
      </c>
      <c r="X73" s="110">
        <f t="shared" si="56"/>
        <v>75184.408772700015</v>
      </c>
      <c r="Y73" s="110">
        <f t="shared" si="56"/>
        <v>75184.408772700015</v>
      </c>
      <c r="Z73" s="110">
        <f t="shared" si="56"/>
        <v>75184.408772700015</v>
      </c>
      <c r="AA73" s="110">
        <f t="shared" si="56"/>
        <v>75184.408772700015</v>
      </c>
      <c r="AB73" s="110">
        <f t="shared" si="56"/>
        <v>75184.408772700015</v>
      </c>
      <c r="AC73" s="110">
        <f t="shared" si="56"/>
        <v>75184.408772700015</v>
      </c>
      <c r="AD73" s="110">
        <f t="shared" si="56"/>
        <v>77439.941035881013</v>
      </c>
      <c r="AE73" s="110">
        <f t="shared" si="56"/>
        <v>77439.941035881013</v>
      </c>
      <c r="AF73" s="110">
        <f t="shared" si="56"/>
        <v>77439.941035881013</v>
      </c>
      <c r="AG73" s="110">
        <f t="shared" si="51"/>
        <v>908979.50206194329</v>
      </c>
      <c r="AH73" s="111" t="str">
        <f t="shared" si="52"/>
        <v/>
      </c>
      <c r="AJ73" s="110">
        <f t="shared" si="53"/>
        <v>62555.007938056719</v>
      </c>
    </row>
    <row r="74" spans="1:36" x14ac:dyDescent="0.3">
      <c r="A74" s="113" t="s">
        <v>160</v>
      </c>
      <c r="B74" s="84">
        <f>IFERROR(SUMIF([2]Jan26A!$A:$A,$A74,INDEX([2]Jan26A!$A:$N,0,MATCH($A$1,[2]Jan26A!$A$7:$N$7,0))),0)</f>
        <v>0</v>
      </c>
      <c r="C74" s="84">
        <f>IFERROR(SUMIF([2]Feb26A!$A:$A,$A74,INDEX([2]Feb26A!$A:$N,0,MATCH($A$1,[2]Feb26A!$A$7:$N$7,0))),0)</f>
        <v>-773.5</v>
      </c>
      <c r="D74" s="84">
        <f>IFERROR(SUMIF([2]Mar26A!$A:$A,$A74,INDEX([2]Mar26A!$A:$N,0,MATCH($A$1,[2]Mar26A!$A$7:$N$7,0))),0)</f>
        <v>1130.73</v>
      </c>
      <c r="E74" s="84">
        <f>IFERROR(SUMIF([2]Apr26A!$A:$A,$A74,INDEX([2]Apr26A!$A:$N,0,MATCH($A$1,[2]Apr26A!$A$7:$N$7,0))),0)</f>
        <v>8303.2199999999993</v>
      </c>
      <c r="F74" s="84">
        <f>IFERROR(SUMIF([2]May26A!$A:$A,$A74,INDEX([2]May26A!$A:$N,0,MATCH($A$1,[2]May26A!$A$7:$N$7,0))),0)</f>
        <v>2747.17</v>
      </c>
      <c r="G74" s="84">
        <f>IFERROR(SUMIF([2]Jun26A!$A:$A,$A74,INDEX([2]Jun26A!$A:$N,0,MATCH($A$1,[2]Jun26A!$A$7:$N$7,0))),0)</f>
        <v>7608.77</v>
      </c>
      <c r="H74" s="84">
        <f>IFERROR(SUMIF([2]Jul26A!$A:$A,$A74,INDEX([2]Jul26A!$A:$N,0,MATCH($A$1,[2]Jul26A!$A$7:$N$7,0))),0)</f>
        <v>1346.83</v>
      </c>
      <c r="I74" s="84">
        <f>IFERROR(SUMIF([2]Aug26A!$A:$A,$A74,INDEX([2]Aug26A!$A:$N,0,MATCH($A$1,[2]Aug26A!$A$7:$N$7,0))),0)</f>
        <v>2646.86</v>
      </c>
      <c r="J74" s="117">
        <v>3000</v>
      </c>
      <c r="K74" s="117">
        <v>3000</v>
      </c>
      <c r="L74" s="117">
        <v>3000</v>
      </c>
      <c r="M74" s="117">
        <v>3000</v>
      </c>
      <c r="N74" s="84">
        <f t="shared" si="49"/>
        <v>35010.080000000002</v>
      </c>
      <c r="O74" s="105" t="str">
        <f t="shared" si="50"/>
        <v/>
      </c>
      <c r="P74" s="84"/>
      <c r="Q74" s="84"/>
      <c r="R74" s="106" t="s">
        <v>99</v>
      </c>
      <c r="S74" s="107">
        <v>0</v>
      </c>
      <c r="T74" s="108">
        <v>0.05</v>
      </c>
      <c r="U74" s="104">
        <f t="shared" ref="U74:AF80" si="57">IF($R74="Manual","",IFERROR(IF($R74="YOY Growth",$N74*(1+$T74)/12,$S74/12),""))</f>
        <v>0</v>
      </c>
      <c r="V74" s="104">
        <f t="shared" si="57"/>
        <v>0</v>
      </c>
      <c r="W74" s="104">
        <f t="shared" si="57"/>
        <v>0</v>
      </c>
      <c r="X74" s="104">
        <f t="shared" si="57"/>
        <v>0</v>
      </c>
      <c r="Y74" s="104">
        <f t="shared" si="57"/>
        <v>0</v>
      </c>
      <c r="Z74" s="104">
        <f t="shared" si="57"/>
        <v>0</v>
      </c>
      <c r="AA74" s="104">
        <f t="shared" si="57"/>
        <v>0</v>
      </c>
      <c r="AB74" s="104">
        <f t="shared" si="57"/>
        <v>0</v>
      </c>
      <c r="AC74" s="104">
        <f t="shared" si="57"/>
        <v>0</v>
      </c>
      <c r="AD74" s="104">
        <f t="shared" si="57"/>
        <v>0</v>
      </c>
      <c r="AE74" s="104">
        <f t="shared" si="57"/>
        <v>0</v>
      </c>
      <c r="AF74" s="104">
        <f t="shared" si="57"/>
        <v>0</v>
      </c>
      <c r="AG74" s="84">
        <f t="shared" si="51"/>
        <v>0</v>
      </c>
      <c r="AH74" s="105" t="str">
        <f t="shared" si="52"/>
        <v/>
      </c>
      <c r="AJ74" s="84">
        <f t="shared" si="53"/>
        <v>35010.080000000002</v>
      </c>
    </row>
    <row r="75" spans="1:36" x14ac:dyDescent="0.3">
      <c r="A75" s="113" t="s">
        <v>161</v>
      </c>
      <c r="B75" s="84">
        <f>IFERROR(SUMIF([2]Jan26A!$A:$A,$A75,INDEX([2]Jan26A!$A:$N,0,MATCH($A$1,[2]Jan26A!$A$7:$N$7,0))),0)</f>
        <v>12.29</v>
      </c>
      <c r="C75" s="84">
        <f>IFERROR(SUMIF([2]Feb26A!$A:$A,$A75,INDEX([2]Feb26A!$A:$N,0,MATCH($A$1,[2]Feb26A!$A$7:$N$7,0))),0)</f>
        <v>0</v>
      </c>
      <c r="D75" s="84">
        <f>IFERROR(SUMIF([2]Mar26A!$A:$A,$A75,INDEX([2]Mar26A!$A:$N,0,MATCH($A$1,[2]Mar26A!$A$7:$N$7,0))),0)</f>
        <v>0</v>
      </c>
      <c r="E75" s="84">
        <f>IFERROR(SUMIF([2]Apr26A!$A:$A,$A75,INDEX([2]Apr26A!$A:$N,0,MATCH($A$1,[2]Apr26A!$A$7:$N$7,0))),0)</f>
        <v>2986.15</v>
      </c>
      <c r="F75" s="84">
        <f>IFERROR(SUMIF([2]May26A!$A:$A,$A75,INDEX([2]May26A!$A:$N,0,MATCH($A$1,[2]May26A!$A$7:$N$7,0))),0)</f>
        <v>0</v>
      </c>
      <c r="G75" s="84">
        <f>IFERROR(SUMIF([2]Jun26A!$A:$A,$A75,INDEX([2]Jun26A!$A:$N,0,MATCH($A$1,[2]Jun26A!$A$7:$N$7,0))),0)</f>
        <v>475.67</v>
      </c>
      <c r="H75" s="84">
        <f>IFERROR(SUMIF([2]Jul26A!$A:$A,$A75,INDEX([2]Jul26A!$A:$N,0,MATCH($A$1,[2]Jul26A!$A$7:$N$7,0))),0)</f>
        <v>234.79</v>
      </c>
      <c r="I75" s="84">
        <f>IFERROR(SUMIF([2]Aug26A!$A:$A,$A75,INDEX([2]Aug26A!$A:$N,0,MATCH($A$1,[2]Aug26A!$A$7:$N$7,0))),0)</f>
        <v>0</v>
      </c>
      <c r="J75" s="117">
        <v>400</v>
      </c>
      <c r="K75" s="117">
        <v>400</v>
      </c>
      <c r="L75" s="117">
        <v>400</v>
      </c>
      <c r="M75" s="117">
        <v>400</v>
      </c>
      <c r="N75" s="84">
        <f t="shared" si="49"/>
        <v>5308.9</v>
      </c>
      <c r="O75" s="105" t="str">
        <f t="shared" si="50"/>
        <v/>
      </c>
      <c r="P75" s="84"/>
      <c r="Q75" s="84"/>
      <c r="R75" s="106" t="s">
        <v>99</v>
      </c>
      <c r="S75" s="107">
        <v>0</v>
      </c>
      <c r="T75" s="108">
        <v>0.05</v>
      </c>
      <c r="U75" s="104">
        <f t="shared" si="57"/>
        <v>0</v>
      </c>
      <c r="V75" s="104">
        <f t="shared" si="57"/>
        <v>0</v>
      </c>
      <c r="W75" s="104">
        <f t="shared" si="57"/>
        <v>0</v>
      </c>
      <c r="X75" s="104">
        <f t="shared" si="57"/>
        <v>0</v>
      </c>
      <c r="Y75" s="104">
        <f t="shared" si="57"/>
        <v>0</v>
      </c>
      <c r="Z75" s="104">
        <f t="shared" si="57"/>
        <v>0</v>
      </c>
      <c r="AA75" s="104">
        <f t="shared" si="57"/>
        <v>0</v>
      </c>
      <c r="AB75" s="104">
        <f t="shared" si="57"/>
        <v>0</v>
      </c>
      <c r="AC75" s="104">
        <f t="shared" si="57"/>
        <v>0</v>
      </c>
      <c r="AD75" s="104">
        <f t="shared" si="57"/>
        <v>0</v>
      </c>
      <c r="AE75" s="104">
        <f t="shared" si="57"/>
        <v>0</v>
      </c>
      <c r="AF75" s="104">
        <f t="shared" si="57"/>
        <v>0</v>
      </c>
      <c r="AG75" s="84">
        <f t="shared" si="51"/>
        <v>0</v>
      </c>
      <c r="AH75" s="105" t="str">
        <f t="shared" si="52"/>
        <v/>
      </c>
      <c r="AJ75" s="84">
        <f t="shared" si="53"/>
        <v>5308.9</v>
      </c>
    </row>
    <row r="76" spans="1:36" x14ac:dyDescent="0.3">
      <c r="A76" s="113" t="s">
        <v>162</v>
      </c>
      <c r="B76" s="84">
        <f>IFERROR(SUMIF([2]Jan26A!$A:$A,$A76,INDEX([2]Jan26A!$A:$N,0,MATCH($A$1,[2]Jan26A!$A$7:$N$7,0))),0)</f>
        <v>0</v>
      </c>
      <c r="C76" s="84">
        <f>IFERROR(SUMIF([2]Feb26A!$A:$A,$A76,INDEX([2]Feb26A!$A:$N,0,MATCH($A$1,[2]Feb26A!$A$7:$N$7,0))),0)</f>
        <v>0</v>
      </c>
      <c r="D76" s="84">
        <f>IFERROR(SUMIF([2]Mar26A!$A:$A,$A76,INDEX([2]Mar26A!$A:$N,0,MATCH($A$1,[2]Mar26A!$A$7:$N$7,0))),0)</f>
        <v>0</v>
      </c>
      <c r="E76" s="84">
        <f>IFERROR(SUMIF([2]Apr26A!$A:$A,$A76,INDEX([2]Apr26A!$A:$N,0,MATCH($A$1,[2]Apr26A!$A$7:$N$7,0))),0)</f>
        <v>28.2</v>
      </c>
      <c r="F76" s="84">
        <f>IFERROR(SUMIF([2]May26A!$A:$A,$A76,INDEX([2]May26A!$A:$N,0,MATCH($A$1,[2]May26A!$A$7:$N$7,0))),0)</f>
        <v>0</v>
      </c>
      <c r="G76" s="84">
        <f>IFERROR(SUMIF([2]Jun26A!$A:$A,$A76,INDEX([2]Jun26A!$A:$N,0,MATCH($A$1,[2]Jun26A!$A$7:$N$7,0))),0)</f>
        <v>0</v>
      </c>
      <c r="H76" s="84">
        <f>IFERROR(SUMIF([2]Jul26A!$A:$A,$A76,INDEX([2]Jul26A!$A:$N,0,MATCH($A$1,[2]Jul26A!$A$7:$N$7,0))),0)</f>
        <v>0</v>
      </c>
      <c r="I76" s="84">
        <f>IFERROR(SUMIF([2]Aug26A!$A:$A,$A76,INDEX([2]Aug26A!$A:$N,0,MATCH($A$1,[2]Aug26A!$A$7:$N$7,0))),0)</f>
        <v>0</v>
      </c>
      <c r="J76" s="117">
        <v>0</v>
      </c>
      <c r="K76" s="117">
        <v>0</v>
      </c>
      <c r="L76" s="117">
        <v>0</v>
      </c>
      <c r="M76" s="117">
        <v>0</v>
      </c>
      <c r="N76" s="84">
        <f t="shared" si="49"/>
        <v>28.2</v>
      </c>
      <c r="O76" s="105" t="str">
        <f t="shared" si="50"/>
        <v/>
      </c>
      <c r="P76" s="84"/>
      <c r="Q76" s="84"/>
      <c r="R76" s="106" t="s">
        <v>99</v>
      </c>
      <c r="S76" s="107">
        <v>0</v>
      </c>
      <c r="T76" s="108">
        <v>0.05</v>
      </c>
      <c r="U76" s="104">
        <f t="shared" si="57"/>
        <v>0</v>
      </c>
      <c r="V76" s="104">
        <f t="shared" si="57"/>
        <v>0</v>
      </c>
      <c r="W76" s="104">
        <f t="shared" si="57"/>
        <v>0</v>
      </c>
      <c r="X76" s="104">
        <f t="shared" si="57"/>
        <v>0</v>
      </c>
      <c r="Y76" s="104">
        <f t="shared" si="57"/>
        <v>0</v>
      </c>
      <c r="Z76" s="104">
        <f t="shared" si="57"/>
        <v>0</v>
      </c>
      <c r="AA76" s="104">
        <f t="shared" si="57"/>
        <v>0</v>
      </c>
      <c r="AB76" s="104">
        <f t="shared" si="57"/>
        <v>0</v>
      </c>
      <c r="AC76" s="104">
        <f t="shared" si="57"/>
        <v>0</v>
      </c>
      <c r="AD76" s="104">
        <f t="shared" si="57"/>
        <v>0</v>
      </c>
      <c r="AE76" s="104">
        <f t="shared" si="57"/>
        <v>0</v>
      </c>
      <c r="AF76" s="104">
        <f t="shared" si="57"/>
        <v>0</v>
      </c>
      <c r="AG76" s="84">
        <f t="shared" si="51"/>
        <v>0</v>
      </c>
      <c r="AH76" s="105" t="str">
        <f t="shared" si="52"/>
        <v/>
      </c>
      <c r="AJ76" s="84">
        <f t="shared" si="53"/>
        <v>28.2</v>
      </c>
    </row>
    <row r="77" spans="1:36" x14ac:dyDescent="0.3">
      <c r="A77" s="113" t="s">
        <v>163</v>
      </c>
      <c r="B77" s="84">
        <f>IFERROR(SUMIF([2]Jan26A!$A:$A,$A77,INDEX([2]Jan26A!$A:$N,0,MATCH($A$1,[2]Jan26A!$A$7:$N$7,0))),0)</f>
        <v>0</v>
      </c>
      <c r="C77" s="84">
        <f>IFERROR(SUMIF([2]Feb26A!$A:$A,$A77,INDEX([2]Feb26A!$A:$N,0,MATCH($A$1,[2]Feb26A!$A$7:$N$7,0))),0)</f>
        <v>0</v>
      </c>
      <c r="D77" s="84">
        <f>IFERROR(SUMIF([2]Mar26A!$A:$A,$A77,INDEX([2]Mar26A!$A:$N,0,MATCH($A$1,[2]Mar26A!$A$7:$N$7,0))),0)</f>
        <v>0</v>
      </c>
      <c r="E77" s="84">
        <f>IFERROR(SUMIF([2]Apr26A!$A:$A,$A77,INDEX([2]Apr26A!$A:$N,0,MATCH($A$1,[2]Apr26A!$A$7:$N$7,0))),0)</f>
        <v>0</v>
      </c>
      <c r="F77" s="84">
        <f>IFERROR(SUMIF([2]May26A!$A:$A,$A77,INDEX([2]May26A!$A:$N,0,MATCH($A$1,[2]May26A!$A$7:$N$7,0))),0)</f>
        <v>0</v>
      </c>
      <c r="G77" s="84">
        <f>IFERROR(SUMIF([2]Jun26A!$A:$A,$A77,INDEX([2]Jun26A!$A:$N,0,MATCH($A$1,[2]Jun26A!$A$7:$N$7,0))),0)</f>
        <v>0</v>
      </c>
      <c r="H77" s="84">
        <f>IFERROR(SUMIF([2]Jul26A!$A:$A,$A77,INDEX([2]Jul26A!$A:$N,0,MATCH($A$1,[2]Jul26A!$A$7:$N$7,0))),0)</f>
        <v>0</v>
      </c>
      <c r="I77" s="84">
        <f>IFERROR(SUMIF([2]Aug26A!$A:$A,$A77,INDEX([2]Aug26A!$A:$N,0,MATCH($A$1,[2]Aug26A!$A$7:$N$7,0))),0)</f>
        <v>0</v>
      </c>
      <c r="J77" s="117">
        <v>0</v>
      </c>
      <c r="K77" s="117">
        <v>0</v>
      </c>
      <c r="L77" s="117">
        <v>0</v>
      </c>
      <c r="M77" s="117">
        <v>0</v>
      </c>
      <c r="N77" s="84">
        <f t="shared" si="49"/>
        <v>0</v>
      </c>
      <c r="O77" s="105" t="str">
        <f t="shared" si="50"/>
        <v/>
      </c>
      <c r="P77" s="84"/>
      <c r="Q77" s="84"/>
      <c r="R77" s="106" t="s">
        <v>99</v>
      </c>
      <c r="S77" s="107">
        <v>0</v>
      </c>
      <c r="T77" s="108">
        <v>0.05</v>
      </c>
      <c r="U77" s="104">
        <f t="shared" si="57"/>
        <v>0</v>
      </c>
      <c r="V77" s="104">
        <f t="shared" si="57"/>
        <v>0</v>
      </c>
      <c r="W77" s="104">
        <f t="shared" si="57"/>
        <v>0</v>
      </c>
      <c r="X77" s="104">
        <f t="shared" si="57"/>
        <v>0</v>
      </c>
      <c r="Y77" s="104">
        <f t="shared" si="57"/>
        <v>0</v>
      </c>
      <c r="Z77" s="104">
        <f t="shared" si="57"/>
        <v>0</v>
      </c>
      <c r="AA77" s="104">
        <f t="shared" si="57"/>
        <v>0</v>
      </c>
      <c r="AB77" s="104">
        <f t="shared" si="57"/>
        <v>0</v>
      </c>
      <c r="AC77" s="104">
        <f t="shared" si="57"/>
        <v>0</v>
      </c>
      <c r="AD77" s="104">
        <f t="shared" si="57"/>
        <v>0</v>
      </c>
      <c r="AE77" s="104">
        <f t="shared" si="57"/>
        <v>0</v>
      </c>
      <c r="AF77" s="104">
        <f t="shared" si="57"/>
        <v>0</v>
      </c>
      <c r="AG77" s="84">
        <f t="shared" si="51"/>
        <v>0</v>
      </c>
      <c r="AH77" s="105" t="str">
        <f t="shared" si="52"/>
        <v/>
      </c>
      <c r="AJ77" s="84">
        <f t="shared" si="53"/>
        <v>0</v>
      </c>
    </row>
    <row r="78" spans="1:36" x14ac:dyDescent="0.3">
      <c r="A78" s="113" t="s">
        <v>164</v>
      </c>
      <c r="B78" s="84">
        <f>IFERROR(SUMIF([2]Jan26A!$A:$A,$A78,INDEX([2]Jan26A!$A:$N,0,MATCH($A$1,[2]Jan26A!$A$7:$N$7,0))),0)</f>
        <v>0</v>
      </c>
      <c r="C78" s="84">
        <f>IFERROR(SUMIF([2]Feb26A!$A:$A,$A78,INDEX([2]Feb26A!$A:$N,0,MATCH($A$1,[2]Feb26A!$A$7:$N$7,0))),0)</f>
        <v>0</v>
      </c>
      <c r="D78" s="84">
        <f>IFERROR(SUMIF([2]Mar26A!$A:$A,$A78,INDEX([2]Mar26A!$A:$N,0,MATCH($A$1,[2]Mar26A!$A$7:$N$7,0))),0)</f>
        <v>0</v>
      </c>
      <c r="E78" s="84">
        <f>IFERROR(SUMIF([2]Apr26A!$A:$A,$A78,INDEX([2]Apr26A!$A:$N,0,MATCH($A$1,[2]Apr26A!$A$7:$N$7,0))),0)</f>
        <v>0</v>
      </c>
      <c r="F78" s="84">
        <f>IFERROR(SUMIF([2]May26A!$A:$A,$A78,INDEX([2]May26A!$A:$N,0,MATCH($A$1,[2]May26A!$A$7:$N$7,0))),0)</f>
        <v>0</v>
      </c>
      <c r="G78" s="84">
        <f>IFERROR(SUMIF([2]Jun26A!$A:$A,$A78,INDEX([2]Jun26A!$A:$N,0,MATCH($A$1,[2]Jun26A!$A$7:$N$7,0))),0)</f>
        <v>0</v>
      </c>
      <c r="H78" s="84">
        <f>IFERROR(SUMIF([2]Jul26A!$A:$A,$A78,INDEX([2]Jul26A!$A:$N,0,MATCH($A$1,[2]Jul26A!$A$7:$N$7,0))),0)</f>
        <v>0</v>
      </c>
      <c r="I78" s="84">
        <f>IFERROR(SUMIF([2]Aug26A!$A:$A,$A78,INDEX([2]Aug26A!$A:$N,0,MATCH($A$1,[2]Aug26A!$A$7:$N$7,0))),0)</f>
        <v>0</v>
      </c>
      <c r="J78" s="117">
        <v>0</v>
      </c>
      <c r="K78" s="117">
        <v>0</v>
      </c>
      <c r="L78" s="117">
        <v>0</v>
      </c>
      <c r="M78" s="117">
        <v>0</v>
      </c>
      <c r="N78" s="84">
        <f t="shared" si="49"/>
        <v>0</v>
      </c>
      <c r="O78" s="105" t="str">
        <f t="shared" si="50"/>
        <v/>
      </c>
      <c r="P78" s="84"/>
      <c r="Q78" s="84"/>
      <c r="R78" s="106" t="s">
        <v>99</v>
      </c>
      <c r="S78" s="107">
        <v>0</v>
      </c>
      <c r="T78" s="108">
        <v>0.05</v>
      </c>
      <c r="U78" s="104">
        <f t="shared" si="57"/>
        <v>0</v>
      </c>
      <c r="V78" s="104">
        <f t="shared" si="57"/>
        <v>0</v>
      </c>
      <c r="W78" s="104">
        <f t="shared" si="57"/>
        <v>0</v>
      </c>
      <c r="X78" s="104">
        <f t="shared" si="57"/>
        <v>0</v>
      </c>
      <c r="Y78" s="104">
        <f t="shared" si="57"/>
        <v>0</v>
      </c>
      <c r="Z78" s="104">
        <f t="shared" si="57"/>
        <v>0</v>
      </c>
      <c r="AA78" s="104">
        <f t="shared" si="57"/>
        <v>0</v>
      </c>
      <c r="AB78" s="104">
        <f t="shared" si="57"/>
        <v>0</v>
      </c>
      <c r="AC78" s="104">
        <f t="shared" si="57"/>
        <v>0</v>
      </c>
      <c r="AD78" s="104">
        <f t="shared" si="57"/>
        <v>0</v>
      </c>
      <c r="AE78" s="104">
        <f t="shared" si="57"/>
        <v>0</v>
      </c>
      <c r="AF78" s="104">
        <f t="shared" si="57"/>
        <v>0</v>
      </c>
      <c r="AG78" s="84">
        <f t="shared" si="51"/>
        <v>0</v>
      </c>
      <c r="AH78" s="105" t="str">
        <f t="shared" si="52"/>
        <v/>
      </c>
      <c r="AJ78" s="84">
        <f t="shared" si="53"/>
        <v>0</v>
      </c>
    </row>
    <row r="79" spans="1:36" x14ac:dyDescent="0.3">
      <c r="A79" s="113" t="s">
        <v>165</v>
      </c>
      <c r="B79" s="84">
        <f>IFERROR(SUMIF([2]Jan26A!$A:$A,$A79,INDEX([2]Jan26A!$A:$N,0,MATCH($A$1,[2]Jan26A!$A$7:$N$7,0))),0)</f>
        <v>0</v>
      </c>
      <c r="C79" s="84">
        <f>IFERROR(SUMIF([2]Feb26A!$A:$A,$A79,INDEX([2]Feb26A!$A:$N,0,MATCH($A$1,[2]Feb26A!$A$7:$N$7,0))),0)</f>
        <v>0</v>
      </c>
      <c r="D79" s="84">
        <f>IFERROR(SUMIF([2]Mar26A!$A:$A,$A79,INDEX([2]Mar26A!$A:$N,0,MATCH($A$1,[2]Mar26A!$A$7:$N$7,0))),0)</f>
        <v>0</v>
      </c>
      <c r="E79" s="84">
        <f>IFERROR(SUMIF([2]Apr26A!$A:$A,$A79,INDEX([2]Apr26A!$A:$N,0,MATCH($A$1,[2]Apr26A!$A$7:$N$7,0))),0)</f>
        <v>2674.33</v>
      </c>
      <c r="F79" s="84">
        <f>IFERROR(SUMIF([2]May26A!$A:$A,$A79,INDEX([2]May26A!$A:$N,0,MATCH($A$1,[2]May26A!$A$7:$N$7,0))),0)</f>
        <v>0</v>
      </c>
      <c r="G79" s="84">
        <f>IFERROR(SUMIF([2]Jun26A!$A:$A,$A79,INDEX([2]Jun26A!$A:$N,0,MATCH($A$1,[2]Jun26A!$A$7:$N$7,0))),0)</f>
        <v>0</v>
      </c>
      <c r="H79" s="84">
        <f>IFERROR(SUMIF([2]Jul26A!$A:$A,$A79,INDEX([2]Jul26A!$A:$N,0,MATCH($A$1,[2]Jul26A!$A$7:$N$7,0))),0)</f>
        <v>0</v>
      </c>
      <c r="I79" s="84">
        <f>IFERROR(SUMIF([2]Aug26A!$A:$A,$A79,INDEX([2]Aug26A!$A:$N,0,MATCH($A$1,[2]Aug26A!$A$7:$N$7,0))),0)</f>
        <v>0</v>
      </c>
      <c r="J79" s="117">
        <v>1000</v>
      </c>
      <c r="K79" s="117">
        <v>1000</v>
      </c>
      <c r="L79" s="117">
        <v>3000</v>
      </c>
      <c r="M79" s="117">
        <v>1000</v>
      </c>
      <c r="N79" s="84">
        <f t="shared" si="49"/>
        <v>8674.33</v>
      </c>
      <c r="O79" s="105" t="str">
        <f t="shared" si="50"/>
        <v/>
      </c>
      <c r="P79" s="84"/>
      <c r="Q79" s="84"/>
      <c r="R79" s="106" t="s">
        <v>99</v>
      </c>
      <c r="S79" s="107">
        <v>0</v>
      </c>
      <c r="T79" s="108">
        <v>0.05</v>
      </c>
      <c r="U79" s="104">
        <f t="shared" si="57"/>
        <v>0</v>
      </c>
      <c r="V79" s="104">
        <f t="shared" si="57"/>
        <v>0</v>
      </c>
      <c r="W79" s="104">
        <f t="shared" si="57"/>
        <v>0</v>
      </c>
      <c r="X79" s="104">
        <f t="shared" si="57"/>
        <v>0</v>
      </c>
      <c r="Y79" s="104">
        <f t="shared" si="57"/>
        <v>0</v>
      </c>
      <c r="Z79" s="104">
        <f t="shared" si="57"/>
        <v>0</v>
      </c>
      <c r="AA79" s="104">
        <f t="shared" si="57"/>
        <v>0</v>
      </c>
      <c r="AB79" s="104">
        <f t="shared" si="57"/>
        <v>0</v>
      </c>
      <c r="AC79" s="104">
        <f t="shared" si="57"/>
        <v>0</v>
      </c>
      <c r="AD79" s="104">
        <f t="shared" si="57"/>
        <v>0</v>
      </c>
      <c r="AE79" s="104">
        <f t="shared" si="57"/>
        <v>0</v>
      </c>
      <c r="AF79" s="104">
        <f t="shared" si="57"/>
        <v>0</v>
      </c>
      <c r="AG79" s="84">
        <f t="shared" si="51"/>
        <v>0</v>
      </c>
      <c r="AH79" s="105" t="str">
        <f t="shared" si="52"/>
        <v/>
      </c>
      <c r="AJ79" s="84">
        <f t="shared" si="53"/>
        <v>8674.33</v>
      </c>
    </row>
    <row r="80" spans="1:36" x14ac:dyDescent="0.3">
      <c r="A80" s="113" t="s">
        <v>166</v>
      </c>
      <c r="B80" s="84">
        <f>IFERROR(SUMIF([2]Jan26A!$A:$A,$A80,INDEX([2]Jan26A!$A:$N,0,MATCH($A$1,[2]Jan26A!$A$7:$N$7,0))),0)</f>
        <v>35.89</v>
      </c>
      <c r="C80" s="84">
        <f>IFERROR(SUMIF([2]Feb26A!$A:$A,$A80,INDEX([2]Feb26A!$A:$N,0,MATCH($A$1,[2]Feb26A!$A$7:$N$7,0))),0)</f>
        <v>0</v>
      </c>
      <c r="D80" s="84">
        <f>IFERROR(SUMIF([2]Mar26A!$A:$A,$A80,INDEX([2]Mar26A!$A:$N,0,MATCH($A$1,[2]Mar26A!$A$7:$N$7,0))),0)</f>
        <v>0</v>
      </c>
      <c r="E80" s="84">
        <f>IFERROR(SUMIF([2]Apr26A!$A:$A,$A80,INDEX([2]Apr26A!$A:$N,0,MATCH($A$1,[2]Apr26A!$A$7:$N$7,0))),0)</f>
        <v>0</v>
      </c>
      <c r="F80" s="84">
        <f>IFERROR(SUMIF([2]May26A!$A:$A,$A80,INDEX([2]May26A!$A:$N,0,MATCH($A$1,[2]May26A!$A$7:$N$7,0))),0)</f>
        <v>0</v>
      </c>
      <c r="G80" s="84">
        <f>IFERROR(SUMIF([2]Jun26A!$A:$A,$A80,INDEX([2]Jun26A!$A:$N,0,MATCH($A$1,[2]Jun26A!$A$7:$N$7,0))),0)</f>
        <v>0</v>
      </c>
      <c r="H80" s="84">
        <f>IFERROR(SUMIF([2]Jul26A!$A:$A,$A80,INDEX([2]Jul26A!$A:$N,0,MATCH($A$1,[2]Jul26A!$A$7:$N$7,0))),0)</f>
        <v>0</v>
      </c>
      <c r="I80" s="84">
        <f>IFERROR(SUMIF([2]Aug26A!$A:$A,$A80,INDEX([2]Aug26A!$A:$N,0,MATCH($A$1,[2]Aug26A!$A$7:$N$7,0))),0)</f>
        <v>0</v>
      </c>
      <c r="J80" s="117">
        <v>0</v>
      </c>
      <c r="K80" s="117">
        <v>0</v>
      </c>
      <c r="L80" s="117">
        <v>0</v>
      </c>
      <c r="M80" s="117">
        <v>0</v>
      </c>
      <c r="N80" s="84">
        <f t="shared" si="49"/>
        <v>35.89</v>
      </c>
      <c r="O80" s="105" t="str">
        <f t="shared" si="50"/>
        <v/>
      </c>
      <c r="P80" s="84"/>
      <c r="Q80" s="84"/>
      <c r="R80" s="106" t="s">
        <v>99</v>
      </c>
      <c r="S80" s="107">
        <v>0</v>
      </c>
      <c r="T80" s="108">
        <v>0.05</v>
      </c>
      <c r="U80" s="104">
        <f t="shared" si="57"/>
        <v>0</v>
      </c>
      <c r="V80" s="104">
        <f t="shared" si="57"/>
        <v>0</v>
      </c>
      <c r="W80" s="104">
        <f t="shared" si="57"/>
        <v>0</v>
      </c>
      <c r="X80" s="104">
        <f t="shared" si="57"/>
        <v>0</v>
      </c>
      <c r="Y80" s="104">
        <f t="shared" si="57"/>
        <v>0</v>
      </c>
      <c r="Z80" s="104">
        <f t="shared" si="57"/>
        <v>0</v>
      </c>
      <c r="AA80" s="104">
        <f t="shared" si="57"/>
        <v>0</v>
      </c>
      <c r="AB80" s="104">
        <f t="shared" si="57"/>
        <v>0</v>
      </c>
      <c r="AC80" s="104">
        <f t="shared" si="57"/>
        <v>0</v>
      </c>
      <c r="AD80" s="104">
        <f t="shared" si="57"/>
        <v>0</v>
      </c>
      <c r="AE80" s="104">
        <f t="shared" si="57"/>
        <v>0</v>
      </c>
      <c r="AF80" s="104">
        <f t="shared" si="57"/>
        <v>0</v>
      </c>
      <c r="AG80" s="84">
        <f t="shared" si="51"/>
        <v>0</v>
      </c>
      <c r="AH80" s="105" t="str">
        <f t="shared" si="52"/>
        <v/>
      </c>
      <c r="AJ80" s="84">
        <f t="shared" si="53"/>
        <v>35.89</v>
      </c>
    </row>
    <row r="81" spans="1:36" x14ac:dyDescent="0.3">
      <c r="A81" s="102" t="s">
        <v>167</v>
      </c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105"/>
      <c r="P81" s="84"/>
      <c r="Q81" s="84"/>
      <c r="R81" s="112"/>
      <c r="S81" s="112"/>
      <c r="T81" s="112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105"/>
      <c r="AJ81" s="84"/>
    </row>
    <row r="82" spans="1:36" x14ac:dyDescent="0.3">
      <c r="A82" s="103" t="s">
        <v>168</v>
      </c>
      <c r="B82" s="84">
        <f>IFERROR(SUMIF([2]Jan26A!$A:$A,$A82,INDEX([2]Jan26A!$A:$N,0,MATCH($A$1,[2]Jan26A!$A$7:$N$7,0))),0)</f>
        <v>0</v>
      </c>
      <c r="C82" s="84">
        <f>IFERROR(SUMIF([2]Feb26A!$A:$A,$A82,INDEX([2]Feb26A!$A:$N,0,MATCH($A$1,[2]Feb26A!$A$7:$N$7,0))),0)</f>
        <v>0</v>
      </c>
      <c r="D82" s="84">
        <f>IFERROR(SUMIF([2]Mar26A!$A:$A,$A82,INDEX([2]Mar26A!$A:$N,0,MATCH($A$1,[2]Mar26A!$A$7:$N$7,0))),0)</f>
        <v>0</v>
      </c>
      <c r="E82" s="84">
        <f>IFERROR(SUMIF([2]Apr26A!$A:$A,$A82,INDEX([2]Apr26A!$A:$N,0,MATCH($A$1,[2]Apr26A!$A$7:$N$7,0))),0)</f>
        <v>0</v>
      </c>
      <c r="F82" s="84">
        <f>IFERROR(SUMIF([2]May26A!$A:$A,$A82,INDEX([2]May26A!$A:$N,0,MATCH($A$1,[2]May26A!$A$7:$N$7,0))),0)</f>
        <v>0</v>
      </c>
      <c r="G82" s="84">
        <f>IFERROR(SUMIF([2]Jun26A!$A:$A,$A82,INDEX([2]Jun26A!$A:$N,0,MATCH($A$1,[2]Jun26A!$A$7:$N$7,0))),0)</f>
        <v>0</v>
      </c>
      <c r="H82" s="84">
        <f>IFERROR(SUMIF([2]Jul26A!$A:$A,$A82,INDEX([2]Jul26A!$A:$N,0,MATCH($A$1,[2]Jul26A!$A$7:$N$7,0))),0)</f>
        <v>0</v>
      </c>
      <c r="I82" s="84">
        <f>IFERROR(SUMIF([2]Aug26A!$A:$A,$A82,INDEX([2]Aug26A!$A:$N,0,MATCH($A$1,[2]Aug26A!$A$7:$N$7,0))),0)</f>
        <v>0</v>
      </c>
      <c r="J82" s="117">
        <v>0</v>
      </c>
      <c r="K82" s="117">
        <v>0</v>
      </c>
      <c r="L82" s="117">
        <v>0</v>
      </c>
      <c r="M82" s="117">
        <v>0</v>
      </c>
      <c r="N82" s="84">
        <f t="shared" ref="N82:N117" si="58">SUM(B82:M82)</f>
        <v>0</v>
      </c>
      <c r="O82" s="105" t="str">
        <f t="shared" ref="O82:O116" si="59">IFERROR(N82/N$16,"")</f>
        <v/>
      </c>
      <c r="P82" s="84"/>
      <c r="Q82" s="84"/>
      <c r="R82" s="106" t="s">
        <v>99</v>
      </c>
      <c r="S82" s="107">
        <v>0</v>
      </c>
      <c r="T82" s="108">
        <v>0.05</v>
      </c>
      <c r="U82" s="104">
        <f t="shared" ref="U82:AF86" si="60">IF($R82="Manual","",IFERROR(IF($R82="YOY Growth",$N82*(1+$T82)/12,$S82/12),""))</f>
        <v>0</v>
      </c>
      <c r="V82" s="104">
        <f t="shared" si="60"/>
        <v>0</v>
      </c>
      <c r="W82" s="104">
        <f t="shared" si="60"/>
        <v>0</v>
      </c>
      <c r="X82" s="104">
        <f t="shared" si="60"/>
        <v>0</v>
      </c>
      <c r="Y82" s="104">
        <f t="shared" si="60"/>
        <v>0</v>
      </c>
      <c r="Z82" s="104">
        <f t="shared" si="60"/>
        <v>0</v>
      </c>
      <c r="AA82" s="104">
        <f t="shared" si="60"/>
        <v>0</v>
      </c>
      <c r="AB82" s="104">
        <f t="shared" si="60"/>
        <v>0</v>
      </c>
      <c r="AC82" s="104">
        <f t="shared" si="60"/>
        <v>0</v>
      </c>
      <c r="AD82" s="104">
        <f t="shared" si="60"/>
        <v>0</v>
      </c>
      <c r="AE82" s="104">
        <f t="shared" si="60"/>
        <v>0</v>
      </c>
      <c r="AF82" s="104">
        <f t="shared" si="60"/>
        <v>0</v>
      </c>
      <c r="AG82" s="84">
        <f t="shared" ref="AG82:AG117" si="61">SUM(U82:AF82)</f>
        <v>0</v>
      </c>
      <c r="AH82" s="105" t="str">
        <f t="shared" ref="AH82:AH116" si="62">IFERROR(AG82/AG$16,"")</f>
        <v/>
      </c>
      <c r="AJ82" s="84">
        <f t="shared" ref="AJ82:AJ116" si="63">N82-AG82</f>
        <v>0</v>
      </c>
    </row>
    <row r="83" spans="1:36" x14ac:dyDescent="0.3">
      <c r="A83" s="103" t="s">
        <v>169</v>
      </c>
      <c r="B83" s="84">
        <f>IFERROR(SUMIF([2]Jan26A!$A:$A,$A83,INDEX([2]Jan26A!$A:$N,0,MATCH($A$1,[2]Jan26A!$A$7:$N$7,0))),0)</f>
        <v>0</v>
      </c>
      <c r="C83" s="84">
        <f>IFERROR(SUMIF([2]Feb26A!$A:$A,$A83,INDEX([2]Feb26A!$A:$N,0,MATCH($A$1,[2]Feb26A!$A$7:$N$7,0))),0)</f>
        <v>0</v>
      </c>
      <c r="D83" s="84">
        <f>IFERROR(SUMIF([2]Mar26A!$A:$A,$A83,INDEX([2]Mar26A!$A:$N,0,MATCH($A$1,[2]Mar26A!$A$7:$N$7,0))),0)</f>
        <v>0</v>
      </c>
      <c r="E83" s="84">
        <f>IFERROR(SUMIF([2]Apr26A!$A:$A,$A83,INDEX([2]Apr26A!$A:$N,0,MATCH($A$1,[2]Apr26A!$A$7:$N$7,0))),0)</f>
        <v>0</v>
      </c>
      <c r="F83" s="84">
        <f>IFERROR(SUMIF([2]May26A!$A:$A,$A83,INDEX([2]May26A!$A:$N,0,MATCH($A$1,[2]May26A!$A$7:$N$7,0))),0)</f>
        <v>0</v>
      </c>
      <c r="G83" s="84">
        <f>IFERROR(SUMIF([2]Jun26A!$A:$A,$A83,INDEX([2]Jun26A!$A:$N,0,MATCH($A$1,[2]Jun26A!$A$7:$N$7,0))),0)</f>
        <v>0</v>
      </c>
      <c r="H83" s="84">
        <f>IFERROR(SUMIF([2]Jul26A!$A:$A,$A83,INDEX([2]Jul26A!$A:$N,0,MATCH($A$1,[2]Jul26A!$A$7:$N$7,0))),0)</f>
        <v>0</v>
      </c>
      <c r="I83" s="84">
        <f>IFERROR(SUMIF([2]Aug26A!$A:$A,$A83,INDEX([2]Aug26A!$A:$N,0,MATCH($A$1,[2]Aug26A!$A$7:$N$7,0))),0)</f>
        <v>0</v>
      </c>
      <c r="J83" s="117">
        <v>0</v>
      </c>
      <c r="K83" s="117">
        <v>0</v>
      </c>
      <c r="L83" s="117">
        <v>0</v>
      </c>
      <c r="M83" s="117">
        <v>0</v>
      </c>
      <c r="N83" s="84">
        <f t="shared" si="58"/>
        <v>0</v>
      </c>
      <c r="O83" s="105" t="str">
        <f t="shared" si="59"/>
        <v/>
      </c>
      <c r="P83" s="84"/>
      <c r="Q83" s="84"/>
      <c r="R83" s="106" t="s">
        <v>99</v>
      </c>
      <c r="S83" s="107">
        <v>0</v>
      </c>
      <c r="T83" s="108">
        <v>0.05</v>
      </c>
      <c r="U83" s="104">
        <f t="shared" si="60"/>
        <v>0</v>
      </c>
      <c r="V83" s="104">
        <f t="shared" si="60"/>
        <v>0</v>
      </c>
      <c r="W83" s="104">
        <f t="shared" si="60"/>
        <v>0</v>
      </c>
      <c r="X83" s="104">
        <f t="shared" si="60"/>
        <v>0</v>
      </c>
      <c r="Y83" s="104">
        <f t="shared" si="60"/>
        <v>0</v>
      </c>
      <c r="Z83" s="104">
        <f t="shared" si="60"/>
        <v>0</v>
      </c>
      <c r="AA83" s="104">
        <f t="shared" si="60"/>
        <v>0</v>
      </c>
      <c r="AB83" s="104">
        <f t="shared" si="60"/>
        <v>0</v>
      </c>
      <c r="AC83" s="104">
        <f t="shared" si="60"/>
        <v>0</v>
      </c>
      <c r="AD83" s="104">
        <f t="shared" si="60"/>
        <v>0</v>
      </c>
      <c r="AE83" s="104">
        <f t="shared" si="60"/>
        <v>0</v>
      </c>
      <c r="AF83" s="104">
        <f t="shared" si="60"/>
        <v>0</v>
      </c>
      <c r="AG83" s="84">
        <f t="shared" si="61"/>
        <v>0</v>
      </c>
      <c r="AH83" s="105" t="str">
        <f t="shared" si="62"/>
        <v/>
      </c>
      <c r="AJ83" s="84">
        <f t="shared" si="63"/>
        <v>0</v>
      </c>
    </row>
    <row r="84" spans="1:36" x14ac:dyDescent="0.3">
      <c r="A84" s="103" t="s">
        <v>170</v>
      </c>
      <c r="B84" s="84">
        <f>IFERROR(SUMIF([2]Jan26A!$A:$A,$A84,INDEX([2]Jan26A!$A:$N,0,MATCH($A$1,[2]Jan26A!$A$7:$N$7,0))),0)</f>
        <v>0</v>
      </c>
      <c r="C84" s="84">
        <f>IFERROR(SUMIF([2]Feb26A!$A:$A,$A84,INDEX([2]Feb26A!$A:$N,0,MATCH($A$1,[2]Feb26A!$A$7:$N$7,0))),0)</f>
        <v>0</v>
      </c>
      <c r="D84" s="84">
        <f>IFERROR(SUMIF([2]Mar26A!$A:$A,$A84,INDEX([2]Mar26A!$A:$N,0,MATCH($A$1,[2]Mar26A!$A$7:$N$7,0))),0)</f>
        <v>0</v>
      </c>
      <c r="E84" s="84">
        <f>IFERROR(SUMIF([2]Apr26A!$A:$A,$A84,INDEX([2]Apr26A!$A:$N,0,MATCH($A$1,[2]Apr26A!$A$7:$N$7,0))),0)</f>
        <v>0</v>
      </c>
      <c r="F84" s="84">
        <f>IFERROR(SUMIF([2]May26A!$A:$A,$A84,INDEX([2]May26A!$A:$N,0,MATCH($A$1,[2]May26A!$A$7:$N$7,0))),0)</f>
        <v>0</v>
      </c>
      <c r="G84" s="84">
        <f>IFERROR(SUMIF([2]Jun26A!$A:$A,$A84,INDEX([2]Jun26A!$A:$N,0,MATCH($A$1,[2]Jun26A!$A$7:$N$7,0))),0)</f>
        <v>20</v>
      </c>
      <c r="H84" s="84">
        <f>IFERROR(SUMIF([2]Jul26A!$A:$A,$A84,INDEX([2]Jul26A!$A:$N,0,MATCH($A$1,[2]Jul26A!$A$7:$N$7,0))),0)</f>
        <v>0</v>
      </c>
      <c r="I84" s="84">
        <f>IFERROR(SUMIF([2]Aug26A!$A:$A,$A84,INDEX([2]Aug26A!$A:$N,0,MATCH($A$1,[2]Aug26A!$A$7:$N$7,0))),0)</f>
        <v>0</v>
      </c>
      <c r="J84" s="117">
        <v>0</v>
      </c>
      <c r="K84" s="117">
        <v>0</v>
      </c>
      <c r="L84" s="117">
        <v>0</v>
      </c>
      <c r="M84" s="117">
        <v>0</v>
      </c>
      <c r="N84" s="84">
        <f t="shared" si="58"/>
        <v>20</v>
      </c>
      <c r="O84" s="105" t="str">
        <f t="shared" si="59"/>
        <v/>
      </c>
      <c r="P84" s="84"/>
      <c r="Q84" s="84"/>
      <c r="R84" s="106" t="s">
        <v>99</v>
      </c>
      <c r="S84" s="107">
        <v>0</v>
      </c>
      <c r="T84" s="108">
        <v>0.05</v>
      </c>
      <c r="U84" s="104">
        <f t="shared" si="60"/>
        <v>0</v>
      </c>
      <c r="V84" s="104">
        <f t="shared" si="60"/>
        <v>0</v>
      </c>
      <c r="W84" s="104">
        <f t="shared" si="60"/>
        <v>0</v>
      </c>
      <c r="X84" s="104">
        <f t="shared" si="60"/>
        <v>0</v>
      </c>
      <c r="Y84" s="104">
        <f t="shared" si="60"/>
        <v>0</v>
      </c>
      <c r="Z84" s="104">
        <f t="shared" si="60"/>
        <v>0</v>
      </c>
      <c r="AA84" s="104">
        <f t="shared" si="60"/>
        <v>0</v>
      </c>
      <c r="AB84" s="104">
        <f t="shared" si="60"/>
        <v>0</v>
      </c>
      <c r="AC84" s="104">
        <f t="shared" si="60"/>
        <v>0</v>
      </c>
      <c r="AD84" s="104">
        <f t="shared" si="60"/>
        <v>0</v>
      </c>
      <c r="AE84" s="104">
        <f t="shared" si="60"/>
        <v>0</v>
      </c>
      <c r="AF84" s="104">
        <f t="shared" si="60"/>
        <v>0</v>
      </c>
      <c r="AG84" s="84">
        <f t="shared" si="61"/>
        <v>0</v>
      </c>
      <c r="AH84" s="105" t="str">
        <f t="shared" si="62"/>
        <v/>
      </c>
      <c r="AJ84" s="84">
        <f t="shared" si="63"/>
        <v>20</v>
      </c>
    </row>
    <row r="85" spans="1:36" x14ac:dyDescent="0.3">
      <c r="A85" s="103" t="s">
        <v>171</v>
      </c>
      <c r="B85" s="84">
        <f>IFERROR(SUMIF([2]Jan26A!$A:$A,$A85,INDEX([2]Jan26A!$A:$N,0,MATCH($A$1,[2]Jan26A!$A$7:$N$7,0))),0)</f>
        <v>1118.97</v>
      </c>
      <c r="C85" s="84">
        <f>IFERROR(SUMIF([2]Feb26A!$A:$A,$A85,INDEX([2]Feb26A!$A:$N,0,MATCH($A$1,[2]Feb26A!$A$7:$N$7,0))),0)</f>
        <v>1642.61</v>
      </c>
      <c r="D85" s="84">
        <f>IFERROR(SUMIF([2]Mar26A!$A:$A,$A85,INDEX([2]Mar26A!$A:$N,0,MATCH($A$1,[2]Mar26A!$A$7:$N$7,0))),0)</f>
        <v>0</v>
      </c>
      <c r="E85" s="84">
        <f>IFERROR(SUMIF([2]Apr26A!$A:$A,$A85,INDEX([2]Apr26A!$A:$N,0,MATCH($A$1,[2]Apr26A!$A$7:$N$7,0))),0)</f>
        <v>1638.14</v>
      </c>
      <c r="F85" s="84">
        <f>IFERROR(SUMIF([2]May26A!$A:$A,$A85,INDEX([2]May26A!$A:$N,0,MATCH($A$1,[2]May26A!$A$7:$N$7,0))),0)</f>
        <v>492.8</v>
      </c>
      <c r="G85" s="84">
        <f>IFERROR(SUMIF([2]Jun26A!$A:$A,$A85,INDEX([2]Jun26A!$A:$N,0,MATCH($A$1,[2]Jun26A!$A$7:$N$7,0))),0)</f>
        <v>0</v>
      </c>
      <c r="H85" s="84">
        <f>IFERROR(SUMIF([2]Jul26A!$A:$A,$A85,INDEX([2]Jul26A!$A:$N,0,MATCH($A$1,[2]Jul26A!$A$7:$N$7,0))),0)</f>
        <v>0</v>
      </c>
      <c r="I85" s="84">
        <f>IFERROR(SUMIF([2]Aug26A!$A:$A,$A85,INDEX([2]Aug26A!$A:$N,0,MATCH($A$1,[2]Aug26A!$A$7:$N$7,0))),0)</f>
        <v>0</v>
      </c>
      <c r="J85" s="117">
        <v>500</v>
      </c>
      <c r="K85" s="117">
        <v>500</v>
      </c>
      <c r="L85" s="117">
        <v>1500</v>
      </c>
      <c r="M85" s="117">
        <v>500</v>
      </c>
      <c r="N85" s="84">
        <f t="shared" si="58"/>
        <v>7892.52</v>
      </c>
      <c r="O85" s="105" t="str">
        <f t="shared" si="59"/>
        <v/>
      </c>
      <c r="P85" s="84"/>
      <c r="Q85" s="84"/>
      <c r="R85" s="106" t="s">
        <v>99</v>
      </c>
      <c r="S85" s="107">
        <v>0</v>
      </c>
      <c r="T85" s="108">
        <v>0.05</v>
      </c>
      <c r="U85" s="104">
        <f t="shared" si="60"/>
        <v>0</v>
      </c>
      <c r="V85" s="104">
        <f t="shared" si="60"/>
        <v>0</v>
      </c>
      <c r="W85" s="104">
        <f t="shared" si="60"/>
        <v>0</v>
      </c>
      <c r="X85" s="104">
        <f t="shared" si="60"/>
        <v>0</v>
      </c>
      <c r="Y85" s="104">
        <f t="shared" si="60"/>
        <v>0</v>
      </c>
      <c r="Z85" s="104">
        <f t="shared" si="60"/>
        <v>0</v>
      </c>
      <c r="AA85" s="104">
        <f t="shared" si="60"/>
        <v>0</v>
      </c>
      <c r="AB85" s="104">
        <f t="shared" si="60"/>
        <v>0</v>
      </c>
      <c r="AC85" s="104">
        <f t="shared" si="60"/>
        <v>0</v>
      </c>
      <c r="AD85" s="104">
        <f t="shared" si="60"/>
        <v>0</v>
      </c>
      <c r="AE85" s="104">
        <f t="shared" si="60"/>
        <v>0</v>
      </c>
      <c r="AF85" s="104">
        <f t="shared" si="60"/>
        <v>0</v>
      </c>
      <c r="AG85" s="84">
        <f t="shared" si="61"/>
        <v>0</v>
      </c>
      <c r="AH85" s="105" t="str">
        <f t="shared" si="62"/>
        <v/>
      </c>
      <c r="AJ85" s="84">
        <f t="shared" si="63"/>
        <v>7892.52</v>
      </c>
    </row>
    <row r="86" spans="1:36" x14ac:dyDescent="0.3">
      <c r="A86" s="103" t="s">
        <v>172</v>
      </c>
      <c r="B86" s="84">
        <f>IFERROR(SUMIF([2]Jan26A!$A:$A,$A86,INDEX([2]Jan26A!$A:$N,0,MATCH($A$1,[2]Jan26A!$A$7:$N$7,0))),0)</f>
        <v>0</v>
      </c>
      <c r="C86" s="84">
        <f>IFERROR(SUMIF([2]Feb26A!$A:$A,$A86,INDEX([2]Feb26A!$A:$N,0,MATCH($A$1,[2]Feb26A!$A$7:$N$7,0))),0)</f>
        <v>196.09</v>
      </c>
      <c r="D86" s="84">
        <f>IFERROR(SUMIF([2]Mar26A!$A:$A,$A86,INDEX([2]Mar26A!$A:$N,0,MATCH($A$1,[2]Mar26A!$A$7:$N$7,0))),0)</f>
        <v>0</v>
      </c>
      <c r="E86" s="84">
        <f>IFERROR(SUMIF([2]Apr26A!$A:$A,$A86,INDEX([2]Apr26A!$A:$N,0,MATCH($A$1,[2]Apr26A!$A$7:$N$7,0))),0)</f>
        <v>0</v>
      </c>
      <c r="F86" s="84">
        <f>IFERROR(SUMIF([2]May26A!$A:$A,$A86,INDEX([2]May26A!$A:$N,0,MATCH($A$1,[2]May26A!$A$7:$N$7,0))),0)</f>
        <v>0</v>
      </c>
      <c r="G86" s="84">
        <f>IFERROR(SUMIF([2]Jun26A!$A:$A,$A86,INDEX([2]Jun26A!$A:$N,0,MATCH($A$1,[2]Jun26A!$A$7:$N$7,0))),0)</f>
        <v>0</v>
      </c>
      <c r="H86" s="84">
        <f>IFERROR(SUMIF([2]Jul26A!$A:$A,$A86,INDEX([2]Jul26A!$A:$N,0,MATCH($A$1,[2]Jul26A!$A$7:$N$7,0))),0)</f>
        <v>0</v>
      </c>
      <c r="I86" s="84">
        <f>IFERROR(SUMIF([2]Aug26A!$A:$A,$A86,INDEX([2]Aug26A!$A:$N,0,MATCH($A$1,[2]Aug26A!$A$7:$N$7,0))),0)</f>
        <v>0</v>
      </c>
      <c r="J86" s="117">
        <v>0</v>
      </c>
      <c r="K86" s="117">
        <v>0</v>
      </c>
      <c r="L86" s="117">
        <v>0</v>
      </c>
      <c r="M86" s="117">
        <v>0</v>
      </c>
      <c r="N86" s="84">
        <f t="shared" si="58"/>
        <v>196.09</v>
      </c>
      <c r="O86" s="105" t="str">
        <f t="shared" si="59"/>
        <v/>
      </c>
      <c r="P86" s="84"/>
      <c r="Q86" s="84"/>
      <c r="R86" s="106" t="s">
        <v>99</v>
      </c>
      <c r="S86" s="107">
        <v>0</v>
      </c>
      <c r="T86" s="108">
        <v>0.05</v>
      </c>
      <c r="U86" s="104">
        <f t="shared" si="60"/>
        <v>0</v>
      </c>
      <c r="V86" s="104">
        <f t="shared" si="60"/>
        <v>0</v>
      </c>
      <c r="W86" s="104">
        <f t="shared" si="60"/>
        <v>0</v>
      </c>
      <c r="X86" s="104">
        <f t="shared" si="60"/>
        <v>0</v>
      </c>
      <c r="Y86" s="104">
        <f t="shared" si="60"/>
        <v>0</v>
      </c>
      <c r="Z86" s="104">
        <f t="shared" si="60"/>
        <v>0</v>
      </c>
      <c r="AA86" s="104">
        <f t="shared" si="60"/>
        <v>0</v>
      </c>
      <c r="AB86" s="104">
        <f t="shared" si="60"/>
        <v>0</v>
      </c>
      <c r="AC86" s="104">
        <f t="shared" si="60"/>
        <v>0</v>
      </c>
      <c r="AD86" s="104">
        <f t="shared" si="60"/>
        <v>0</v>
      </c>
      <c r="AE86" s="104">
        <f t="shared" si="60"/>
        <v>0</v>
      </c>
      <c r="AF86" s="104">
        <f t="shared" si="60"/>
        <v>0</v>
      </c>
      <c r="AG86" s="84">
        <f t="shared" si="61"/>
        <v>0</v>
      </c>
      <c r="AH86" s="105" t="str">
        <f t="shared" si="62"/>
        <v/>
      </c>
      <c r="AJ86" s="84">
        <f t="shared" si="63"/>
        <v>196.09</v>
      </c>
    </row>
    <row r="87" spans="1:36" x14ac:dyDescent="0.3">
      <c r="A87" s="109" t="s">
        <v>173</v>
      </c>
      <c r="B87" s="110">
        <f t="shared" ref="B87:M87" si="64">SUM(B82:B86)</f>
        <v>1118.97</v>
      </c>
      <c r="C87" s="110">
        <f t="shared" si="64"/>
        <v>1838.6999999999998</v>
      </c>
      <c r="D87" s="110">
        <f t="shared" si="64"/>
        <v>0</v>
      </c>
      <c r="E87" s="110">
        <f t="shared" si="64"/>
        <v>1638.14</v>
      </c>
      <c r="F87" s="110">
        <f t="shared" si="64"/>
        <v>492.8</v>
      </c>
      <c r="G87" s="110">
        <f t="shared" si="64"/>
        <v>20</v>
      </c>
      <c r="H87" s="110">
        <f t="shared" si="64"/>
        <v>0</v>
      </c>
      <c r="I87" s="110">
        <f t="shared" si="64"/>
        <v>0</v>
      </c>
      <c r="J87" s="110">
        <f t="shared" si="64"/>
        <v>500</v>
      </c>
      <c r="K87" s="110">
        <f t="shared" si="64"/>
        <v>500</v>
      </c>
      <c r="L87" s="110">
        <f t="shared" si="64"/>
        <v>1500</v>
      </c>
      <c r="M87" s="110">
        <f t="shared" si="64"/>
        <v>500</v>
      </c>
      <c r="N87" s="110">
        <f t="shared" si="58"/>
        <v>8108.6100000000006</v>
      </c>
      <c r="O87" s="111" t="str">
        <f t="shared" si="59"/>
        <v/>
      </c>
      <c r="P87" s="84"/>
      <c r="Q87" s="84"/>
      <c r="R87" s="112"/>
      <c r="S87" s="112"/>
      <c r="T87" s="112"/>
      <c r="U87" s="110">
        <f t="shared" ref="U87:AF87" si="65">SUM(U82:U86)</f>
        <v>0</v>
      </c>
      <c r="V87" s="110">
        <f t="shared" si="65"/>
        <v>0</v>
      </c>
      <c r="W87" s="110">
        <f t="shared" si="65"/>
        <v>0</v>
      </c>
      <c r="X87" s="110">
        <f t="shared" si="65"/>
        <v>0</v>
      </c>
      <c r="Y87" s="110">
        <f t="shared" si="65"/>
        <v>0</v>
      </c>
      <c r="Z87" s="110">
        <f t="shared" si="65"/>
        <v>0</v>
      </c>
      <c r="AA87" s="110">
        <f t="shared" si="65"/>
        <v>0</v>
      </c>
      <c r="AB87" s="110">
        <f t="shared" si="65"/>
        <v>0</v>
      </c>
      <c r="AC87" s="110">
        <f t="shared" si="65"/>
        <v>0</v>
      </c>
      <c r="AD87" s="110">
        <f t="shared" si="65"/>
        <v>0</v>
      </c>
      <c r="AE87" s="110">
        <f t="shared" si="65"/>
        <v>0</v>
      </c>
      <c r="AF87" s="110">
        <f t="shared" si="65"/>
        <v>0</v>
      </c>
      <c r="AG87" s="110">
        <f t="shared" si="61"/>
        <v>0</v>
      </c>
      <c r="AH87" s="111" t="str">
        <f t="shared" si="62"/>
        <v/>
      </c>
      <c r="AJ87" s="110">
        <f t="shared" si="63"/>
        <v>8108.6100000000006</v>
      </c>
    </row>
    <row r="88" spans="1:36" x14ac:dyDescent="0.3">
      <c r="A88" s="113" t="s">
        <v>174</v>
      </c>
      <c r="B88" s="84">
        <f>IFERROR(SUMIF([2]Jan26A!$A:$A,$A88,INDEX([2]Jan26A!$A:$N,0,MATCH($A$1,[2]Jan26A!$A$7:$N$7,0))),0)</f>
        <v>0</v>
      </c>
      <c r="C88" s="84">
        <f>IFERROR(SUMIF([2]Feb26A!$A:$A,$A88,INDEX([2]Feb26A!$A:$N,0,MATCH($A$1,[2]Feb26A!$A$7:$N$7,0))),0)</f>
        <v>0</v>
      </c>
      <c r="D88" s="84">
        <f>IFERROR(SUMIF([2]Mar26A!$A:$A,$A88,INDEX([2]Mar26A!$A:$N,0,MATCH($A$1,[2]Mar26A!$A$7:$N$7,0))),0)</f>
        <v>0</v>
      </c>
      <c r="E88" s="84">
        <f>IFERROR(SUMIF([2]Apr26A!$A:$A,$A88,INDEX([2]Apr26A!$A:$N,0,MATCH($A$1,[2]Apr26A!$A$7:$N$7,0))),0)</f>
        <v>0</v>
      </c>
      <c r="F88" s="84">
        <f>IFERROR(SUMIF([2]May26A!$A:$A,$A88,INDEX([2]May26A!$A:$N,0,MATCH($A$1,[2]May26A!$A$7:$N$7,0))),0)</f>
        <v>0</v>
      </c>
      <c r="G88" s="84">
        <f>IFERROR(SUMIF([2]Jun26A!$A:$A,$A88,INDEX([2]Jun26A!$A:$N,0,MATCH($A$1,[2]Jun26A!$A$7:$N$7,0))),0)</f>
        <v>0</v>
      </c>
      <c r="H88" s="84">
        <f>IFERROR(SUMIF([2]Jul26A!$A:$A,$A88,INDEX([2]Jul26A!$A:$N,0,MATCH($A$1,[2]Jul26A!$A$7:$N$7,0))),0)</f>
        <v>0</v>
      </c>
      <c r="I88" s="84">
        <f>IFERROR(SUMIF([2]Aug26A!$A:$A,$A88,INDEX([2]Aug26A!$A:$N,0,MATCH($A$1,[2]Aug26A!$A$7:$N$7,0))),0)</f>
        <v>0</v>
      </c>
      <c r="J88" s="117">
        <v>0</v>
      </c>
      <c r="K88" s="117">
        <v>0</v>
      </c>
      <c r="L88" s="117">
        <v>0</v>
      </c>
      <c r="M88" s="117">
        <v>0</v>
      </c>
      <c r="N88" s="84">
        <f t="shared" si="58"/>
        <v>0</v>
      </c>
      <c r="O88" s="105" t="str">
        <f t="shared" si="59"/>
        <v/>
      </c>
      <c r="P88" s="84"/>
      <c r="Q88" s="84"/>
      <c r="R88" s="106" t="s">
        <v>99</v>
      </c>
      <c r="S88" s="107">
        <v>0</v>
      </c>
      <c r="T88" s="108">
        <v>0.05</v>
      </c>
      <c r="U88" s="104">
        <f t="shared" ref="U88:AF97" si="66">IF($R88="Manual","",IFERROR(IF($R88="YOY Growth",$N88*(1+$T88)/12,$S88/12),""))</f>
        <v>0</v>
      </c>
      <c r="V88" s="104">
        <f t="shared" si="66"/>
        <v>0</v>
      </c>
      <c r="W88" s="104">
        <f t="shared" si="66"/>
        <v>0</v>
      </c>
      <c r="X88" s="104">
        <f t="shared" si="66"/>
        <v>0</v>
      </c>
      <c r="Y88" s="104">
        <f t="shared" si="66"/>
        <v>0</v>
      </c>
      <c r="Z88" s="104">
        <f t="shared" si="66"/>
        <v>0</v>
      </c>
      <c r="AA88" s="104">
        <f t="shared" si="66"/>
        <v>0</v>
      </c>
      <c r="AB88" s="104">
        <f t="shared" si="66"/>
        <v>0</v>
      </c>
      <c r="AC88" s="104">
        <f t="shared" si="66"/>
        <v>0</v>
      </c>
      <c r="AD88" s="104">
        <f t="shared" si="66"/>
        <v>0</v>
      </c>
      <c r="AE88" s="104">
        <f t="shared" si="66"/>
        <v>0</v>
      </c>
      <c r="AF88" s="104">
        <f t="shared" si="66"/>
        <v>0</v>
      </c>
      <c r="AG88" s="84">
        <f t="shared" si="61"/>
        <v>0</v>
      </c>
      <c r="AH88" s="105" t="str">
        <f t="shared" si="62"/>
        <v/>
      </c>
      <c r="AJ88" s="84">
        <f t="shared" si="63"/>
        <v>0</v>
      </c>
    </row>
    <row r="89" spans="1:36" x14ac:dyDescent="0.3">
      <c r="A89" s="113" t="s">
        <v>175</v>
      </c>
      <c r="B89" s="84">
        <f>IFERROR(SUMIF([2]Jan26A!$A:$A,$A89,INDEX([2]Jan26A!$A:$N,0,MATCH($A$1,[2]Jan26A!$A$7:$N$7,0))),0)</f>
        <v>0</v>
      </c>
      <c r="C89" s="84">
        <f>IFERROR(SUMIF([2]Feb26A!$A:$A,$A89,INDEX([2]Feb26A!$A:$N,0,MATCH($A$1,[2]Feb26A!$A$7:$N$7,0))),0)</f>
        <v>0</v>
      </c>
      <c r="D89" s="84">
        <f>IFERROR(SUMIF([2]Mar26A!$A:$A,$A89,INDEX([2]Mar26A!$A:$N,0,MATCH($A$1,[2]Mar26A!$A$7:$N$7,0))),0)</f>
        <v>0</v>
      </c>
      <c r="E89" s="84">
        <f>IFERROR(SUMIF([2]Apr26A!$A:$A,$A89,INDEX([2]Apr26A!$A:$N,0,MATCH($A$1,[2]Apr26A!$A$7:$N$7,0))),0)</f>
        <v>0</v>
      </c>
      <c r="F89" s="84">
        <f>IFERROR(SUMIF([2]May26A!$A:$A,$A89,INDEX([2]May26A!$A:$N,0,MATCH($A$1,[2]May26A!$A$7:$N$7,0))),0)</f>
        <v>0</v>
      </c>
      <c r="G89" s="84">
        <f>IFERROR(SUMIF([2]Jun26A!$A:$A,$A89,INDEX([2]Jun26A!$A:$N,0,MATCH($A$1,[2]Jun26A!$A$7:$N$7,0))),0)</f>
        <v>0</v>
      </c>
      <c r="H89" s="84">
        <f>IFERROR(SUMIF([2]Jul26A!$A:$A,$A89,INDEX([2]Jul26A!$A:$N,0,MATCH($A$1,[2]Jul26A!$A$7:$N$7,0))),0)</f>
        <v>0</v>
      </c>
      <c r="I89" s="84">
        <f>IFERROR(SUMIF([2]Aug26A!$A:$A,$A89,INDEX([2]Aug26A!$A:$N,0,MATCH($A$1,[2]Aug26A!$A$7:$N$7,0))),0)</f>
        <v>0</v>
      </c>
      <c r="J89" s="117">
        <v>0</v>
      </c>
      <c r="K89" s="117">
        <v>0</v>
      </c>
      <c r="L89" s="117">
        <v>0</v>
      </c>
      <c r="M89" s="117">
        <v>0</v>
      </c>
      <c r="N89" s="84">
        <f t="shared" si="58"/>
        <v>0</v>
      </c>
      <c r="O89" s="105" t="str">
        <f t="shared" si="59"/>
        <v/>
      </c>
      <c r="P89" s="84"/>
      <c r="Q89" s="84"/>
      <c r="R89" s="106" t="s">
        <v>99</v>
      </c>
      <c r="S89" s="107">
        <v>0</v>
      </c>
      <c r="T89" s="108">
        <v>0.05</v>
      </c>
      <c r="U89" s="104">
        <f t="shared" si="66"/>
        <v>0</v>
      </c>
      <c r="V89" s="104">
        <f t="shared" si="66"/>
        <v>0</v>
      </c>
      <c r="W89" s="104">
        <f t="shared" si="66"/>
        <v>0</v>
      </c>
      <c r="X89" s="104">
        <f t="shared" si="66"/>
        <v>0</v>
      </c>
      <c r="Y89" s="104">
        <f t="shared" si="66"/>
        <v>0</v>
      </c>
      <c r="Z89" s="104">
        <f t="shared" si="66"/>
        <v>0</v>
      </c>
      <c r="AA89" s="104">
        <f t="shared" si="66"/>
        <v>0</v>
      </c>
      <c r="AB89" s="104">
        <f t="shared" si="66"/>
        <v>0</v>
      </c>
      <c r="AC89" s="104">
        <f t="shared" si="66"/>
        <v>0</v>
      </c>
      <c r="AD89" s="104">
        <f t="shared" si="66"/>
        <v>0</v>
      </c>
      <c r="AE89" s="104">
        <f t="shared" si="66"/>
        <v>0</v>
      </c>
      <c r="AF89" s="104">
        <f t="shared" si="66"/>
        <v>0</v>
      </c>
      <c r="AG89" s="84">
        <f t="shared" si="61"/>
        <v>0</v>
      </c>
      <c r="AH89" s="105" t="str">
        <f t="shared" si="62"/>
        <v/>
      </c>
      <c r="AJ89" s="84">
        <f t="shared" si="63"/>
        <v>0</v>
      </c>
    </row>
    <row r="90" spans="1:36" x14ac:dyDescent="0.3">
      <c r="A90" s="113" t="s">
        <v>176</v>
      </c>
      <c r="B90" s="84">
        <f>IFERROR(SUMIF([2]Jan26A!$A:$A,$A90,INDEX([2]Jan26A!$A:$N,0,MATCH($A$1,[2]Jan26A!$A$7:$N$7,0))),0)</f>
        <v>0</v>
      </c>
      <c r="C90" s="84">
        <f>IFERROR(SUMIF([2]Feb26A!$A:$A,$A90,INDEX([2]Feb26A!$A:$N,0,MATCH($A$1,[2]Feb26A!$A$7:$N$7,0))),0)</f>
        <v>0</v>
      </c>
      <c r="D90" s="84">
        <f>IFERROR(SUMIF([2]Mar26A!$A:$A,$A90,INDEX([2]Mar26A!$A:$N,0,MATCH($A$1,[2]Mar26A!$A$7:$N$7,0))),0)</f>
        <v>0</v>
      </c>
      <c r="E90" s="84">
        <f>IFERROR(SUMIF([2]Apr26A!$A:$A,$A90,INDEX([2]Apr26A!$A:$N,0,MATCH($A$1,[2]Apr26A!$A$7:$N$7,0))),0)</f>
        <v>0</v>
      </c>
      <c r="F90" s="84">
        <f>IFERROR(SUMIF([2]May26A!$A:$A,$A90,INDEX([2]May26A!$A:$N,0,MATCH($A$1,[2]May26A!$A$7:$N$7,0))),0)</f>
        <v>0</v>
      </c>
      <c r="G90" s="84">
        <f>IFERROR(SUMIF([2]Jun26A!$A:$A,$A90,INDEX([2]Jun26A!$A:$N,0,MATCH($A$1,[2]Jun26A!$A$7:$N$7,0))),0)</f>
        <v>0</v>
      </c>
      <c r="H90" s="84">
        <f>IFERROR(SUMIF([2]Jul26A!$A:$A,$A90,INDEX([2]Jul26A!$A:$N,0,MATCH($A$1,[2]Jul26A!$A$7:$N$7,0))),0)</f>
        <v>0</v>
      </c>
      <c r="I90" s="84">
        <f>IFERROR(SUMIF([2]Aug26A!$A:$A,$A90,INDEX([2]Aug26A!$A:$N,0,MATCH($A$1,[2]Aug26A!$A$7:$N$7,0))),0)</f>
        <v>0</v>
      </c>
      <c r="J90" s="117">
        <v>0</v>
      </c>
      <c r="K90" s="117">
        <v>0</v>
      </c>
      <c r="L90" s="117">
        <v>0</v>
      </c>
      <c r="M90" s="117">
        <v>0</v>
      </c>
      <c r="N90" s="84">
        <f t="shared" si="58"/>
        <v>0</v>
      </c>
      <c r="O90" s="105" t="str">
        <f t="shared" si="59"/>
        <v/>
      </c>
      <c r="P90" s="84"/>
      <c r="Q90" s="84"/>
      <c r="R90" s="106" t="s">
        <v>99</v>
      </c>
      <c r="S90" s="107">
        <v>0</v>
      </c>
      <c r="T90" s="108">
        <v>0.05</v>
      </c>
      <c r="U90" s="104">
        <f t="shared" si="66"/>
        <v>0</v>
      </c>
      <c r="V90" s="104">
        <f t="shared" si="66"/>
        <v>0</v>
      </c>
      <c r="W90" s="104">
        <f t="shared" si="66"/>
        <v>0</v>
      </c>
      <c r="X90" s="104">
        <f t="shared" si="66"/>
        <v>0</v>
      </c>
      <c r="Y90" s="104">
        <f t="shared" si="66"/>
        <v>0</v>
      </c>
      <c r="Z90" s="104">
        <f t="shared" si="66"/>
        <v>0</v>
      </c>
      <c r="AA90" s="104">
        <f t="shared" si="66"/>
        <v>0</v>
      </c>
      <c r="AB90" s="104">
        <f t="shared" si="66"/>
        <v>0</v>
      </c>
      <c r="AC90" s="104">
        <f t="shared" si="66"/>
        <v>0</v>
      </c>
      <c r="AD90" s="104">
        <f t="shared" si="66"/>
        <v>0</v>
      </c>
      <c r="AE90" s="104">
        <f t="shared" si="66"/>
        <v>0</v>
      </c>
      <c r="AF90" s="104">
        <f t="shared" si="66"/>
        <v>0</v>
      </c>
      <c r="AG90" s="84">
        <f t="shared" si="61"/>
        <v>0</v>
      </c>
      <c r="AH90" s="105" t="str">
        <f t="shared" si="62"/>
        <v/>
      </c>
      <c r="AJ90" s="84">
        <f t="shared" si="63"/>
        <v>0</v>
      </c>
    </row>
    <row r="91" spans="1:36" x14ac:dyDescent="0.3">
      <c r="A91" s="113" t="s">
        <v>177</v>
      </c>
      <c r="B91" s="84">
        <f>IFERROR(SUMIF([2]Jan26A!$A:$A,$A91,INDEX([2]Jan26A!$A:$N,0,MATCH($A$1,[2]Jan26A!$A$7:$N$7,0))),0)</f>
        <v>0</v>
      </c>
      <c r="C91" s="84">
        <f>IFERROR(SUMIF([2]Feb26A!$A:$A,$A91,INDEX([2]Feb26A!$A:$N,0,MATCH($A$1,[2]Feb26A!$A$7:$N$7,0))),0)</f>
        <v>0</v>
      </c>
      <c r="D91" s="84">
        <f>IFERROR(SUMIF([2]Mar26A!$A:$A,$A91,INDEX([2]Mar26A!$A:$N,0,MATCH($A$1,[2]Mar26A!$A$7:$N$7,0))),0)</f>
        <v>29232.26</v>
      </c>
      <c r="E91" s="84">
        <f>IFERROR(SUMIF([2]Apr26A!$A:$A,$A91,INDEX([2]Apr26A!$A:$N,0,MATCH($A$1,[2]Apr26A!$A$7:$N$7,0))),0)</f>
        <v>32442.55</v>
      </c>
      <c r="F91" s="84">
        <f>IFERROR(SUMIF([2]May26A!$A:$A,$A91,INDEX([2]May26A!$A:$N,0,MATCH($A$1,[2]May26A!$A$7:$N$7,0))),0)</f>
        <v>36509.269999999997</v>
      </c>
      <c r="G91" s="84">
        <f>IFERROR(SUMIF([2]Jun26A!$A:$A,$A91,INDEX([2]Jun26A!$A:$N,0,MATCH($A$1,[2]Jun26A!$A$7:$N$7,0))),0)</f>
        <v>56672.78</v>
      </c>
      <c r="H91" s="84">
        <f>IFERROR(SUMIF([2]Jul26A!$A:$A,$A91,INDEX([2]Jul26A!$A:$N,0,MATCH($A$1,[2]Jul26A!$A$7:$N$7,0))),0)</f>
        <v>0</v>
      </c>
      <c r="I91" s="84">
        <f>IFERROR(SUMIF([2]Aug26A!$A:$A,$A91,INDEX([2]Aug26A!$A:$N,0,MATCH($A$1,[2]Aug26A!$A$7:$N$7,0))),0)</f>
        <v>0</v>
      </c>
      <c r="J91" s="117">
        <v>0</v>
      </c>
      <c r="K91" s="117">
        <v>0</v>
      </c>
      <c r="L91" s="117">
        <v>0</v>
      </c>
      <c r="M91" s="117">
        <v>0</v>
      </c>
      <c r="N91" s="84">
        <f t="shared" si="58"/>
        <v>154856.85999999999</v>
      </c>
      <c r="O91" s="105" t="str">
        <f t="shared" si="59"/>
        <v/>
      </c>
      <c r="P91" s="84"/>
      <c r="Q91" s="84"/>
      <c r="R91" s="106" t="s">
        <v>99</v>
      </c>
      <c r="S91" s="107">
        <v>0</v>
      </c>
      <c r="T91" s="108">
        <v>0.05</v>
      </c>
      <c r="U91" s="104">
        <f t="shared" si="66"/>
        <v>0</v>
      </c>
      <c r="V91" s="104">
        <f t="shared" si="66"/>
        <v>0</v>
      </c>
      <c r="W91" s="104">
        <f t="shared" si="66"/>
        <v>0</v>
      </c>
      <c r="X91" s="104">
        <f t="shared" si="66"/>
        <v>0</v>
      </c>
      <c r="Y91" s="104">
        <f t="shared" si="66"/>
        <v>0</v>
      </c>
      <c r="Z91" s="104">
        <f t="shared" si="66"/>
        <v>0</v>
      </c>
      <c r="AA91" s="104">
        <f t="shared" si="66"/>
        <v>0</v>
      </c>
      <c r="AB91" s="104">
        <f t="shared" si="66"/>
        <v>0</v>
      </c>
      <c r="AC91" s="104">
        <f t="shared" si="66"/>
        <v>0</v>
      </c>
      <c r="AD91" s="104">
        <f t="shared" si="66"/>
        <v>0</v>
      </c>
      <c r="AE91" s="104">
        <f t="shared" si="66"/>
        <v>0</v>
      </c>
      <c r="AF91" s="104">
        <f t="shared" si="66"/>
        <v>0</v>
      </c>
      <c r="AG91" s="84">
        <f t="shared" si="61"/>
        <v>0</v>
      </c>
      <c r="AH91" s="105" t="str">
        <f t="shared" si="62"/>
        <v/>
      </c>
      <c r="AJ91" s="84">
        <f t="shared" si="63"/>
        <v>154856.85999999999</v>
      </c>
    </row>
    <row r="92" spans="1:36" x14ac:dyDescent="0.3">
      <c r="A92" s="113" t="s">
        <v>178</v>
      </c>
      <c r="B92" s="84">
        <f>IFERROR(SUMIF([2]Jan26A!$A:$A,$A92,INDEX([2]Jan26A!$A:$N,0,MATCH($A$1,[2]Jan26A!$A$7:$N$7,0))),0)</f>
        <v>281.89</v>
      </c>
      <c r="C92" s="84">
        <f>IFERROR(SUMIF([2]Feb26A!$A:$A,$A92,INDEX([2]Feb26A!$A:$N,0,MATCH($A$1,[2]Feb26A!$A$7:$N$7,0))),0)</f>
        <v>0</v>
      </c>
      <c r="D92" s="84">
        <f>IFERROR(SUMIF([2]Mar26A!$A:$A,$A92,INDEX([2]Mar26A!$A:$N,0,MATCH($A$1,[2]Mar26A!$A$7:$N$7,0))),0)</f>
        <v>148.38</v>
      </c>
      <c r="E92" s="84">
        <f>IFERROR(SUMIF([2]Apr26A!$A:$A,$A92,INDEX([2]Apr26A!$A:$N,0,MATCH($A$1,[2]Apr26A!$A$7:$N$7,0))),0)</f>
        <v>55.57</v>
      </c>
      <c r="F92" s="84">
        <f>IFERROR(SUMIF([2]May26A!$A:$A,$A92,INDEX([2]May26A!$A:$N,0,MATCH($A$1,[2]May26A!$A$7:$N$7,0))),0)</f>
        <v>0</v>
      </c>
      <c r="G92" s="84">
        <f>IFERROR(SUMIF([2]Jun26A!$A:$A,$A92,INDEX([2]Jun26A!$A:$N,0,MATCH($A$1,[2]Jun26A!$A$7:$N$7,0))),0)</f>
        <v>0</v>
      </c>
      <c r="H92" s="84">
        <f>IFERROR(SUMIF([2]Jul26A!$A:$A,$A92,INDEX([2]Jul26A!$A:$N,0,MATCH($A$1,[2]Jul26A!$A$7:$N$7,0))),0)</f>
        <v>0</v>
      </c>
      <c r="I92" s="84">
        <f>IFERROR(SUMIF([2]Aug26A!$A:$A,$A92,INDEX([2]Aug26A!$A:$N,0,MATCH($A$1,[2]Aug26A!$A$7:$N$7,0))),0)</f>
        <v>0</v>
      </c>
      <c r="J92" s="117">
        <v>0</v>
      </c>
      <c r="K92" s="117">
        <v>0</v>
      </c>
      <c r="L92" s="117">
        <v>0</v>
      </c>
      <c r="M92" s="117">
        <v>0</v>
      </c>
      <c r="N92" s="84">
        <f t="shared" si="58"/>
        <v>485.84</v>
      </c>
      <c r="O92" s="105" t="str">
        <f t="shared" si="59"/>
        <v/>
      </c>
      <c r="P92" s="84"/>
      <c r="Q92" s="84"/>
      <c r="R92" s="106" t="s">
        <v>99</v>
      </c>
      <c r="S92" s="107">
        <v>0</v>
      </c>
      <c r="T92" s="108">
        <v>0.05</v>
      </c>
      <c r="U92" s="104">
        <f t="shared" si="66"/>
        <v>0</v>
      </c>
      <c r="V92" s="104">
        <f t="shared" si="66"/>
        <v>0</v>
      </c>
      <c r="W92" s="104">
        <f t="shared" si="66"/>
        <v>0</v>
      </c>
      <c r="X92" s="104">
        <f t="shared" si="66"/>
        <v>0</v>
      </c>
      <c r="Y92" s="104">
        <f t="shared" si="66"/>
        <v>0</v>
      </c>
      <c r="Z92" s="104">
        <f t="shared" si="66"/>
        <v>0</v>
      </c>
      <c r="AA92" s="104">
        <f t="shared" si="66"/>
        <v>0</v>
      </c>
      <c r="AB92" s="104">
        <f t="shared" si="66"/>
        <v>0</v>
      </c>
      <c r="AC92" s="104">
        <f t="shared" si="66"/>
        <v>0</v>
      </c>
      <c r="AD92" s="104">
        <f t="shared" si="66"/>
        <v>0</v>
      </c>
      <c r="AE92" s="104">
        <f t="shared" si="66"/>
        <v>0</v>
      </c>
      <c r="AF92" s="104">
        <f t="shared" si="66"/>
        <v>0</v>
      </c>
      <c r="AG92" s="84">
        <f t="shared" si="61"/>
        <v>0</v>
      </c>
      <c r="AH92" s="105" t="str">
        <f t="shared" si="62"/>
        <v/>
      </c>
      <c r="AJ92" s="84">
        <f t="shared" si="63"/>
        <v>485.84</v>
      </c>
    </row>
    <row r="93" spans="1:36" x14ac:dyDescent="0.3">
      <c r="A93" s="113" t="s">
        <v>179</v>
      </c>
      <c r="B93" s="84">
        <f>IFERROR(SUMIF([2]Jan26A!$A:$A,$A93,INDEX([2]Jan26A!$A:$N,0,MATCH($A$1,[2]Jan26A!$A$7:$N$7,0))),0)</f>
        <v>373</v>
      </c>
      <c r="C93" s="84">
        <f>IFERROR(SUMIF([2]Feb26A!$A:$A,$A93,INDEX([2]Feb26A!$A:$N,0,MATCH($A$1,[2]Feb26A!$A$7:$N$7,0))),0)</f>
        <v>0</v>
      </c>
      <c r="D93" s="84">
        <f>IFERROR(SUMIF([2]Mar26A!$A:$A,$A93,INDEX([2]Mar26A!$A:$N,0,MATCH($A$1,[2]Mar26A!$A$7:$N$7,0))),0)</f>
        <v>0</v>
      </c>
      <c r="E93" s="84">
        <f>IFERROR(SUMIF([2]Apr26A!$A:$A,$A93,INDEX([2]Apr26A!$A:$N,0,MATCH($A$1,[2]Apr26A!$A$7:$N$7,0))),0)</f>
        <v>0</v>
      </c>
      <c r="F93" s="84">
        <f>IFERROR(SUMIF([2]May26A!$A:$A,$A93,INDEX([2]May26A!$A:$N,0,MATCH($A$1,[2]May26A!$A$7:$N$7,0))),0)</f>
        <v>0</v>
      </c>
      <c r="G93" s="84">
        <f>IFERROR(SUMIF([2]Jun26A!$A:$A,$A93,INDEX([2]Jun26A!$A:$N,0,MATCH($A$1,[2]Jun26A!$A$7:$N$7,0))),0)</f>
        <v>0</v>
      </c>
      <c r="H93" s="84">
        <f>IFERROR(SUMIF([2]Jul26A!$A:$A,$A93,INDEX([2]Jul26A!$A:$N,0,MATCH($A$1,[2]Jul26A!$A$7:$N$7,0))),0)</f>
        <v>0</v>
      </c>
      <c r="I93" s="84">
        <f>IFERROR(SUMIF([2]Aug26A!$A:$A,$A93,INDEX([2]Aug26A!$A:$N,0,MATCH($A$1,[2]Aug26A!$A$7:$N$7,0))),0)</f>
        <v>0</v>
      </c>
      <c r="J93" s="117">
        <v>0</v>
      </c>
      <c r="K93" s="117">
        <v>0</v>
      </c>
      <c r="L93" s="117">
        <v>0</v>
      </c>
      <c r="M93" s="117">
        <v>0</v>
      </c>
      <c r="N93" s="84">
        <f t="shared" si="58"/>
        <v>373</v>
      </c>
      <c r="O93" s="105" t="str">
        <f t="shared" si="59"/>
        <v/>
      </c>
      <c r="P93" s="84"/>
      <c r="Q93" s="84"/>
      <c r="R93" s="106" t="s">
        <v>99</v>
      </c>
      <c r="S93" s="107">
        <v>0</v>
      </c>
      <c r="T93" s="108">
        <v>0.05</v>
      </c>
      <c r="U93" s="104">
        <f t="shared" si="66"/>
        <v>0</v>
      </c>
      <c r="V93" s="104">
        <f t="shared" si="66"/>
        <v>0</v>
      </c>
      <c r="W93" s="104">
        <f t="shared" si="66"/>
        <v>0</v>
      </c>
      <c r="X93" s="104">
        <f t="shared" si="66"/>
        <v>0</v>
      </c>
      <c r="Y93" s="104">
        <f t="shared" si="66"/>
        <v>0</v>
      </c>
      <c r="Z93" s="104">
        <f t="shared" si="66"/>
        <v>0</v>
      </c>
      <c r="AA93" s="104">
        <f t="shared" si="66"/>
        <v>0</v>
      </c>
      <c r="AB93" s="104">
        <f t="shared" si="66"/>
        <v>0</v>
      </c>
      <c r="AC93" s="104">
        <f t="shared" si="66"/>
        <v>0</v>
      </c>
      <c r="AD93" s="104">
        <f t="shared" si="66"/>
        <v>0</v>
      </c>
      <c r="AE93" s="104">
        <f t="shared" si="66"/>
        <v>0</v>
      </c>
      <c r="AF93" s="104">
        <f t="shared" si="66"/>
        <v>0</v>
      </c>
      <c r="AG93" s="84">
        <f t="shared" si="61"/>
        <v>0</v>
      </c>
      <c r="AH93" s="105" t="str">
        <f t="shared" si="62"/>
        <v/>
      </c>
      <c r="AJ93" s="84">
        <f t="shared" si="63"/>
        <v>373</v>
      </c>
    </row>
    <row r="94" spans="1:36" x14ac:dyDescent="0.3">
      <c r="A94" s="113" t="s">
        <v>180</v>
      </c>
      <c r="B94" s="84">
        <f>IFERROR(SUMIF([2]Jan26A!$A:$A,$A94,INDEX([2]Jan26A!$A:$N,0,MATCH($A$1,[2]Jan26A!$A$7:$N$7,0))),0)</f>
        <v>0</v>
      </c>
      <c r="C94" s="84">
        <f>IFERROR(SUMIF([2]Feb26A!$A:$A,$A94,INDEX([2]Feb26A!$A:$N,0,MATCH($A$1,[2]Feb26A!$A$7:$N$7,0))),0)</f>
        <v>0</v>
      </c>
      <c r="D94" s="84">
        <f>IFERROR(SUMIF([2]Mar26A!$A:$A,$A94,INDEX([2]Mar26A!$A:$N,0,MATCH($A$1,[2]Mar26A!$A$7:$N$7,0))),0)</f>
        <v>0</v>
      </c>
      <c r="E94" s="84">
        <f>IFERROR(SUMIF([2]Apr26A!$A:$A,$A94,INDEX([2]Apr26A!$A:$N,0,MATCH($A$1,[2]Apr26A!$A$7:$N$7,0))),0)</f>
        <v>0</v>
      </c>
      <c r="F94" s="84">
        <f>IFERROR(SUMIF([2]May26A!$A:$A,$A94,INDEX([2]May26A!$A:$N,0,MATCH($A$1,[2]May26A!$A$7:$N$7,0))),0)</f>
        <v>0</v>
      </c>
      <c r="G94" s="84">
        <f>IFERROR(SUMIF([2]Jun26A!$A:$A,$A94,INDEX([2]Jun26A!$A:$N,0,MATCH($A$1,[2]Jun26A!$A$7:$N$7,0))),0)</f>
        <v>0</v>
      </c>
      <c r="H94" s="84">
        <f>IFERROR(SUMIF([2]Jul26A!$A:$A,$A94,INDEX([2]Jul26A!$A:$N,0,MATCH($A$1,[2]Jul26A!$A$7:$N$7,0))),0)</f>
        <v>0</v>
      </c>
      <c r="I94" s="84">
        <f>IFERROR(SUMIF([2]Aug26A!$A:$A,$A94,INDEX([2]Aug26A!$A:$N,0,MATCH($A$1,[2]Aug26A!$A$7:$N$7,0))),0)</f>
        <v>0</v>
      </c>
      <c r="J94" s="117">
        <v>0</v>
      </c>
      <c r="K94" s="117">
        <v>0</v>
      </c>
      <c r="L94" s="117">
        <v>0</v>
      </c>
      <c r="M94" s="117">
        <v>0</v>
      </c>
      <c r="N94" s="84">
        <f t="shared" si="58"/>
        <v>0</v>
      </c>
      <c r="O94" s="105" t="str">
        <f t="shared" si="59"/>
        <v/>
      </c>
      <c r="P94" s="84"/>
      <c r="Q94" s="84"/>
      <c r="R94" s="106" t="s">
        <v>99</v>
      </c>
      <c r="S94" s="107">
        <v>0</v>
      </c>
      <c r="T94" s="108">
        <v>0.05</v>
      </c>
      <c r="U94" s="104">
        <f t="shared" si="66"/>
        <v>0</v>
      </c>
      <c r="V94" s="104">
        <f t="shared" si="66"/>
        <v>0</v>
      </c>
      <c r="W94" s="104">
        <f t="shared" si="66"/>
        <v>0</v>
      </c>
      <c r="X94" s="104">
        <f t="shared" si="66"/>
        <v>0</v>
      </c>
      <c r="Y94" s="104">
        <f t="shared" si="66"/>
        <v>0</v>
      </c>
      <c r="Z94" s="104">
        <f t="shared" si="66"/>
        <v>0</v>
      </c>
      <c r="AA94" s="104">
        <f t="shared" si="66"/>
        <v>0</v>
      </c>
      <c r="AB94" s="104">
        <f t="shared" si="66"/>
        <v>0</v>
      </c>
      <c r="AC94" s="104">
        <f t="shared" si="66"/>
        <v>0</v>
      </c>
      <c r="AD94" s="104">
        <f t="shared" si="66"/>
        <v>0</v>
      </c>
      <c r="AE94" s="104">
        <f t="shared" si="66"/>
        <v>0</v>
      </c>
      <c r="AF94" s="104">
        <f t="shared" si="66"/>
        <v>0</v>
      </c>
      <c r="AG94" s="84">
        <f t="shared" si="61"/>
        <v>0</v>
      </c>
      <c r="AH94" s="105" t="str">
        <f t="shared" si="62"/>
        <v/>
      </c>
      <c r="AJ94" s="84">
        <f t="shared" si="63"/>
        <v>0</v>
      </c>
    </row>
    <row r="95" spans="1:36" x14ac:dyDescent="0.3">
      <c r="A95" s="113" t="s">
        <v>181</v>
      </c>
      <c r="B95" s="84">
        <f>IFERROR(SUMIF([2]Jan26A!$A:$A,$A95,INDEX([2]Jan26A!$A:$N,0,MATCH($A$1,[2]Jan26A!$A$7:$N$7,0))),0)</f>
        <v>1254.52</v>
      </c>
      <c r="C95" s="84">
        <f>IFERROR(SUMIF([2]Feb26A!$A:$A,$A95,INDEX([2]Feb26A!$A:$N,0,MATCH($A$1,[2]Feb26A!$A$7:$N$7,0))),0)</f>
        <v>126.85</v>
      </c>
      <c r="D95" s="84">
        <f>IFERROR(SUMIF([2]Mar26A!$A:$A,$A95,INDEX([2]Mar26A!$A:$N,0,MATCH($A$1,[2]Mar26A!$A$7:$N$7,0))),0)</f>
        <v>0</v>
      </c>
      <c r="E95" s="84">
        <f>IFERROR(SUMIF([2]Apr26A!$A:$A,$A95,INDEX([2]Apr26A!$A:$N,0,MATCH($A$1,[2]Apr26A!$A$7:$N$7,0))),0)</f>
        <v>122.17</v>
      </c>
      <c r="F95" s="84">
        <f>IFERROR(SUMIF([2]May26A!$A:$A,$A95,INDEX([2]May26A!$A:$N,0,MATCH($A$1,[2]May26A!$A$7:$N$7,0))),0)</f>
        <v>0</v>
      </c>
      <c r="G95" s="84">
        <f>IFERROR(SUMIF([2]Jun26A!$A:$A,$A95,INDEX([2]Jun26A!$A:$N,0,MATCH($A$1,[2]Jun26A!$A$7:$N$7,0))),0)</f>
        <v>0</v>
      </c>
      <c r="H95" s="84">
        <f>IFERROR(SUMIF([2]Jul26A!$A:$A,$A95,INDEX([2]Jul26A!$A:$N,0,MATCH($A$1,[2]Jul26A!$A$7:$N$7,0))),0)</f>
        <v>0</v>
      </c>
      <c r="I95" s="84">
        <f>IFERROR(SUMIF([2]Aug26A!$A:$A,$A95,INDEX([2]Aug26A!$A:$N,0,MATCH($A$1,[2]Aug26A!$A$7:$N$7,0))),0)</f>
        <v>0</v>
      </c>
      <c r="J95" s="117">
        <v>450</v>
      </c>
      <c r="K95" s="117">
        <v>450</v>
      </c>
      <c r="L95" s="117">
        <v>450</v>
      </c>
      <c r="M95" s="117">
        <v>450</v>
      </c>
      <c r="N95" s="84">
        <f t="shared" si="58"/>
        <v>3303.54</v>
      </c>
      <c r="O95" s="105" t="str">
        <f t="shared" si="59"/>
        <v/>
      </c>
      <c r="P95" s="84"/>
      <c r="Q95" s="84"/>
      <c r="R95" s="106" t="s">
        <v>99</v>
      </c>
      <c r="S95" s="107">
        <v>0</v>
      </c>
      <c r="T95" s="108">
        <v>0.05</v>
      </c>
      <c r="U95" s="104">
        <f t="shared" si="66"/>
        <v>0</v>
      </c>
      <c r="V95" s="104">
        <f t="shared" si="66"/>
        <v>0</v>
      </c>
      <c r="W95" s="104">
        <f t="shared" si="66"/>
        <v>0</v>
      </c>
      <c r="X95" s="104">
        <f t="shared" si="66"/>
        <v>0</v>
      </c>
      <c r="Y95" s="104">
        <f t="shared" si="66"/>
        <v>0</v>
      </c>
      <c r="Z95" s="104">
        <f t="shared" si="66"/>
        <v>0</v>
      </c>
      <c r="AA95" s="104">
        <f t="shared" si="66"/>
        <v>0</v>
      </c>
      <c r="AB95" s="104">
        <f t="shared" si="66"/>
        <v>0</v>
      </c>
      <c r="AC95" s="104">
        <f t="shared" si="66"/>
        <v>0</v>
      </c>
      <c r="AD95" s="104">
        <f t="shared" si="66"/>
        <v>0</v>
      </c>
      <c r="AE95" s="104">
        <f t="shared" si="66"/>
        <v>0</v>
      </c>
      <c r="AF95" s="104">
        <f t="shared" si="66"/>
        <v>0</v>
      </c>
      <c r="AG95" s="84">
        <f t="shared" si="61"/>
        <v>0</v>
      </c>
      <c r="AH95" s="105" t="str">
        <f t="shared" si="62"/>
        <v/>
      </c>
      <c r="AJ95" s="84">
        <f t="shared" si="63"/>
        <v>3303.54</v>
      </c>
    </row>
    <row r="96" spans="1:36" x14ac:dyDescent="0.3">
      <c r="A96" s="113" t="s">
        <v>182</v>
      </c>
      <c r="B96" s="84">
        <f>IFERROR(SUMIF([2]Jan26A!$A:$A,$A96,INDEX([2]Jan26A!$A:$N,0,MATCH($A$1,[2]Jan26A!$A$7:$N$7,0))),0)</f>
        <v>0</v>
      </c>
      <c r="C96" s="84">
        <f>IFERROR(SUMIF([2]Feb26A!$A:$A,$A96,INDEX([2]Feb26A!$A:$N,0,MATCH($A$1,[2]Feb26A!$A$7:$N$7,0))),0)</f>
        <v>0</v>
      </c>
      <c r="D96" s="84">
        <f>IFERROR(SUMIF([2]Mar26A!$A:$A,$A96,INDEX([2]Mar26A!$A:$N,0,MATCH($A$1,[2]Mar26A!$A$7:$N$7,0))),0)</f>
        <v>0</v>
      </c>
      <c r="E96" s="84">
        <f>IFERROR(SUMIF([2]Apr26A!$A:$A,$A96,INDEX([2]Apr26A!$A:$N,0,MATCH($A$1,[2]Apr26A!$A$7:$N$7,0))),0)</f>
        <v>0</v>
      </c>
      <c r="F96" s="84">
        <f>IFERROR(SUMIF([2]May26A!$A:$A,$A96,INDEX([2]May26A!$A:$N,0,MATCH($A$1,[2]May26A!$A$7:$N$7,0))),0)</f>
        <v>0</v>
      </c>
      <c r="G96" s="84">
        <f>IFERROR(SUMIF([2]Jun26A!$A:$A,$A96,INDEX([2]Jun26A!$A:$N,0,MATCH($A$1,[2]Jun26A!$A$7:$N$7,0))),0)</f>
        <v>0</v>
      </c>
      <c r="H96" s="84">
        <f>IFERROR(SUMIF([2]Jul26A!$A:$A,$A96,INDEX([2]Jul26A!$A:$N,0,MATCH($A$1,[2]Jul26A!$A$7:$N$7,0))),0)</f>
        <v>0</v>
      </c>
      <c r="I96" s="84">
        <f>IFERROR(SUMIF([2]Aug26A!$A:$A,$A96,INDEX([2]Aug26A!$A:$N,0,MATCH($A$1,[2]Aug26A!$A$7:$N$7,0))),0)</f>
        <v>0</v>
      </c>
      <c r="J96" s="117">
        <v>0</v>
      </c>
      <c r="K96" s="117">
        <v>0</v>
      </c>
      <c r="L96" s="117">
        <v>0</v>
      </c>
      <c r="M96" s="117">
        <v>0</v>
      </c>
      <c r="N96" s="84">
        <f t="shared" si="58"/>
        <v>0</v>
      </c>
      <c r="O96" s="105" t="str">
        <f t="shared" si="59"/>
        <v/>
      </c>
      <c r="P96" s="84"/>
      <c r="Q96" s="84"/>
      <c r="R96" s="106" t="s">
        <v>99</v>
      </c>
      <c r="S96" s="107">
        <v>0</v>
      </c>
      <c r="T96" s="108">
        <v>0.05</v>
      </c>
      <c r="U96" s="104">
        <f t="shared" si="66"/>
        <v>0</v>
      </c>
      <c r="V96" s="104">
        <f t="shared" si="66"/>
        <v>0</v>
      </c>
      <c r="W96" s="104">
        <f t="shared" si="66"/>
        <v>0</v>
      </c>
      <c r="X96" s="104">
        <f t="shared" si="66"/>
        <v>0</v>
      </c>
      <c r="Y96" s="104">
        <f t="shared" si="66"/>
        <v>0</v>
      </c>
      <c r="Z96" s="104">
        <f t="shared" si="66"/>
        <v>0</v>
      </c>
      <c r="AA96" s="104">
        <f t="shared" si="66"/>
        <v>0</v>
      </c>
      <c r="AB96" s="104">
        <f t="shared" si="66"/>
        <v>0</v>
      </c>
      <c r="AC96" s="104">
        <f t="shared" si="66"/>
        <v>0</v>
      </c>
      <c r="AD96" s="104">
        <f t="shared" si="66"/>
        <v>0</v>
      </c>
      <c r="AE96" s="104">
        <f t="shared" si="66"/>
        <v>0</v>
      </c>
      <c r="AF96" s="104">
        <f t="shared" si="66"/>
        <v>0</v>
      </c>
      <c r="AG96" s="84">
        <f t="shared" si="61"/>
        <v>0</v>
      </c>
      <c r="AH96" s="105" t="str">
        <f t="shared" si="62"/>
        <v/>
      </c>
      <c r="AJ96" s="84">
        <f t="shared" si="63"/>
        <v>0</v>
      </c>
    </row>
    <row r="97" spans="1:36" x14ac:dyDescent="0.3">
      <c r="A97" s="113" t="s">
        <v>183</v>
      </c>
      <c r="B97" s="84">
        <f>IFERROR(SUMIF([2]Jan26A!$A:$A,$A97,INDEX([2]Jan26A!$A:$N,0,MATCH($A$1,[2]Jan26A!$A$7:$N$7,0))),0)</f>
        <v>0</v>
      </c>
      <c r="C97" s="84">
        <f>IFERROR(SUMIF([2]Feb26A!$A:$A,$A97,INDEX([2]Feb26A!$A:$N,0,MATCH($A$1,[2]Feb26A!$A$7:$N$7,0))),0)</f>
        <v>0</v>
      </c>
      <c r="D97" s="84">
        <f>IFERROR(SUMIF([2]Mar26A!$A:$A,$A97,INDEX([2]Mar26A!$A:$N,0,MATCH($A$1,[2]Mar26A!$A$7:$N$7,0))),0)</f>
        <v>0</v>
      </c>
      <c r="E97" s="84">
        <f>IFERROR(SUMIF([2]Apr26A!$A:$A,$A97,INDEX([2]Apr26A!$A:$N,0,MATCH($A$1,[2]Apr26A!$A$7:$N$7,0))),0)</f>
        <v>0</v>
      </c>
      <c r="F97" s="84">
        <f>IFERROR(SUMIF([2]May26A!$A:$A,$A97,INDEX([2]May26A!$A:$N,0,MATCH($A$1,[2]May26A!$A$7:$N$7,0))),0)</f>
        <v>0</v>
      </c>
      <c r="G97" s="84">
        <f>IFERROR(SUMIF([2]Jun26A!$A:$A,$A97,INDEX([2]Jun26A!$A:$N,0,MATCH($A$1,[2]Jun26A!$A$7:$N$7,0))),0)</f>
        <v>0</v>
      </c>
      <c r="H97" s="84">
        <f>IFERROR(SUMIF([2]Jul26A!$A:$A,$A97,INDEX([2]Jul26A!$A:$N,0,MATCH($A$1,[2]Jul26A!$A$7:$N$7,0))),0)</f>
        <v>0</v>
      </c>
      <c r="I97" s="84">
        <f>IFERROR(SUMIF([2]Aug26A!$A:$A,$A97,INDEX([2]Aug26A!$A:$N,0,MATCH($A$1,[2]Aug26A!$A$7:$N$7,0))),0)</f>
        <v>0</v>
      </c>
      <c r="J97" s="117">
        <v>0</v>
      </c>
      <c r="K97" s="117">
        <v>0</v>
      </c>
      <c r="L97" s="117">
        <v>0</v>
      </c>
      <c r="M97" s="117">
        <v>0</v>
      </c>
      <c r="N97" s="84">
        <f t="shared" si="58"/>
        <v>0</v>
      </c>
      <c r="O97" s="105" t="str">
        <f t="shared" si="59"/>
        <v/>
      </c>
      <c r="P97" s="84"/>
      <c r="Q97" s="84"/>
      <c r="R97" s="106" t="s">
        <v>99</v>
      </c>
      <c r="S97" s="107">
        <v>0</v>
      </c>
      <c r="T97" s="108">
        <v>0.05</v>
      </c>
      <c r="U97" s="104">
        <f t="shared" si="66"/>
        <v>0</v>
      </c>
      <c r="V97" s="104">
        <f t="shared" si="66"/>
        <v>0</v>
      </c>
      <c r="W97" s="104">
        <f t="shared" si="66"/>
        <v>0</v>
      </c>
      <c r="X97" s="104">
        <f t="shared" si="66"/>
        <v>0</v>
      </c>
      <c r="Y97" s="104">
        <f t="shared" si="66"/>
        <v>0</v>
      </c>
      <c r="Z97" s="104">
        <f t="shared" si="66"/>
        <v>0</v>
      </c>
      <c r="AA97" s="104">
        <f t="shared" si="66"/>
        <v>0</v>
      </c>
      <c r="AB97" s="104">
        <f t="shared" si="66"/>
        <v>0</v>
      </c>
      <c r="AC97" s="104">
        <f t="shared" si="66"/>
        <v>0</v>
      </c>
      <c r="AD97" s="104">
        <f t="shared" si="66"/>
        <v>0</v>
      </c>
      <c r="AE97" s="104">
        <f t="shared" si="66"/>
        <v>0</v>
      </c>
      <c r="AF97" s="104">
        <f t="shared" si="66"/>
        <v>0</v>
      </c>
      <c r="AG97" s="84">
        <f t="shared" si="61"/>
        <v>0</v>
      </c>
      <c r="AH97" s="105" t="str">
        <f t="shared" si="62"/>
        <v/>
      </c>
      <c r="AJ97" s="84">
        <f t="shared" si="63"/>
        <v>0</v>
      </c>
    </row>
    <row r="98" spans="1:36" x14ac:dyDescent="0.3">
      <c r="A98" s="113" t="s">
        <v>184</v>
      </c>
      <c r="B98" s="84">
        <f>IFERROR(SUMIF([2]Jan26A!$A:$A,$A98,INDEX([2]Jan26A!$A:$N,0,MATCH($A$1,[2]Jan26A!$A$7:$N$7,0))),0)</f>
        <v>0</v>
      </c>
      <c r="C98" s="84">
        <f>IFERROR(SUMIF([2]Feb26A!$A:$A,$A98,INDEX([2]Feb26A!$A:$N,0,MATCH($A$1,[2]Feb26A!$A$7:$N$7,0))),0)</f>
        <v>0</v>
      </c>
      <c r="D98" s="84">
        <f>IFERROR(SUMIF([2]Mar26A!$A:$A,$A98,INDEX([2]Mar26A!$A:$N,0,MATCH($A$1,[2]Mar26A!$A$7:$N$7,0))),0)</f>
        <v>0</v>
      </c>
      <c r="E98" s="84">
        <f>IFERROR(SUMIF([2]Apr26A!$A:$A,$A98,INDEX([2]Apr26A!$A:$N,0,MATCH($A$1,[2]Apr26A!$A$7:$N$7,0))),0)</f>
        <v>0</v>
      </c>
      <c r="F98" s="84">
        <f>IFERROR(SUMIF([2]May26A!$A:$A,$A98,INDEX([2]May26A!$A:$N,0,MATCH($A$1,[2]May26A!$A$7:$N$7,0))),0)</f>
        <v>0</v>
      </c>
      <c r="G98" s="84">
        <f>IFERROR(SUMIF([2]Jun26A!$A:$A,$A98,INDEX([2]Jun26A!$A:$N,0,MATCH($A$1,[2]Jun26A!$A$7:$N$7,0))),0)</f>
        <v>0</v>
      </c>
      <c r="H98" s="84">
        <f>IFERROR(SUMIF([2]Jul26A!$A:$A,$A98,INDEX([2]Jul26A!$A:$N,0,MATCH($A$1,[2]Jul26A!$A$7:$N$7,0))),0)</f>
        <v>0</v>
      </c>
      <c r="I98" s="84">
        <f>IFERROR(SUMIF([2]Aug26A!$A:$A,$A98,INDEX([2]Aug26A!$A:$N,0,MATCH($A$1,[2]Aug26A!$A$7:$N$7,0))),0)</f>
        <v>0</v>
      </c>
      <c r="J98" s="117">
        <v>0</v>
      </c>
      <c r="K98" s="117">
        <v>0</v>
      </c>
      <c r="L98" s="117">
        <v>0</v>
      </c>
      <c r="M98" s="117">
        <v>0</v>
      </c>
      <c r="N98" s="84">
        <f t="shared" si="58"/>
        <v>0</v>
      </c>
      <c r="O98" s="105" t="str">
        <f t="shared" si="59"/>
        <v/>
      </c>
      <c r="P98" s="84"/>
      <c r="Q98" s="84"/>
      <c r="R98" s="106" t="s">
        <v>99</v>
      </c>
      <c r="S98" s="107">
        <v>0</v>
      </c>
      <c r="T98" s="108">
        <v>0.05</v>
      </c>
      <c r="U98" s="104">
        <f t="shared" ref="U98:AF107" si="67">IF($R98="Manual","",IFERROR(IF($R98="YOY Growth",$N98*(1+$T98)/12,$S98/12),""))</f>
        <v>0</v>
      </c>
      <c r="V98" s="104">
        <f t="shared" si="67"/>
        <v>0</v>
      </c>
      <c r="W98" s="104">
        <f t="shared" si="67"/>
        <v>0</v>
      </c>
      <c r="X98" s="104">
        <f t="shared" si="67"/>
        <v>0</v>
      </c>
      <c r="Y98" s="104">
        <f t="shared" si="67"/>
        <v>0</v>
      </c>
      <c r="Z98" s="104">
        <f t="shared" si="67"/>
        <v>0</v>
      </c>
      <c r="AA98" s="104">
        <f t="shared" si="67"/>
        <v>0</v>
      </c>
      <c r="AB98" s="104">
        <f t="shared" si="67"/>
        <v>0</v>
      </c>
      <c r="AC98" s="104">
        <f t="shared" si="67"/>
        <v>0</v>
      </c>
      <c r="AD98" s="104">
        <f t="shared" si="67"/>
        <v>0</v>
      </c>
      <c r="AE98" s="104">
        <f t="shared" si="67"/>
        <v>0</v>
      </c>
      <c r="AF98" s="104">
        <f t="shared" si="67"/>
        <v>0</v>
      </c>
      <c r="AG98" s="84">
        <f t="shared" si="61"/>
        <v>0</v>
      </c>
      <c r="AH98" s="105" t="str">
        <f t="shared" si="62"/>
        <v/>
      </c>
      <c r="AJ98" s="84">
        <f t="shared" si="63"/>
        <v>0</v>
      </c>
    </row>
    <row r="99" spans="1:36" x14ac:dyDescent="0.3">
      <c r="A99" s="113" t="s">
        <v>185</v>
      </c>
      <c r="B99" s="84">
        <f>IFERROR(SUMIF([2]Jan26A!$A:$A,$A99,INDEX([2]Jan26A!$A:$N,0,MATCH($A$1,[2]Jan26A!$A$7:$N$7,0))),0)</f>
        <v>55</v>
      </c>
      <c r="C99" s="84">
        <f>IFERROR(SUMIF([2]Feb26A!$A:$A,$A99,INDEX([2]Feb26A!$A:$N,0,MATCH($A$1,[2]Feb26A!$A$7:$N$7,0))),0)</f>
        <v>20</v>
      </c>
      <c r="D99" s="84">
        <f>IFERROR(SUMIF([2]Mar26A!$A:$A,$A99,INDEX([2]Mar26A!$A:$N,0,MATCH($A$1,[2]Mar26A!$A$7:$N$7,0))),0)</f>
        <v>80</v>
      </c>
      <c r="E99" s="84">
        <f>IFERROR(SUMIF([2]Apr26A!$A:$A,$A99,INDEX([2]Apr26A!$A:$N,0,MATCH($A$1,[2]Apr26A!$A$7:$N$7,0))),0)</f>
        <v>0</v>
      </c>
      <c r="F99" s="84">
        <f>IFERROR(SUMIF([2]May26A!$A:$A,$A99,INDEX([2]May26A!$A:$N,0,MATCH($A$1,[2]May26A!$A$7:$N$7,0))),0)</f>
        <v>20</v>
      </c>
      <c r="G99" s="84">
        <f>IFERROR(SUMIF([2]Jun26A!$A:$A,$A99,INDEX([2]Jun26A!$A:$N,0,MATCH($A$1,[2]Jun26A!$A$7:$N$7,0))),0)</f>
        <v>0</v>
      </c>
      <c r="H99" s="84">
        <f>IFERROR(SUMIF([2]Jul26A!$A:$A,$A99,INDEX([2]Jul26A!$A:$N,0,MATCH($A$1,[2]Jul26A!$A$7:$N$7,0))),0)</f>
        <v>0</v>
      </c>
      <c r="I99" s="84">
        <f>IFERROR(SUMIF([2]Aug26A!$A:$A,$A99,INDEX([2]Aug26A!$A:$N,0,MATCH($A$1,[2]Aug26A!$A$7:$N$7,0))),0)</f>
        <v>0</v>
      </c>
      <c r="J99" s="117">
        <v>100</v>
      </c>
      <c r="K99" s="117">
        <v>100</v>
      </c>
      <c r="L99" s="117">
        <v>100</v>
      </c>
      <c r="M99" s="117">
        <v>100</v>
      </c>
      <c r="N99" s="84">
        <f t="shared" si="58"/>
        <v>575</v>
      </c>
      <c r="O99" s="105" t="str">
        <f t="shared" si="59"/>
        <v/>
      </c>
      <c r="P99" s="84"/>
      <c r="Q99" s="84"/>
      <c r="R99" s="106" t="s">
        <v>99</v>
      </c>
      <c r="S99" s="107">
        <v>0</v>
      </c>
      <c r="T99" s="108">
        <v>0.05</v>
      </c>
      <c r="U99" s="104">
        <f t="shared" si="67"/>
        <v>0</v>
      </c>
      <c r="V99" s="104">
        <f t="shared" si="67"/>
        <v>0</v>
      </c>
      <c r="W99" s="104">
        <f t="shared" si="67"/>
        <v>0</v>
      </c>
      <c r="X99" s="104">
        <f t="shared" si="67"/>
        <v>0</v>
      </c>
      <c r="Y99" s="104">
        <f t="shared" si="67"/>
        <v>0</v>
      </c>
      <c r="Z99" s="104">
        <f t="shared" si="67"/>
        <v>0</v>
      </c>
      <c r="AA99" s="104">
        <f t="shared" si="67"/>
        <v>0</v>
      </c>
      <c r="AB99" s="104">
        <f t="shared" si="67"/>
        <v>0</v>
      </c>
      <c r="AC99" s="104">
        <f t="shared" si="67"/>
        <v>0</v>
      </c>
      <c r="AD99" s="104">
        <f t="shared" si="67"/>
        <v>0</v>
      </c>
      <c r="AE99" s="104">
        <f t="shared" si="67"/>
        <v>0</v>
      </c>
      <c r="AF99" s="104">
        <f t="shared" si="67"/>
        <v>0</v>
      </c>
      <c r="AG99" s="84">
        <f t="shared" si="61"/>
        <v>0</v>
      </c>
      <c r="AH99" s="105" t="str">
        <f t="shared" si="62"/>
        <v/>
      </c>
      <c r="AJ99" s="84">
        <f t="shared" si="63"/>
        <v>575</v>
      </c>
    </row>
    <row r="100" spans="1:36" x14ac:dyDescent="0.3">
      <c r="A100" s="113" t="s">
        <v>186</v>
      </c>
      <c r="B100" s="84">
        <f>IFERROR(SUMIF([2]Jan26A!$A:$A,$A100,INDEX([2]Jan26A!$A:$N,0,MATCH($A$1,[2]Jan26A!$A$7:$N$7,0))),0)</f>
        <v>0</v>
      </c>
      <c r="C100" s="84">
        <f>IFERROR(SUMIF([2]Feb26A!$A:$A,$A100,INDEX([2]Feb26A!$A:$N,0,MATCH($A$1,[2]Feb26A!$A$7:$N$7,0))),0)</f>
        <v>0</v>
      </c>
      <c r="D100" s="84">
        <f>IFERROR(SUMIF([2]Mar26A!$A:$A,$A100,INDEX([2]Mar26A!$A:$N,0,MATCH($A$1,[2]Mar26A!$A$7:$N$7,0))),0)</f>
        <v>0</v>
      </c>
      <c r="E100" s="84">
        <f>IFERROR(SUMIF([2]Apr26A!$A:$A,$A100,INDEX([2]Apr26A!$A:$N,0,MATCH($A$1,[2]Apr26A!$A$7:$N$7,0))),0)</f>
        <v>0</v>
      </c>
      <c r="F100" s="84">
        <f>IFERROR(SUMIF([2]May26A!$A:$A,$A100,INDEX([2]May26A!$A:$N,0,MATCH($A$1,[2]May26A!$A$7:$N$7,0))),0)</f>
        <v>0</v>
      </c>
      <c r="G100" s="84">
        <f>IFERROR(SUMIF([2]Jun26A!$A:$A,$A100,INDEX([2]Jun26A!$A:$N,0,MATCH($A$1,[2]Jun26A!$A$7:$N$7,0))),0)</f>
        <v>0</v>
      </c>
      <c r="H100" s="84">
        <f>IFERROR(SUMIF([2]Jul26A!$A:$A,$A100,INDEX([2]Jul26A!$A:$N,0,MATCH($A$1,[2]Jul26A!$A$7:$N$7,0))),0)</f>
        <v>0</v>
      </c>
      <c r="I100" s="84">
        <f>IFERROR(SUMIF([2]Aug26A!$A:$A,$A100,INDEX([2]Aug26A!$A:$N,0,MATCH($A$1,[2]Aug26A!$A$7:$N$7,0))),0)</f>
        <v>0</v>
      </c>
      <c r="J100" s="117">
        <v>0</v>
      </c>
      <c r="K100" s="117">
        <v>0</v>
      </c>
      <c r="L100" s="117">
        <v>0</v>
      </c>
      <c r="M100" s="117">
        <v>0</v>
      </c>
      <c r="N100" s="84">
        <f t="shared" si="58"/>
        <v>0</v>
      </c>
      <c r="O100" s="105" t="str">
        <f t="shared" si="59"/>
        <v/>
      </c>
      <c r="P100" s="84"/>
      <c r="Q100" s="84"/>
      <c r="R100" s="106" t="s">
        <v>99</v>
      </c>
      <c r="S100" s="107">
        <v>0</v>
      </c>
      <c r="T100" s="108">
        <v>0.05</v>
      </c>
      <c r="U100" s="104">
        <f t="shared" si="67"/>
        <v>0</v>
      </c>
      <c r="V100" s="104">
        <f t="shared" si="67"/>
        <v>0</v>
      </c>
      <c r="W100" s="104">
        <f t="shared" si="67"/>
        <v>0</v>
      </c>
      <c r="X100" s="104">
        <f t="shared" si="67"/>
        <v>0</v>
      </c>
      <c r="Y100" s="104">
        <f t="shared" si="67"/>
        <v>0</v>
      </c>
      <c r="Z100" s="104">
        <f t="shared" si="67"/>
        <v>0</v>
      </c>
      <c r="AA100" s="104">
        <f t="shared" si="67"/>
        <v>0</v>
      </c>
      <c r="AB100" s="104">
        <f t="shared" si="67"/>
        <v>0</v>
      </c>
      <c r="AC100" s="104">
        <f t="shared" si="67"/>
        <v>0</v>
      </c>
      <c r="AD100" s="104">
        <f t="shared" si="67"/>
        <v>0</v>
      </c>
      <c r="AE100" s="104">
        <f t="shared" si="67"/>
        <v>0</v>
      </c>
      <c r="AF100" s="104">
        <f t="shared" si="67"/>
        <v>0</v>
      </c>
      <c r="AG100" s="84">
        <f t="shared" si="61"/>
        <v>0</v>
      </c>
      <c r="AH100" s="105" t="str">
        <f t="shared" si="62"/>
        <v/>
      </c>
      <c r="AJ100" s="84">
        <f t="shared" si="63"/>
        <v>0</v>
      </c>
    </row>
    <row r="101" spans="1:36" x14ac:dyDescent="0.3">
      <c r="A101" s="113" t="s">
        <v>187</v>
      </c>
      <c r="B101" s="84">
        <f>IFERROR(SUMIF([2]Jan26A!$A:$A,$A101,INDEX([2]Jan26A!$A:$N,0,MATCH($A$1,[2]Jan26A!$A$7:$N$7,0))),0)</f>
        <v>0</v>
      </c>
      <c r="C101" s="84">
        <f>IFERROR(SUMIF([2]Feb26A!$A:$A,$A101,INDEX([2]Feb26A!$A:$N,0,MATCH($A$1,[2]Feb26A!$A$7:$N$7,0))),0)</f>
        <v>0</v>
      </c>
      <c r="D101" s="84">
        <f>IFERROR(SUMIF([2]Mar26A!$A:$A,$A101,INDEX([2]Mar26A!$A:$N,0,MATCH($A$1,[2]Mar26A!$A$7:$N$7,0))),0)</f>
        <v>67.12</v>
      </c>
      <c r="E101" s="84">
        <f>IFERROR(SUMIF([2]Apr26A!$A:$A,$A101,INDEX([2]Apr26A!$A:$N,0,MATCH($A$1,[2]Apr26A!$A$7:$N$7,0))),0)</f>
        <v>0</v>
      </c>
      <c r="F101" s="84">
        <f>IFERROR(SUMIF([2]May26A!$A:$A,$A101,INDEX([2]May26A!$A:$N,0,MATCH($A$1,[2]May26A!$A$7:$N$7,0))),0)</f>
        <v>0</v>
      </c>
      <c r="G101" s="84">
        <f>IFERROR(SUMIF([2]Jun26A!$A:$A,$A101,INDEX([2]Jun26A!$A:$N,0,MATCH($A$1,[2]Jun26A!$A$7:$N$7,0))),0)</f>
        <v>0</v>
      </c>
      <c r="H101" s="84">
        <f>IFERROR(SUMIF([2]Jul26A!$A:$A,$A101,INDEX([2]Jul26A!$A:$N,0,MATCH($A$1,[2]Jul26A!$A$7:$N$7,0))),0)</f>
        <v>0</v>
      </c>
      <c r="I101" s="84">
        <f>IFERROR(SUMIF([2]Aug26A!$A:$A,$A101,INDEX([2]Aug26A!$A:$N,0,MATCH($A$1,[2]Aug26A!$A$7:$N$7,0))),0)</f>
        <v>0</v>
      </c>
      <c r="J101" s="117">
        <v>0</v>
      </c>
      <c r="K101" s="117">
        <v>0</v>
      </c>
      <c r="L101" s="117">
        <v>0</v>
      </c>
      <c r="M101" s="117">
        <v>0</v>
      </c>
      <c r="N101" s="84">
        <f t="shared" si="58"/>
        <v>67.12</v>
      </c>
      <c r="O101" s="105" t="str">
        <f t="shared" si="59"/>
        <v/>
      </c>
      <c r="P101" s="84"/>
      <c r="Q101" s="84"/>
      <c r="R101" s="106" t="s">
        <v>99</v>
      </c>
      <c r="S101" s="107">
        <v>0</v>
      </c>
      <c r="T101" s="108">
        <v>0.05</v>
      </c>
      <c r="U101" s="104">
        <f t="shared" si="67"/>
        <v>0</v>
      </c>
      <c r="V101" s="104">
        <f t="shared" si="67"/>
        <v>0</v>
      </c>
      <c r="W101" s="104">
        <f t="shared" si="67"/>
        <v>0</v>
      </c>
      <c r="X101" s="104">
        <f t="shared" si="67"/>
        <v>0</v>
      </c>
      <c r="Y101" s="104">
        <f t="shared" si="67"/>
        <v>0</v>
      </c>
      <c r="Z101" s="104">
        <f t="shared" si="67"/>
        <v>0</v>
      </c>
      <c r="AA101" s="104">
        <f t="shared" si="67"/>
        <v>0</v>
      </c>
      <c r="AB101" s="104">
        <f t="shared" si="67"/>
        <v>0</v>
      </c>
      <c r="AC101" s="104">
        <f t="shared" si="67"/>
        <v>0</v>
      </c>
      <c r="AD101" s="104">
        <f t="shared" si="67"/>
        <v>0</v>
      </c>
      <c r="AE101" s="104">
        <f t="shared" si="67"/>
        <v>0</v>
      </c>
      <c r="AF101" s="104">
        <f t="shared" si="67"/>
        <v>0</v>
      </c>
      <c r="AG101" s="84">
        <f t="shared" si="61"/>
        <v>0</v>
      </c>
      <c r="AH101" s="105" t="str">
        <f t="shared" si="62"/>
        <v/>
      </c>
      <c r="AJ101" s="84">
        <f t="shared" si="63"/>
        <v>67.12</v>
      </c>
    </row>
    <row r="102" spans="1:36" x14ac:dyDescent="0.3">
      <c r="A102" s="113" t="s">
        <v>188</v>
      </c>
      <c r="B102" s="84">
        <f>IFERROR(SUMIF([2]Jan26A!$A:$A,$A102,INDEX([2]Jan26A!$A:$N,0,MATCH($A$1,[2]Jan26A!$A$7:$N$7,0))),0)</f>
        <v>0</v>
      </c>
      <c r="C102" s="84">
        <f>IFERROR(SUMIF([2]Feb26A!$A:$A,$A102,INDEX([2]Feb26A!$A:$N,0,MATCH($A$1,[2]Feb26A!$A$7:$N$7,0))),0)</f>
        <v>1.7</v>
      </c>
      <c r="D102" s="84">
        <f>IFERROR(SUMIF([2]Mar26A!$A:$A,$A102,INDEX([2]Mar26A!$A:$N,0,MATCH($A$1,[2]Mar26A!$A$7:$N$7,0))),0)</f>
        <v>0</v>
      </c>
      <c r="E102" s="84">
        <f>IFERROR(SUMIF([2]Apr26A!$A:$A,$A102,INDEX([2]Apr26A!$A:$N,0,MATCH($A$1,[2]Apr26A!$A$7:$N$7,0))),0)</f>
        <v>0</v>
      </c>
      <c r="F102" s="84">
        <f>IFERROR(SUMIF([2]May26A!$A:$A,$A102,INDEX([2]May26A!$A:$N,0,MATCH($A$1,[2]May26A!$A$7:$N$7,0))),0)</f>
        <v>0</v>
      </c>
      <c r="G102" s="84">
        <f>IFERROR(SUMIF([2]Jun26A!$A:$A,$A102,INDEX([2]Jun26A!$A:$N,0,MATCH($A$1,[2]Jun26A!$A$7:$N$7,0))),0)</f>
        <v>10.06</v>
      </c>
      <c r="H102" s="84">
        <f>IFERROR(SUMIF([2]Jul26A!$A:$A,$A102,INDEX([2]Jul26A!$A:$N,0,MATCH($A$1,[2]Jul26A!$A$7:$N$7,0))),0)</f>
        <v>0</v>
      </c>
      <c r="I102" s="84">
        <f>IFERROR(SUMIF([2]Aug26A!$A:$A,$A102,INDEX([2]Aug26A!$A:$N,0,MATCH($A$1,[2]Aug26A!$A$7:$N$7,0))),0)</f>
        <v>0</v>
      </c>
      <c r="J102" s="117">
        <v>0</v>
      </c>
      <c r="K102" s="117">
        <v>0</v>
      </c>
      <c r="L102" s="117">
        <v>0</v>
      </c>
      <c r="M102" s="117">
        <v>0</v>
      </c>
      <c r="N102" s="84">
        <f t="shared" si="58"/>
        <v>11.76</v>
      </c>
      <c r="O102" s="105" t="str">
        <f t="shared" si="59"/>
        <v/>
      </c>
      <c r="P102" s="84"/>
      <c r="Q102" s="84"/>
      <c r="R102" s="106" t="s">
        <v>99</v>
      </c>
      <c r="S102" s="107">
        <v>0</v>
      </c>
      <c r="T102" s="108">
        <v>0.05</v>
      </c>
      <c r="U102" s="104">
        <f t="shared" si="67"/>
        <v>0</v>
      </c>
      <c r="V102" s="104">
        <f t="shared" si="67"/>
        <v>0</v>
      </c>
      <c r="W102" s="104">
        <f t="shared" si="67"/>
        <v>0</v>
      </c>
      <c r="X102" s="104">
        <f t="shared" si="67"/>
        <v>0</v>
      </c>
      <c r="Y102" s="104">
        <f t="shared" si="67"/>
        <v>0</v>
      </c>
      <c r="Z102" s="104">
        <f t="shared" si="67"/>
        <v>0</v>
      </c>
      <c r="AA102" s="104">
        <f t="shared" si="67"/>
        <v>0</v>
      </c>
      <c r="AB102" s="104">
        <f t="shared" si="67"/>
        <v>0</v>
      </c>
      <c r="AC102" s="104">
        <f t="shared" si="67"/>
        <v>0</v>
      </c>
      <c r="AD102" s="104">
        <f t="shared" si="67"/>
        <v>0</v>
      </c>
      <c r="AE102" s="104">
        <f t="shared" si="67"/>
        <v>0</v>
      </c>
      <c r="AF102" s="104">
        <f t="shared" si="67"/>
        <v>0</v>
      </c>
      <c r="AG102" s="84">
        <f t="shared" si="61"/>
        <v>0</v>
      </c>
      <c r="AH102" s="105" t="str">
        <f t="shared" si="62"/>
        <v/>
      </c>
      <c r="AJ102" s="84">
        <f t="shared" si="63"/>
        <v>11.76</v>
      </c>
    </row>
    <row r="103" spans="1:36" x14ac:dyDescent="0.3">
      <c r="A103" s="113" t="s">
        <v>189</v>
      </c>
      <c r="B103" s="84">
        <f>IFERROR(SUMIF([2]Jan26A!$A:$A,$A103,INDEX([2]Jan26A!$A:$N,0,MATCH($A$1,[2]Jan26A!$A$7:$N$7,0))),0)</f>
        <v>0</v>
      </c>
      <c r="C103" s="84">
        <f>IFERROR(SUMIF([2]Feb26A!$A:$A,$A103,INDEX([2]Feb26A!$A:$N,0,MATCH($A$1,[2]Feb26A!$A$7:$N$7,0))),0)</f>
        <v>0</v>
      </c>
      <c r="D103" s="84">
        <f>IFERROR(SUMIF([2]Mar26A!$A:$A,$A103,INDEX([2]Mar26A!$A:$N,0,MATCH($A$1,[2]Mar26A!$A$7:$N$7,0))),0)</f>
        <v>0</v>
      </c>
      <c r="E103" s="84">
        <f>IFERROR(SUMIF([2]Apr26A!$A:$A,$A103,INDEX([2]Apr26A!$A:$N,0,MATCH($A$1,[2]Apr26A!$A$7:$N$7,0))),0)</f>
        <v>0</v>
      </c>
      <c r="F103" s="84">
        <f>IFERROR(SUMIF([2]May26A!$A:$A,$A103,INDEX([2]May26A!$A:$N,0,MATCH($A$1,[2]May26A!$A$7:$N$7,0))),0)</f>
        <v>0</v>
      </c>
      <c r="G103" s="84">
        <f>IFERROR(SUMIF([2]Jun26A!$A:$A,$A103,INDEX([2]Jun26A!$A:$N,0,MATCH($A$1,[2]Jun26A!$A$7:$N$7,0))),0)</f>
        <v>0</v>
      </c>
      <c r="H103" s="84">
        <f>IFERROR(SUMIF([2]Jul26A!$A:$A,$A103,INDEX([2]Jul26A!$A:$N,0,MATCH($A$1,[2]Jul26A!$A$7:$N$7,0))),0)</f>
        <v>0</v>
      </c>
      <c r="I103" s="84">
        <f>IFERROR(SUMIF([2]Aug26A!$A:$A,$A103,INDEX([2]Aug26A!$A:$N,0,MATCH($A$1,[2]Aug26A!$A$7:$N$7,0))),0)</f>
        <v>0</v>
      </c>
      <c r="J103" s="117">
        <v>0</v>
      </c>
      <c r="K103" s="117">
        <v>0</v>
      </c>
      <c r="L103" s="117">
        <v>0</v>
      </c>
      <c r="M103" s="117">
        <v>0</v>
      </c>
      <c r="N103" s="84">
        <f t="shared" si="58"/>
        <v>0</v>
      </c>
      <c r="O103" s="105" t="str">
        <f t="shared" si="59"/>
        <v/>
      </c>
      <c r="P103" s="84"/>
      <c r="Q103" s="84"/>
      <c r="R103" s="106" t="s">
        <v>99</v>
      </c>
      <c r="S103" s="107">
        <v>0</v>
      </c>
      <c r="T103" s="108">
        <v>0.05</v>
      </c>
      <c r="U103" s="104">
        <f t="shared" si="67"/>
        <v>0</v>
      </c>
      <c r="V103" s="104">
        <f t="shared" si="67"/>
        <v>0</v>
      </c>
      <c r="W103" s="104">
        <f t="shared" si="67"/>
        <v>0</v>
      </c>
      <c r="X103" s="104">
        <f t="shared" si="67"/>
        <v>0</v>
      </c>
      <c r="Y103" s="104">
        <f t="shared" si="67"/>
        <v>0</v>
      </c>
      <c r="Z103" s="104">
        <f t="shared" si="67"/>
        <v>0</v>
      </c>
      <c r="AA103" s="104">
        <f t="shared" si="67"/>
        <v>0</v>
      </c>
      <c r="AB103" s="104">
        <f t="shared" si="67"/>
        <v>0</v>
      </c>
      <c r="AC103" s="104">
        <f t="shared" si="67"/>
        <v>0</v>
      </c>
      <c r="AD103" s="104">
        <f t="shared" si="67"/>
        <v>0</v>
      </c>
      <c r="AE103" s="104">
        <f t="shared" si="67"/>
        <v>0</v>
      </c>
      <c r="AF103" s="104">
        <f t="shared" si="67"/>
        <v>0</v>
      </c>
      <c r="AG103" s="84">
        <f t="shared" si="61"/>
        <v>0</v>
      </c>
      <c r="AH103" s="105" t="str">
        <f t="shared" si="62"/>
        <v/>
      </c>
      <c r="AJ103" s="84">
        <f t="shared" si="63"/>
        <v>0</v>
      </c>
    </row>
    <row r="104" spans="1:36" x14ac:dyDescent="0.3">
      <c r="A104" s="113" t="s">
        <v>190</v>
      </c>
      <c r="B104" s="84">
        <f>IFERROR(SUMIF([2]Jan26A!$A:$A,$A104,INDEX([2]Jan26A!$A:$N,0,MATCH($A$1,[2]Jan26A!$A$7:$N$7,0))),0)</f>
        <v>0</v>
      </c>
      <c r="C104" s="84">
        <f>IFERROR(SUMIF([2]Feb26A!$A:$A,$A104,INDEX([2]Feb26A!$A:$N,0,MATCH($A$1,[2]Feb26A!$A$7:$N$7,0))),0)</f>
        <v>0</v>
      </c>
      <c r="D104" s="84">
        <f>IFERROR(SUMIF([2]Mar26A!$A:$A,$A104,INDEX([2]Mar26A!$A:$N,0,MATCH($A$1,[2]Mar26A!$A$7:$N$7,0))),0)</f>
        <v>0</v>
      </c>
      <c r="E104" s="84">
        <f>IFERROR(SUMIF([2]Apr26A!$A:$A,$A104,INDEX([2]Apr26A!$A:$N,0,MATCH($A$1,[2]Apr26A!$A$7:$N$7,0))),0)</f>
        <v>0</v>
      </c>
      <c r="F104" s="84">
        <f>IFERROR(SUMIF([2]May26A!$A:$A,$A104,INDEX([2]May26A!$A:$N,0,MATCH($A$1,[2]May26A!$A$7:$N$7,0))),0)</f>
        <v>0</v>
      </c>
      <c r="G104" s="84">
        <f>IFERROR(SUMIF([2]Jun26A!$A:$A,$A104,INDEX([2]Jun26A!$A:$N,0,MATCH($A$1,[2]Jun26A!$A$7:$N$7,0))),0)</f>
        <v>0</v>
      </c>
      <c r="H104" s="84">
        <f>IFERROR(SUMIF([2]Jul26A!$A:$A,$A104,INDEX([2]Jul26A!$A:$N,0,MATCH($A$1,[2]Jul26A!$A$7:$N$7,0))),0)</f>
        <v>0</v>
      </c>
      <c r="I104" s="84">
        <f>IFERROR(SUMIF([2]Aug26A!$A:$A,$A104,INDEX([2]Aug26A!$A:$N,0,MATCH($A$1,[2]Aug26A!$A$7:$N$7,0))),0)</f>
        <v>0</v>
      </c>
      <c r="J104" s="117">
        <v>0</v>
      </c>
      <c r="K104" s="117">
        <v>0</v>
      </c>
      <c r="L104" s="117">
        <v>0</v>
      </c>
      <c r="M104" s="117">
        <v>0</v>
      </c>
      <c r="N104" s="84">
        <f t="shared" si="58"/>
        <v>0</v>
      </c>
      <c r="O104" s="105" t="str">
        <f t="shared" si="59"/>
        <v/>
      </c>
      <c r="P104" s="84"/>
      <c r="Q104" s="84"/>
      <c r="R104" s="106" t="s">
        <v>99</v>
      </c>
      <c r="S104" s="107">
        <v>0</v>
      </c>
      <c r="T104" s="108">
        <v>0.05</v>
      </c>
      <c r="U104" s="104">
        <f t="shared" si="67"/>
        <v>0</v>
      </c>
      <c r="V104" s="104">
        <f t="shared" si="67"/>
        <v>0</v>
      </c>
      <c r="W104" s="104">
        <f t="shared" si="67"/>
        <v>0</v>
      </c>
      <c r="X104" s="104">
        <f t="shared" si="67"/>
        <v>0</v>
      </c>
      <c r="Y104" s="104">
        <f t="shared" si="67"/>
        <v>0</v>
      </c>
      <c r="Z104" s="104">
        <f t="shared" si="67"/>
        <v>0</v>
      </c>
      <c r="AA104" s="104">
        <f t="shared" si="67"/>
        <v>0</v>
      </c>
      <c r="AB104" s="104">
        <f t="shared" si="67"/>
        <v>0</v>
      </c>
      <c r="AC104" s="104">
        <f t="shared" si="67"/>
        <v>0</v>
      </c>
      <c r="AD104" s="104">
        <f t="shared" si="67"/>
        <v>0</v>
      </c>
      <c r="AE104" s="104">
        <f t="shared" si="67"/>
        <v>0</v>
      </c>
      <c r="AF104" s="104">
        <f t="shared" si="67"/>
        <v>0</v>
      </c>
      <c r="AG104" s="84">
        <f t="shared" si="61"/>
        <v>0</v>
      </c>
      <c r="AH104" s="105" t="str">
        <f t="shared" si="62"/>
        <v/>
      </c>
      <c r="AJ104" s="84">
        <f t="shared" si="63"/>
        <v>0</v>
      </c>
    </row>
    <row r="105" spans="1:36" x14ac:dyDescent="0.3">
      <c r="A105" s="113" t="s">
        <v>191</v>
      </c>
      <c r="B105" s="84">
        <f>IFERROR(SUMIF([2]Jan26A!$A:$A,$A105,INDEX([2]Jan26A!$A:$N,0,MATCH($A$1,[2]Jan26A!$A$7:$N$7,0))),0)</f>
        <v>0</v>
      </c>
      <c r="C105" s="84">
        <f>IFERROR(SUMIF([2]Feb26A!$A:$A,$A105,INDEX([2]Feb26A!$A:$N,0,MATCH($A$1,[2]Feb26A!$A$7:$N$7,0))),0)</f>
        <v>0</v>
      </c>
      <c r="D105" s="84">
        <f>IFERROR(SUMIF([2]Mar26A!$A:$A,$A105,INDEX([2]Mar26A!$A:$N,0,MATCH($A$1,[2]Mar26A!$A$7:$N$7,0))),0)</f>
        <v>0</v>
      </c>
      <c r="E105" s="84">
        <f>IFERROR(SUMIF([2]Apr26A!$A:$A,$A105,INDEX([2]Apr26A!$A:$N,0,MATCH($A$1,[2]Apr26A!$A$7:$N$7,0))),0)</f>
        <v>0</v>
      </c>
      <c r="F105" s="84">
        <f>IFERROR(SUMIF([2]May26A!$A:$A,$A105,INDEX([2]May26A!$A:$N,0,MATCH($A$1,[2]May26A!$A$7:$N$7,0))),0)</f>
        <v>0</v>
      </c>
      <c r="G105" s="84">
        <f>IFERROR(SUMIF([2]Jun26A!$A:$A,$A105,INDEX([2]Jun26A!$A:$N,0,MATCH($A$1,[2]Jun26A!$A$7:$N$7,0))),0)</f>
        <v>0</v>
      </c>
      <c r="H105" s="84">
        <f>IFERROR(SUMIF([2]Jul26A!$A:$A,$A105,INDEX([2]Jul26A!$A:$N,0,MATCH($A$1,[2]Jul26A!$A$7:$N$7,0))),0)</f>
        <v>0</v>
      </c>
      <c r="I105" s="84">
        <f>IFERROR(SUMIF([2]Aug26A!$A:$A,$A105,INDEX([2]Aug26A!$A:$N,0,MATCH($A$1,[2]Aug26A!$A$7:$N$7,0))),0)</f>
        <v>0</v>
      </c>
      <c r="J105" s="117">
        <v>0</v>
      </c>
      <c r="K105" s="117">
        <v>0</v>
      </c>
      <c r="L105" s="117">
        <v>0</v>
      </c>
      <c r="M105" s="117">
        <v>0</v>
      </c>
      <c r="N105" s="84">
        <f t="shared" si="58"/>
        <v>0</v>
      </c>
      <c r="O105" s="105" t="str">
        <f t="shared" si="59"/>
        <v/>
      </c>
      <c r="P105" s="84"/>
      <c r="Q105" s="84"/>
      <c r="R105" s="106" t="s">
        <v>99</v>
      </c>
      <c r="S105" s="107">
        <v>0</v>
      </c>
      <c r="T105" s="108">
        <v>0.05</v>
      </c>
      <c r="U105" s="104">
        <f t="shared" si="67"/>
        <v>0</v>
      </c>
      <c r="V105" s="104">
        <f t="shared" si="67"/>
        <v>0</v>
      </c>
      <c r="W105" s="104">
        <f t="shared" si="67"/>
        <v>0</v>
      </c>
      <c r="X105" s="104">
        <f t="shared" si="67"/>
        <v>0</v>
      </c>
      <c r="Y105" s="104">
        <f t="shared" si="67"/>
        <v>0</v>
      </c>
      <c r="Z105" s="104">
        <f t="shared" si="67"/>
        <v>0</v>
      </c>
      <c r="AA105" s="104">
        <f t="shared" si="67"/>
        <v>0</v>
      </c>
      <c r="AB105" s="104">
        <f t="shared" si="67"/>
        <v>0</v>
      </c>
      <c r="AC105" s="104">
        <f t="shared" si="67"/>
        <v>0</v>
      </c>
      <c r="AD105" s="104">
        <f t="shared" si="67"/>
        <v>0</v>
      </c>
      <c r="AE105" s="104">
        <f t="shared" si="67"/>
        <v>0</v>
      </c>
      <c r="AF105" s="104">
        <f t="shared" si="67"/>
        <v>0</v>
      </c>
      <c r="AG105" s="84">
        <f t="shared" si="61"/>
        <v>0</v>
      </c>
      <c r="AH105" s="105" t="str">
        <f t="shared" si="62"/>
        <v/>
      </c>
      <c r="AJ105" s="84">
        <f t="shared" si="63"/>
        <v>0</v>
      </c>
    </row>
    <row r="106" spans="1:36" x14ac:dyDescent="0.3">
      <c r="A106" s="113" t="s">
        <v>192</v>
      </c>
      <c r="B106" s="84">
        <f>IFERROR(SUMIF([2]Jan26A!$A:$A,$A106,INDEX([2]Jan26A!$A:$N,0,MATCH($A$1,[2]Jan26A!$A$7:$N$7,0))),0)</f>
        <v>917.16</v>
      </c>
      <c r="C106" s="84">
        <f>IFERROR(SUMIF([2]Feb26A!$A:$A,$A106,INDEX([2]Feb26A!$A:$N,0,MATCH($A$1,[2]Feb26A!$A$7:$N$7,0))),0)</f>
        <v>0</v>
      </c>
      <c r="D106" s="84">
        <f>IFERROR(SUMIF([2]Mar26A!$A:$A,$A106,INDEX([2]Mar26A!$A:$N,0,MATCH($A$1,[2]Mar26A!$A$7:$N$7,0))),0)</f>
        <v>0</v>
      </c>
      <c r="E106" s="84">
        <f>IFERROR(SUMIF([2]Apr26A!$A:$A,$A106,INDEX([2]Apr26A!$A:$N,0,MATCH($A$1,[2]Apr26A!$A$7:$N$7,0))),0)</f>
        <v>0</v>
      </c>
      <c r="F106" s="84">
        <f>IFERROR(SUMIF([2]May26A!$A:$A,$A106,INDEX([2]May26A!$A:$N,0,MATCH($A$1,[2]May26A!$A$7:$N$7,0))),0)</f>
        <v>0</v>
      </c>
      <c r="G106" s="84">
        <f>IFERROR(SUMIF([2]Jun26A!$A:$A,$A106,INDEX([2]Jun26A!$A:$N,0,MATCH($A$1,[2]Jun26A!$A$7:$N$7,0))),0)</f>
        <v>0</v>
      </c>
      <c r="H106" s="84">
        <f>IFERROR(SUMIF([2]Jul26A!$A:$A,$A106,INDEX([2]Jul26A!$A:$N,0,MATCH($A$1,[2]Jul26A!$A$7:$N$7,0))),0)</f>
        <v>0</v>
      </c>
      <c r="I106" s="84">
        <f>IFERROR(SUMIF([2]Aug26A!$A:$A,$A106,INDEX([2]Aug26A!$A:$N,0,MATCH($A$1,[2]Aug26A!$A$7:$N$7,0))),0)</f>
        <v>0</v>
      </c>
      <c r="J106" s="117">
        <v>0</v>
      </c>
      <c r="K106" s="117">
        <v>0</v>
      </c>
      <c r="L106" s="117">
        <v>0</v>
      </c>
      <c r="M106" s="117">
        <v>0</v>
      </c>
      <c r="N106" s="84">
        <f t="shared" si="58"/>
        <v>917.16</v>
      </c>
      <c r="O106" s="105" t="str">
        <f t="shared" si="59"/>
        <v/>
      </c>
      <c r="P106" s="84"/>
      <c r="Q106" s="84"/>
      <c r="R106" s="106" t="s">
        <v>99</v>
      </c>
      <c r="S106" s="107">
        <v>0</v>
      </c>
      <c r="T106" s="108">
        <v>0.05</v>
      </c>
      <c r="U106" s="104">
        <f t="shared" si="67"/>
        <v>0</v>
      </c>
      <c r="V106" s="104">
        <f t="shared" si="67"/>
        <v>0</v>
      </c>
      <c r="W106" s="104">
        <f t="shared" si="67"/>
        <v>0</v>
      </c>
      <c r="X106" s="104">
        <f t="shared" si="67"/>
        <v>0</v>
      </c>
      <c r="Y106" s="104">
        <f t="shared" si="67"/>
        <v>0</v>
      </c>
      <c r="Z106" s="104">
        <f t="shared" si="67"/>
        <v>0</v>
      </c>
      <c r="AA106" s="104">
        <f t="shared" si="67"/>
        <v>0</v>
      </c>
      <c r="AB106" s="104">
        <f t="shared" si="67"/>
        <v>0</v>
      </c>
      <c r="AC106" s="104">
        <f t="shared" si="67"/>
        <v>0</v>
      </c>
      <c r="AD106" s="104">
        <f t="shared" si="67"/>
        <v>0</v>
      </c>
      <c r="AE106" s="104">
        <f t="shared" si="67"/>
        <v>0</v>
      </c>
      <c r="AF106" s="104">
        <f t="shared" si="67"/>
        <v>0</v>
      </c>
      <c r="AG106" s="84">
        <f t="shared" si="61"/>
        <v>0</v>
      </c>
      <c r="AH106" s="105" t="str">
        <f t="shared" si="62"/>
        <v/>
      </c>
      <c r="AJ106" s="84">
        <f t="shared" si="63"/>
        <v>917.16</v>
      </c>
    </row>
    <row r="107" spans="1:36" x14ac:dyDescent="0.3">
      <c r="A107" s="113" t="s">
        <v>193</v>
      </c>
      <c r="B107" s="84">
        <f>IFERROR(SUMIF([2]Jan26A!$A:$A,$A107,INDEX([2]Jan26A!$A:$N,0,MATCH($A$1,[2]Jan26A!$A$7:$N$7,0))),0)</f>
        <v>0</v>
      </c>
      <c r="C107" s="84">
        <f>IFERROR(SUMIF([2]Feb26A!$A:$A,$A107,INDEX([2]Feb26A!$A:$N,0,MATCH($A$1,[2]Feb26A!$A$7:$N$7,0))),0)</f>
        <v>0</v>
      </c>
      <c r="D107" s="84">
        <f>IFERROR(SUMIF([2]Mar26A!$A:$A,$A107,INDEX([2]Mar26A!$A:$N,0,MATCH($A$1,[2]Mar26A!$A$7:$N$7,0))),0)</f>
        <v>0</v>
      </c>
      <c r="E107" s="84">
        <f>IFERROR(SUMIF([2]Apr26A!$A:$A,$A107,INDEX([2]Apr26A!$A:$N,0,MATCH($A$1,[2]Apr26A!$A$7:$N$7,0))),0)</f>
        <v>0</v>
      </c>
      <c r="F107" s="84">
        <f>IFERROR(SUMIF([2]May26A!$A:$A,$A107,INDEX([2]May26A!$A:$N,0,MATCH($A$1,[2]May26A!$A$7:$N$7,0))),0)</f>
        <v>0</v>
      </c>
      <c r="G107" s="84">
        <f>IFERROR(SUMIF([2]Jun26A!$A:$A,$A107,INDEX([2]Jun26A!$A:$N,0,MATCH($A$1,[2]Jun26A!$A$7:$N$7,0))),0)</f>
        <v>0</v>
      </c>
      <c r="H107" s="84">
        <f>IFERROR(SUMIF([2]Jul26A!$A:$A,$A107,INDEX([2]Jul26A!$A:$N,0,MATCH($A$1,[2]Jul26A!$A$7:$N$7,0))),0)</f>
        <v>0</v>
      </c>
      <c r="I107" s="84">
        <f>IFERROR(SUMIF([2]Aug26A!$A:$A,$A107,INDEX([2]Aug26A!$A:$N,0,MATCH($A$1,[2]Aug26A!$A$7:$N$7,0))),0)</f>
        <v>0</v>
      </c>
      <c r="J107" s="117">
        <v>0</v>
      </c>
      <c r="K107" s="117">
        <v>0</v>
      </c>
      <c r="L107" s="117">
        <v>0</v>
      </c>
      <c r="M107" s="117">
        <v>0</v>
      </c>
      <c r="N107" s="84">
        <f t="shared" si="58"/>
        <v>0</v>
      </c>
      <c r="O107" s="105" t="str">
        <f t="shared" si="59"/>
        <v/>
      </c>
      <c r="P107" s="84"/>
      <c r="Q107" s="84"/>
      <c r="R107" s="106" t="s">
        <v>99</v>
      </c>
      <c r="S107" s="107">
        <v>0</v>
      </c>
      <c r="T107" s="108">
        <v>0.05</v>
      </c>
      <c r="U107" s="104">
        <f t="shared" si="67"/>
        <v>0</v>
      </c>
      <c r="V107" s="104">
        <f t="shared" si="67"/>
        <v>0</v>
      </c>
      <c r="W107" s="104">
        <f t="shared" si="67"/>
        <v>0</v>
      </c>
      <c r="X107" s="104">
        <f t="shared" si="67"/>
        <v>0</v>
      </c>
      <c r="Y107" s="104">
        <f t="shared" si="67"/>
        <v>0</v>
      </c>
      <c r="Z107" s="104">
        <f t="shared" si="67"/>
        <v>0</v>
      </c>
      <c r="AA107" s="104">
        <f t="shared" si="67"/>
        <v>0</v>
      </c>
      <c r="AB107" s="104">
        <f t="shared" si="67"/>
        <v>0</v>
      </c>
      <c r="AC107" s="104">
        <f t="shared" si="67"/>
        <v>0</v>
      </c>
      <c r="AD107" s="104">
        <f t="shared" si="67"/>
        <v>0</v>
      </c>
      <c r="AE107" s="104">
        <f t="shared" si="67"/>
        <v>0</v>
      </c>
      <c r="AF107" s="104">
        <f t="shared" si="67"/>
        <v>0</v>
      </c>
      <c r="AG107" s="84">
        <f t="shared" si="61"/>
        <v>0</v>
      </c>
      <c r="AH107" s="105" t="str">
        <f t="shared" si="62"/>
        <v/>
      </c>
      <c r="AJ107" s="84">
        <f t="shared" si="63"/>
        <v>0</v>
      </c>
    </row>
    <row r="108" spans="1:36" x14ac:dyDescent="0.3">
      <c r="A108" s="113" t="s">
        <v>194</v>
      </c>
      <c r="B108" s="84">
        <f>IFERROR(SUMIF([2]Jan26A!$A:$A,$A108,INDEX([2]Jan26A!$A:$N,0,MATCH($A$1,[2]Jan26A!$A$7:$N$7,0))),0)</f>
        <v>0</v>
      </c>
      <c r="C108" s="84">
        <f>IFERROR(SUMIF([2]Feb26A!$A:$A,$A108,INDEX([2]Feb26A!$A:$N,0,MATCH($A$1,[2]Feb26A!$A$7:$N$7,0))),0)</f>
        <v>0</v>
      </c>
      <c r="D108" s="84">
        <f>IFERROR(SUMIF([2]Mar26A!$A:$A,$A108,INDEX([2]Mar26A!$A:$N,0,MATCH($A$1,[2]Mar26A!$A$7:$N$7,0))),0)</f>
        <v>0</v>
      </c>
      <c r="E108" s="84">
        <f>IFERROR(SUMIF([2]Apr26A!$A:$A,$A108,INDEX([2]Apr26A!$A:$N,0,MATCH($A$1,[2]Apr26A!$A$7:$N$7,0))),0)</f>
        <v>0</v>
      </c>
      <c r="F108" s="84">
        <f>IFERROR(SUMIF([2]May26A!$A:$A,$A108,INDEX([2]May26A!$A:$N,0,MATCH($A$1,[2]May26A!$A$7:$N$7,0))),0)</f>
        <v>0</v>
      </c>
      <c r="G108" s="84">
        <f>IFERROR(SUMIF([2]Jun26A!$A:$A,$A108,INDEX([2]Jun26A!$A:$N,0,MATCH($A$1,[2]Jun26A!$A$7:$N$7,0))),0)</f>
        <v>0</v>
      </c>
      <c r="H108" s="84">
        <f>IFERROR(SUMIF([2]Jul26A!$A:$A,$A108,INDEX([2]Jul26A!$A:$N,0,MATCH($A$1,[2]Jul26A!$A$7:$N$7,0))),0)</f>
        <v>0</v>
      </c>
      <c r="I108" s="84">
        <f>IFERROR(SUMIF([2]Aug26A!$A:$A,$A108,INDEX([2]Aug26A!$A:$N,0,MATCH($A$1,[2]Aug26A!$A$7:$N$7,0))),0)</f>
        <v>0</v>
      </c>
      <c r="J108" s="117">
        <v>0</v>
      </c>
      <c r="K108" s="117">
        <v>0</v>
      </c>
      <c r="L108" s="117">
        <v>0</v>
      </c>
      <c r="M108" s="117">
        <v>0</v>
      </c>
      <c r="N108" s="84">
        <f t="shared" si="58"/>
        <v>0</v>
      </c>
      <c r="O108" s="105" t="str">
        <f t="shared" si="59"/>
        <v/>
      </c>
      <c r="P108" s="84"/>
      <c r="Q108" s="84"/>
      <c r="R108" s="106" t="s">
        <v>99</v>
      </c>
      <c r="S108" s="107">
        <v>0</v>
      </c>
      <c r="T108" s="108">
        <v>0.05</v>
      </c>
      <c r="U108" s="104">
        <f t="shared" ref="U108:AF115" si="68">IF($R108="Manual","",IFERROR(IF($R108="YOY Growth",$N108*(1+$T108)/12,$S108/12),""))</f>
        <v>0</v>
      </c>
      <c r="V108" s="104">
        <f t="shared" si="68"/>
        <v>0</v>
      </c>
      <c r="W108" s="104">
        <f t="shared" si="68"/>
        <v>0</v>
      </c>
      <c r="X108" s="104">
        <f t="shared" si="68"/>
        <v>0</v>
      </c>
      <c r="Y108" s="104">
        <f t="shared" si="68"/>
        <v>0</v>
      </c>
      <c r="Z108" s="104">
        <f t="shared" si="68"/>
        <v>0</v>
      </c>
      <c r="AA108" s="104">
        <f t="shared" si="68"/>
        <v>0</v>
      </c>
      <c r="AB108" s="104">
        <f t="shared" si="68"/>
        <v>0</v>
      </c>
      <c r="AC108" s="104">
        <f t="shared" si="68"/>
        <v>0</v>
      </c>
      <c r="AD108" s="104">
        <f t="shared" si="68"/>
        <v>0</v>
      </c>
      <c r="AE108" s="104">
        <f t="shared" si="68"/>
        <v>0</v>
      </c>
      <c r="AF108" s="104">
        <f t="shared" si="68"/>
        <v>0</v>
      </c>
      <c r="AG108" s="84">
        <f t="shared" si="61"/>
        <v>0</v>
      </c>
      <c r="AH108" s="105" t="str">
        <f t="shared" si="62"/>
        <v/>
      </c>
      <c r="AJ108" s="84">
        <f t="shared" si="63"/>
        <v>0</v>
      </c>
    </row>
    <row r="109" spans="1:36" x14ac:dyDescent="0.3">
      <c r="A109" s="113" t="s">
        <v>195</v>
      </c>
      <c r="B109" s="84">
        <f>IFERROR(SUMIF([2]Jan26A!$A:$A,$A109,INDEX([2]Jan26A!$A:$N,0,MATCH($A$1,[2]Jan26A!$A$7:$N$7,0))),0)</f>
        <v>0</v>
      </c>
      <c r="C109" s="84">
        <f>IFERROR(SUMIF([2]Feb26A!$A:$A,$A109,INDEX([2]Feb26A!$A:$N,0,MATCH($A$1,[2]Feb26A!$A$7:$N$7,0))),0)</f>
        <v>0</v>
      </c>
      <c r="D109" s="84">
        <f>IFERROR(SUMIF([2]Mar26A!$A:$A,$A109,INDEX([2]Mar26A!$A:$N,0,MATCH($A$1,[2]Mar26A!$A$7:$N$7,0))),0)</f>
        <v>0</v>
      </c>
      <c r="E109" s="84">
        <f>IFERROR(SUMIF([2]Apr26A!$A:$A,$A109,INDEX([2]Apr26A!$A:$N,0,MATCH($A$1,[2]Apr26A!$A$7:$N$7,0))),0)</f>
        <v>0</v>
      </c>
      <c r="F109" s="84">
        <f>IFERROR(SUMIF([2]May26A!$A:$A,$A109,INDEX([2]May26A!$A:$N,0,MATCH($A$1,[2]May26A!$A$7:$N$7,0))),0)</f>
        <v>0</v>
      </c>
      <c r="G109" s="84">
        <f>IFERROR(SUMIF([2]Jun26A!$A:$A,$A109,INDEX([2]Jun26A!$A:$N,0,MATCH($A$1,[2]Jun26A!$A$7:$N$7,0))),0)</f>
        <v>0</v>
      </c>
      <c r="H109" s="84">
        <f>IFERROR(SUMIF([2]Jul26A!$A:$A,$A109,INDEX([2]Jul26A!$A:$N,0,MATCH($A$1,[2]Jul26A!$A$7:$N$7,0))),0)</f>
        <v>0</v>
      </c>
      <c r="I109" s="84">
        <f>IFERROR(SUMIF([2]Aug26A!$A:$A,$A109,INDEX([2]Aug26A!$A:$N,0,MATCH($A$1,[2]Aug26A!$A$7:$N$7,0))),0)</f>
        <v>0</v>
      </c>
      <c r="J109" s="117">
        <v>0</v>
      </c>
      <c r="K109" s="117">
        <v>0</v>
      </c>
      <c r="L109" s="117">
        <v>0</v>
      </c>
      <c r="M109" s="117">
        <v>0</v>
      </c>
      <c r="N109" s="84">
        <f t="shared" si="58"/>
        <v>0</v>
      </c>
      <c r="O109" s="105" t="str">
        <f t="shared" si="59"/>
        <v/>
      </c>
      <c r="P109" s="84"/>
      <c r="Q109" s="84"/>
      <c r="R109" s="106" t="s">
        <v>99</v>
      </c>
      <c r="S109" s="107">
        <v>0</v>
      </c>
      <c r="T109" s="108">
        <v>0.05</v>
      </c>
      <c r="U109" s="104">
        <f t="shared" si="68"/>
        <v>0</v>
      </c>
      <c r="V109" s="104">
        <f t="shared" si="68"/>
        <v>0</v>
      </c>
      <c r="W109" s="104">
        <f t="shared" si="68"/>
        <v>0</v>
      </c>
      <c r="X109" s="104">
        <f t="shared" si="68"/>
        <v>0</v>
      </c>
      <c r="Y109" s="104">
        <f t="shared" si="68"/>
        <v>0</v>
      </c>
      <c r="Z109" s="104">
        <f t="shared" si="68"/>
        <v>0</v>
      </c>
      <c r="AA109" s="104">
        <f t="shared" si="68"/>
        <v>0</v>
      </c>
      <c r="AB109" s="104">
        <f t="shared" si="68"/>
        <v>0</v>
      </c>
      <c r="AC109" s="104">
        <f t="shared" si="68"/>
        <v>0</v>
      </c>
      <c r="AD109" s="104">
        <f t="shared" si="68"/>
        <v>0</v>
      </c>
      <c r="AE109" s="104">
        <f t="shared" si="68"/>
        <v>0</v>
      </c>
      <c r="AF109" s="104">
        <f t="shared" si="68"/>
        <v>0</v>
      </c>
      <c r="AG109" s="84">
        <f t="shared" si="61"/>
        <v>0</v>
      </c>
      <c r="AH109" s="105" t="str">
        <f t="shared" si="62"/>
        <v/>
      </c>
      <c r="AJ109" s="84">
        <f t="shared" si="63"/>
        <v>0</v>
      </c>
    </row>
    <row r="110" spans="1:36" x14ac:dyDescent="0.3">
      <c r="A110" s="113" t="s">
        <v>196</v>
      </c>
      <c r="B110" s="84">
        <f>IFERROR(SUMIF([2]Jan26A!$A:$A,$A110,INDEX([2]Jan26A!$A:$N,0,MATCH($A$1,[2]Jan26A!$A$7:$N$7,0))),0)</f>
        <v>0</v>
      </c>
      <c r="C110" s="84">
        <f>IFERROR(SUMIF([2]Feb26A!$A:$A,$A110,INDEX([2]Feb26A!$A:$N,0,MATCH($A$1,[2]Feb26A!$A$7:$N$7,0))),0)</f>
        <v>0</v>
      </c>
      <c r="D110" s="84">
        <f>IFERROR(SUMIF([2]Mar26A!$A:$A,$A110,INDEX([2]Mar26A!$A:$N,0,MATCH($A$1,[2]Mar26A!$A$7:$N$7,0))),0)</f>
        <v>0</v>
      </c>
      <c r="E110" s="84">
        <f>IFERROR(SUMIF([2]Apr26A!$A:$A,$A110,INDEX([2]Apr26A!$A:$N,0,MATCH($A$1,[2]Apr26A!$A$7:$N$7,0))),0)</f>
        <v>0</v>
      </c>
      <c r="F110" s="84">
        <f>IFERROR(SUMIF([2]May26A!$A:$A,$A110,INDEX([2]May26A!$A:$N,0,MATCH($A$1,[2]May26A!$A$7:$N$7,0))),0)</f>
        <v>0</v>
      </c>
      <c r="G110" s="84">
        <f>IFERROR(SUMIF([2]Jun26A!$A:$A,$A110,INDEX([2]Jun26A!$A:$N,0,MATCH($A$1,[2]Jun26A!$A$7:$N$7,0))),0)</f>
        <v>6515</v>
      </c>
      <c r="H110" s="84">
        <f>IFERROR(SUMIF([2]Jul26A!$A:$A,$A110,INDEX([2]Jul26A!$A:$N,0,MATCH($A$1,[2]Jul26A!$A$7:$N$7,0))),0)</f>
        <v>0</v>
      </c>
      <c r="I110" s="84">
        <f>IFERROR(SUMIF([2]Aug26A!$A:$A,$A110,INDEX([2]Aug26A!$A:$N,0,MATCH($A$1,[2]Aug26A!$A$7:$N$7,0))),0)</f>
        <v>0</v>
      </c>
      <c r="J110" s="117">
        <v>0</v>
      </c>
      <c r="K110" s="117">
        <v>0</v>
      </c>
      <c r="L110" s="117">
        <v>0</v>
      </c>
      <c r="M110" s="117">
        <v>0</v>
      </c>
      <c r="N110" s="84">
        <f t="shared" si="58"/>
        <v>6515</v>
      </c>
      <c r="O110" s="105" t="str">
        <f t="shared" si="59"/>
        <v/>
      </c>
      <c r="P110" s="84"/>
      <c r="Q110" s="84"/>
      <c r="R110" s="106" t="s">
        <v>99</v>
      </c>
      <c r="S110" s="107">
        <v>0</v>
      </c>
      <c r="T110" s="108">
        <v>0.05</v>
      </c>
      <c r="U110" s="104">
        <f t="shared" si="68"/>
        <v>0</v>
      </c>
      <c r="V110" s="104">
        <f t="shared" si="68"/>
        <v>0</v>
      </c>
      <c r="W110" s="104">
        <f t="shared" si="68"/>
        <v>0</v>
      </c>
      <c r="X110" s="104">
        <f t="shared" si="68"/>
        <v>0</v>
      </c>
      <c r="Y110" s="104">
        <f t="shared" si="68"/>
        <v>0</v>
      </c>
      <c r="Z110" s="104">
        <f t="shared" si="68"/>
        <v>0</v>
      </c>
      <c r="AA110" s="104">
        <f t="shared" si="68"/>
        <v>0</v>
      </c>
      <c r="AB110" s="104">
        <f t="shared" si="68"/>
        <v>0</v>
      </c>
      <c r="AC110" s="104">
        <f t="shared" si="68"/>
        <v>0</v>
      </c>
      <c r="AD110" s="104">
        <f t="shared" si="68"/>
        <v>0</v>
      </c>
      <c r="AE110" s="104">
        <f t="shared" si="68"/>
        <v>0</v>
      </c>
      <c r="AF110" s="104">
        <f t="shared" si="68"/>
        <v>0</v>
      </c>
      <c r="AG110" s="84">
        <f t="shared" si="61"/>
        <v>0</v>
      </c>
      <c r="AH110" s="105" t="str">
        <f t="shared" si="62"/>
        <v/>
      </c>
      <c r="AJ110" s="84">
        <f t="shared" si="63"/>
        <v>6515</v>
      </c>
    </row>
    <row r="111" spans="1:36" x14ac:dyDescent="0.3">
      <c r="A111" s="113" t="s">
        <v>197</v>
      </c>
      <c r="B111" s="84">
        <f>IFERROR(SUMIF([2]Jan26A!$A:$A,$A111,INDEX([2]Jan26A!$A:$N,0,MATCH($A$1,[2]Jan26A!$A$7:$N$7,0))),0)</f>
        <v>0</v>
      </c>
      <c r="C111" s="84">
        <f>IFERROR(SUMIF([2]Feb26A!$A:$A,$A111,INDEX([2]Feb26A!$A:$N,0,MATCH($A$1,[2]Feb26A!$A$7:$N$7,0))),0)</f>
        <v>0</v>
      </c>
      <c r="D111" s="84">
        <f>IFERROR(SUMIF([2]Mar26A!$A:$A,$A111,INDEX([2]Mar26A!$A:$N,0,MATCH($A$1,[2]Mar26A!$A$7:$N$7,0))),0)</f>
        <v>0</v>
      </c>
      <c r="E111" s="84">
        <f>IFERROR(SUMIF([2]Apr26A!$A:$A,$A111,INDEX([2]Apr26A!$A:$N,0,MATCH($A$1,[2]Apr26A!$A$7:$N$7,0))),0)</f>
        <v>0</v>
      </c>
      <c r="F111" s="84">
        <f>IFERROR(SUMIF([2]May26A!$A:$A,$A111,INDEX([2]May26A!$A:$N,0,MATCH($A$1,[2]May26A!$A$7:$N$7,0))),0)</f>
        <v>0</v>
      </c>
      <c r="G111" s="84">
        <f>IFERROR(SUMIF([2]Jun26A!$A:$A,$A111,INDEX([2]Jun26A!$A:$N,0,MATCH($A$1,[2]Jun26A!$A$7:$N$7,0))),0)</f>
        <v>0</v>
      </c>
      <c r="H111" s="84">
        <f>IFERROR(SUMIF([2]Jul26A!$A:$A,$A111,INDEX([2]Jul26A!$A:$N,0,MATCH($A$1,[2]Jul26A!$A$7:$N$7,0))),0)</f>
        <v>0</v>
      </c>
      <c r="I111" s="84">
        <f>IFERROR(SUMIF([2]Aug26A!$A:$A,$A111,INDEX([2]Aug26A!$A:$N,0,MATCH($A$1,[2]Aug26A!$A$7:$N$7,0))),0)</f>
        <v>0</v>
      </c>
      <c r="J111" s="117">
        <v>0</v>
      </c>
      <c r="K111" s="117">
        <v>0</v>
      </c>
      <c r="L111" s="117">
        <v>0</v>
      </c>
      <c r="M111" s="117">
        <v>0</v>
      </c>
      <c r="N111" s="84">
        <f t="shared" si="58"/>
        <v>0</v>
      </c>
      <c r="O111" s="105" t="str">
        <f t="shared" si="59"/>
        <v/>
      </c>
      <c r="P111" s="84"/>
      <c r="Q111" s="84"/>
      <c r="R111" s="106" t="s">
        <v>99</v>
      </c>
      <c r="S111" s="107">
        <v>0</v>
      </c>
      <c r="T111" s="108">
        <v>0.05</v>
      </c>
      <c r="U111" s="104">
        <f t="shared" si="68"/>
        <v>0</v>
      </c>
      <c r="V111" s="104">
        <f t="shared" si="68"/>
        <v>0</v>
      </c>
      <c r="W111" s="104">
        <f t="shared" si="68"/>
        <v>0</v>
      </c>
      <c r="X111" s="104">
        <f t="shared" si="68"/>
        <v>0</v>
      </c>
      <c r="Y111" s="104">
        <f t="shared" si="68"/>
        <v>0</v>
      </c>
      <c r="Z111" s="104">
        <f t="shared" si="68"/>
        <v>0</v>
      </c>
      <c r="AA111" s="104">
        <f t="shared" si="68"/>
        <v>0</v>
      </c>
      <c r="AB111" s="104">
        <f t="shared" si="68"/>
        <v>0</v>
      </c>
      <c r="AC111" s="104">
        <f t="shared" si="68"/>
        <v>0</v>
      </c>
      <c r="AD111" s="104">
        <f t="shared" si="68"/>
        <v>0</v>
      </c>
      <c r="AE111" s="104">
        <f t="shared" si="68"/>
        <v>0</v>
      </c>
      <c r="AF111" s="104">
        <f t="shared" si="68"/>
        <v>0</v>
      </c>
      <c r="AG111" s="84">
        <f t="shared" si="61"/>
        <v>0</v>
      </c>
      <c r="AH111" s="105" t="str">
        <f t="shared" si="62"/>
        <v/>
      </c>
      <c r="AJ111" s="84">
        <f t="shared" si="63"/>
        <v>0</v>
      </c>
    </row>
    <row r="112" spans="1:36" x14ac:dyDescent="0.3">
      <c r="A112" s="113" t="s">
        <v>198</v>
      </c>
      <c r="B112" s="84">
        <f>IFERROR(SUMIF([2]Jan26A!$A:$A,$A112,INDEX([2]Jan26A!$A:$N,0,MATCH($A$1,[2]Jan26A!$A$7:$N$7,0))),0)</f>
        <v>0</v>
      </c>
      <c r="C112" s="84">
        <f>IFERROR(SUMIF([2]Feb26A!$A:$A,$A112,INDEX([2]Feb26A!$A:$N,0,MATCH($A$1,[2]Feb26A!$A$7:$N$7,0))),0)</f>
        <v>0</v>
      </c>
      <c r="D112" s="84">
        <f>IFERROR(SUMIF([2]Mar26A!$A:$A,$A112,INDEX([2]Mar26A!$A:$N,0,MATCH($A$1,[2]Mar26A!$A$7:$N$7,0))),0)</f>
        <v>0</v>
      </c>
      <c r="E112" s="84">
        <f>IFERROR(SUMIF([2]Apr26A!$A:$A,$A112,INDEX([2]Apr26A!$A:$N,0,MATCH($A$1,[2]Apr26A!$A$7:$N$7,0))),0)</f>
        <v>0</v>
      </c>
      <c r="F112" s="84">
        <f>IFERROR(SUMIF([2]May26A!$A:$A,$A112,INDEX([2]May26A!$A:$N,0,MATCH($A$1,[2]May26A!$A$7:$N$7,0))),0)</f>
        <v>0</v>
      </c>
      <c r="G112" s="84">
        <f>IFERROR(SUMIF([2]Jun26A!$A:$A,$A112,INDEX([2]Jun26A!$A:$N,0,MATCH($A$1,[2]Jun26A!$A$7:$N$7,0))),0)</f>
        <v>0</v>
      </c>
      <c r="H112" s="84">
        <f>IFERROR(SUMIF([2]Jul26A!$A:$A,$A112,INDEX([2]Jul26A!$A:$N,0,MATCH($A$1,[2]Jul26A!$A$7:$N$7,0))),0)</f>
        <v>0</v>
      </c>
      <c r="I112" s="84">
        <f>IFERROR(SUMIF([2]Aug26A!$A:$A,$A112,INDEX([2]Aug26A!$A:$N,0,MATCH($A$1,[2]Aug26A!$A$7:$N$7,0))),0)</f>
        <v>0</v>
      </c>
      <c r="J112" s="117">
        <v>0</v>
      </c>
      <c r="K112" s="117">
        <v>0</v>
      </c>
      <c r="L112" s="117">
        <v>0</v>
      </c>
      <c r="M112" s="117">
        <v>0</v>
      </c>
      <c r="N112" s="84">
        <f t="shared" si="58"/>
        <v>0</v>
      </c>
      <c r="O112" s="105" t="str">
        <f t="shared" si="59"/>
        <v/>
      </c>
      <c r="P112" s="84"/>
      <c r="Q112" s="84"/>
      <c r="R112" s="106" t="s">
        <v>99</v>
      </c>
      <c r="S112" s="107">
        <v>0</v>
      </c>
      <c r="T112" s="108">
        <v>0.05</v>
      </c>
      <c r="U112" s="104">
        <f t="shared" si="68"/>
        <v>0</v>
      </c>
      <c r="V112" s="104">
        <f t="shared" si="68"/>
        <v>0</v>
      </c>
      <c r="W112" s="104">
        <f t="shared" si="68"/>
        <v>0</v>
      </c>
      <c r="X112" s="104">
        <f t="shared" si="68"/>
        <v>0</v>
      </c>
      <c r="Y112" s="104">
        <f t="shared" si="68"/>
        <v>0</v>
      </c>
      <c r="Z112" s="104">
        <f t="shared" si="68"/>
        <v>0</v>
      </c>
      <c r="AA112" s="104">
        <f t="shared" si="68"/>
        <v>0</v>
      </c>
      <c r="AB112" s="104">
        <f t="shared" si="68"/>
        <v>0</v>
      </c>
      <c r="AC112" s="104">
        <f t="shared" si="68"/>
        <v>0</v>
      </c>
      <c r="AD112" s="104">
        <f t="shared" si="68"/>
        <v>0</v>
      </c>
      <c r="AE112" s="104">
        <f t="shared" si="68"/>
        <v>0</v>
      </c>
      <c r="AF112" s="104">
        <f t="shared" si="68"/>
        <v>0</v>
      </c>
      <c r="AG112" s="84">
        <f t="shared" si="61"/>
        <v>0</v>
      </c>
      <c r="AH112" s="105" t="str">
        <f t="shared" si="62"/>
        <v/>
      </c>
      <c r="AJ112" s="84">
        <f t="shared" si="63"/>
        <v>0</v>
      </c>
    </row>
    <row r="113" spans="1:36" x14ac:dyDescent="0.3">
      <c r="A113" s="113" t="s">
        <v>199</v>
      </c>
      <c r="B113" s="84">
        <f>IFERROR(SUMIF([2]Jan26A!$A:$A,$A113,INDEX([2]Jan26A!$A:$N,0,MATCH($A$1,[2]Jan26A!$A$7:$N$7,0))),0)</f>
        <v>0</v>
      </c>
      <c r="C113" s="84">
        <f>IFERROR(SUMIF([2]Feb26A!$A:$A,$A113,INDEX([2]Feb26A!$A:$N,0,MATCH($A$1,[2]Feb26A!$A$7:$N$7,0))),0)</f>
        <v>0</v>
      </c>
      <c r="D113" s="84">
        <f>IFERROR(SUMIF([2]Mar26A!$A:$A,$A113,INDEX([2]Mar26A!$A:$N,0,MATCH($A$1,[2]Mar26A!$A$7:$N$7,0))),0)</f>
        <v>0</v>
      </c>
      <c r="E113" s="84">
        <f>IFERROR(SUMIF([2]Apr26A!$A:$A,$A113,INDEX([2]Apr26A!$A:$N,0,MATCH($A$1,[2]Apr26A!$A$7:$N$7,0))),0)</f>
        <v>0</v>
      </c>
      <c r="F113" s="84">
        <f>IFERROR(SUMIF([2]May26A!$A:$A,$A113,INDEX([2]May26A!$A:$N,0,MATCH($A$1,[2]May26A!$A$7:$N$7,0))),0)</f>
        <v>0</v>
      </c>
      <c r="G113" s="84">
        <f>IFERROR(SUMIF([2]Jun26A!$A:$A,$A113,INDEX([2]Jun26A!$A:$N,0,MATCH($A$1,[2]Jun26A!$A$7:$N$7,0))),0)</f>
        <v>0</v>
      </c>
      <c r="H113" s="84">
        <f>IFERROR(SUMIF([2]Jul26A!$A:$A,$A113,INDEX([2]Jul26A!$A:$N,0,MATCH($A$1,[2]Jul26A!$A$7:$N$7,0))),0)</f>
        <v>0</v>
      </c>
      <c r="I113" s="84">
        <f>IFERROR(SUMIF([2]Aug26A!$A:$A,$A113,INDEX([2]Aug26A!$A:$N,0,MATCH($A$1,[2]Aug26A!$A$7:$N$7,0))),0)</f>
        <v>0</v>
      </c>
      <c r="J113" s="117">
        <v>0</v>
      </c>
      <c r="K113" s="117">
        <v>0</v>
      </c>
      <c r="L113" s="117">
        <v>0</v>
      </c>
      <c r="M113" s="117">
        <v>0</v>
      </c>
      <c r="N113" s="84">
        <f t="shared" si="58"/>
        <v>0</v>
      </c>
      <c r="O113" s="105" t="str">
        <f t="shared" si="59"/>
        <v/>
      </c>
      <c r="P113" s="84"/>
      <c r="Q113" s="84"/>
      <c r="R113" s="106" t="s">
        <v>99</v>
      </c>
      <c r="S113" s="107">
        <v>0</v>
      </c>
      <c r="T113" s="108">
        <v>0.05</v>
      </c>
      <c r="U113" s="104">
        <f t="shared" si="68"/>
        <v>0</v>
      </c>
      <c r="V113" s="104">
        <f t="shared" si="68"/>
        <v>0</v>
      </c>
      <c r="W113" s="104">
        <f t="shared" si="68"/>
        <v>0</v>
      </c>
      <c r="X113" s="104">
        <f t="shared" si="68"/>
        <v>0</v>
      </c>
      <c r="Y113" s="104">
        <f t="shared" si="68"/>
        <v>0</v>
      </c>
      <c r="Z113" s="104">
        <f t="shared" si="68"/>
        <v>0</v>
      </c>
      <c r="AA113" s="104">
        <f t="shared" si="68"/>
        <v>0</v>
      </c>
      <c r="AB113" s="104">
        <f t="shared" si="68"/>
        <v>0</v>
      </c>
      <c r="AC113" s="104">
        <f t="shared" si="68"/>
        <v>0</v>
      </c>
      <c r="AD113" s="104">
        <f t="shared" si="68"/>
        <v>0</v>
      </c>
      <c r="AE113" s="104">
        <f t="shared" si="68"/>
        <v>0</v>
      </c>
      <c r="AF113" s="104">
        <f t="shared" si="68"/>
        <v>0</v>
      </c>
      <c r="AG113" s="84">
        <f t="shared" si="61"/>
        <v>0</v>
      </c>
      <c r="AH113" s="105" t="str">
        <f t="shared" si="62"/>
        <v/>
      </c>
      <c r="AJ113" s="84">
        <f t="shared" si="63"/>
        <v>0</v>
      </c>
    </row>
    <row r="114" spans="1:36" x14ac:dyDescent="0.3">
      <c r="A114" s="113" t="s">
        <v>200</v>
      </c>
      <c r="B114" s="84">
        <f>IFERROR(SUMIF([2]Jan26A!$A:$A,$A114,INDEX([2]Jan26A!$A:$N,0,MATCH($A$1,[2]Jan26A!$A$7:$N$7,0))),0)</f>
        <v>0</v>
      </c>
      <c r="C114" s="84">
        <f>IFERROR(SUMIF([2]Feb26A!$A:$A,$A114,INDEX([2]Feb26A!$A:$N,0,MATCH($A$1,[2]Feb26A!$A$7:$N$7,0))),0)</f>
        <v>0</v>
      </c>
      <c r="D114" s="84">
        <f>IFERROR(SUMIF([2]Mar26A!$A:$A,$A114,INDEX([2]Mar26A!$A:$N,0,MATCH($A$1,[2]Mar26A!$A$7:$N$7,0))),0)</f>
        <v>0</v>
      </c>
      <c r="E114" s="84">
        <f>IFERROR(SUMIF([2]Apr26A!$A:$A,$A114,INDEX([2]Apr26A!$A:$N,0,MATCH($A$1,[2]Apr26A!$A$7:$N$7,0))),0)</f>
        <v>0</v>
      </c>
      <c r="F114" s="84">
        <f>IFERROR(SUMIF([2]May26A!$A:$A,$A114,INDEX([2]May26A!$A:$N,0,MATCH($A$1,[2]May26A!$A$7:$N$7,0))),0)</f>
        <v>0</v>
      </c>
      <c r="G114" s="84">
        <f>IFERROR(SUMIF([2]Jun26A!$A:$A,$A114,INDEX([2]Jun26A!$A:$N,0,MATCH($A$1,[2]Jun26A!$A$7:$N$7,0))),0)</f>
        <v>0</v>
      </c>
      <c r="H114" s="84">
        <f>IFERROR(SUMIF([2]Jul26A!$A:$A,$A114,INDEX([2]Jul26A!$A:$N,0,MATCH($A$1,[2]Jul26A!$A$7:$N$7,0))),0)</f>
        <v>0</v>
      </c>
      <c r="I114" s="84">
        <f>IFERROR(SUMIF([2]Aug26A!$A:$A,$A114,INDEX([2]Aug26A!$A:$N,0,MATCH($A$1,[2]Aug26A!$A$7:$N$7,0))),0)</f>
        <v>0</v>
      </c>
      <c r="J114" s="117">
        <v>0</v>
      </c>
      <c r="K114" s="117">
        <v>0</v>
      </c>
      <c r="L114" s="117">
        <v>0</v>
      </c>
      <c r="M114" s="117">
        <v>0</v>
      </c>
      <c r="N114" s="84">
        <f t="shared" si="58"/>
        <v>0</v>
      </c>
      <c r="O114" s="105" t="str">
        <f t="shared" si="59"/>
        <v/>
      </c>
      <c r="P114" s="84"/>
      <c r="Q114" s="84"/>
      <c r="R114" s="106" t="s">
        <v>99</v>
      </c>
      <c r="S114" s="107">
        <v>0</v>
      </c>
      <c r="T114" s="108">
        <v>0.05</v>
      </c>
      <c r="U114" s="104">
        <f t="shared" si="68"/>
        <v>0</v>
      </c>
      <c r="V114" s="104">
        <f t="shared" si="68"/>
        <v>0</v>
      </c>
      <c r="W114" s="104">
        <f t="shared" si="68"/>
        <v>0</v>
      </c>
      <c r="X114" s="104">
        <f t="shared" si="68"/>
        <v>0</v>
      </c>
      <c r="Y114" s="104">
        <f t="shared" si="68"/>
        <v>0</v>
      </c>
      <c r="Z114" s="104">
        <f t="shared" si="68"/>
        <v>0</v>
      </c>
      <c r="AA114" s="104">
        <f t="shared" si="68"/>
        <v>0</v>
      </c>
      <c r="AB114" s="104">
        <f t="shared" si="68"/>
        <v>0</v>
      </c>
      <c r="AC114" s="104">
        <f t="shared" si="68"/>
        <v>0</v>
      </c>
      <c r="AD114" s="104">
        <f t="shared" si="68"/>
        <v>0</v>
      </c>
      <c r="AE114" s="104">
        <f t="shared" si="68"/>
        <v>0</v>
      </c>
      <c r="AF114" s="104">
        <f t="shared" si="68"/>
        <v>0</v>
      </c>
      <c r="AG114" s="84">
        <f t="shared" si="61"/>
        <v>0</v>
      </c>
      <c r="AH114" s="105" t="str">
        <f t="shared" si="62"/>
        <v/>
      </c>
      <c r="AJ114" s="84">
        <f t="shared" si="63"/>
        <v>0</v>
      </c>
    </row>
    <row r="115" spans="1:36" x14ac:dyDescent="0.3">
      <c r="A115" s="113" t="s">
        <v>201</v>
      </c>
      <c r="B115" s="84">
        <f>IFERROR(SUMIF([2]Jan26A!$A:$A,$A115,INDEX([2]Jan26A!$A:$N,0,MATCH($A$1,[2]Jan26A!$A$7:$N$7,0))),0)</f>
        <v>0</v>
      </c>
      <c r="C115" s="84">
        <f>IFERROR(SUMIF([2]Feb26A!$A:$A,$A115,INDEX([2]Feb26A!$A:$N,0,MATCH($A$1,[2]Feb26A!$A$7:$N$7,0))),0)</f>
        <v>0</v>
      </c>
      <c r="D115" s="84">
        <f>IFERROR(SUMIF([2]Mar26A!$A:$A,$A115,INDEX([2]Mar26A!$A:$N,0,MATCH($A$1,[2]Mar26A!$A$7:$N$7,0))),0)</f>
        <v>0</v>
      </c>
      <c r="E115" s="84">
        <f>IFERROR(SUMIF([2]Apr26A!$A:$A,$A115,INDEX([2]Apr26A!$A:$N,0,MATCH($A$1,[2]Apr26A!$A$7:$N$7,0))),0)</f>
        <v>0</v>
      </c>
      <c r="F115" s="84">
        <f>IFERROR(SUMIF([2]May26A!$A:$A,$A115,INDEX([2]May26A!$A:$N,0,MATCH($A$1,[2]May26A!$A$7:$N$7,0))),0)</f>
        <v>0</v>
      </c>
      <c r="G115" s="84">
        <f>IFERROR(SUMIF([2]Jun26A!$A:$A,$A115,INDEX([2]Jun26A!$A:$N,0,MATCH($A$1,[2]Jun26A!$A$7:$N$7,0))),0)</f>
        <v>0</v>
      </c>
      <c r="H115" s="84">
        <f>IFERROR(SUMIF([2]Jul26A!$A:$A,$A115,INDEX([2]Jul26A!$A:$N,0,MATCH($A$1,[2]Jul26A!$A$7:$N$7,0))),0)</f>
        <v>0</v>
      </c>
      <c r="I115" s="84">
        <f>IFERROR(SUMIF([2]Aug26A!$A:$A,$A115,INDEX([2]Aug26A!$A:$N,0,MATCH($A$1,[2]Aug26A!$A$7:$N$7,0))),0)</f>
        <v>0</v>
      </c>
      <c r="J115" s="117">
        <v>0</v>
      </c>
      <c r="K115" s="117">
        <v>0</v>
      </c>
      <c r="L115" s="117">
        <v>0</v>
      </c>
      <c r="M115" s="117">
        <v>0</v>
      </c>
      <c r="N115" s="84">
        <f t="shared" si="58"/>
        <v>0</v>
      </c>
      <c r="O115" s="105" t="str">
        <f t="shared" si="59"/>
        <v/>
      </c>
      <c r="P115" s="84"/>
      <c r="Q115" s="84"/>
      <c r="R115" s="106" t="s">
        <v>99</v>
      </c>
      <c r="S115" s="107">
        <v>0</v>
      </c>
      <c r="T115" s="108">
        <v>0.05</v>
      </c>
      <c r="U115" s="104">
        <f t="shared" si="68"/>
        <v>0</v>
      </c>
      <c r="V115" s="104">
        <f t="shared" si="68"/>
        <v>0</v>
      </c>
      <c r="W115" s="104">
        <f t="shared" si="68"/>
        <v>0</v>
      </c>
      <c r="X115" s="104">
        <f t="shared" si="68"/>
        <v>0</v>
      </c>
      <c r="Y115" s="104">
        <f t="shared" si="68"/>
        <v>0</v>
      </c>
      <c r="Z115" s="104">
        <f t="shared" si="68"/>
        <v>0</v>
      </c>
      <c r="AA115" s="104">
        <f t="shared" si="68"/>
        <v>0</v>
      </c>
      <c r="AB115" s="104">
        <f t="shared" si="68"/>
        <v>0</v>
      </c>
      <c r="AC115" s="104">
        <f t="shared" si="68"/>
        <v>0</v>
      </c>
      <c r="AD115" s="104">
        <f t="shared" si="68"/>
        <v>0</v>
      </c>
      <c r="AE115" s="104">
        <f t="shared" si="68"/>
        <v>0</v>
      </c>
      <c r="AF115" s="104">
        <f t="shared" si="68"/>
        <v>0</v>
      </c>
      <c r="AG115" s="84">
        <f t="shared" si="61"/>
        <v>0</v>
      </c>
      <c r="AH115" s="105" t="str">
        <f t="shared" si="62"/>
        <v/>
      </c>
      <c r="AJ115" s="84">
        <f t="shared" si="63"/>
        <v>0</v>
      </c>
    </row>
    <row r="116" spans="1:36" x14ac:dyDescent="0.3">
      <c r="A116" s="114" t="s">
        <v>202</v>
      </c>
      <c r="B116" s="110">
        <f t="shared" ref="B116:M116" si="69">B73+SUM(B74:B80)+B87+SUM(B88:B115)</f>
        <v>46455.180000000008</v>
      </c>
      <c r="C116" s="110">
        <f t="shared" si="69"/>
        <v>41015.369999999995</v>
      </c>
      <c r="D116" s="110">
        <f t="shared" si="69"/>
        <v>74591.090000000011</v>
      </c>
      <c r="E116" s="110">
        <f t="shared" si="69"/>
        <v>102796.99999999999</v>
      </c>
      <c r="F116" s="110">
        <f t="shared" si="69"/>
        <v>116105.57999999999</v>
      </c>
      <c r="G116" s="110">
        <f t="shared" si="69"/>
        <v>134734.06</v>
      </c>
      <c r="H116" s="110">
        <f t="shared" si="69"/>
        <v>65078.170000000006</v>
      </c>
      <c r="I116" s="110">
        <f t="shared" si="69"/>
        <v>72711.350000000006</v>
      </c>
      <c r="J116" s="110">
        <f t="shared" si="69"/>
        <v>117839</v>
      </c>
      <c r="K116" s="110">
        <f t="shared" si="69"/>
        <v>138733</v>
      </c>
      <c r="L116" s="110">
        <f t="shared" si="69"/>
        <v>144373</v>
      </c>
      <c r="M116" s="110">
        <f t="shared" si="69"/>
        <v>141373</v>
      </c>
      <c r="N116" s="110">
        <f t="shared" si="58"/>
        <v>1195805.7999999998</v>
      </c>
      <c r="O116" s="111" t="str">
        <f t="shared" si="59"/>
        <v/>
      </c>
      <c r="P116" s="84"/>
      <c r="Q116" s="84"/>
      <c r="R116" s="112"/>
      <c r="S116" s="112"/>
      <c r="T116" s="112"/>
      <c r="U116" s="110">
        <f t="shared" ref="U116:AF116" si="70">U73+SUM(U74:U80)+U87+SUM(U88:U115)</f>
        <v>75184.408772700015</v>
      </c>
      <c r="V116" s="110">
        <f t="shared" si="70"/>
        <v>75184.408772700015</v>
      </c>
      <c r="W116" s="110">
        <f t="shared" si="70"/>
        <v>75184.408772700015</v>
      </c>
      <c r="X116" s="110">
        <f t="shared" si="70"/>
        <v>75184.408772700015</v>
      </c>
      <c r="Y116" s="110">
        <f t="shared" si="70"/>
        <v>75184.408772700015</v>
      </c>
      <c r="Z116" s="110">
        <f t="shared" si="70"/>
        <v>75184.408772700015</v>
      </c>
      <c r="AA116" s="110">
        <f t="shared" si="70"/>
        <v>75184.408772700015</v>
      </c>
      <c r="AB116" s="110">
        <f t="shared" si="70"/>
        <v>75184.408772700015</v>
      </c>
      <c r="AC116" s="110">
        <f t="shared" si="70"/>
        <v>75184.408772700015</v>
      </c>
      <c r="AD116" s="110">
        <f t="shared" si="70"/>
        <v>77439.941035881013</v>
      </c>
      <c r="AE116" s="110">
        <f t="shared" si="70"/>
        <v>77439.941035881013</v>
      </c>
      <c r="AF116" s="110">
        <f t="shared" si="70"/>
        <v>77439.941035881013</v>
      </c>
      <c r="AG116" s="110">
        <f t="shared" si="61"/>
        <v>908979.50206194329</v>
      </c>
      <c r="AH116" s="111" t="str">
        <f t="shared" si="62"/>
        <v/>
      </c>
      <c r="AJ116" s="110">
        <f t="shared" si="63"/>
        <v>286826.29793805652</v>
      </c>
    </row>
    <row r="117" spans="1:36" x14ac:dyDescent="0.3">
      <c r="A117" s="122" t="s">
        <v>203</v>
      </c>
      <c r="B117" s="110">
        <f t="shared" ref="B117:M117" si="71">B64-B116</f>
        <v>-56010.400000000009</v>
      </c>
      <c r="C117" s="110">
        <f t="shared" si="71"/>
        <v>-46181.749999999993</v>
      </c>
      <c r="D117" s="110">
        <f t="shared" si="71"/>
        <v>-83484.13</v>
      </c>
      <c r="E117" s="110">
        <f t="shared" si="71"/>
        <v>-109548.92999999998</v>
      </c>
      <c r="F117" s="110">
        <f t="shared" si="71"/>
        <v>-133089.37999999998</v>
      </c>
      <c r="G117" s="110">
        <f t="shared" si="71"/>
        <v>-138267.06</v>
      </c>
      <c r="H117" s="110">
        <f t="shared" si="71"/>
        <v>-68900.930000000008</v>
      </c>
      <c r="I117" s="110">
        <f t="shared" si="71"/>
        <v>-79794.05</v>
      </c>
      <c r="J117" s="110">
        <f t="shared" si="71"/>
        <v>-134139</v>
      </c>
      <c r="K117" s="110">
        <f t="shared" si="71"/>
        <v>-155033</v>
      </c>
      <c r="L117" s="110">
        <f t="shared" si="71"/>
        <v>-156273</v>
      </c>
      <c r="M117" s="110">
        <f t="shared" si="71"/>
        <v>-151073</v>
      </c>
      <c r="N117" s="110">
        <f t="shared" si="58"/>
        <v>-1311794.6299999999</v>
      </c>
      <c r="O117" s="111" t="str">
        <f>IFERROR(N117/N$16,"")</f>
        <v/>
      </c>
      <c r="P117" s="84"/>
      <c r="Q117" s="84"/>
      <c r="R117" s="112"/>
      <c r="S117" s="112"/>
      <c r="T117" s="112"/>
      <c r="U117" s="110">
        <f t="shared" ref="U117:AF117" si="72">U64-U116</f>
        <v>-75184.408772700015</v>
      </c>
      <c r="V117" s="110">
        <f t="shared" si="72"/>
        <v>-75184.408772700015</v>
      </c>
      <c r="W117" s="110">
        <f t="shared" si="72"/>
        <v>-75184.408772700015</v>
      </c>
      <c r="X117" s="110">
        <f t="shared" si="72"/>
        <v>-75184.408772700015</v>
      </c>
      <c r="Y117" s="110">
        <f t="shared" si="72"/>
        <v>-75184.408772700015</v>
      </c>
      <c r="Z117" s="110">
        <f t="shared" si="72"/>
        <v>-75184.408772700015</v>
      </c>
      <c r="AA117" s="110">
        <f t="shared" si="72"/>
        <v>-75184.408772700015</v>
      </c>
      <c r="AB117" s="110">
        <f t="shared" si="72"/>
        <v>-75184.408772700015</v>
      </c>
      <c r="AC117" s="110">
        <f t="shared" si="72"/>
        <v>-75184.408772700015</v>
      </c>
      <c r="AD117" s="110">
        <f t="shared" si="72"/>
        <v>-77439.941035881013</v>
      </c>
      <c r="AE117" s="110">
        <f t="shared" si="72"/>
        <v>-77439.941035881013</v>
      </c>
      <c r="AF117" s="110">
        <f t="shared" si="72"/>
        <v>-77439.941035881013</v>
      </c>
      <c r="AG117" s="110">
        <f t="shared" si="61"/>
        <v>-908979.50206194329</v>
      </c>
      <c r="AH117" s="111" t="str">
        <f>IFERROR(AG117/AG$16,"")</f>
        <v/>
      </c>
      <c r="AJ117" s="110">
        <f>AG117-N117</f>
        <v>402815.1279380566</v>
      </c>
    </row>
    <row r="118" spans="1:36" x14ac:dyDescent="0.3">
      <c r="A118" s="100" t="s">
        <v>204</v>
      </c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105"/>
      <c r="P118" s="84"/>
      <c r="Q118" s="84"/>
      <c r="R118" s="112"/>
      <c r="S118" s="112"/>
      <c r="T118" s="112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105"/>
      <c r="AJ118" s="84"/>
    </row>
    <row r="119" spans="1:36" x14ac:dyDescent="0.3">
      <c r="A119" s="101" t="s">
        <v>205</v>
      </c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105"/>
      <c r="P119" s="84"/>
      <c r="Q119" s="84"/>
      <c r="R119" s="112"/>
      <c r="S119" s="112"/>
      <c r="T119" s="112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105"/>
      <c r="AJ119" s="84"/>
    </row>
    <row r="120" spans="1:36" x14ac:dyDescent="0.3">
      <c r="A120" s="113" t="s">
        <v>206</v>
      </c>
      <c r="B120" s="84">
        <f>IFERROR(SUMIF([2]Jan26A!$A:$A,$A120,INDEX([2]Jan26A!$A:$N,0,MATCH($A$1,[2]Jan26A!$A$7:$N$7,0))),0)</f>
        <v>0</v>
      </c>
      <c r="C120" s="84">
        <f>IFERROR(SUMIF([2]Feb26A!$A:$A,$A120,INDEX([2]Feb26A!$A:$N,0,MATCH($A$1,[2]Feb26A!$A$7:$N$7,0))),0)</f>
        <v>0</v>
      </c>
      <c r="D120" s="84">
        <f>IFERROR(SUMIF([2]Mar26A!$A:$A,$A120,INDEX([2]Mar26A!$A:$N,0,MATCH($A$1,[2]Mar26A!$A$7:$N$7,0))),0)</f>
        <v>0</v>
      </c>
      <c r="E120" s="84">
        <f>IFERROR(SUMIF([2]Apr26A!$A:$A,$A120,INDEX([2]Apr26A!$A:$N,0,MATCH($A$1,[2]Apr26A!$A$7:$N$7,0))),0)</f>
        <v>0</v>
      </c>
      <c r="F120" s="84">
        <f>IFERROR(SUMIF([2]May26A!$A:$A,$A120,INDEX([2]May26A!$A:$N,0,MATCH($A$1,[2]May26A!$A$7:$N$7,0))),0)</f>
        <v>0</v>
      </c>
      <c r="G120" s="84">
        <f>IFERROR(SUMIF([2]Jun26A!$A:$A,$A120,INDEX([2]Jun26A!$A:$N,0,MATCH($A$1,[2]Jun26A!$A$7:$N$7,0))),0)</f>
        <v>0</v>
      </c>
      <c r="H120" s="84">
        <f>IFERROR(SUMIF([2]Jul26A!$A:$A,$A120,INDEX([2]Jul26A!$A:$N,0,MATCH($A$1,[2]Jul26A!$A$7:$N$7,0))),0)</f>
        <v>0</v>
      </c>
      <c r="I120" s="84">
        <f>IFERROR(SUMIF([2]Aug26A!$A:$A,$A120,INDEX([2]Aug26A!$A:$N,0,MATCH($A$1,[2]Aug26A!$A$7:$N$7,0))),0)</f>
        <v>0</v>
      </c>
      <c r="J120" s="117">
        <v>0</v>
      </c>
      <c r="K120" s="117">
        <v>0</v>
      </c>
      <c r="L120" s="117">
        <v>0</v>
      </c>
      <c r="M120" s="117">
        <v>0</v>
      </c>
      <c r="N120" s="84">
        <f>SUM(B120:M120)</f>
        <v>0</v>
      </c>
      <c r="O120" s="105" t="str">
        <f>IFERROR(N120/N$16,"")</f>
        <v/>
      </c>
      <c r="P120" s="84"/>
      <c r="Q120" s="84"/>
      <c r="R120" s="106" t="s">
        <v>99</v>
      </c>
      <c r="S120" s="107">
        <v>0</v>
      </c>
      <c r="T120" s="108">
        <v>0.05</v>
      </c>
      <c r="U120" s="104">
        <f t="shared" ref="U120:AF121" si="73">IF($R120="Manual","",IFERROR(IF($R120="YOY Growth",$N120*(1+$T120)/12,$S120/12),""))</f>
        <v>0</v>
      </c>
      <c r="V120" s="104">
        <f t="shared" si="73"/>
        <v>0</v>
      </c>
      <c r="W120" s="104">
        <f t="shared" si="73"/>
        <v>0</v>
      </c>
      <c r="X120" s="104">
        <f t="shared" si="73"/>
        <v>0</v>
      </c>
      <c r="Y120" s="104">
        <f t="shared" si="73"/>
        <v>0</v>
      </c>
      <c r="Z120" s="104">
        <f t="shared" si="73"/>
        <v>0</v>
      </c>
      <c r="AA120" s="104">
        <f t="shared" si="73"/>
        <v>0</v>
      </c>
      <c r="AB120" s="104">
        <f t="shared" si="73"/>
        <v>0</v>
      </c>
      <c r="AC120" s="104">
        <f t="shared" si="73"/>
        <v>0</v>
      </c>
      <c r="AD120" s="104">
        <f t="shared" si="73"/>
        <v>0</v>
      </c>
      <c r="AE120" s="104">
        <f t="shared" si="73"/>
        <v>0</v>
      </c>
      <c r="AF120" s="104">
        <f t="shared" si="73"/>
        <v>0</v>
      </c>
      <c r="AG120" s="84">
        <f>SUM(U120:AF120)</f>
        <v>0</v>
      </c>
      <c r="AH120" s="105" t="str">
        <f>IFERROR(AG120/AG$16,"")</f>
        <v/>
      </c>
      <c r="AJ120" s="84">
        <f>AG120-N120</f>
        <v>0</v>
      </c>
    </row>
    <row r="121" spans="1:36" x14ac:dyDescent="0.3">
      <c r="A121" s="113" t="s">
        <v>207</v>
      </c>
      <c r="B121" s="84">
        <f>IFERROR(SUMIF([2]Jan26A!$A:$A,$A121,INDEX([2]Jan26A!$A:$N,0,MATCH($A$1,[2]Jan26A!$A$7:$N$7,0))),0)</f>
        <v>0</v>
      </c>
      <c r="C121" s="84">
        <f>IFERROR(SUMIF([2]Feb26A!$A:$A,$A121,INDEX([2]Feb26A!$A:$N,0,MATCH($A$1,[2]Feb26A!$A$7:$N$7,0))),0)</f>
        <v>0</v>
      </c>
      <c r="D121" s="84">
        <f>IFERROR(SUMIF([2]Mar26A!$A:$A,$A121,INDEX([2]Mar26A!$A:$N,0,MATCH($A$1,[2]Mar26A!$A$7:$N$7,0))),0)</f>
        <v>0</v>
      </c>
      <c r="E121" s="84">
        <f>IFERROR(SUMIF([2]Apr26A!$A:$A,$A121,INDEX([2]Apr26A!$A:$N,0,MATCH($A$1,[2]Apr26A!$A$7:$N$7,0))),0)</f>
        <v>0</v>
      </c>
      <c r="F121" s="84">
        <f>IFERROR(SUMIF([2]May26A!$A:$A,$A121,INDEX([2]May26A!$A:$N,0,MATCH($A$1,[2]May26A!$A$7:$N$7,0))),0)</f>
        <v>0</v>
      </c>
      <c r="G121" s="84">
        <f>IFERROR(SUMIF([2]Jun26A!$A:$A,$A121,INDEX([2]Jun26A!$A:$N,0,MATCH($A$1,[2]Jun26A!$A$7:$N$7,0))),0)</f>
        <v>0</v>
      </c>
      <c r="H121" s="84">
        <f>IFERROR(SUMIF([2]Jul26A!$A:$A,$A121,INDEX([2]Jul26A!$A:$N,0,MATCH($A$1,[2]Jul26A!$A$7:$N$7,0))),0)</f>
        <v>0</v>
      </c>
      <c r="I121" s="84">
        <f>IFERROR(SUMIF([2]Aug26A!$A:$A,$A121,INDEX([2]Aug26A!$A:$N,0,MATCH($A$1,[2]Aug26A!$A$7:$N$7,0))),0)</f>
        <v>0</v>
      </c>
      <c r="J121" s="117">
        <v>0</v>
      </c>
      <c r="K121" s="117">
        <v>0</v>
      </c>
      <c r="L121" s="117">
        <v>0</v>
      </c>
      <c r="M121" s="117">
        <v>0</v>
      </c>
      <c r="N121" s="84">
        <f>SUM(B121:M121)</f>
        <v>0</v>
      </c>
      <c r="O121" s="105" t="str">
        <f>IFERROR(N121/N$16,"")</f>
        <v/>
      </c>
      <c r="P121" s="84"/>
      <c r="Q121" s="84"/>
      <c r="R121" s="106" t="s">
        <v>99</v>
      </c>
      <c r="S121" s="107">
        <v>0</v>
      </c>
      <c r="T121" s="108">
        <v>0.05</v>
      </c>
      <c r="U121" s="104">
        <f t="shared" si="73"/>
        <v>0</v>
      </c>
      <c r="V121" s="104">
        <f t="shared" si="73"/>
        <v>0</v>
      </c>
      <c r="W121" s="104">
        <f t="shared" si="73"/>
        <v>0</v>
      </c>
      <c r="X121" s="104">
        <f t="shared" si="73"/>
        <v>0</v>
      </c>
      <c r="Y121" s="104">
        <f t="shared" si="73"/>
        <v>0</v>
      </c>
      <c r="Z121" s="104">
        <f t="shared" si="73"/>
        <v>0</v>
      </c>
      <c r="AA121" s="104">
        <f t="shared" si="73"/>
        <v>0</v>
      </c>
      <c r="AB121" s="104">
        <f t="shared" si="73"/>
        <v>0</v>
      </c>
      <c r="AC121" s="104">
        <f t="shared" si="73"/>
        <v>0</v>
      </c>
      <c r="AD121" s="104">
        <f t="shared" si="73"/>
        <v>0</v>
      </c>
      <c r="AE121" s="104">
        <f t="shared" si="73"/>
        <v>0</v>
      </c>
      <c r="AF121" s="104">
        <f t="shared" si="73"/>
        <v>0</v>
      </c>
      <c r="AG121" s="84">
        <f>SUM(U121:AF121)</f>
        <v>0</v>
      </c>
      <c r="AH121" s="105" t="str">
        <f>IFERROR(AG121/AG$16,"")</f>
        <v/>
      </c>
      <c r="AJ121" s="84">
        <f>AG121-N121</f>
        <v>0</v>
      </c>
    </row>
    <row r="122" spans="1:36" x14ac:dyDescent="0.3">
      <c r="A122" s="114" t="s">
        <v>208</v>
      </c>
      <c r="B122" s="110">
        <f t="shared" ref="B122:M122" si="74">SUM(B120:B121)</f>
        <v>0</v>
      </c>
      <c r="C122" s="110">
        <f t="shared" si="74"/>
        <v>0</v>
      </c>
      <c r="D122" s="110">
        <f t="shared" si="74"/>
        <v>0</v>
      </c>
      <c r="E122" s="110">
        <f t="shared" si="74"/>
        <v>0</v>
      </c>
      <c r="F122" s="110">
        <f t="shared" si="74"/>
        <v>0</v>
      </c>
      <c r="G122" s="110">
        <f t="shared" si="74"/>
        <v>0</v>
      </c>
      <c r="H122" s="110">
        <f t="shared" si="74"/>
        <v>0</v>
      </c>
      <c r="I122" s="110">
        <f t="shared" si="74"/>
        <v>0</v>
      </c>
      <c r="J122" s="110">
        <f t="shared" si="74"/>
        <v>0</v>
      </c>
      <c r="K122" s="110">
        <f t="shared" si="74"/>
        <v>0</v>
      </c>
      <c r="L122" s="110">
        <f t="shared" si="74"/>
        <v>0</v>
      </c>
      <c r="M122" s="110">
        <f t="shared" si="74"/>
        <v>0</v>
      </c>
      <c r="N122" s="110">
        <f>SUM(B122:M122)</f>
        <v>0</v>
      </c>
      <c r="O122" s="111" t="str">
        <f>IFERROR(N122/N$16,"")</f>
        <v/>
      </c>
      <c r="P122" s="84"/>
      <c r="Q122" s="84"/>
      <c r="R122" s="112"/>
      <c r="S122" s="112"/>
      <c r="T122" s="112"/>
      <c r="U122" s="110">
        <f t="shared" ref="U122:AF122" si="75">SUM(U120:U121)</f>
        <v>0</v>
      </c>
      <c r="V122" s="110">
        <f t="shared" si="75"/>
        <v>0</v>
      </c>
      <c r="W122" s="110">
        <f t="shared" si="75"/>
        <v>0</v>
      </c>
      <c r="X122" s="110">
        <f t="shared" si="75"/>
        <v>0</v>
      </c>
      <c r="Y122" s="110">
        <f t="shared" si="75"/>
        <v>0</v>
      </c>
      <c r="Z122" s="110">
        <f t="shared" si="75"/>
        <v>0</v>
      </c>
      <c r="AA122" s="110">
        <f t="shared" si="75"/>
        <v>0</v>
      </c>
      <c r="AB122" s="110">
        <f t="shared" si="75"/>
        <v>0</v>
      </c>
      <c r="AC122" s="110">
        <f t="shared" si="75"/>
        <v>0</v>
      </c>
      <c r="AD122" s="110">
        <f t="shared" si="75"/>
        <v>0</v>
      </c>
      <c r="AE122" s="110">
        <f t="shared" si="75"/>
        <v>0</v>
      </c>
      <c r="AF122" s="110">
        <f t="shared" si="75"/>
        <v>0</v>
      </c>
      <c r="AG122" s="110">
        <f>SUM(U122:AF122)</f>
        <v>0</v>
      </c>
      <c r="AH122" s="111" t="str">
        <f>IFERROR(AG122/AG$16,"")</f>
        <v/>
      </c>
      <c r="AJ122" s="110">
        <f>AG122-N122</f>
        <v>0</v>
      </c>
    </row>
    <row r="123" spans="1:36" x14ac:dyDescent="0.3">
      <c r="A123" s="101" t="s">
        <v>209</v>
      </c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105"/>
      <c r="P123" s="84"/>
      <c r="Q123" s="84"/>
      <c r="R123" s="112"/>
      <c r="S123" s="112"/>
      <c r="T123" s="112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105"/>
      <c r="AJ123" s="84"/>
    </row>
    <row r="124" spans="1:36" x14ac:dyDescent="0.3">
      <c r="A124" s="161" t="s">
        <v>210</v>
      </c>
      <c r="B124" s="84">
        <f>IFERROR(SUMIF([2]Jan26A!$A:$A,$A124,INDEX([2]Jan26A!$A:$N,0,MATCH($A$1,[2]Jan26A!$A$7:$N$7,0))),0)</f>
        <v>0</v>
      </c>
      <c r="C124" s="84">
        <f>IFERROR(SUMIF([2]Feb26A!$A:$A,$A124,INDEX([2]Feb26A!$A:$N,0,MATCH($A$1,[2]Feb26A!$A$7:$N$7,0))),0)</f>
        <v>0</v>
      </c>
      <c r="D124" s="84">
        <f>IFERROR(SUMIF([2]Mar26A!$A:$A,$A124,INDEX([2]Mar26A!$A:$N,0,MATCH($A$1,[2]Mar26A!$A$7:$N$7,0))),0)</f>
        <v>0</v>
      </c>
      <c r="E124" s="84">
        <f>IFERROR(SUMIF([2]Apr26A!$A:$A,$A124,INDEX([2]Apr26A!$A:$N,0,MATCH($A$1,[2]Apr26A!$A$7:$N$7,0))),0)</f>
        <v>0</v>
      </c>
      <c r="F124" s="84">
        <f>IFERROR(SUMIF([2]May26A!$A:$A,$A124,INDEX([2]May26A!$A:$N,0,MATCH($A$1,[2]May26A!$A$7:$N$7,0))),0)</f>
        <v>0</v>
      </c>
      <c r="G124" s="84">
        <f>IFERROR(SUMIF([2]Jun26A!$A:$A,$A124,INDEX([2]Jun26A!$A:$N,0,MATCH($A$1,[2]Jun26A!$A$7:$N$7,0))),0)</f>
        <v>0</v>
      </c>
      <c r="H124" s="84">
        <f>IFERROR(SUMIF([2]Jul26A!$A:$A,$A124,INDEX([2]Jul26A!$A:$N,0,MATCH($A$1,[2]Jul26A!$A$7:$N$7,0))),0)</f>
        <v>0</v>
      </c>
      <c r="I124" s="84">
        <f>IFERROR(SUMIF([2]Aug26A!$A:$A,$A124,INDEX([2]Aug26A!$A:$N,0,MATCH($A$1,[2]Aug26A!$A$7:$N$7,0))),0)</f>
        <v>0</v>
      </c>
      <c r="J124" s="117"/>
      <c r="K124" s="117"/>
      <c r="L124" s="117"/>
      <c r="M124" s="117"/>
      <c r="N124" s="84">
        <v>0</v>
      </c>
      <c r="O124" s="105" t="str">
        <f t="shared" ref="O124:O132" si="76">IFERROR(N124/N$16,"")</f>
        <v/>
      </c>
      <c r="P124" s="84"/>
      <c r="Q124" s="84"/>
      <c r="R124" s="106" t="s">
        <v>99</v>
      </c>
      <c r="S124" s="107">
        <v>0</v>
      </c>
      <c r="T124" s="108">
        <v>0.05</v>
      </c>
      <c r="U124" s="104">
        <f t="shared" ref="U124:AF129" si="77">IF($R124="Manual","",IFERROR(IF($R124="YOY Growth",$N124*(1+$T124)/12,$S124/12),""))</f>
        <v>0</v>
      </c>
      <c r="V124" s="104">
        <f t="shared" si="77"/>
        <v>0</v>
      </c>
      <c r="W124" s="104">
        <f t="shared" si="77"/>
        <v>0</v>
      </c>
      <c r="X124" s="104">
        <f t="shared" si="77"/>
        <v>0</v>
      </c>
      <c r="Y124" s="104">
        <f t="shared" si="77"/>
        <v>0</v>
      </c>
      <c r="Z124" s="104">
        <f t="shared" si="77"/>
        <v>0</v>
      </c>
      <c r="AA124" s="104">
        <f t="shared" si="77"/>
        <v>0</v>
      </c>
      <c r="AB124" s="104">
        <f t="shared" si="77"/>
        <v>0</v>
      </c>
      <c r="AC124" s="104">
        <f t="shared" si="77"/>
        <v>0</v>
      </c>
      <c r="AD124" s="104">
        <f t="shared" si="77"/>
        <v>0</v>
      </c>
      <c r="AE124" s="104">
        <f t="shared" si="77"/>
        <v>0</v>
      </c>
      <c r="AF124" s="104">
        <f t="shared" si="77"/>
        <v>0</v>
      </c>
      <c r="AG124" s="84">
        <f t="shared" ref="AG124:AG132" si="78">SUM(U124:AF124)</f>
        <v>0</v>
      </c>
      <c r="AH124" s="105" t="str">
        <f t="shared" ref="AH124:AH132" si="79">IFERROR(AG124/AG$16,"")</f>
        <v/>
      </c>
      <c r="AJ124" s="84">
        <f>N124-AG124</f>
        <v>0</v>
      </c>
    </row>
    <row r="125" spans="1:36" x14ac:dyDescent="0.3">
      <c r="A125" s="113" t="s">
        <v>211</v>
      </c>
      <c r="B125" s="84">
        <f>IFERROR(SUMIF([2]Jan26A!$A:$A,$A125,INDEX([2]Jan26A!$A:$N,0,MATCH($A$1,[2]Jan26A!$A$7:$N$7,0))),0)</f>
        <v>0</v>
      </c>
      <c r="C125" s="84">
        <f>IFERROR(SUMIF([2]Feb26A!$A:$A,$A125,INDEX([2]Feb26A!$A:$N,0,MATCH($A$1,[2]Feb26A!$A$7:$N$7,0))),0)</f>
        <v>0</v>
      </c>
      <c r="D125" s="84">
        <f>IFERROR(SUMIF([2]Mar26A!$A:$A,$A125,INDEX([2]Mar26A!$A:$N,0,MATCH($A$1,[2]Mar26A!$A$7:$N$7,0))),0)</f>
        <v>0</v>
      </c>
      <c r="E125" s="84">
        <f>IFERROR(SUMIF([2]Apr26A!$A:$A,$A125,INDEX([2]Apr26A!$A:$N,0,MATCH($A$1,[2]Apr26A!$A$7:$N$7,0))),0)</f>
        <v>0</v>
      </c>
      <c r="F125" s="84">
        <f>IFERROR(SUMIF([2]May26A!$A:$A,$A125,INDEX([2]May26A!$A:$N,0,MATCH($A$1,[2]May26A!$A$7:$N$7,0))),0)</f>
        <v>0</v>
      </c>
      <c r="G125" s="84">
        <f>IFERROR(SUMIF([2]Jun26A!$A:$A,$A125,INDEX([2]Jun26A!$A:$N,0,MATCH($A$1,[2]Jun26A!$A$7:$N$7,0))),0)</f>
        <v>0</v>
      </c>
      <c r="H125" s="84">
        <f>IFERROR(SUMIF([2]Jul26A!$A:$A,$A125,INDEX([2]Jul26A!$A:$N,0,MATCH($A$1,[2]Jul26A!$A$7:$N$7,0))),0)</f>
        <v>0</v>
      </c>
      <c r="I125" s="84">
        <f>IFERROR(SUMIF([2]Aug26A!$A:$A,$A125,INDEX([2]Aug26A!$A:$N,0,MATCH($A$1,[2]Aug26A!$A$7:$N$7,0))),0)</f>
        <v>0</v>
      </c>
      <c r="J125" s="117">
        <v>0</v>
      </c>
      <c r="K125" s="117">
        <v>0</v>
      </c>
      <c r="L125" s="117">
        <v>0</v>
      </c>
      <c r="M125" s="117">
        <v>0</v>
      </c>
      <c r="N125" s="84">
        <f t="shared" ref="N125:N132" si="80">SUM(B125:M125)</f>
        <v>0</v>
      </c>
      <c r="O125" s="105" t="str">
        <f t="shared" si="76"/>
        <v/>
      </c>
      <c r="P125" s="84"/>
      <c r="Q125" s="84"/>
      <c r="R125" s="106" t="s">
        <v>99</v>
      </c>
      <c r="S125" s="107">
        <v>0</v>
      </c>
      <c r="T125" s="108">
        <v>0.05</v>
      </c>
      <c r="U125" s="104">
        <f t="shared" si="77"/>
        <v>0</v>
      </c>
      <c r="V125" s="104">
        <f t="shared" si="77"/>
        <v>0</v>
      </c>
      <c r="W125" s="104">
        <f t="shared" si="77"/>
        <v>0</v>
      </c>
      <c r="X125" s="104">
        <f t="shared" si="77"/>
        <v>0</v>
      </c>
      <c r="Y125" s="104">
        <f t="shared" si="77"/>
        <v>0</v>
      </c>
      <c r="Z125" s="104">
        <f t="shared" si="77"/>
        <v>0</v>
      </c>
      <c r="AA125" s="104">
        <f t="shared" si="77"/>
        <v>0</v>
      </c>
      <c r="AB125" s="104">
        <f t="shared" si="77"/>
        <v>0</v>
      </c>
      <c r="AC125" s="104">
        <f t="shared" si="77"/>
        <v>0</v>
      </c>
      <c r="AD125" s="104">
        <f t="shared" si="77"/>
        <v>0</v>
      </c>
      <c r="AE125" s="104">
        <f t="shared" si="77"/>
        <v>0</v>
      </c>
      <c r="AF125" s="104">
        <f t="shared" si="77"/>
        <v>0</v>
      </c>
      <c r="AG125" s="84">
        <f t="shared" si="78"/>
        <v>0</v>
      </c>
      <c r="AH125" s="105" t="str">
        <f t="shared" si="79"/>
        <v/>
      </c>
      <c r="AJ125" s="84">
        <f>N125-AG125</f>
        <v>0</v>
      </c>
    </row>
    <row r="126" spans="1:36" x14ac:dyDescent="0.3">
      <c r="A126" s="113" t="s">
        <v>212</v>
      </c>
      <c r="B126" s="84">
        <f>IFERROR(SUMIF([2]Jan26A!$A:$A,$A126,INDEX([2]Jan26A!$A:$N,0,MATCH($A$1,[2]Jan26A!$A$7:$N$7,0))),0)</f>
        <v>0</v>
      </c>
      <c r="C126" s="84">
        <f>IFERROR(SUMIF([2]Feb26A!$A:$A,$A126,INDEX([2]Feb26A!$A:$N,0,MATCH($A$1,[2]Feb26A!$A$7:$N$7,0))),0)</f>
        <v>0</v>
      </c>
      <c r="D126" s="84">
        <f>IFERROR(SUMIF([2]Mar26A!$A:$A,$A126,INDEX([2]Mar26A!$A:$N,0,MATCH($A$1,[2]Mar26A!$A$7:$N$7,0))),0)</f>
        <v>0</v>
      </c>
      <c r="E126" s="84">
        <f>IFERROR(SUMIF([2]Apr26A!$A:$A,$A126,INDEX([2]Apr26A!$A:$N,0,MATCH($A$1,[2]Apr26A!$A$7:$N$7,0))),0)</f>
        <v>0</v>
      </c>
      <c r="F126" s="84">
        <f>IFERROR(SUMIF([2]May26A!$A:$A,$A126,INDEX([2]May26A!$A:$N,0,MATCH($A$1,[2]May26A!$A$7:$N$7,0))),0)</f>
        <v>0</v>
      </c>
      <c r="G126" s="84">
        <f>IFERROR(SUMIF([2]Jun26A!$A:$A,$A126,INDEX([2]Jun26A!$A:$N,0,MATCH($A$1,[2]Jun26A!$A$7:$N$7,0))),0)</f>
        <v>0</v>
      </c>
      <c r="H126" s="84">
        <f>IFERROR(SUMIF([2]Jul26A!$A:$A,$A126,INDEX([2]Jul26A!$A:$N,0,MATCH($A$1,[2]Jul26A!$A$7:$N$7,0))),0)</f>
        <v>0</v>
      </c>
      <c r="I126" s="84">
        <f>IFERROR(SUMIF([2]Aug26A!$A:$A,$A126,INDEX([2]Aug26A!$A:$N,0,MATCH($A$1,[2]Aug26A!$A$7:$N$7,0))),0)</f>
        <v>0</v>
      </c>
      <c r="J126" s="117">
        <v>0</v>
      </c>
      <c r="K126" s="117">
        <v>0</v>
      </c>
      <c r="L126" s="117">
        <v>0</v>
      </c>
      <c r="M126" s="117">
        <v>0</v>
      </c>
      <c r="N126" s="84">
        <f t="shared" si="80"/>
        <v>0</v>
      </c>
      <c r="O126" s="105" t="str">
        <f t="shared" si="76"/>
        <v/>
      </c>
      <c r="P126" s="84"/>
      <c r="Q126" s="84"/>
      <c r="R126" s="106" t="s">
        <v>99</v>
      </c>
      <c r="S126" s="107">
        <v>0</v>
      </c>
      <c r="T126" s="108">
        <v>0.05</v>
      </c>
      <c r="U126" s="104">
        <f t="shared" si="77"/>
        <v>0</v>
      </c>
      <c r="V126" s="104">
        <f t="shared" si="77"/>
        <v>0</v>
      </c>
      <c r="W126" s="104">
        <f t="shared" si="77"/>
        <v>0</v>
      </c>
      <c r="X126" s="104">
        <f t="shared" si="77"/>
        <v>0</v>
      </c>
      <c r="Y126" s="104">
        <f t="shared" si="77"/>
        <v>0</v>
      </c>
      <c r="Z126" s="104">
        <f t="shared" si="77"/>
        <v>0</v>
      </c>
      <c r="AA126" s="104">
        <f t="shared" si="77"/>
        <v>0</v>
      </c>
      <c r="AB126" s="104">
        <f t="shared" si="77"/>
        <v>0</v>
      </c>
      <c r="AC126" s="104">
        <f t="shared" si="77"/>
        <v>0</v>
      </c>
      <c r="AD126" s="104">
        <f t="shared" si="77"/>
        <v>0</v>
      </c>
      <c r="AE126" s="104">
        <f t="shared" si="77"/>
        <v>0</v>
      </c>
      <c r="AF126" s="104">
        <f t="shared" si="77"/>
        <v>0</v>
      </c>
      <c r="AG126" s="84">
        <f t="shared" si="78"/>
        <v>0</v>
      </c>
      <c r="AH126" s="105" t="str">
        <f t="shared" si="79"/>
        <v/>
      </c>
      <c r="AJ126" s="84">
        <f>N126-AG126</f>
        <v>0</v>
      </c>
    </row>
    <row r="127" spans="1:36" x14ac:dyDescent="0.3">
      <c r="A127" s="113" t="s">
        <v>213</v>
      </c>
      <c r="B127" s="84">
        <f>IFERROR(SUMIF([2]Jan26A!$A:$A,$A127,INDEX([2]Jan26A!$A:$N,0,MATCH($A$1,[2]Jan26A!$A$7:$N$7,0))),0)</f>
        <v>0</v>
      </c>
      <c r="C127" s="84">
        <f>IFERROR(SUMIF([2]Feb26A!$A:$A,$A127,INDEX([2]Feb26A!$A:$N,0,MATCH($A$1,[2]Feb26A!$A$7:$N$7,0))),0)</f>
        <v>0</v>
      </c>
      <c r="D127" s="84">
        <f>IFERROR(SUMIF([2]Mar26A!$A:$A,$A127,INDEX([2]Mar26A!$A:$N,0,MATCH($A$1,[2]Mar26A!$A$7:$N$7,0))),0)</f>
        <v>0</v>
      </c>
      <c r="E127" s="84">
        <f>IFERROR(SUMIF([2]Apr26A!$A:$A,$A127,INDEX([2]Apr26A!$A:$N,0,MATCH($A$1,[2]Apr26A!$A$7:$N$7,0))),0)</f>
        <v>0</v>
      </c>
      <c r="F127" s="84">
        <f>IFERROR(SUMIF([2]May26A!$A:$A,$A127,INDEX([2]May26A!$A:$N,0,MATCH($A$1,[2]May26A!$A$7:$N$7,0))),0)</f>
        <v>0</v>
      </c>
      <c r="G127" s="84">
        <f>IFERROR(SUMIF([2]Jun26A!$A:$A,$A127,INDEX([2]Jun26A!$A:$N,0,MATCH($A$1,[2]Jun26A!$A$7:$N$7,0))),0)</f>
        <v>0</v>
      </c>
      <c r="H127" s="84">
        <f>IFERROR(SUMIF([2]Jul26A!$A:$A,$A127,INDEX([2]Jul26A!$A:$N,0,MATCH($A$1,[2]Jul26A!$A$7:$N$7,0))),0)</f>
        <v>0</v>
      </c>
      <c r="I127" s="84">
        <f>IFERROR(SUMIF([2]Aug26A!$A:$A,$A127,INDEX([2]Aug26A!$A:$N,0,MATCH($A$1,[2]Aug26A!$A$7:$N$7,0))),0)</f>
        <v>0</v>
      </c>
      <c r="J127" s="117"/>
      <c r="K127" s="117"/>
      <c r="L127" s="117"/>
      <c r="M127" s="117"/>
      <c r="N127" s="84"/>
      <c r="O127" s="105"/>
      <c r="P127" s="84"/>
      <c r="Q127" s="84"/>
      <c r="R127" s="106" t="s">
        <v>99</v>
      </c>
      <c r="S127" s="107">
        <v>0</v>
      </c>
      <c r="T127" s="108">
        <v>0.05</v>
      </c>
      <c r="U127" s="104">
        <f t="shared" si="77"/>
        <v>0</v>
      </c>
      <c r="V127" s="104">
        <f t="shared" si="77"/>
        <v>0</v>
      </c>
      <c r="W127" s="104">
        <f t="shared" si="77"/>
        <v>0</v>
      </c>
      <c r="X127" s="104">
        <f t="shared" si="77"/>
        <v>0</v>
      </c>
      <c r="Y127" s="104">
        <f t="shared" si="77"/>
        <v>0</v>
      </c>
      <c r="Z127" s="104">
        <f t="shared" si="77"/>
        <v>0</v>
      </c>
      <c r="AA127" s="104">
        <f t="shared" si="77"/>
        <v>0</v>
      </c>
      <c r="AB127" s="104">
        <f t="shared" si="77"/>
        <v>0</v>
      </c>
      <c r="AC127" s="104">
        <f t="shared" si="77"/>
        <v>0</v>
      </c>
      <c r="AD127" s="104">
        <f t="shared" si="77"/>
        <v>0</v>
      </c>
      <c r="AE127" s="104">
        <f t="shared" si="77"/>
        <v>0</v>
      </c>
      <c r="AF127" s="104">
        <f t="shared" si="77"/>
        <v>0</v>
      </c>
      <c r="AG127" s="84"/>
      <c r="AH127" s="105"/>
      <c r="AJ127" s="84"/>
    </row>
    <row r="128" spans="1:36" x14ac:dyDescent="0.3">
      <c r="A128" s="113" t="s">
        <v>214</v>
      </c>
      <c r="B128" s="84">
        <f>IFERROR(SUMIF([2]Jan26A!$A:$A,$A128,INDEX([2]Jan26A!$A:$N,0,MATCH($A$1,[2]Jan26A!$A$7:$N$7,0))),0)</f>
        <v>0</v>
      </c>
      <c r="C128" s="84">
        <f>IFERROR(SUMIF([2]Feb26A!$A:$A,$A128,INDEX([2]Feb26A!$A:$N,0,MATCH($A$1,[2]Feb26A!$A$7:$N$7,0))),0)</f>
        <v>0</v>
      </c>
      <c r="D128" s="84">
        <f>IFERROR(SUMIF([2]Mar26A!$A:$A,$A128,INDEX([2]Mar26A!$A:$N,0,MATCH($A$1,[2]Mar26A!$A$7:$N$7,0))),0)</f>
        <v>0</v>
      </c>
      <c r="E128" s="84">
        <f>IFERROR(SUMIF([2]Apr26A!$A:$A,$A128,INDEX([2]Apr26A!$A:$N,0,MATCH($A$1,[2]Apr26A!$A$7:$N$7,0))),0)</f>
        <v>0</v>
      </c>
      <c r="F128" s="84">
        <f>IFERROR(SUMIF([2]May26A!$A:$A,$A128,INDEX([2]May26A!$A:$N,0,MATCH($A$1,[2]May26A!$A$7:$N$7,0))),0)</f>
        <v>0</v>
      </c>
      <c r="G128" s="84">
        <f>IFERROR(SUMIF([2]Jun26A!$A:$A,$A128,INDEX([2]Jun26A!$A:$N,0,MATCH($A$1,[2]Jun26A!$A$7:$N$7,0))),0)</f>
        <v>0</v>
      </c>
      <c r="H128" s="84">
        <f>IFERROR(SUMIF([2]Jul26A!$A:$A,$A128,INDEX([2]Jul26A!$A:$N,0,MATCH($A$1,[2]Jul26A!$A$7:$N$7,0))),0)</f>
        <v>0</v>
      </c>
      <c r="I128" s="84">
        <f>IFERROR(SUMIF([2]Aug26A!$A:$A,$A128,INDEX([2]Aug26A!$A:$N,0,MATCH($A$1,[2]Aug26A!$A$7:$N$7,0))),0)</f>
        <v>0</v>
      </c>
      <c r="J128" s="117">
        <v>0</v>
      </c>
      <c r="K128" s="117">
        <v>0</v>
      </c>
      <c r="L128" s="117">
        <v>0</v>
      </c>
      <c r="M128" s="117">
        <v>0</v>
      </c>
      <c r="N128" s="84">
        <f t="shared" si="80"/>
        <v>0</v>
      </c>
      <c r="O128" s="105" t="str">
        <f t="shared" si="76"/>
        <v/>
      </c>
      <c r="P128" s="84"/>
      <c r="Q128" s="84"/>
      <c r="R128" s="106" t="s">
        <v>99</v>
      </c>
      <c r="S128" s="107">
        <v>0</v>
      </c>
      <c r="T128" s="108">
        <v>0.05</v>
      </c>
      <c r="U128" s="104">
        <f t="shared" si="77"/>
        <v>0</v>
      </c>
      <c r="V128" s="104">
        <f t="shared" si="77"/>
        <v>0</v>
      </c>
      <c r="W128" s="104">
        <f t="shared" si="77"/>
        <v>0</v>
      </c>
      <c r="X128" s="104">
        <f t="shared" si="77"/>
        <v>0</v>
      </c>
      <c r="Y128" s="104">
        <f t="shared" si="77"/>
        <v>0</v>
      </c>
      <c r="Z128" s="104">
        <f t="shared" si="77"/>
        <v>0</v>
      </c>
      <c r="AA128" s="104">
        <f t="shared" si="77"/>
        <v>0</v>
      </c>
      <c r="AB128" s="104">
        <f t="shared" si="77"/>
        <v>0</v>
      </c>
      <c r="AC128" s="104">
        <f t="shared" si="77"/>
        <v>0</v>
      </c>
      <c r="AD128" s="104">
        <f t="shared" si="77"/>
        <v>0</v>
      </c>
      <c r="AE128" s="104">
        <f t="shared" si="77"/>
        <v>0</v>
      </c>
      <c r="AF128" s="104">
        <f t="shared" si="77"/>
        <v>0</v>
      </c>
      <c r="AG128" s="84">
        <f t="shared" si="78"/>
        <v>0</v>
      </c>
      <c r="AH128" s="105" t="str">
        <f t="shared" si="79"/>
        <v/>
      </c>
      <c r="AJ128" s="84">
        <f>N128-AG128</f>
        <v>0</v>
      </c>
    </row>
    <row r="129" spans="1:36" x14ac:dyDescent="0.3">
      <c r="A129" s="113" t="s">
        <v>215</v>
      </c>
      <c r="B129" s="84">
        <f>IFERROR(SUMIF([2]Jan26A!$A:$A,$A129,INDEX([2]Jan26A!$A:$N,0,MATCH($A$1,[2]Jan26A!$A$7:$N$7,0))),0)</f>
        <v>0</v>
      </c>
      <c r="C129" s="84">
        <f>IFERROR(SUMIF([2]Feb26A!$A:$A,$A129,INDEX([2]Feb26A!$A:$N,0,MATCH($A$1,[2]Feb26A!$A$7:$N$7,0))),0)</f>
        <v>0</v>
      </c>
      <c r="D129" s="84">
        <f>IFERROR(SUMIF([2]Mar26A!$A:$A,$A129,INDEX([2]Mar26A!$A:$N,0,MATCH($A$1,[2]Mar26A!$A$7:$N$7,0))),0)</f>
        <v>0</v>
      </c>
      <c r="E129" s="84">
        <f>IFERROR(SUMIF([2]Apr26A!$A:$A,$A129,INDEX([2]Apr26A!$A:$N,0,MATCH($A$1,[2]Apr26A!$A$7:$N$7,0))),0)</f>
        <v>0</v>
      </c>
      <c r="F129" s="84">
        <f>IFERROR(SUMIF([2]May26A!$A:$A,$A129,INDEX([2]May26A!$A:$N,0,MATCH($A$1,[2]May26A!$A$7:$N$7,0))),0)</f>
        <v>0</v>
      </c>
      <c r="G129" s="84">
        <f>IFERROR(SUMIF([2]Jun26A!$A:$A,$A129,INDEX([2]Jun26A!$A:$N,0,MATCH($A$1,[2]Jun26A!$A$7:$N$7,0))),0)</f>
        <v>0</v>
      </c>
      <c r="H129" s="84">
        <f>IFERROR(SUMIF([2]Jul26A!$A:$A,$A129,INDEX([2]Jul26A!$A:$N,0,MATCH($A$1,[2]Jul26A!$A$7:$N$7,0))),0)</f>
        <v>0</v>
      </c>
      <c r="I129" s="84">
        <f>IFERROR(SUMIF([2]Aug26A!$A:$A,$A129,INDEX([2]Aug26A!$A:$N,0,MATCH($A$1,[2]Aug26A!$A$7:$N$7,0))),0)</f>
        <v>0</v>
      </c>
      <c r="J129" s="117">
        <v>0</v>
      </c>
      <c r="K129" s="117">
        <v>0</v>
      </c>
      <c r="L129" s="117">
        <v>0</v>
      </c>
      <c r="M129" s="117">
        <v>0</v>
      </c>
      <c r="N129" s="84">
        <f t="shared" si="80"/>
        <v>0</v>
      </c>
      <c r="O129" s="105" t="str">
        <f t="shared" si="76"/>
        <v/>
      </c>
      <c r="P129" s="84"/>
      <c r="Q129" s="84"/>
      <c r="R129" s="106" t="s">
        <v>99</v>
      </c>
      <c r="S129" s="107">
        <v>0</v>
      </c>
      <c r="T129" s="108">
        <v>0.05</v>
      </c>
      <c r="U129" s="104">
        <f t="shared" si="77"/>
        <v>0</v>
      </c>
      <c r="V129" s="104">
        <f t="shared" si="77"/>
        <v>0</v>
      </c>
      <c r="W129" s="104">
        <f t="shared" si="77"/>
        <v>0</v>
      </c>
      <c r="X129" s="104">
        <f t="shared" si="77"/>
        <v>0</v>
      </c>
      <c r="Y129" s="104">
        <f t="shared" si="77"/>
        <v>0</v>
      </c>
      <c r="Z129" s="104">
        <f t="shared" si="77"/>
        <v>0</v>
      </c>
      <c r="AA129" s="104">
        <f t="shared" si="77"/>
        <v>0</v>
      </c>
      <c r="AB129" s="104">
        <f t="shared" si="77"/>
        <v>0</v>
      </c>
      <c r="AC129" s="104">
        <f t="shared" si="77"/>
        <v>0</v>
      </c>
      <c r="AD129" s="104">
        <f t="shared" si="77"/>
        <v>0</v>
      </c>
      <c r="AE129" s="104">
        <f t="shared" si="77"/>
        <v>0</v>
      </c>
      <c r="AF129" s="104">
        <f t="shared" si="77"/>
        <v>0</v>
      </c>
      <c r="AG129" s="84">
        <f t="shared" si="78"/>
        <v>0</v>
      </c>
      <c r="AH129" s="105" t="str">
        <f t="shared" si="79"/>
        <v/>
      </c>
      <c r="AJ129" s="84">
        <f>N129-AG129</f>
        <v>0</v>
      </c>
    </row>
    <row r="130" spans="1:36" x14ac:dyDescent="0.3">
      <c r="A130" s="114" t="s">
        <v>216</v>
      </c>
      <c r="B130" s="110">
        <f t="shared" ref="B130:M130" si="81">SUM(B124:B129)</f>
        <v>0</v>
      </c>
      <c r="C130" s="110">
        <f t="shared" si="81"/>
        <v>0</v>
      </c>
      <c r="D130" s="110">
        <f t="shared" si="81"/>
        <v>0</v>
      </c>
      <c r="E130" s="110">
        <f t="shared" si="81"/>
        <v>0</v>
      </c>
      <c r="F130" s="110">
        <f t="shared" si="81"/>
        <v>0</v>
      </c>
      <c r="G130" s="110">
        <f t="shared" si="81"/>
        <v>0</v>
      </c>
      <c r="H130" s="110">
        <f t="shared" si="81"/>
        <v>0</v>
      </c>
      <c r="I130" s="110">
        <f t="shared" si="81"/>
        <v>0</v>
      </c>
      <c r="J130" s="110">
        <f t="shared" si="81"/>
        <v>0</v>
      </c>
      <c r="K130" s="110">
        <f t="shared" si="81"/>
        <v>0</v>
      </c>
      <c r="L130" s="110">
        <f t="shared" si="81"/>
        <v>0</v>
      </c>
      <c r="M130" s="110">
        <f t="shared" si="81"/>
        <v>0</v>
      </c>
      <c r="N130" s="110">
        <f t="shared" si="80"/>
        <v>0</v>
      </c>
      <c r="O130" s="111" t="str">
        <f t="shared" si="76"/>
        <v/>
      </c>
      <c r="P130" s="84"/>
      <c r="Q130" s="84"/>
      <c r="R130" s="112"/>
      <c r="S130" s="112"/>
      <c r="T130" s="112"/>
      <c r="U130" s="110">
        <f t="shared" ref="U130:AF130" si="82">SUM(U124:U129)</f>
        <v>0</v>
      </c>
      <c r="V130" s="110">
        <f t="shared" si="82"/>
        <v>0</v>
      </c>
      <c r="W130" s="110">
        <f t="shared" si="82"/>
        <v>0</v>
      </c>
      <c r="X130" s="110">
        <f t="shared" si="82"/>
        <v>0</v>
      </c>
      <c r="Y130" s="110">
        <f t="shared" si="82"/>
        <v>0</v>
      </c>
      <c r="Z130" s="110">
        <f t="shared" si="82"/>
        <v>0</v>
      </c>
      <c r="AA130" s="110">
        <f t="shared" si="82"/>
        <v>0</v>
      </c>
      <c r="AB130" s="110">
        <f t="shared" si="82"/>
        <v>0</v>
      </c>
      <c r="AC130" s="110">
        <f t="shared" si="82"/>
        <v>0</v>
      </c>
      <c r="AD130" s="110">
        <f t="shared" si="82"/>
        <v>0</v>
      </c>
      <c r="AE130" s="110">
        <f t="shared" si="82"/>
        <v>0</v>
      </c>
      <c r="AF130" s="110">
        <f t="shared" si="82"/>
        <v>0</v>
      </c>
      <c r="AG130" s="110">
        <f t="shared" si="78"/>
        <v>0</v>
      </c>
      <c r="AH130" s="111" t="str">
        <f t="shared" si="79"/>
        <v/>
      </c>
      <c r="AJ130" s="110">
        <f>N130-AG130</f>
        <v>0</v>
      </c>
    </row>
    <row r="131" spans="1:36" x14ac:dyDescent="0.3">
      <c r="A131" s="122" t="s">
        <v>217</v>
      </c>
      <c r="B131" s="110">
        <f t="shared" ref="B131:M131" si="83">B122-B130</f>
        <v>0</v>
      </c>
      <c r="C131" s="110">
        <f t="shared" si="83"/>
        <v>0</v>
      </c>
      <c r="D131" s="110">
        <f t="shared" si="83"/>
        <v>0</v>
      </c>
      <c r="E131" s="110">
        <f t="shared" si="83"/>
        <v>0</v>
      </c>
      <c r="F131" s="110">
        <f t="shared" si="83"/>
        <v>0</v>
      </c>
      <c r="G131" s="110">
        <f t="shared" si="83"/>
        <v>0</v>
      </c>
      <c r="H131" s="110">
        <f t="shared" si="83"/>
        <v>0</v>
      </c>
      <c r="I131" s="110">
        <f t="shared" si="83"/>
        <v>0</v>
      </c>
      <c r="J131" s="110">
        <f t="shared" si="83"/>
        <v>0</v>
      </c>
      <c r="K131" s="110">
        <f t="shared" si="83"/>
        <v>0</v>
      </c>
      <c r="L131" s="110">
        <f t="shared" si="83"/>
        <v>0</v>
      </c>
      <c r="M131" s="110">
        <f t="shared" si="83"/>
        <v>0</v>
      </c>
      <c r="N131" s="110">
        <f t="shared" si="80"/>
        <v>0</v>
      </c>
      <c r="O131" s="111" t="str">
        <f t="shared" si="76"/>
        <v/>
      </c>
      <c r="P131" s="84"/>
      <c r="Q131" s="84"/>
      <c r="R131" s="112"/>
      <c r="S131" s="112"/>
      <c r="T131" s="112"/>
      <c r="U131" s="110">
        <f t="shared" ref="U131:AF131" si="84">U122-U130</f>
        <v>0</v>
      </c>
      <c r="V131" s="110">
        <f t="shared" si="84"/>
        <v>0</v>
      </c>
      <c r="W131" s="110">
        <f t="shared" si="84"/>
        <v>0</v>
      </c>
      <c r="X131" s="110">
        <f t="shared" si="84"/>
        <v>0</v>
      </c>
      <c r="Y131" s="110">
        <f t="shared" si="84"/>
        <v>0</v>
      </c>
      <c r="Z131" s="110">
        <f t="shared" si="84"/>
        <v>0</v>
      </c>
      <c r="AA131" s="110">
        <f t="shared" si="84"/>
        <v>0</v>
      </c>
      <c r="AB131" s="110">
        <f t="shared" si="84"/>
        <v>0</v>
      </c>
      <c r="AC131" s="110">
        <f t="shared" si="84"/>
        <v>0</v>
      </c>
      <c r="AD131" s="110">
        <f t="shared" si="84"/>
        <v>0</v>
      </c>
      <c r="AE131" s="110">
        <f t="shared" si="84"/>
        <v>0</v>
      </c>
      <c r="AF131" s="110">
        <f t="shared" si="84"/>
        <v>0</v>
      </c>
      <c r="AG131" s="110">
        <f t="shared" si="78"/>
        <v>0</v>
      </c>
      <c r="AH131" s="111" t="str">
        <f t="shared" si="79"/>
        <v/>
      </c>
      <c r="AJ131" s="110">
        <f>AG131-N131</f>
        <v>0</v>
      </c>
    </row>
    <row r="132" spans="1:36" ht="14.4" thickBot="1" x14ac:dyDescent="0.35">
      <c r="A132" s="122" t="s">
        <v>218</v>
      </c>
      <c r="B132" s="123">
        <f t="shared" ref="B132:M132" si="85">B117+B131</f>
        <v>-56010.400000000009</v>
      </c>
      <c r="C132" s="123">
        <f t="shared" si="85"/>
        <v>-46181.749999999993</v>
      </c>
      <c r="D132" s="123">
        <f t="shared" si="85"/>
        <v>-83484.13</v>
      </c>
      <c r="E132" s="123">
        <f t="shared" si="85"/>
        <v>-109548.92999999998</v>
      </c>
      <c r="F132" s="123">
        <f t="shared" si="85"/>
        <v>-133089.37999999998</v>
      </c>
      <c r="G132" s="123">
        <f t="shared" si="85"/>
        <v>-138267.06</v>
      </c>
      <c r="H132" s="123">
        <f t="shared" si="85"/>
        <v>-68900.930000000008</v>
      </c>
      <c r="I132" s="123">
        <f t="shared" si="85"/>
        <v>-79794.05</v>
      </c>
      <c r="J132" s="123">
        <f t="shared" si="85"/>
        <v>-134139</v>
      </c>
      <c r="K132" s="123">
        <f t="shared" si="85"/>
        <v>-155033</v>
      </c>
      <c r="L132" s="123">
        <f t="shared" si="85"/>
        <v>-156273</v>
      </c>
      <c r="M132" s="123">
        <f t="shared" si="85"/>
        <v>-151073</v>
      </c>
      <c r="N132" s="123">
        <f t="shared" si="80"/>
        <v>-1311794.6299999999</v>
      </c>
      <c r="O132" s="124" t="str">
        <f t="shared" si="76"/>
        <v/>
      </c>
      <c r="P132" s="84"/>
      <c r="Q132" s="84"/>
      <c r="R132" s="112"/>
      <c r="S132" s="112"/>
      <c r="T132" s="112"/>
      <c r="U132" s="123">
        <f t="shared" ref="U132:AF132" si="86">U117+U131</f>
        <v>-75184.408772700015</v>
      </c>
      <c r="V132" s="123">
        <f t="shared" si="86"/>
        <v>-75184.408772700015</v>
      </c>
      <c r="W132" s="123">
        <f t="shared" si="86"/>
        <v>-75184.408772700015</v>
      </c>
      <c r="X132" s="123">
        <f t="shared" si="86"/>
        <v>-75184.408772700015</v>
      </c>
      <c r="Y132" s="123">
        <f t="shared" si="86"/>
        <v>-75184.408772700015</v>
      </c>
      <c r="Z132" s="123">
        <f t="shared" si="86"/>
        <v>-75184.408772700015</v>
      </c>
      <c r="AA132" s="123">
        <f t="shared" si="86"/>
        <v>-75184.408772700015</v>
      </c>
      <c r="AB132" s="123">
        <f t="shared" si="86"/>
        <v>-75184.408772700015</v>
      </c>
      <c r="AC132" s="123">
        <f t="shared" si="86"/>
        <v>-75184.408772700015</v>
      </c>
      <c r="AD132" s="123">
        <f t="shared" si="86"/>
        <v>-77439.941035881013</v>
      </c>
      <c r="AE132" s="123">
        <f t="shared" si="86"/>
        <v>-77439.941035881013</v>
      </c>
      <c r="AF132" s="123">
        <f t="shared" si="86"/>
        <v>-77439.941035881013</v>
      </c>
      <c r="AG132" s="123">
        <f t="shared" si="78"/>
        <v>-908979.50206194329</v>
      </c>
      <c r="AH132" s="124" t="str">
        <f t="shared" si="79"/>
        <v/>
      </c>
      <c r="AJ132" s="123">
        <f>AG132-N132</f>
        <v>402815.1279380566</v>
      </c>
    </row>
    <row r="133" spans="1:36" ht="14.4" thickTop="1" x14ac:dyDescent="0.3">
      <c r="B133" s="163"/>
      <c r="C133" s="163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4"/>
      <c r="P133" s="163"/>
      <c r="Q133" s="163"/>
      <c r="R133" s="112"/>
      <c r="S133" s="112"/>
      <c r="T133" s="112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2"/>
      <c r="AH133" s="84"/>
    </row>
    <row r="134" spans="1:36" x14ac:dyDescent="0.3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105"/>
      <c r="P134" s="84"/>
      <c r="Q134" s="84"/>
      <c r="R134" s="112"/>
      <c r="S134" s="112"/>
      <c r="T134" s="112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</row>
    <row r="135" spans="1:36" x14ac:dyDescent="0.3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105"/>
      <c r="P135" s="84"/>
      <c r="Q135" s="84"/>
      <c r="R135" s="112"/>
      <c r="S135" s="112"/>
      <c r="T135" s="112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</row>
    <row r="136" spans="1:36" x14ac:dyDescent="0.3">
      <c r="B136" s="150"/>
      <c r="C136" s="150"/>
      <c r="D136" s="150"/>
      <c r="E136" s="150"/>
      <c r="F136" s="150"/>
      <c r="G136" s="150"/>
      <c r="H136" s="150"/>
      <c r="I136" s="150"/>
      <c r="J136" s="150"/>
      <c r="K136" s="150"/>
      <c r="L136" s="150"/>
      <c r="M136" s="150"/>
      <c r="N136" s="150"/>
      <c r="O136" s="105"/>
      <c r="P136" s="84"/>
      <c r="Q136" s="84"/>
      <c r="R136" s="112"/>
      <c r="S136" s="112"/>
      <c r="T136" s="112"/>
      <c r="U136" s="150"/>
      <c r="V136" s="150"/>
      <c r="W136" s="150"/>
      <c r="X136" s="150"/>
      <c r="Y136" s="150"/>
      <c r="Z136" s="150"/>
      <c r="AA136" s="150"/>
      <c r="AB136" s="150"/>
      <c r="AC136" s="150"/>
      <c r="AD136" s="150"/>
      <c r="AE136" s="150"/>
      <c r="AF136" s="150"/>
      <c r="AG136" s="150"/>
      <c r="AH136" s="84"/>
    </row>
    <row r="137" spans="1:36" x14ac:dyDescent="0.3">
      <c r="A137" s="125" t="s">
        <v>219</v>
      </c>
      <c r="B137" s="84">
        <f t="shared" ref="B137:N140" si="87">SUMIF($A$9:$A$132,"*"&amp;$A137&amp;"*",B$9:B$132)</f>
        <v>38333.32</v>
      </c>
      <c r="C137" s="84">
        <f t="shared" si="87"/>
        <v>27897.23</v>
      </c>
      <c r="D137" s="84">
        <f t="shared" si="87"/>
        <v>38333.32</v>
      </c>
      <c r="E137" s="84">
        <f t="shared" si="87"/>
        <v>48324.65</v>
      </c>
      <c r="F137" s="84">
        <f t="shared" si="87"/>
        <v>69698.22</v>
      </c>
      <c r="G137" s="84">
        <f t="shared" si="87"/>
        <v>57128.18</v>
      </c>
      <c r="H137" s="84">
        <f t="shared" si="87"/>
        <v>57596.54</v>
      </c>
      <c r="I137" s="84">
        <f t="shared" si="87"/>
        <v>62503.19</v>
      </c>
      <c r="J137" s="84">
        <f t="shared" si="87"/>
        <v>97900</v>
      </c>
      <c r="K137" s="84">
        <f t="shared" si="87"/>
        <v>116100</v>
      </c>
      <c r="L137" s="84">
        <f t="shared" si="87"/>
        <v>118400</v>
      </c>
      <c r="M137" s="84">
        <f t="shared" si="87"/>
        <v>118400</v>
      </c>
      <c r="N137" s="84">
        <f t="shared" si="87"/>
        <v>850614.64999999991</v>
      </c>
      <c r="O137" s="105"/>
      <c r="R137" s="112"/>
      <c r="S137" s="112"/>
      <c r="T137" s="112"/>
      <c r="U137" s="84">
        <f t="shared" ref="U137:AG140" si="88">SUMIF($A$9:$A$132,"*"&amp;$A137&amp;"*",U$9:U$132)</f>
        <v>67555.916666666672</v>
      </c>
      <c r="V137" s="84">
        <f t="shared" si="88"/>
        <v>67555.916666666672</v>
      </c>
      <c r="W137" s="84">
        <f t="shared" si="88"/>
        <v>67555.916666666672</v>
      </c>
      <c r="X137" s="84">
        <f t="shared" si="88"/>
        <v>67555.916666666672</v>
      </c>
      <c r="Y137" s="84">
        <f t="shared" si="88"/>
        <v>67555.916666666672</v>
      </c>
      <c r="Z137" s="84">
        <f t="shared" si="88"/>
        <v>67555.916666666672</v>
      </c>
      <c r="AA137" s="84">
        <f t="shared" si="88"/>
        <v>67555.916666666672</v>
      </c>
      <c r="AB137" s="84">
        <f t="shared" si="88"/>
        <v>67555.916666666672</v>
      </c>
      <c r="AC137" s="84">
        <f t="shared" si="88"/>
        <v>67555.916666666672</v>
      </c>
      <c r="AD137" s="84">
        <f t="shared" si="88"/>
        <v>69582.594166666662</v>
      </c>
      <c r="AE137" s="84">
        <f t="shared" si="88"/>
        <v>69582.594166666662</v>
      </c>
      <c r="AF137" s="84">
        <f t="shared" si="88"/>
        <v>69582.594166666662</v>
      </c>
      <c r="AG137" s="84">
        <f t="shared" si="88"/>
        <v>816751.03249999986</v>
      </c>
      <c r="AH137" s="162"/>
      <c r="AJ137" s="84"/>
    </row>
    <row r="138" spans="1:36" x14ac:dyDescent="0.3">
      <c r="A138" s="125" t="s">
        <v>220</v>
      </c>
      <c r="B138" s="84">
        <f t="shared" si="87"/>
        <v>0</v>
      </c>
      <c r="C138" s="84">
        <f t="shared" si="87"/>
        <v>0</v>
      </c>
      <c r="D138" s="84">
        <f t="shared" si="87"/>
        <v>0</v>
      </c>
      <c r="E138" s="84">
        <f t="shared" si="87"/>
        <v>0</v>
      </c>
      <c r="F138" s="84">
        <f t="shared" si="87"/>
        <v>0</v>
      </c>
      <c r="G138" s="84">
        <f t="shared" si="87"/>
        <v>0</v>
      </c>
      <c r="H138" s="84">
        <f t="shared" si="87"/>
        <v>0</v>
      </c>
      <c r="I138" s="84">
        <f t="shared" si="87"/>
        <v>0</v>
      </c>
      <c r="J138" s="84">
        <f t="shared" si="87"/>
        <v>0</v>
      </c>
      <c r="K138" s="84">
        <f t="shared" si="87"/>
        <v>0</v>
      </c>
      <c r="L138" s="84">
        <f t="shared" si="87"/>
        <v>0</v>
      </c>
      <c r="M138" s="84">
        <f t="shared" si="87"/>
        <v>0</v>
      </c>
      <c r="N138" s="84">
        <f t="shared" si="87"/>
        <v>0</v>
      </c>
      <c r="O138" s="150"/>
      <c r="P138" s="84"/>
      <c r="Q138" s="84"/>
      <c r="R138" s="112"/>
      <c r="S138" s="112"/>
      <c r="T138" s="112"/>
      <c r="U138" s="84">
        <f t="shared" si="88"/>
        <v>0</v>
      </c>
      <c r="V138" s="84">
        <f t="shared" si="88"/>
        <v>0</v>
      </c>
      <c r="W138" s="84">
        <f t="shared" si="88"/>
        <v>0</v>
      </c>
      <c r="X138" s="84">
        <f t="shared" si="88"/>
        <v>0</v>
      </c>
      <c r="Y138" s="84">
        <f t="shared" si="88"/>
        <v>0</v>
      </c>
      <c r="Z138" s="84">
        <f t="shared" si="88"/>
        <v>0</v>
      </c>
      <c r="AA138" s="84">
        <f t="shared" si="88"/>
        <v>0</v>
      </c>
      <c r="AB138" s="84">
        <f t="shared" si="88"/>
        <v>0</v>
      </c>
      <c r="AC138" s="84">
        <f t="shared" si="88"/>
        <v>0</v>
      </c>
      <c r="AD138" s="84">
        <f t="shared" si="88"/>
        <v>0</v>
      </c>
      <c r="AE138" s="84">
        <f t="shared" si="88"/>
        <v>0</v>
      </c>
      <c r="AF138" s="84">
        <f t="shared" si="88"/>
        <v>0</v>
      </c>
      <c r="AG138" s="84">
        <f t="shared" si="88"/>
        <v>0</v>
      </c>
      <c r="AH138" s="84"/>
    </row>
    <row r="139" spans="1:36" x14ac:dyDescent="0.3">
      <c r="A139" s="125" t="s">
        <v>21</v>
      </c>
      <c r="B139" s="84">
        <f t="shared" si="87"/>
        <v>2025.41</v>
      </c>
      <c r="C139" s="84">
        <f t="shared" si="87"/>
        <v>6652.05</v>
      </c>
      <c r="D139" s="84">
        <f t="shared" si="87"/>
        <v>1617.41</v>
      </c>
      <c r="E139" s="84">
        <f t="shared" si="87"/>
        <v>1966.43</v>
      </c>
      <c r="F139" s="84">
        <f t="shared" si="87"/>
        <v>2481.0300000000002</v>
      </c>
      <c r="G139" s="84">
        <f t="shared" si="87"/>
        <v>1978.27</v>
      </c>
      <c r="H139" s="84">
        <f t="shared" si="87"/>
        <v>1940.51</v>
      </c>
      <c r="I139" s="84">
        <f t="shared" si="87"/>
        <v>3746.33</v>
      </c>
      <c r="J139" s="84">
        <f t="shared" si="87"/>
        <v>3916</v>
      </c>
      <c r="K139" s="84">
        <f t="shared" si="87"/>
        <v>4644</v>
      </c>
      <c r="L139" s="84">
        <f t="shared" si="87"/>
        <v>4736</v>
      </c>
      <c r="M139" s="84">
        <f t="shared" si="87"/>
        <v>4736</v>
      </c>
      <c r="N139" s="84">
        <f t="shared" si="87"/>
        <v>40439.440000000002</v>
      </c>
      <c r="O139" s="150"/>
      <c r="P139" s="84"/>
      <c r="Q139" s="84"/>
      <c r="R139" s="112"/>
      <c r="S139" s="112"/>
      <c r="T139" s="112"/>
      <c r="U139" s="84">
        <f t="shared" si="88"/>
        <v>2748.9900332611483</v>
      </c>
      <c r="V139" s="84">
        <f t="shared" si="88"/>
        <v>2748.9900332611483</v>
      </c>
      <c r="W139" s="84">
        <f t="shared" si="88"/>
        <v>2748.9900332611483</v>
      </c>
      <c r="X139" s="84">
        <f t="shared" si="88"/>
        <v>2748.9900332611483</v>
      </c>
      <c r="Y139" s="84">
        <f t="shared" si="88"/>
        <v>2748.9900332611483</v>
      </c>
      <c r="Z139" s="84">
        <f t="shared" si="88"/>
        <v>2748.9900332611483</v>
      </c>
      <c r="AA139" s="84">
        <f t="shared" si="88"/>
        <v>2748.9900332611483</v>
      </c>
      <c r="AB139" s="84">
        <f t="shared" si="88"/>
        <v>2748.9900332611483</v>
      </c>
      <c r="AC139" s="84">
        <f t="shared" si="88"/>
        <v>2748.9900332611483</v>
      </c>
      <c r="AD139" s="84">
        <f t="shared" si="88"/>
        <v>2831.4597342589823</v>
      </c>
      <c r="AE139" s="84">
        <f t="shared" si="88"/>
        <v>2831.4597342589823</v>
      </c>
      <c r="AF139" s="84">
        <f t="shared" si="88"/>
        <v>2831.4597342589823</v>
      </c>
      <c r="AG139" s="84">
        <f t="shared" si="88"/>
        <v>33235.289502127278</v>
      </c>
      <c r="AH139" s="84"/>
      <c r="AJ139" s="84"/>
    </row>
    <row r="140" spans="1:36" x14ac:dyDescent="0.3">
      <c r="A140" s="125" t="s">
        <v>23</v>
      </c>
      <c r="B140" s="84">
        <f t="shared" si="87"/>
        <v>2047.73</v>
      </c>
      <c r="C140" s="84">
        <f t="shared" si="87"/>
        <v>5252.34</v>
      </c>
      <c r="D140" s="84">
        <f t="shared" si="87"/>
        <v>3981.87</v>
      </c>
      <c r="E140" s="84">
        <f t="shared" si="87"/>
        <v>4255.59</v>
      </c>
      <c r="F140" s="84">
        <f t="shared" si="87"/>
        <v>4157.09</v>
      </c>
      <c r="G140" s="84">
        <f t="shared" si="87"/>
        <v>4325.33</v>
      </c>
      <c r="H140" s="84">
        <f t="shared" si="87"/>
        <v>3959.5</v>
      </c>
      <c r="I140" s="84">
        <f t="shared" si="87"/>
        <v>3814.97</v>
      </c>
      <c r="J140" s="84">
        <f t="shared" si="87"/>
        <v>10573</v>
      </c>
      <c r="K140" s="84">
        <f t="shared" si="87"/>
        <v>12539</v>
      </c>
      <c r="L140" s="84">
        <f t="shared" si="87"/>
        <v>12787</v>
      </c>
      <c r="M140" s="84">
        <f t="shared" si="87"/>
        <v>12787</v>
      </c>
      <c r="N140" s="84">
        <f t="shared" si="87"/>
        <v>80480.42</v>
      </c>
      <c r="O140" s="150"/>
      <c r="P140" s="84"/>
      <c r="Q140" s="84"/>
      <c r="R140" s="112"/>
      <c r="S140" s="112"/>
      <c r="T140" s="112"/>
      <c r="U140" s="84">
        <f t="shared" si="88"/>
        <v>4879.5020727722031</v>
      </c>
      <c r="V140" s="84">
        <f t="shared" si="88"/>
        <v>4879.5020727722031</v>
      </c>
      <c r="W140" s="84">
        <f t="shared" si="88"/>
        <v>4879.5020727722031</v>
      </c>
      <c r="X140" s="84">
        <f t="shared" si="88"/>
        <v>4879.5020727722031</v>
      </c>
      <c r="Y140" s="84">
        <f t="shared" si="88"/>
        <v>4879.5020727722031</v>
      </c>
      <c r="Z140" s="84">
        <f t="shared" si="88"/>
        <v>4879.5020727722031</v>
      </c>
      <c r="AA140" s="84">
        <f t="shared" si="88"/>
        <v>4879.5020727722031</v>
      </c>
      <c r="AB140" s="84">
        <f t="shared" si="88"/>
        <v>4879.5020727722031</v>
      </c>
      <c r="AC140" s="84">
        <f t="shared" si="88"/>
        <v>4879.5020727722031</v>
      </c>
      <c r="AD140" s="84">
        <f t="shared" si="88"/>
        <v>5025.8871349553683</v>
      </c>
      <c r="AE140" s="84">
        <f t="shared" si="88"/>
        <v>5025.8871349553683</v>
      </c>
      <c r="AF140" s="84">
        <f t="shared" si="88"/>
        <v>5025.8871349553683</v>
      </c>
      <c r="AG140" s="84">
        <f t="shared" si="88"/>
        <v>58993.180059815924</v>
      </c>
      <c r="AH140" s="84"/>
      <c r="AJ140" s="84"/>
    </row>
    <row r="141" spans="1:36" x14ac:dyDescent="0.3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150"/>
      <c r="P141" s="84"/>
      <c r="Q141" s="84"/>
      <c r="R141" s="112"/>
      <c r="S141" s="112"/>
      <c r="T141" s="112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J141" s="84"/>
    </row>
    <row r="142" spans="1:36" x14ac:dyDescent="0.3">
      <c r="A142" s="83" t="s">
        <v>221</v>
      </c>
      <c r="B142" s="105">
        <f>IFERROR(SUM(B139:B140)/SUM(B137:B138),"")</f>
        <v>0.1062558630455176</v>
      </c>
      <c r="C142" s="105">
        <f>IFERROR(SUM(C139:C140)/SUM(C137:C138),"")</f>
        <v>0.42672301156781517</v>
      </c>
      <c r="D142" s="105">
        <f>IFERROR(SUM(D139:D140)/SUM(D137:D138),"")</f>
        <v>0.14606822471938249</v>
      </c>
      <c r="E142" s="105">
        <f t="shared" ref="E142:N142" si="89">IFERROR(SUM(E139:E140)/SUM(E137:E138),"")</f>
        <v>0.12875457970207752</v>
      </c>
      <c r="F142" s="105">
        <f t="shared" si="89"/>
        <v>9.5240882765729173E-2</v>
      </c>
      <c r="G142" s="105">
        <f t="shared" si="89"/>
        <v>0.11034134117348042</v>
      </c>
      <c r="H142" s="105">
        <f t="shared" si="89"/>
        <v>0.10243688249328867</v>
      </c>
      <c r="I142" s="105">
        <f t="shared" si="89"/>
        <v>0.12097462545511675</v>
      </c>
      <c r="J142" s="105">
        <f t="shared" si="89"/>
        <v>0.1479979570990807</v>
      </c>
      <c r="K142" s="105">
        <f t="shared" si="89"/>
        <v>0.14800172265288544</v>
      </c>
      <c r="L142" s="105">
        <f t="shared" si="89"/>
        <v>0.1479983108108108</v>
      </c>
      <c r="M142" s="105">
        <f t="shared" si="89"/>
        <v>0.1479983108108108</v>
      </c>
      <c r="N142" s="105">
        <f t="shared" si="89"/>
        <v>0.14215586341006473</v>
      </c>
      <c r="O142" s="105"/>
      <c r="P142" s="162"/>
      <c r="Q142" s="162"/>
      <c r="R142" s="112"/>
      <c r="S142" s="112"/>
      <c r="T142" s="112"/>
      <c r="U142" s="105">
        <f t="shared" ref="U142:AG142" si="90">IFERROR(SUM(U139:U140)/SUM(U137:U138),"")</f>
        <v>0.11292115454037482</v>
      </c>
      <c r="V142" s="105">
        <f t="shared" si="90"/>
        <v>0.11292115454037482</v>
      </c>
      <c r="W142" s="105">
        <f t="shared" si="90"/>
        <v>0.11292115454037482</v>
      </c>
      <c r="X142" s="105">
        <f t="shared" si="90"/>
        <v>0.11292115454037482</v>
      </c>
      <c r="Y142" s="105">
        <f t="shared" si="90"/>
        <v>0.11292115454037482</v>
      </c>
      <c r="Z142" s="105">
        <f t="shared" si="90"/>
        <v>0.11292115454037482</v>
      </c>
      <c r="AA142" s="105">
        <f t="shared" si="90"/>
        <v>0.11292115454037482</v>
      </c>
      <c r="AB142" s="105">
        <f t="shared" si="90"/>
        <v>0.11292115454037482</v>
      </c>
      <c r="AC142" s="105">
        <f t="shared" si="90"/>
        <v>0.11292115454037482</v>
      </c>
      <c r="AD142" s="105">
        <f t="shared" si="90"/>
        <v>0.11292115454037484</v>
      </c>
      <c r="AE142" s="105">
        <f t="shared" si="90"/>
        <v>0.11292115454037484</v>
      </c>
      <c r="AF142" s="105">
        <f t="shared" si="90"/>
        <v>0.11292115454037484</v>
      </c>
      <c r="AG142" s="105">
        <f t="shared" si="90"/>
        <v>0.11292115454037485</v>
      </c>
      <c r="AH142" s="162"/>
      <c r="AI142" s="162"/>
      <c r="AJ142" s="162"/>
    </row>
    <row r="143" spans="1:36" x14ac:dyDescent="0.3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105"/>
      <c r="P143" s="84"/>
      <c r="Q143" s="84"/>
      <c r="R143" s="112"/>
      <c r="S143" s="112"/>
      <c r="T143" s="112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</row>
    <row r="144" spans="1:36" x14ac:dyDescent="0.3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105"/>
      <c r="P144" s="84"/>
      <c r="Q144" s="84"/>
      <c r="R144" s="112"/>
      <c r="S144" s="112"/>
      <c r="T144" s="112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</row>
    <row r="145" spans="15:20" x14ac:dyDescent="0.3">
      <c r="O145" s="105"/>
      <c r="R145" s="126"/>
      <c r="S145" s="126"/>
      <c r="T145" s="126"/>
    </row>
    <row r="146" spans="15:20" x14ac:dyDescent="0.3">
      <c r="O146" s="105"/>
      <c r="R146" s="126"/>
      <c r="S146" s="126"/>
      <c r="T146" s="126"/>
    </row>
    <row r="147" spans="15:20" x14ac:dyDescent="0.3">
      <c r="O147" s="105"/>
      <c r="R147" s="126"/>
      <c r="S147" s="126"/>
      <c r="T147" s="126"/>
    </row>
    <row r="148" spans="15:20" x14ac:dyDescent="0.3">
      <c r="O148" s="105"/>
      <c r="R148" s="126"/>
      <c r="S148" s="126"/>
      <c r="T148" s="126"/>
    </row>
    <row r="149" spans="15:20" x14ac:dyDescent="0.3">
      <c r="O149" s="105"/>
      <c r="R149" s="126"/>
      <c r="S149" s="126"/>
      <c r="T149" s="126"/>
    </row>
    <row r="150" spans="15:20" x14ac:dyDescent="0.3">
      <c r="O150" s="105"/>
      <c r="R150" s="126"/>
      <c r="S150" s="126"/>
      <c r="T150" s="126"/>
    </row>
    <row r="151" spans="15:20" x14ac:dyDescent="0.3">
      <c r="O151" s="105"/>
      <c r="R151" s="126"/>
      <c r="S151" s="126"/>
      <c r="T151" s="126"/>
    </row>
    <row r="152" spans="15:20" x14ac:dyDescent="0.3">
      <c r="O152" s="105"/>
      <c r="R152" s="126"/>
      <c r="S152" s="126"/>
      <c r="T152" s="126"/>
    </row>
    <row r="153" spans="15:20" x14ac:dyDescent="0.3">
      <c r="O153" s="105"/>
      <c r="R153" s="126"/>
      <c r="S153" s="126"/>
      <c r="T153" s="126"/>
    </row>
    <row r="154" spans="15:20" x14ac:dyDescent="0.3">
      <c r="O154" s="105"/>
      <c r="R154" s="126"/>
      <c r="S154" s="126"/>
      <c r="T154" s="126"/>
    </row>
    <row r="155" spans="15:20" x14ac:dyDescent="0.3">
      <c r="O155" s="105"/>
      <c r="R155" s="126"/>
      <c r="S155" s="126"/>
      <c r="T155" s="126"/>
    </row>
    <row r="156" spans="15:20" x14ac:dyDescent="0.3">
      <c r="O156" s="105"/>
      <c r="R156" s="126"/>
      <c r="S156" s="126"/>
      <c r="T156" s="126"/>
    </row>
    <row r="157" spans="15:20" x14ac:dyDescent="0.3">
      <c r="O157" s="105"/>
      <c r="R157" s="126"/>
      <c r="S157" s="126"/>
      <c r="T157" s="126"/>
    </row>
    <row r="158" spans="15:20" x14ac:dyDescent="0.3">
      <c r="O158" s="105"/>
      <c r="R158" s="126"/>
      <c r="S158" s="126"/>
      <c r="T158" s="126"/>
    </row>
    <row r="159" spans="15:20" x14ac:dyDescent="0.3">
      <c r="O159" s="105"/>
      <c r="R159" s="126"/>
      <c r="S159" s="126"/>
      <c r="T159" s="126"/>
    </row>
    <row r="160" spans="15:20" x14ac:dyDescent="0.3">
      <c r="O160" s="105"/>
      <c r="R160" s="126"/>
      <c r="S160" s="126"/>
      <c r="T160" s="126"/>
    </row>
    <row r="161" spans="15:20" x14ac:dyDescent="0.3">
      <c r="O161" s="105"/>
      <c r="R161" s="126"/>
      <c r="S161" s="126"/>
      <c r="T161" s="126"/>
    </row>
    <row r="162" spans="15:20" x14ac:dyDescent="0.3">
      <c r="O162" s="105"/>
      <c r="R162" s="126"/>
      <c r="S162" s="126"/>
      <c r="T162" s="126"/>
    </row>
    <row r="163" spans="15:20" x14ac:dyDescent="0.3">
      <c r="O163" s="105"/>
      <c r="R163" s="126"/>
      <c r="S163" s="126"/>
      <c r="T163" s="126"/>
    </row>
    <row r="164" spans="15:20" x14ac:dyDescent="0.3">
      <c r="O164" s="105"/>
      <c r="R164" s="126"/>
      <c r="S164" s="126"/>
      <c r="T164" s="126"/>
    </row>
    <row r="165" spans="15:20" x14ac:dyDescent="0.3">
      <c r="O165" s="105"/>
    </row>
    <row r="166" spans="15:20" x14ac:dyDescent="0.3">
      <c r="O166" s="105"/>
    </row>
    <row r="167" spans="15:20" x14ac:dyDescent="0.3">
      <c r="O167" s="105"/>
    </row>
    <row r="168" spans="15:20" x14ac:dyDescent="0.3">
      <c r="O168" s="105"/>
    </row>
    <row r="169" spans="15:20" x14ac:dyDescent="0.3">
      <c r="O169" s="105"/>
    </row>
    <row r="170" spans="15:20" x14ac:dyDescent="0.3">
      <c r="O170" s="105"/>
    </row>
    <row r="171" spans="15:20" x14ac:dyDescent="0.3">
      <c r="O171" s="105"/>
    </row>
    <row r="172" spans="15:20" x14ac:dyDescent="0.3">
      <c r="O172" s="105"/>
    </row>
    <row r="173" spans="15:20" x14ac:dyDescent="0.3">
      <c r="O173" s="105"/>
    </row>
    <row r="174" spans="15:20" x14ac:dyDescent="0.3">
      <c r="O174" s="105"/>
    </row>
    <row r="175" spans="15:20" x14ac:dyDescent="0.3">
      <c r="O175" s="105"/>
    </row>
    <row r="176" spans="15:20" x14ac:dyDescent="0.3">
      <c r="O176" s="105"/>
    </row>
    <row r="177" spans="15:15" x14ac:dyDescent="0.3">
      <c r="O177" s="105"/>
    </row>
    <row r="178" spans="15:15" x14ac:dyDescent="0.3">
      <c r="O178" s="105"/>
    </row>
    <row r="179" spans="15:15" x14ac:dyDescent="0.3">
      <c r="O179" s="105"/>
    </row>
    <row r="180" spans="15:15" x14ac:dyDescent="0.3">
      <c r="O180" s="105"/>
    </row>
    <row r="181" spans="15:15" x14ac:dyDescent="0.3">
      <c r="O181" s="105"/>
    </row>
    <row r="182" spans="15:15" x14ac:dyDescent="0.3">
      <c r="O182" s="105"/>
    </row>
    <row r="183" spans="15:15" x14ac:dyDescent="0.3">
      <c r="O183" s="105"/>
    </row>
    <row r="184" spans="15:15" x14ac:dyDescent="0.3">
      <c r="O184" s="105"/>
    </row>
    <row r="185" spans="15:15" x14ac:dyDescent="0.3">
      <c r="O185" s="105"/>
    </row>
    <row r="186" spans="15:15" x14ac:dyDescent="0.3">
      <c r="O186" s="105"/>
    </row>
    <row r="187" spans="15:15" x14ac:dyDescent="0.3">
      <c r="O187" s="105"/>
    </row>
    <row r="188" spans="15:15" x14ac:dyDescent="0.3">
      <c r="O188" s="105"/>
    </row>
    <row r="189" spans="15:15" x14ac:dyDescent="0.3">
      <c r="O189" s="105"/>
    </row>
    <row r="190" spans="15:15" x14ac:dyDescent="0.3">
      <c r="O190" s="105"/>
    </row>
    <row r="191" spans="15:15" x14ac:dyDescent="0.3">
      <c r="O191" s="105"/>
    </row>
    <row r="192" spans="15:15" x14ac:dyDescent="0.3">
      <c r="O192" s="105"/>
    </row>
    <row r="193" spans="15:15" x14ac:dyDescent="0.3">
      <c r="O193" s="105"/>
    </row>
    <row r="194" spans="15:15" x14ac:dyDescent="0.3">
      <c r="O194" s="105"/>
    </row>
    <row r="195" spans="15:15" x14ac:dyDescent="0.3">
      <c r="O195" s="105"/>
    </row>
    <row r="196" spans="15:15" x14ac:dyDescent="0.3">
      <c r="O196" s="105"/>
    </row>
    <row r="197" spans="15:15" x14ac:dyDescent="0.3">
      <c r="O197" s="105"/>
    </row>
    <row r="198" spans="15:15" x14ac:dyDescent="0.3">
      <c r="O198" s="105"/>
    </row>
    <row r="199" spans="15:15" x14ac:dyDescent="0.3">
      <c r="O199" s="105"/>
    </row>
    <row r="200" spans="15:15" x14ac:dyDescent="0.3">
      <c r="O200" s="105"/>
    </row>
  </sheetData>
  <conditionalFormatting sqref="S12:S13">
    <cfRule type="expression" dxfId="29" priority="38">
      <formula>AND(NOT(_xlfn.ISFORMULA(S12)),ISNUMBER(S12))</formula>
    </cfRule>
  </conditionalFormatting>
  <conditionalFormatting sqref="S15">
    <cfRule type="expression" dxfId="28" priority="37">
      <formula>AND(NOT(_xlfn.ISFORMULA(S15)),ISNUMBER(S15))</formula>
    </cfRule>
  </conditionalFormatting>
  <conditionalFormatting sqref="S19:S22">
    <cfRule type="expression" dxfId="27" priority="33">
      <formula>AND(NOT(_xlfn.ISFORMULA(S19)),ISNUMBER(S19))</formula>
    </cfRule>
  </conditionalFormatting>
  <conditionalFormatting sqref="S24:S26">
    <cfRule type="expression" dxfId="26" priority="30">
      <formula>AND(NOT(_xlfn.ISFORMULA(S24)),ISNUMBER(S24))</formula>
    </cfRule>
  </conditionalFormatting>
  <conditionalFormatting sqref="S28:S31">
    <cfRule type="expression" dxfId="25" priority="26">
      <formula>AND(NOT(_xlfn.ISFORMULA(S28)),ISNUMBER(S28))</formula>
    </cfRule>
  </conditionalFormatting>
  <conditionalFormatting sqref="S38:S42">
    <cfRule type="expression" dxfId="24" priority="21">
      <formula>AND(NOT(_xlfn.ISFORMULA(S38)),ISNUMBER(S38))</formula>
    </cfRule>
  </conditionalFormatting>
  <conditionalFormatting sqref="S44:S50">
    <cfRule type="expression" dxfId="23" priority="14">
      <formula>AND(NOT(_xlfn.ISFORMULA(S44)),ISNUMBER(S44))</formula>
    </cfRule>
  </conditionalFormatting>
  <conditionalFormatting sqref="S58:S60">
    <cfRule type="expression" dxfId="22" priority="11">
      <formula>AND(NOT(_xlfn.ISFORMULA(S58)),ISNUMBER(S58))</formula>
    </cfRule>
  </conditionalFormatting>
  <conditionalFormatting sqref="S62">
    <cfRule type="expression" dxfId="21" priority="10">
      <formula>AND(NOT(_xlfn.ISFORMULA(S62)),ISNUMBER(S62))</formula>
    </cfRule>
  </conditionalFormatting>
  <conditionalFormatting sqref="S70:S72">
    <cfRule type="expression" dxfId="20" priority="7">
      <formula>AND(NOT(_xlfn.ISFORMULA(S70)),ISNUMBER(S70))</formula>
    </cfRule>
  </conditionalFormatting>
  <conditionalFormatting sqref="S74:S80">
    <cfRule type="expression" dxfId="19" priority="5">
      <formula>AND(NOT(_xlfn.ISFORMULA(S74)),ISNUMBER(S74))</formula>
    </cfRule>
  </conditionalFormatting>
  <conditionalFormatting sqref="S82:S86">
    <cfRule type="expression" dxfId="18" priority="4">
      <formula>AND(NOT(_xlfn.ISFORMULA(S82)),ISNUMBER(S82))</formula>
    </cfRule>
  </conditionalFormatting>
  <conditionalFormatting sqref="S88:S115">
    <cfRule type="expression" dxfId="17" priority="3">
      <formula>AND(NOT(_xlfn.ISFORMULA(S88)),ISNUMBER(S88))</formula>
    </cfRule>
  </conditionalFormatting>
  <conditionalFormatting sqref="S120:S121">
    <cfRule type="expression" dxfId="16" priority="2">
      <formula>AND(NOT(_xlfn.ISFORMULA(S120)),ISNUMBER(S120))</formula>
    </cfRule>
  </conditionalFormatting>
  <conditionalFormatting sqref="S124:S129">
    <cfRule type="expression" dxfId="15" priority="1">
      <formula>AND(NOT(_xlfn.ISFORMULA(S124)),ISNUMBER(S124))</formula>
    </cfRule>
  </conditionalFormatting>
  <dataValidations disablePrompts="1" count="2">
    <dataValidation type="decimal" allowBlank="1" showInputMessage="1" showErrorMessage="1" errorTitle="Numbers only" error="Please enter a number (no text)." sqref="S12:AF13 S15:AF15 S19:AF22 S24:AF26 S28:AF31 S38:AF42 S44:AF50 S58:AF60 S62:AF62 S70:AF72 S74:AF80 S82:AF86 S88:AF115 S120:AF121 S124:AF129" xr:uid="{5B0C650F-7E5D-4FD6-B52F-EC5CE5161DBC}">
      <formula1>-1000000000000000</formula1>
      <formula2>1000000000000000</formula2>
    </dataValidation>
    <dataValidation type="list" allowBlank="1" showInputMessage="1" showErrorMessage="1" sqref="R12:R13 R15 R19:R22 R24:R26 R28:R31 R38:R42 R44:R50 R58:R60 R62 R70:R72 R74:R80 R82:R86 R88:R115 R120:R121 R124:R129" xr:uid="{55F6CC35-47B3-4D51-AA8E-519ADBA2B563}">
      <formula1>"Even,YOY Growth,Manual"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F42E5-3161-4C59-A113-2DE1B497FEDC}">
  <sheetPr>
    <tabColor theme="9" tint="0.59999389629810485"/>
  </sheetPr>
  <dimension ref="A1:AJ200"/>
  <sheetViews>
    <sheetView zoomScale="80" zoomScaleNormal="80" workbookViewId="0">
      <pane xSplit="1" ySplit="8" topLeftCell="B78" activePane="bottomRight" state="frozen"/>
      <selection activeCell="B9" sqref="B9"/>
      <selection pane="topRight" activeCell="B9" sqref="B9"/>
      <selection pane="bottomLeft" activeCell="B9" sqref="B9"/>
      <selection pane="bottomRight" activeCell="B9" sqref="B9"/>
    </sheetView>
  </sheetViews>
  <sheetFormatPr defaultColWidth="7.44140625" defaultRowHeight="13.8" outlineLevelCol="1" x14ac:dyDescent="0.3"/>
  <cols>
    <col min="1" max="1" width="54.77734375" style="83" customWidth="1"/>
    <col min="2" max="13" width="11.33203125" style="83" customWidth="1" outlineLevel="1"/>
    <col min="14" max="14" width="14.21875" style="83" customWidth="1"/>
    <col min="15" max="15" width="12.77734375" style="83" customWidth="1"/>
    <col min="16" max="17" width="6.6640625" style="83" customWidth="1"/>
    <col min="18" max="18" width="15" style="83" customWidth="1"/>
    <col min="19" max="19" width="13.6640625" style="83" customWidth="1"/>
    <col min="20" max="20" width="12.77734375" style="83" customWidth="1"/>
    <col min="21" max="32" width="11.33203125" style="83" customWidth="1" outlineLevel="1"/>
    <col min="33" max="33" width="14.21875" style="83" customWidth="1"/>
    <col min="34" max="34" width="12.77734375" style="83" customWidth="1"/>
    <col min="35" max="35" width="7.44140625" style="83"/>
    <col min="36" max="36" width="13.109375" style="83" customWidth="1"/>
    <col min="37" max="16384" width="7.44140625" style="83"/>
  </cols>
  <sheetData>
    <row r="1" spans="1:36" ht="21" x14ac:dyDescent="0.4">
      <c r="A1" s="82" t="s">
        <v>17</v>
      </c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</row>
    <row r="2" spans="1:36" ht="15.6" x14ac:dyDescent="0.3">
      <c r="A2" s="86" t="s">
        <v>69</v>
      </c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</row>
    <row r="4" spans="1:36" ht="14.4" x14ac:dyDescent="0.3">
      <c r="A4" s="87" t="s">
        <v>70</v>
      </c>
    </row>
    <row r="5" spans="1:36" x14ac:dyDescent="0.3"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</row>
    <row r="7" spans="1:36" x14ac:dyDescent="0.3">
      <c r="A7" s="89"/>
      <c r="B7" s="90" t="s">
        <v>71</v>
      </c>
      <c r="C7" s="90" t="s">
        <v>71</v>
      </c>
      <c r="D7" s="90" t="s">
        <v>71</v>
      </c>
      <c r="E7" s="90" t="s">
        <v>71</v>
      </c>
      <c r="F7" s="90" t="s">
        <v>71</v>
      </c>
      <c r="G7" s="90" t="s">
        <v>71</v>
      </c>
      <c r="H7" s="90" t="s">
        <v>71</v>
      </c>
      <c r="I7" s="90" t="s">
        <v>71</v>
      </c>
      <c r="J7" s="91" t="s">
        <v>72</v>
      </c>
      <c r="K7" s="91" t="s">
        <v>72</v>
      </c>
      <c r="L7" s="91" t="s">
        <v>72</v>
      </c>
      <c r="M7" s="91" t="s">
        <v>72</v>
      </c>
      <c r="N7" s="91" t="s">
        <v>72</v>
      </c>
      <c r="O7" s="91" t="s">
        <v>72</v>
      </c>
      <c r="R7" s="92"/>
      <c r="S7" s="93" t="s">
        <v>73</v>
      </c>
      <c r="T7" s="93" t="s">
        <v>74</v>
      </c>
      <c r="U7" s="94" t="s">
        <v>75</v>
      </c>
      <c r="V7" s="94" t="s">
        <v>75</v>
      </c>
      <c r="W7" s="94" t="s">
        <v>75</v>
      </c>
      <c r="X7" s="94" t="s">
        <v>75</v>
      </c>
      <c r="Y7" s="94" t="s">
        <v>75</v>
      </c>
      <c r="Z7" s="94" t="s">
        <v>75</v>
      </c>
      <c r="AA7" s="94" t="s">
        <v>75</v>
      </c>
      <c r="AB7" s="94" t="s">
        <v>75</v>
      </c>
      <c r="AC7" s="94" t="s">
        <v>75</v>
      </c>
      <c r="AD7" s="94" t="s">
        <v>75</v>
      </c>
      <c r="AE7" s="94" t="s">
        <v>75</v>
      </c>
      <c r="AF7" s="94" t="s">
        <v>75</v>
      </c>
      <c r="AG7" s="94" t="s">
        <v>75</v>
      </c>
      <c r="AH7" s="94" t="s">
        <v>75</v>
      </c>
      <c r="AJ7" s="95" t="s">
        <v>74</v>
      </c>
    </row>
    <row r="8" spans="1:36" x14ac:dyDescent="0.3">
      <c r="A8" s="89" t="s">
        <v>76</v>
      </c>
      <c r="B8" s="96" t="s">
        <v>77</v>
      </c>
      <c r="C8" s="96" t="s">
        <v>78</v>
      </c>
      <c r="D8" s="96" t="s">
        <v>79</v>
      </c>
      <c r="E8" s="96" t="s">
        <v>80</v>
      </c>
      <c r="F8" s="96" t="s">
        <v>81</v>
      </c>
      <c r="G8" s="96" t="s">
        <v>82</v>
      </c>
      <c r="H8" s="96" t="s">
        <v>83</v>
      </c>
      <c r="I8" s="96" t="s">
        <v>84</v>
      </c>
      <c r="J8" s="96" t="s">
        <v>85</v>
      </c>
      <c r="K8" s="96" t="s">
        <v>86</v>
      </c>
      <c r="L8" s="96" t="s">
        <v>87</v>
      </c>
      <c r="M8" s="96" t="s">
        <v>88</v>
      </c>
      <c r="N8" s="90">
        <v>2026</v>
      </c>
      <c r="O8" s="90" t="s">
        <v>89</v>
      </c>
      <c r="R8" s="92" t="s">
        <v>90</v>
      </c>
      <c r="S8" s="93" t="s">
        <v>91</v>
      </c>
      <c r="T8" s="93" t="s">
        <v>92</v>
      </c>
      <c r="U8" s="97" t="s">
        <v>77</v>
      </c>
      <c r="V8" s="97" t="s">
        <v>78</v>
      </c>
      <c r="W8" s="97" t="s">
        <v>79</v>
      </c>
      <c r="X8" s="97" t="s">
        <v>80</v>
      </c>
      <c r="Y8" s="97" t="s">
        <v>81</v>
      </c>
      <c r="Z8" s="97" t="s">
        <v>82</v>
      </c>
      <c r="AA8" s="97" t="s">
        <v>83</v>
      </c>
      <c r="AB8" s="97" t="s">
        <v>84</v>
      </c>
      <c r="AC8" s="97" t="s">
        <v>85</v>
      </c>
      <c r="AD8" s="97" t="s">
        <v>86</v>
      </c>
      <c r="AE8" s="97" t="s">
        <v>87</v>
      </c>
      <c r="AF8" s="97" t="s">
        <v>88</v>
      </c>
      <c r="AG8" s="98" t="s">
        <v>93</v>
      </c>
      <c r="AH8" s="94" t="s">
        <v>89</v>
      </c>
      <c r="AJ8" s="99" t="s">
        <v>94</v>
      </c>
    </row>
    <row r="9" spans="1:36" x14ac:dyDescent="0.3">
      <c r="A9" s="100" t="s">
        <v>95</v>
      </c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6" x14ac:dyDescent="0.3">
      <c r="A10" s="101" t="s">
        <v>96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</row>
    <row r="11" spans="1:36" x14ac:dyDescent="0.3">
      <c r="A11" s="102" t="s">
        <v>97</v>
      </c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</row>
    <row r="12" spans="1:36" x14ac:dyDescent="0.3">
      <c r="A12" s="103" t="s">
        <v>98</v>
      </c>
      <c r="B12" s="84">
        <f>IFERROR(SUMIF([2]Jan26A!$A:$A,$A12,INDEX([2]Jan26A!$A:$N,0,MATCH($A$1,[2]Jan26A!$A$7:$N$7,0))),0)</f>
        <v>0</v>
      </c>
      <c r="C12" s="84">
        <f>IFERROR(SUMIF([2]Feb26A!$A:$A,$A12,INDEX([2]Feb26A!$A:$N,0,MATCH($A$1,[2]Feb26A!$A$7:$N$7,0))),0)</f>
        <v>0</v>
      </c>
      <c r="D12" s="84">
        <f>IFERROR(SUMIF([2]Mar26A!$A:$A,$A12,INDEX([2]Mar26A!$A:$N,0,MATCH($A$1,[2]Mar26A!$A$7:$N$7,0))),0)</f>
        <v>0</v>
      </c>
      <c r="E12" s="84">
        <f>IFERROR(SUMIF([2]Apr26A!$A:$A,$A12,INDEX([2]Apr26A!$A:$N,0,MATCH($A$1,[2]Apr26A!$A$7:$N$7,0))),0)</f>
        <v>0</v>
      </c>
      <c r="F12" s="84">
        <f>IFERROR(SUMIF([2]May26A!$A:$A,$A12,INDEX([2]May26A!$A:$N,0,MATCH($A$1,[2]May26A!$A$7:$N$7,0))),0)</f>
        <v>0</v>
      </c>
      <c r="G12" s="84">
        <f>IFERROR(SUMIF([2]Jun26A!$A:$A,$A12,INDEX([2]Jun26A!$A:$N,0,MATCH($A$1,[2]Jun26A!$A$7:$N$7,0))),0)</f>
        <v>0</v>
      </c>
      <c r="H12" s="84">
        <f>IFERROR(SUMIF([2]Jul26A!$A:$A,$A12,INDEX([2]Jul26A!$A:$N,0,MATCH($A$1,[2]Jul26A!$A$7:$N$7,0))),0)</f>
        <v>0</v>
      </c>
      <c r="I12" s="84">
        <f>IFERROR(SUMIF([2]Aug26A!$A:$A,$A12,INDEX([2]Aug26A!$A:$N,0,MATCH($A$1,[2]Aug26A!$A$7:$N$7,0))),0)</f>
        <v>0</v>
      </c>
      <c r="J12" s="104"/>
      <c r="K12" s="104"/>
      <c r="L12" s="104"/>
      <c r="M12" s="104"/>
      <c r="N12" s="84">
        <f>SUM(B12:M12)</f>
        <v>0</v>
      </c>
      <c r="O12" s="105" t="str">
        <f>IFERROR(N12/N$16,"")</f>
        <v/>
      </c>
      <c r="P12" s="84"/>
      <c r="Q12" s="84"/>
      <c r="R12" s="106" t="s">
        <v>99</v>
      </c>
      <c r="S12" s="107"/>
      <c r="T12" s="108">
        <v>0.05</v>
      </c>
      <c r="U12" s="104">
        <f t="shared" ref="U12:AF13" si="0">IF($R12="Manual","",IFERROR(IF($R12="YOY Growth",$N12*(1+$T12)/12,$S12/12),""))</f>
        <v>0</v>
      </c>
      <c r="V12" s="104">
        <f t="shared" si="0"/>
        <v>0</v>
      </c>
      <c r="W12" s="104">
        <f t="shared" si="0"/>
        <v>0</v>
      </c>
      <c r="X12" s="104">
        <f t="shared" si="0"/>
        <v>0</v>
      </c>
      <c r="Y12" s="104">
        <f t="shared" si="0"/>
        <v>0</v>
      </c>
      <c r="Z12" s="104">
        <f t="shared" si="0"/>
        <v>0</v>
      </c>
      <c r="AA12" s="104">
        <f t="shared" si="0"/>
        <v>0</v>
      </c>
      <c r="AB12" s="104">
        <f t="shared" si="0"/>
        <v>0</v>
      </c>
      <c r="AC12" s="104">
        <f t="shared" si="0"/>
        <v>0</v>
      </c>
      <c r="AD12" s="104">
        <f t="shared" si="0"/>
        <v>0</v>
      </c>
      <c r="AE12" s="104">
        <f t="shared" si="0"/>
        <v>0</v>
      </c>
      <c r="AF12" s="104">
        <f t="shared" si="0"/>
        <v>0</v>
      </c>
      <c r="AG12" s="84">
        <f>SUM(U12:AF12)</f>
        <v>0</v>
      </c>
      <c r="AH12" s="105" t="str">
        <f>IFERROR(AG12/AG$16,"")</f>
        <v/>
      </c>
      <c r="AJ12" s="84">
        <f>AG12-N12</f>
        <v>0</v>
      </c>
    </row>
    <row r="13" spans="1:36" x14ac:dyDescent="0.3">
      <c r="A13" s="103" t="s">
        <v>100</v>
      </c>
      <c r="B13" s="84">
        <f>IFERROR(SUMIF([2]Jan26A!$A:$A,$A13,INDEX([2]Jan26A!$A:$N,0,MATCH($A$1,[2]Jan26A!$A$7:$N$7,0))),0)</f>
        <v>0</v>
      </c>
      <c r="C13" s="84">
        <f>IFERROR(SUMIF([2]Feb26A!$A:$A,$A13,INDEX([2]Feb26A!$A:$N,0,MATCH($A$1,[2]Feb26A!$A$7:$N$7,0))),0)</f>
        <v>0</v>
      </c>
      <c r="D13" s="84">
        <f>IFERROR(SUMIF([2]Mar26A!$A:$A,$A13,INDEX([2]Mar26A!$A:$N,0,MATCH($A$1,[2]Mar26A!$A$7:$N$7,0))),0)</f>
        <v>0</v>
      </c>
      <c r="E13" s="84">
        <f>IFERROR(SUMIF([2]Apr26A!$A:$A,$A13,INDEX([2]Apr26A!$A:$N,0,MATCH($A$1,[2]Apr26A!$A$7:$N$7,0))),0)</f>
        <v>0</v>
      </c>
      <c r="F13" s="84">
        <f>IFERROR(SUMIF([2]May26A!$A:$A,$A13,INDEX([2]May26A!$A:$N,0,MATCH($A$1,[2]May26A!$A$7:$N$7,0))),0)</f>
        <v>0</v>
      </c>
      <c r="G13" s="84">
        <f>IFERROR(SUMIF([2]Jun26A!$A:$A,$A13,INDEX([2]Jun26A!$A:$N,0,MATCH($A$1,[2]Jun26A!$A$7:$N$7,0))),0)</f>
        <v>0</v>
      </c>
      <c r="H13" s="84">
        <f>IFERROR(SUMIF([2]Jul26A!$A:$A,$A13,INDEX([2]Jul26A!$A:$N,0,MATCH($A$1,[2]Jul26A!$A$7:$N$7,0))),0)</f>
        <v>0</v>
      </c>
      <c r="I13" s="84">
        <f>IFERROR(SUMIF([2]Aug26A!$A:$A,$A13,INDEX([2]Aug26A!$A:$N,0,MATCH($A$1,[2]Aug26A!$A$7:$N$7,0))),0)</f>
        <v>0</v>
      </c>
      <c r="J13" s="104"/>
      <c r="K13" s="104"/>
      <c r="L13" s="104"/>
      <c r="M13" s="104"/>
      <c r="N13" s="84">
        <f>SUM(B13:M13)</f>
        <v>0</v>
      </c>
      <c r="O13" s="105" t="str">
        <f>IFERROR(N13/N$16,"")</f>
        <v/>
      </c>
      <c r="P13" s="84"/>
      <c r="Q13" s="84"/>
      <c r="R13" s="106" t="s">
        <v>99</v>
      </c>
      <c r="S13" s="107">
        <v>0</v>
      </c>
      <c r="T13" s="108">
        <v>0.05</v>
      </c>
      <c r="U13" s="104">
        <f t="shared" si="0"/>
        <v>0</v>
      </c>
      <c r="V13" s="104">
        <f t="shared" si="0"/>
        <v>0</v>
      </c>
      <c r="W13" s="104">
        <f t="shared" si="0"/>
        <v>0</v>
      </c>
      <c r="X13" s="104">
        <f t="shared" si="0"/>
        <v>0</v>
      </c>
      <c r="Y13" s="104">
        <f t="shared" si="0"/>
        <v>0</v>
      </c>
      <c r="Z13" s="104">
        <f t="shared" si="0"/>
        <v>0</v>
      </c>
      <c r="AA13" s="104">
        <f t="shared" si="0"/>
        <v>0</v>
      </c>
      <c r="AB13" s="104">
        <f t="shared" si="0"/>
        <v>0</v>
      </c>
      <c r="AC13" s="104">
        <f t="shared" si="0"/>
        <v>0</v>
      </c>
      <c r="AD13" s="104">
        <f t="shared" si="0"/>
        <v>0</v>
      </c>
      <c r="AE13" s="104">
        <f t="shared" si="0"/>
        <v>0</v>
      </c>
      <c r="AF13" s="104">
        <f t="shared" si="0"/>
        <v>0</v>
      </c>
      <c r="AG13" s="84">
        <f>SUM(U13:AF13)</f>
        <v>0</v>
      </c>
      <c r="AH13" s="105" t="str">
        <f>IFERROR(AG13/AG$16,"")</f>
        <v/>
      </c>
      <c r="AJ13" s="84">
        <f>AG13-N13</f>
        <v>0</v>
      </c>
    </row>
    <row r="14" spans="1:36" x14ac:dyDescent="0.3">
      <c r="A14" s="109" t="s">
        <v>101</v>
      </c>
      <c r="B14" s="110">
        <f t="shared" ref="B14:M14" si="1">SUM(B12:B13)</f>
        <v>0</v>
      </c>
      <c r="C14" s="110">
        <f t="shared" si="1"/>
        <v>0</v>
      </c>
      <c r="D14" s="110">
        <f t="shared" si="1"/>
        <v>0</v>
      </c>
      <c r="E14" s="110">
        <f t="shared" si="1"/>
        <v>0</v>
      </c>
      <c r="F14" s="110">
        <f t="shared" si="1"/>
        <v>0</v>
      </c>
      <c r="G14" s="110">
        <f t="shared" si="1"/>
        <v>0</v>
      </c>
      <c r="H14" s="110">
        <f t="shared" si="1"/>
        <v>0</v>
      </c>
      <c r="I14" s="110">
        <f t="shared" si="1"/>
        <v>0</v>
      </c>
      <c r="J14" s="110">
        <f t="shared" si="1"/>
        <v>0</v>
      </c>
      <c r="K14" s="110">
        <f t="shared" si="1"/>
        <v>0</v>
      </c>
      <c r="L14" s="110">
        <f t="shared" si="1"/>
        <v>0</v>
      </c>
      <c r="M14" s="110">
        <f t="shared" si="1"/>
        <v>0</v>
      </c>
      <c r="N14" s="110">
        <f>SUM(B14:M14)</f>
        <v>0</v>
      </c>
      <c r="O14" s="111">
        <f>SUM(O12:O13)</f>
        <v>0</v>
      </c>
      <c r="P14" s="84"/>
      <c r="Q14" s="84"/>
      <c r="R14" s="112"/>
      <c r="S14" s="112"/>
      <c r="T14" s="112"/>
      <c r="U14" s="110">
        <f t="shared" ref="U14:AF14" si="2">SUM(U12:U13)</f>
        <v>0</v>
      </c>
      <c r="V14" s="110">
        <f t="shared" si="2"/>
        <v>0</v>
      </c>
      <c r="W14" s="110">
        <f t="shared" si="2"/>
        <v>0</v>
      </c>
      <c r="X14" s="110">
        <f t="shared" si="2"/>
        <v>0</v>
      </c>
      <c r="Y14" s="110">
        <f t="shared" si="2"/>
        <v>0</v>
      </c>
      <c r="Z14" s="110">
        <f t="shared" si="2"/>
        <v>0</v>
      </c>
      <c r="AA14" s="110">
        <f t="shared" si="2"/>
        <v>0</v>
      </c>
      <c r="AB14" s="110">
        <f t="shared" si="2"/>
        <v>0</v>
      </c>
      <c r="AC14" s="110">
        <f t="shared" si="2"/>
        <v>0</v>
      </c>
      <c r="AD14" s="110">
        <f t="shared" si="2"/>
        <v>0</v>
      </c>
      <c r="AE14" s="110">
        <f t="shared" si="2"/>
        <v>0</v>
      </c>
      <c r="AF14" s="110">
        <f t="shared" si="2"/>
        <v>0</v>
      </c>
      <c r="AG14" s="110">
        <f>SUM(U14:AF14)</f>
        <v>0</v>
      </c>
      <c r="AH14" s="111">
        <f>SUM(AH12:AH13)</f>
        <v>0</v>
      </c>
      <c r="AJ14" s="110">
        <f>AG14-N14</f>
        <v>0</v>
      </c>
    </row>
    <row r="15" spans="1:36" x14ac:dyDescent="0.3">
      <c r="A15" s="113" t="s">
        <v>102</v>
      </c>
      <c r="B15" s="84">
        <f>IFERROR(SUMIF([2]Jan26A!$A:$A,$A15,INDEX([2]Jan26A!$A:$N,0,MATCH($A$1,[2]Jan26A!$A$7:$N$7,0))),0)</f>
        <v>0</v>
      </c>
      <c r="C15" s="84">
        <f>IFERROR(SUMIF([2]Feb26A!$A:$A,$A15,INDEX([2]Feb26A!$A:$N,0,MATCH($A$1,[2]Feb26A!$A$7:$N$7,0))),0)</f>
        <v>0</v>
      </c>
      <c r="D15" s="84">
        <f>IFERROR(SUMIF([2]Mar26A!$A:$A,$A15,INDEX([2]Mar26A!$A:$N,0,MATCH($A$1,[2]Mar26A!$A$7:$N$7,0))),0)</f>
        <v>0</v>
      </c>
      <c r="E15" s="84">
        <f>IFERROR(SUMIF([2]Apr26A!$A:$A,$A15,INDEX([2]Apr26A!$A:$N,0,MATCH($A$1,[2]Apr26A!$A$7:$N$7,0))),0)</f>
        <v>0</v>
      </c>
      <c r="F15" s="84">
        <f>IFERROR(SUMIF([2]May26A!$A:$A,$A15,INDEX([2]May26A!$A:$N,0,MATCH($A$1,[2]May26A!$A$7:$N$7,0))),0)</f>
        <v>0</v>
      </c>
      <c r="G15" s="84">
        <f>IFERROR(SUMIF([2]Jun26A!$A:$A,$A15,INDEX([2]Jun26A!$A:$N,0,MATCH($A$1,[2]Jun26A!$A$7:$N$7,0))),0)</f>
        <v>0</v>
      </c>
      <c r="H15" s="84">
        <f>IFERROR(SUMIF([2]Jul26A!$A:$A,$A15,INDEX([2]Jul26A!$A:$N,0,MATCH($A$1,[2]Jul26A!$A$7:$N$7,0))),0)</f>
        <v>0</v>
      </c>
      <c r="I15" s="84">
        <f>IFERROR(SUMIF([2]Aug26A!$A:$A,$A15,INDEX([2]Aug26A!$A:$N,0,MATCH($A$1,[2]Aug26A!$A$7:$N$7,0))),0)</f>
        <v>0</v>
      </c>
      <c r="J15" s="104"/>
      <c r="K15" s="104"/>
      <c r="L15" s="104"/>
      <c r="M15" s="104"/>
      <c r="N15" s="84">
        <f>SUM(B15:M15)</f>
        <v>0</v>
      </c>
      <c r="O15" s="105" t="str">
        <f>IFERROR(N15/N$16,"")</f>
        <v/>
      </c>
      <c r="P15" s="84"/>
      <c r="Q15" s="84"/>
      <c r="R15" s="106" t="s">
        <v>99</v>
      </c>
      <c r="S15" s="107">
        <v>0</v>
      </c>
      <c r="T15" s="108">
        <v>0.05</v>
      </c>
      <c r="U15" s="104">
        <f t="shared" ref="U15:AF15" si="3">IF($R15="Manual","",IFERROR(IF($R15="YOY Growth",$N15*(1+$T15)/12,$S15/12),""))</f>
        <v>0</v>
      </c>
      <c r="V15" s="104">
        <f t="shared" si="3"/>
        <v>0</v>
      </c>
      <c r="W15" s="104">
        <f t="shared" si="3"/>
        <v>0</v>
      </c>
      <c r="X15" s="104">
        <f t="shared" si="3"/>
        <v>0</v>
      </c>
      <c r="Y15" s="104">
        <f t="shared" si="3"/>
        <v>0</v>
      </c>
      <c r="Z15" s="104">
        <f t="shared" si="3"/>
        <v>0</v>
      </c>
      <c r="AA15" s="104">
        <f t="shared" si="3"/>
        <v>0</v>
      </c>
      <c r="AB15" s="104">
        <f t="shared" si="3"/>
        <v>0</v>
      </c>
      <c r="AC15" s="104">
        <f t="shared" si="3"/>
        <v>0</v>
      </c>
      <c r="AD15" s="104">
        <f t="shared" si="3"/>
        <v>0</v>
      </c>
      <c r="AE15" s="104">
        <f t="shared" si="3"/>
        <v>0</v>
      </c>
      <c r="AF15" s="104">
        <f t="shared" si="3"/>
        <v>0</v>
      </c>
      <c r="AG15" s="84">
        <f>SUM(U15:AF15)</f>
        <v>0</v>
      </c>
      <c r="AH15" s="105" t="str">
        <f>IFERROR(AG15/AG$16,"")</f>
        <v/>
      </c>
      <c r="AJ15" s="84">
        <f>AG15-N15</f>
        <v>0</v>
      </c>
    </row>
    <row r="16" spans="1:36" x14ac:dyDescent="0.3">
      <c r="A16" s="114" t="s">
        <v>103</v>
      </c>
      <c r="B16" s="110">
        <f t="shared" ref="B16:M16" si="4">B14+B15</f>
        <v>0</v>
      </c>
      <c r="C16" s="110">
        <f t="shared" si="4"/>
        <v>0</v>
      </c>
      <c r="D16" s="110">
        <f t="shared" si="4"/>
        <v>0</v>
      </c>
      <c r="E16" s="110">
        <f t="shared" si="4"/>
        <v>0</v>
      </c>
      <c r="F16" s="110">
        <f t="shared" si="4"/>
        <v>0</v>
      </c>
      <c r="G16" s="110">
        <f t="shared" si="4"/>
        <v>0</v>
      </c>
      <c r="H16" s="110">
        <f t="shared" si="4"/>
        <v>0</v>
      </c>
      <c r="I16" s="110">
        <f t="shared" si="4"/>
        <v>0</v>
      </c>
      <c r="J16" s="110">
        <f t="shared" si="4"/>
        <v>0</v>
      </c>
      <c r="K16" s="110">
        <f t="shared" si="4"/>
        <v>0</v>
      </c>
      <c r="L16" s="110">
        <f t="shared" si="4"/>
        <v>0</v>
      </c>
      <c r="M16" s="110">
        <f t="shared" si="4"/>
        <v>0</v>
      </c>
      <c r="N16" s="110">
        <f>SUM(B16:M16)</f>
        <v>0</v>
      </c>
      <c r="O16" s="111">
        <f>SUM(O14:O15)</f>
        <v>0</v>
      </c>
      <c r="P16" s="84"/>
      <c r="Q16" s="84"/>
      <c r="R16" s="112"/>
      <c r="S16" s="112"/>
      <c r="T16" s="112"/>
      <c r="U16" s="110">
        <f t="shared" ref="U16:AF16" si="5">U14+U15</f>
        <v>0</v>
      </c>
      <c r="V16" s="110">
        <f t="shared" si="5"/>
        <v>0</v>
      </c>
      <c r="W16" s="110">
        <f t="shared" si="5"/>
        <v>0</v>
      </c>
      <c r="X16" s="110">
        <f t="shared" si="5"/>
        <v>0</v>
      </c>
      <c r="Y16" s="110">
        <f t="shared" si="5"/>
        <v>0</v>
      </c>
      <c r="Z16" s="110">
        <f t="shared" si="5"/>
        <v>0</v>
      </c>
      <c r="AA16" s="110">
        <f t="shared" si="5"/>
        <v>0</v>
      </c>
      <c r="AB16" s="110">
        <f t="shared" si="5"/>
        <v>0</v>
      </c>
      <c r="AC16" s="110">
        <f t="shared" si="5"/>
        <v>0</v>
      </c>
      <c r="AD16" s="110">
        <f t="shared" si="5"/>
        <v>0</v>
      </c>
      <c r="AE16" s="110">
        <f t="shared" si="5"/>
        <v>0</v>
      </c>
      <c r="AF16" s="110">
        <f t="shared" si="5"/>
        <v>0</v>
      </c>
      <c r="AG16" s="110">
        <f>SUM(U16:AF16)</f>
        <v>0</v>
      </c>
      <c r="AH16" s="111">
        <f>SUM(AH14:AH15)</f>
        <v>0</v>
      </c>
      <c r="AJ16" s="110">
        <f>AG16-N16</f>
        <v>0</v>
      </c>
    </row>
    <row r="17" spans="1:36" x14ac:dyDescent="0.3">
      <c r="A17" s="101" t="s">
        <v>104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105"/>
      <c r="P17" s="84"/>
      <c r="Q17" s="84"/>
      <c r="R17" s="112"/>
      <c r="S17" s="112"/>
      <c r="T17" s="112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105"/>
      <c r="AJ17" s="84"/>
    </row>
    <row r="18" spans="1:36" x14ac:dyDescent="0.3">
      <c r="A18" s="102" t="s">
        <v>105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105"/>
      <c r="P18" s="84"/>
      <c r="Q18" s="84"/>
      <c r="R18" s="112"/>
      <c r="S18" s="112"/>
      <c r="T18" s="112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105"/>
      <c r="AJ18" s="84"/>
    </row>
    <row r="19" spans="1:36" x14ac:dyDescent="0.3">
      <c r="A19" s="103" t="s">
        <v>106</v>
      </c>
      <c r="B19" s="84">
        <f>IFERROR(SUMIF([2]Jan26A!$A:$A,$A19,INDEX([2]Jan26A!$A:$N,0,MATCH($A$1,[2]Jan26A!$A$7:$N$7,0))),0)</f>
        <v>0</v>
      </c>
      <c r="C19" s="84">
        <f>IFERROR(SUMIF([2]Feb26A!$A:$A,$A19,INDEX([2]Feb26A!$A:$N,0,MATCH($A$1,[2]Feb26A!$A$7:$N$7,0))),0)</f>
        <v>0</v>
      </c>
      <c r="D19" s="84">
        <f>IFERROR(SUMIF([2]Mar26A!$A:$A,$A19,INDEX([2]Mar26A!$A:$N,0,MATCH($A$1,[2]Mar26A!$A$7:$N$7,0))),0)</f>
        <v>0</v>
      </c>
      <c r="E19" s="84">
        <f>IFERROR(SUMIF([2]Apr26A!$A:$A,$A19,INDEX([2]Apr26A!$A:$N,0,MATCH($A$1,[2]Apr26A!$A$7:$N$7,0))),0)</f>
        <v>0</v>
      </c>
      <c r="F19" s="84">
        <f>IFERROR(SUMIF([2]May26A!$A:$A,$A19,INDEX([2]May26A!$A:$N,0,MATCH($A$1,[2]May26A!$A$7:$N$7,0))),0)</f>
        <v>0</v>
      </c>
      <c r="G19" s="84">
        <f>IFERROR(SUMIF([2]Jun26A!$A:$A,$A19,INDEX([2]Jun26A!$A:$N,0,MATCH($A$1,[2]Jun26A!$A$7:$N$7,0))),0)</f>
        <v>0</v>
      </c>
      <c r="H19" s="84">
        <f>IFERROR(SUMIF([2]Jul26A!$A:$A,$A19,INDEX([2]Jul26A!$A:$N,0,MATCH($A$1,[2]Jul26A!$A$7:$N$7,0))),0)</f>
        <v>0</v>
      </c>
      <c r="I19" s="84">
        <f>IFERROR(SUMIF([2]Aug26A!$A:$A,$A19,INDEX([2]Aug26A!$A:$N,0,MATCH($A$1,[2]Aug26A!$A$7:$N$7,0))),0)</f>
        <v>0</v>
      </c>
      <c r="J19" s="104"/>
      <c r="K19" s="104"/>
      <c r="L19" s="104"/>
      <c r="M19" s="104"/>
      <c r="N19" s="84">
        <f>SUM(B19:M19)</f>
        <v>0</v>
      </c>
      <c r="O19" s="105" t="str">
        <f>IFERROR(N19/N$16,"")</f>
        <v/>
      </c>
      <c r="P19" s="84"/>
      <c r="Q19" s="84"/>
      <c r="R19" s="106" t="s">
        <v>99</v>
      </c>
      <c r="S19" s="107">
        <v>0</v>
      </c>
      <c r="T19" s="108">
        <v>0.05</v>
      </c>
      <c r="U19" s="104">
        <f t="shared" ref="U19:AF22" si="6">IF($R19="Manual","",IFERROR(IF($R19="YOY Growth",$N19*(1+$T19)/12,$S19/12),""))</f>
        <v>0</v>
      </c>
      <c r="V19" s="104">
        <f t="shared" si="6"/>
        <v>0</v>
      </c>
      <c r="W19" s="104">
        <f t="shared" si="6"/>
        <v>0</v>
      </c>
      <c r="X19" s="104">
        <f t="shared" si="6"/>
        <v>0</v>
      </c>
      <c r="Y19" s="104">
        <f t="shared" si="6"/>
        <v>0</v>
      </c>
      <c r="Z19" s="104">
        <f t="shared" si="6"/>
        <v>0</v>
      </c>
      <c r="AA19" s="104">
        <f t="shared" si="6"/>
        <v>0</v>
      </c>
      <c r="AB19" s="104">
        <f t="shared" si="6"/>
        <v>0</v>
      </c>
      <c r="AC19" s="104">
        <f t="shared" si="6"/>
        <v>0</v>
      </c>
      <c r="AD19" s="104">
        <f t="shared" si="6"/>
        <v>0</v>
      </c>
      <c r="AE19" s="104">
        <f t="shared" si="6"/>
        <v>0</v>
      </c>
      <c r="AF19" s="104">
        <f t="shared" si="6"/>
        <v>0</v>
      </c>
      <c r="AG19" s="84">
        <f>SUM(U19:AF19)</f>
        <v>0</v>
      </c>
      <c r="AH19" s="105" t="str">
        <f>IFERROR(AG19/AG$16,"")</f>
        <v/>
      </c>
      <c r="AJ19" s="84">
        <f>N19-AG19</f>
        <v>0</v>
      </c>
    </row>
    <row r="20" spans="1:36" x14ac:dyDescent="0.3">
      <c r="A20" s="103" t="s">
        <v>107</v>
      </c>
      <c r="B20" s="84">
        <f>IFERROR(SUMIF([2]Jan26A!$A:$A,$A20,INDEX([2]Jan26A!$A:$N,0,MATCH($A$1,[2]Jan26A!$A$7:$N$7,0))),0)</f>
        <v>0</v>
      </c>
      <c r="C20" s="84">
        <f>IFERROR(SUMIF([2]Feb26A!$A:$A,$A20,INDEX([2]Feb26A!$A:$N,0,MATCH($A$1,[2]Feb26A!$A$7:$N$7,0))),0)</f>
        <v>0</v>
      </c>
      <c r="D20" s="84">
        <f>IFERROR(SUMIF([2]Mar26A!$A:$A,$A20,INDEX([2]Mar26A!$A:$N,0,MATCH($A$1,[2]Mar26A!$A$7:$N$7,0))),0)</f>
        <v>0</v>
      </c>
      <c r="E20" s="84">
        <f>IFERROR(SUMIF([2]Apr26A!$A:$A,$A20,INDEX([2]Apr26A!$A:$N,0,MATCH($A$1,[2]Apr26A!$A$7:$N$7,0))),0)</f>
        <v>0</v>
      </c>
      <c r="F20" s="84">
        <f>IFERROR(SUMIF([2]May26A!$A:$A,$A20,INDEX([2]May26A!$A:$N,0,MATCH($A$1,[2]May26A!$A$7:$N$7,0))),0)</f>
        <v>0</v>
      </c>
      <c r="G20" s="84">
        <f>IFERROR(SUMIF([2]Jun26A!$A:$A,$A20,INDEX([2]Jun26A!$A:$N,0,MATCH($A$1,[2]Jun26A!$A$7:$N$7,0))),0)</f>
        <v>0</v>
      </c>
      <c r="H20" s="84">
        <f>IFERROR(SUMIF([2]Jul26A!$A:$A,$A20,INDEX([2]Jul26A!$A:$N,0,MATCH($A$1,[2]Jul26A!$A$7:$N$7,0))),0)</f>
        <v>0</v>
      </c>
      <c r="I20" s="84">
        <f>IFERROR(SUMIF([2]Aug26A!$A:$A,$A20,INDEX([2]Aug26A!$A:$N,0,MATCH($A$1,[2]Aug26A!$A$7:$N$7,0))),0)</f>
        <v>0</v>
      </c>
      <c r="J20" s="104"/>
      <c r="K20" s="104"/>
      <c r="L20" s="104"/>
      <c r="M20" s="104"/>
      <c r="N20" s="84">
        <f>SUM(B20:M20)</f>
        <v>0</v>
      </c>
      <c r="O20" s="105" t="str">
        <f>IFERROR(N20/N$16,"")</f>
        <v/>
      </c>
      <c r="P20" s="84"/>
      <c r="Q20" s="84"/>
      <c r="R20" s="106" t="s">
        <v>99</v>
      </c>
      <c r="S20" s="107">
        <v>0</v>
      </c>
      <c r="T20" s="108">
        <v>0.05</v>
      </c>
      <c r="U20" s="104">
        <f t="shared" si="6"/>
        <v>0</v>
      </c>
      <c r="V20" s="104">
        <f t="shared" si="6"/>
        <v>0</v>
      </c>
      <c r="W20" s="104">
        <f t="shared" si="6"/>
        <v>0</v>
      </c>
      <c r="X20" s="104">
        <f t="shared" si="6"/>
        <v>0</v>
      </c>
      <c r="Y20" s="104">
        <f t="shared" si="6"/>
        <v>0</v>
      </c>
      <c r="Z20" s="104">
        <f t="shared" si="6"/>
        <v>0</v>
      </c>
      <c r="AA20" s="104">
        <f t="shared" si="6"/>
        <v>0</v>
      </c>
      <c r="AB20" s="104">
        <f t="shared" si="6"/>
        <v>0</v>
      </c>
      <c r="AC20" s="104">
        <f t="shared" si="6"/>
        <v>0</v>
      </c>
      <c r="AD20" s="104">
        <f t="shared" si="6"/>
        <v>0</v>
      </c>
      <c r="AE20" s="104">
        <f t="shared" si="6"/>
        <v>0</v>
      </c>
      <c r="AF20" s="104">
        <f t="shared" si="6"/>
        <v>0</v>
      </c>
      <c r="AG20" s="84">
        <f>SUM(U20:AF20)</f>
        <v>0</v>
      </c>
      <c r="AH20" s="105" t="str">
        <f>IFERROR(AG20/AG$16,"")</f>
        <v/>
      </c>
      <c r="AJ20" s="84">
        <f>N20-AG20</f>
        <v>0</v>
      </c>
    </row>
    <row r="21" spans="1:36" x14ac:dyDescent="0.3">
      <c r="A21" s="103" t="s">
        <v>108</v>
      </c>
      <c r="B21" s="84">
        <f>IFERROR(SUMIF([2]Jan26A!$A:$A,$A21,INDEX([2]Jan26A!$A:$N,0,MATCH($A$1,[2]Jan26A!$A$7:$N$7,0))),0)</f>
        <v>0</v>
      </c>
      <c r="C21" s="84">
        <f>IFERROR(SUMIF([2]Feb26A!$A:$A,$A21,INDEX([2]Feb26A!$A:$N,0,MATCH($A$1,[2]Feb26A!$A$7:$N$7,0))),0)</f>
        <v>0</v>
      </c>
      <c r="D21" s="84">
        <f>IFERROR(SUMIF([2]Mar26A!$A:$A,$A21,INDEX([2]Mar26A!$A:$N,0,MATCH($A$1,[2]Mar26A!$A$7:$N$7,0))),0)</f>
        <v>0</v>
      </c>
      <c r="E21" s="84">
        <f>IFERROR(SUMIF([2]Apr26A!$A:$A,$A21,INDEX([2]Apr26A!$A:$N,0,MATCH($A$1,[2]Apr26A!$A$7:$N$7,0))),0)</f>
        <v>0</v>
      </c>
      <c r="F21" s="84">
        <f>IFERROR(SUMIF([2]May26A!$A:$A,$A21,INDEX([2]May26A!$A:$N,0,MATCH($A$1,[2]May26A!$A$7:$N$7,0))),0)</f>
        <v>0</v>
      </c>
      <c r="G21" s="84">
        <f>IFERROR(SUMIF([2]Jun26A!$A:$A,$A21,INDEX([2]Jun26A!$A:$N,0,MATCH($A$1,[2]Jun26A!$A$7:$N$7,0))),0)</f>
        <v>0</v>
      </c>
      <c r="H21" s="84">
        <f>IFERROR(SUMIF([2]Jul26A!$A:$A,$A21,INDEX([2]Jul26A!$A:$N,0,MATCH($A$1,[2]Jul26A!$A$7:$N$7,0))),0)</f>
        <v>0</v>
      </c>
      <c r="I21" s="84">
        <f>IFERROR(SUMIF([2]Aug26A!$A:$A,$A21,INDEX([2]Aug26A!$A:$N,0,MATCH($A$1,[2]Aug26A!$A$7:$N$7,0))),0)</f>
        <v>0</v>
      </c>
      <c r="J21" s="104"/>
      <c r="K21" s="104"/>
      <c r="L21" s="104"/>
      <c r="M21" s="104"/>
      <c r="N21" s="84">
        <f>SUM(B21:M21)</f>
        <v>0</v>
      </c>
      <c r="O21" s="105" t="str">
        <f>IFERROR(N21/N$16,"")</f>
        <v/>
      </c>
      <c r="P21" s="84"/>
      <c r="Q21" s="84"/>
      <c r="R21" s="106" t="s">
        <v>99</v>
      </c>
      <c r="S21" s="107">
        <v>0</v>
      </c>
      <c r="T21" s="108">
        <v>0.05</v>
      </c>
      <c r="U21" s="104">
        <f t="shared" si="6"/>
        <v>0</v>
      </c>
      <c r="V21" s="104">
        <f t="shared" si="6"/>
        <v>0</v>
      </c>
      <c r="W21" s="104">
        <f t="shared" si="6"/>
        <v>0</v>
      </c>
      <c r="X21" s="104">
        <f t="shared" si="6"/>
        <v>0</v>
      </c>
      <c r="Y21" s="104">
        <f t="shared" si="6"/>
        <v>0</v>
      </c>
      <c r="Z21" s="104">
        <f t="shared" si="6"/>
        <v>0</v>
      </c>
      <c r="AA21" s="104">
        <f t="shared" si="6"/>
        <v>0</v>
      </c>
      <c r="AB21" s="104">
        <f t="shared" si="6"/>
        <v>0</v>
      </c>
      <c r="AC21" s="104">
        <f t="shared" si="6"/>
        <v>0</v>
      </c>
      <c r="AD21" s="104">
        <f t="shared" si="6"/>
        <v>0</v>
      </c>
      <c r="AE21" s="104">
        <f t="shared" si="6"/>
        <v>0</v>
      </c>
      <c r="AF21" s="104">
        <f t="shared" si="6"/>
        <v>0</v>
      </c>
      <c r="AG21" s="84">
        <f>SUM(U21:AF21)</f>
        <v>0</v>
      </c>
      <c r="AH21" s="105" t="str">
        <f>IFERROR(AG21/AG$16,"")</f>
        <v/>
      </c>
      <c r="AJ21" s="84">
        <f>N21-AG21</f>
        <v>0</v>
      </c>
    </row>
    <row r="22" spans="1:36" x14ac:dyDescent="0.3">
      <c r="A22" s="103" t="s">
        <v>109</v>
      </c>
      <c r="B22" s="84">
        <f>IFERROR(SUMIF([2]Jan26A!$A:$A,$A22,INDEX([2]Jan26A!$A:$N,0,MATCH($A$1,[2]Jan26A!$A$7:$N$7,0))),0)</f>
        <v>0</v>
      </c>
      <c r="C22" s="84">
        <f>IFERROR(SUMIF([2]Feb26A!$A:$A,$A22,INDEX([2]Feb26A!$A:$N,0,MATCH($A$1,[2]Feb26A!$A$7:$N$7,0))),0)</f>
        <v>0</v>
      </c>
      <c r="D22" s="84">
        <f>IFERROR(SUMIF([2]Mar26A!$A:$A,$A22,INDEX([2]Mar26A!$A:$N,0,MATCH($A$1,[2]Mar26A!$A$7:$N$7,0))),0)</f>
        <v>0</v>
      </c>
      <c r="E22" s="84">
        <f>IFERROR(SUMIF([2]Apr26A!$A:$A,$A22,INDEX([2]Apr26A!$A:$N,0,MATCH($A$1,[2]Apr26A!$A$7:$N$7,0))),0)</f>
        <v>0</v>
      </c>
      <c r="F22" s="84">
        <f>IFERROR(SUMIF([2]May26A!$A:$A,$A22,INDEX([2]May26A!$A:$N,0,MATCH($A$1,[2]May26A!$A$7:$N$7,0))),0)</f>
        <v>0</v>
      </c>
      <c r="G22" s="84">
        <f>IFERROR(SUMIF([2]Jun26A!$A:$A,$A22,INDEX([2]Jun26A!$A:$N,0,MATCH($A$1,[2]Jun26A!$A$7:$N$7,0))),0)</f>
        <v>0</v>
      </c>
      <c r="H22" s="84">
        <f>IFERROR(SUMIF([2]Jul26A!$A:$A,$A22,INDEX([2]Jul26A!$A:$N,0,MATCH($A$1,[2]Jul26A!$A$7:$N$7,0))),0)</f>
        <v>0</v>
      </c>
      <c r="I22" s="84">
        <f>IFERROR(SUMIF([2]Aug26A!$A:$A,$A22,INDEX([2]Aug26A!$A:$N,0,MATCH($A$1,[2]Aug26A!$A$7:$N$7,0))),0)</f>
        <v>0</v>
      </c>
      <c r="J22" s="104"/>
      <c r="K22" s="104"/>
      <c r="L22" s="104"/>
      <c r="M22" s="104"/>
      <c r="N22" s="84">
        <f>SUM(B22:M22)</f>
        <v>0</v>
      </c>
      <c r="O22" s="105" t="str">
        <f>IFERROR(N22/N$16,"")</f>
        <v/>
      </c>
      <c r="P22" s="84"/>
      <c r="Q22" s="84"/>
      <c r="R22" s="106" t="s">
        <v>99</v>
      </c>
      <c r="S22" s="107">
        <v>0</v>
      </c>
      <c r="T22" s="108">
        <v>0.05</v>
      </c>
      <c r="U22" s="104">
        <f t="shared" si="6"/>
        <v>0</v>
      </c>
      <c r="V22" s="104">
        <f t="shared" si="6"/>
        <v>0</v>
      </c>
      <c r="W22" s="104">
        <f t="shared" si="6"/>
        <v>0</v>
      </c>
      <c r="X22" s="104">
        <f t="shared" si="6"/>
        <v>0</v>
      </c>
      <c r="Y22" s="104">
        <f t="shared" si="6"/>
        <v>0</v>
      </c>
      <c r="Z22" s="104">
        <f t="shared" si="6"/>
        <v>0</v>
      </c>
      <c r="AA22" s="104">
        <f t="shared" si="6"/>
        <v>0</v>
      </c>
      <c r="AB22" s="104">
        <f t="shared" si="6"/>
        <v>0</v>
      </c>
      <c r="AC22" s="104">
        <f t="shared" si="6"/>
        <v>0</v>
      </c>
      <c r="AD22" s="104">
        <f t="shared" si="6"/>
        <v>0</v>
      </c>
      <c r="AE22" s="104">
        <f t="shared" si="6"/>
        <v>0</v>
      </c>
      <c r="AF22" s="104">
        <f t="shared" si="6"/>
        <v>0</v>
      </c>
      <c r="AG22" s="84">
        <f>SUM(U22:AF22)</f>
        <v>0</v>
      </c>
      <c r="AH22" s="105" t="str">
        <f>IFERROR(AG22/AG$16,"")</f>
        <v/>
      </c>
      <c r="AJ22" s="84">
        <f>N22-AG22</f>
        <v>0</v>
      </c>
    </row>
    <row r="23" spans="1:36" x14ac:dyDescent="0.3">
      <c r="A23" s="115" t="s">
        <v>110</v>
      </c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105"/>
      <c r="P23" s="84"/>
      <c r="Q23" s="84"/>
      <c r="R23" s="112"/>
      <c r="S23" s="112"/>
      <c r="T23" s="112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105"/>
      <c r="AJ23" s="84"/>
    </row>
    <row r="24" spans="1:36" x14ac:dyDescent="0.3">
      <c r="A24" s="116" t="s">
        <v>110</v>
      </c>
      <c r="B24" s="84">
        <f>IFERROR(SUMIF([2]Jan26A!$A:$A,$A24,INDEX([2]Jan26A!$A:$N,0,MATCH($A$1,[2]Jan26A!$A$7:$N$7,0))),0)</f>
        <v>0</v>
      </c>
      <c r="C24" s="84">
        <f>IFERROR(SUMIF([2]Feb26A!$A:$A,$A24,INDEX([2]Feb26A!$A:$N,0,MATCH($A$1,[2]Feb26A!$A$7:$N$7,0))),0)</f>
        <v>0</v>
      </c>
      <c r="D24" s="84">
        <f>IFERROR(SUMIF([2]Mar26A!$A:$A,$A24,INDEX([2]Mar26A!$A:$N,0,MATCH($A$1,[2]Mar26A!$A$7:$N$7,0))),0)</f>
        <v>0</v>
      </c>
      <c r="E24" s="84">
        <f>IFERROR(SUMIF([2]Apr26A!$A:$A,$A24,INDEX([2]Apr26A!$A:$N,0,MATCH($A$1,[2]Apr26A!$A$7:$N$7,0))),0)</f>
        <v>0</v>
      </c>
      <c r="F24" s="84">
        <f>IFERROR(SUMIF([2]May26A!$A:$A,$A24,INDEX([2]May26A!$A:$N,0,MATCH($A$1,[2]May26A!$A$7:$N$7,0))),0)</f>
        <v>0</v>
      </c>
      <c r="G24" s="84">
        <f>IFERROR(SUMIF([2]Jun26A!$A:$A,$A24,INDEX([2]Jun26A!$A:$N,0,MATCH($A$1,[2]Jun26A!$A$7:$N$7,0))),0)</f>
        <v>0</v>
      </c>
      <c r="H24" s="84">
        <f>IFERROR(SUMIF([2]Jul26A!$A:$A,$A24,INDEX([2]Jul26A!$A:$N,0,MATCH($A$1,[2]Jul26A!$A$7:$N$7,0))),0)</f>
        <v>0</v>
      </c>
      <c r="I24" s="84">
        <f>IFERROR(SUMIF([2]Aug26A!$A:$A,$A24,INDEX([2]Aug26A!$A:$N,0,MATCH($A$1,[2]Aug26A!$A$7:$N$7,0))),0)</f>
        <v>0</v>
      </c>
      <c r="J24" s="117">
        <v>0</v>
      </c>
      <c r="K24" s="117">
        <v>0</v>
      </c>
      <c r="L24" s="117">
        <v>0</v>
      </c>
      <c r="M24" s="117">
        <v>0</v>
      </c>
      <c r="N24" s="84">
        <f t="shared" ref="N24:N31" si="7">SUM(B24:M24)</f>
        <v>0</v>
      </c>
      <c r="O24" s="105" t="str">
        <f t="shared" ref="O24:O31" si="8">IFERROR(N24/N$16,"")</f>
        <v/>
      </c>
      <c r="P24" s="84"/>
      <c r="Q24" s="84"/>
      <c r="R24" s="106" t="s">
        <v>99</v>
      </c>
      <c r="S24" s="107">
        <v>0</v>
      </c>
      <c r="T24" s="108">
        <v>0.05</v>
      </c>
      <c r="U24" s="104">
        <f t="shared" ref="U24:AF26" si="9">IF($R24="Manual","",IFERROR(IF($R24="YOY Growth",$N24*(1+$T24)/12,$S24/12),""))</f>
        <v>0</v>
      </c>
      <c r="V24" s="104">
        <f t="shared" si="9"/>
        <v>0</v>
      </c>
      <c r="W24" s="104">
        <f t="shared" si="9"/>
        <v>0</v>
      </c>
      <c r="X24" s="104">
        <f t="shared" si="9"/>
        <v>0</v>
      </c>
      <c r="Y24" s="104">
        <f t="shared" si="9"/>
        <v>0</v>
      </c>
      <c r="Z24" s="104">
        <f t="shared" si="9"/>
        <v>0</v>
      </c>
      <c r="AA24" s="104">
        <f t="shared" si="9"/>
        <v>0</v>
      </c>
      <c r="AB24" s="104">
        <f t="shared" si="9"/>
        <v>0</v>
      </c>
      <c r="AC24" s="104">
        <f t="shared" si="9"/>
        <v>0</v>
      </c>
      <c r="AD24" s="104">
        <f t="shared" si="9"/>
        <v>0</v>
      </c>
      <c r="AE24" s="104">
        <f t="shared" si="9"/>
        <v>0</v>
      </c>
      <c r="AF24" s="104">
        <f t="shared" si="9"/>
        <v>0</v>
      </c>
      <c r="AG24" s="84">
        <f t="shared" ref="AG24:AG31" si="10">SUM(U24:AF24)</f>
        <v>0</v>
      </c>
      <c r="AH24" s="105" t="str">
        <f t="shared" ref="AH24:AH31" si="11">IFERROR(AG24/AG$16,"")</f>
        <v/>
      </c>
      <c r="AJ24" s="84">
        <f t="shared" ref="AJ24:AJ31" si="12">N24-AG24</f>
        <v>0</v>
      </c>
    </row>
    <row r="25" spans="1:36" x14ac:dyDescent="0.3">
      <c r="A25" s="116" t="s">
        <v>111</v>
      </c>
      <c r="B25" s="84">
        <f>IFERROR(SUMIF([2]Jan26A!$A:$A,$A25,INDEX([2]Jan26A!$A:$N,0,MATCH($A$1,[2]Jan26A!$A$7:$N$7,0))),0)</f>
        <v>0</v>
      </c>
      <c r="C25" s="84">
        <f>IFERROR(SUMIF([2]Feb26A!$A:$A,$A25,INDEX([2]Feb26A!$A:$N,0,MATCH($A$1,[2]Feb26A!$A$7:$N$7,0))),0)</f>
        <v>0</v>
      </c>
      <c r="D25" s="84">
        <f>IFERROR(SUMIF([2]Mar26A!$A:$A,$A25,INDEX([2]Mar26A!$A:$N,0,MATCH($A$1,[2]Mar26A!$A$7:$N$7,0))),0)</f>
        <v>0</v>
      </c>
      <c r="E25" s="84">
        <f>IFERROR(SUMIF([2]Apr26A!$A:$A,$A25,INDEX([2]Apr26A!$A:$N,0,MATCH($A$1,[2]Apr26A!$A$7:$N$7,0))),0)</f>
        <v>0</v>
      </c>
      <c r="F25" s="84">
        <f>IFERROR(SUMIF([2]May26A!$A:$A,$A25,INDEX([2]May26A!$A:$N,0,MATCH($A$1,[2]May26A!$A$7:$N$7,0))),0)</f>
        <v>0</v>
      </c>
      <c r="G25" s="84">
        <f>IFERROR(SUMIF([2]Jun26A!$A:$A,$A25,INDEX([2]Jun26A!$A:$N,0,MATCH($A$1,[2]Jun26A!$A$7:$N$7,0))),0)</f>
        <v>0</v>
      </c>
      <c r="H25" s="84">
        <f>IFERROR(SUMIF([2]Jul26A!$A:$A,$A25,INDEX([2]Jul26A!$A:$N,0,MATCH($A$1,[2]Jul26A!$A$7:$N$7,0))),0)</f>
        <v>0</v>
      </c>
      <c r="I25" s="84">
        <f>IFERROR(SUMIF([2]Aug26A!$A:$A,$A25,INDEX([2]Aug26A!$A:$N,0,MATCH($A$1,[2]Aug26A!$A$7:$N$7,0))),0)</f>
        <v>0</v>
      </c>
      <c r="J25" s="117">
        <v>0</v>
      </c>
      <c r="K25" s="117">
        <v>0</v>
      </c>
      <c r="L25" s="117">
        <v>0</v>
      </c>
      <c r="M25" s="117">
        <v>0</v>
      </c>
      <c r="N25" s="84">
        <f t="shared" si="7"/>
        <v>0</v>
      </c>
      <c r="O25" s="105" t="str">
        <f t="shared" si="8"/>
        <v/>
      </c>
      <c r="P25" s="84"/>
      <c r="Q25" s="84"/>
      <c r="R25" s="106" t="s">
        <v>99</v>
      </c>
      <c r="S25" s="107">
        <v>0</v>
      </c>
      <c r="T25" s="108">
        <v>0.05</v>
      </c>
      <c r="U25" s="104">
        <f t="shared" si="9"/>
        <v>0</v>
      </c>
      <c r="V25" s="104">
        <f t="shared" si="9"/>
        <v>0</v>
      </c>
      <c r="W25" s="104">
        <f t="shared" si="9"/>
        <v>0</v>
      </c>
      <c r="X25" s="104">
        <f t="shared" si="9"/>
        <v>0</v>
      </c>
      <c r="Y25" s="104">
        <f t="shared" si="9"/>
        <v>0</v>
      </c>
      <c r="Z25" s="104">
        <f t="shared" si="9"/>
        <v>0</v>
      </c>
      <c r="AA25" s="104">
        <f t="shared" si="9"/>
        <v>0</v>
      </c>
      <c r="AB25" s="104">
        <f t="shared" si="9"/>
        <v>0</v>
      </c>
      <c r="AC25" s="104">
        <f t="shared" si="9"/>
        <v>0</v>
      </c>
      <c r="AD25" s="104">
        <f t="shared" si="9"/>
        <v>0</v>
      </c>
      <c r="AE25" s="104">
        <f t="shared" si="9"/>
        <v>0</v>
      </c>
      <c r="AF25" s="104">
        <f t="shared" si="9"/>
        <v>0</v>
      </c>
      <c r="AG25" s="84">
        <f t="shared" si="10"/>
        <v>0</v>
      </c>
      <c r="AH25" s="105" t="str">
        <f t="shared" si="11"/>
        <v/>
      </c>
      <c r="AJ25" s="84">
        <f t="shared" si="12"/>
        <v>0</v>
      </c>
    </row>
    <row r="26" spans="1:36" x14ac:dyDescent="0.3">
      <c r="A26" s="116" t="s">
        <v>112</v>
      </c>
      <c r="B26" s="84">
        <f>IFERROR(SUMIF([2]Jan26A!$A:$A,$A26,INDEX([2]Jan26A!$A:$N,0,MATCH($A$1,[2]Jan26A!$A$7:$N$7,0))),0)</f>
        <v>0</v>
      </c>
      <c r="C26" s="84">
        <f>IFERROR(SUMIF([2]Feb26A!$A:$A,$A26,INDEX([2]Feb26A!$A:$N,0,MATCH($A$1,[2]Feb26A!$A$7:$N$7,0))),0)</f>
        <v>0</v>
      </c>
      <c r="D26" s="84">
        <f>IFERROR(SUMIF([2]Mar26A!$A:$A,$A26,INDEX([2]Mar26A!$A:$N,0,MATCH($A$1,[2]Mar26A!$A$7:$N$7,0))),0)</f>
        <v>0</v>
      </c>
      <c r="E26" s="84">
        <f>IFERROR(SUMIF([2]Apr26A!$A:$A,$A26,INDEX([2]Apr26A!$A:$N,0,MATCH($A$1,[2]Apr26A!$A$7:$N$7,0))),0)</f>
        <v>0</v>
      </c>
      <c r="F26" s="84">
        <f>IFERROR(SUMIF([2]May26A!$A:$A,$A26,INDEX([2]May26A!$A:$N,0,MATCH($A$1,[2]May26A!$A$7:$N$7,0))),0)</f>
        <v>0</v>
      </c>
      <c r="G26" s="84">
        <f>IFERROR(SUMIF([2]Jun26A!$A:$A,$A26,INDEX([2]Jun26A!$A:$N,0,MATCH($A$1,[2]Jun26A!$A$7:$N$7,0))),0)</f>
        <v>0</v>
      </c>
      <c r="H26" s="84">
        <f>IFERROR(SUMIF([2]Jul26A!$A:$A,$A26,INDEX([2]Jul26A!$A:$N,0,MATCH($A$1,[2]Jul26A!$A$7:$N$7,0))),0)</f>
        <v>0</v>
      </c>
      <c r="I26" s="84">
        <f>IFERROR(SUMIF([2]Aug26A!$A:$A,$A26,INDEX([2]Aug26A!$A:$N,0,MATCH($A$1,[2]Aug26A!$A$7:$N$7,0))),0)</f>
        <v>0</v>
      </c>
      <c r="J26" s="117">
        <v>0</v>
      </c>
      <c r="K26" s="117">
        <v>0</v>
      </c>
      <c r="L26" s="117">
        <v>0</v>
      </c>
      <c r="M26" s="117">
        <v>0</v>
      </c>
      <c r="N26" s="84">
        <f t="shared" si="7"/>
        <v>0</v>
      </c>
      <c r="O26" s="105" t="str">
        <f t="shared" si="8"/>
        <v/>
      </c>
      <c r="P26" s="84"/>
      <c r="Q26" s="84"/>
      <c r="R26" s="106" t="s">
        <v>99</v>
      </c>
      <c r="S26" s="107">
        <v>0</v>
      </c>
      <c r="T26" s="108">
        <v>0.05</v>
      </c>
      <c r="U26" s="104">
        <f t="shared" si="9"/>
        <v>0</v>
      </c>
      <c r="V26" s="104">
        <f t="shared" si="9"/>
        <v>0</v>
      </c>
      <c r="W26" s="104">
        <f t="shared" si="9"/>
        <v>0</v>
      </c>
      <c r="X26" s="104">
        <f t="shared" si="9"/>
        <v>0</v>
      </c>
      <c r="Y26" s="104">
        <f t="shared" si="9"/>
        <v>0</v>
      </c>
      <c r="Z26" s="104">
        <f t="shared" si="9"/>
        <v>0</v>
      </c>
      <c r="AA26" s="104">
        <f t="shared" si="9"/>
        <v>0</v>
      </c>
      <c r="AB26" s="104">
        <f t="shared" si="9"/>
        <v>0</v>
      </c>
      <c r="AC26" s="104">
        <f t="shared" si="9"/>
        <v>0</v>
      </c>
      <c r="AD26" s="104">
        <f t="shared" si="9"/>
        <v>0</v>
      </c>
      <c r="AE26" s="104">
        <f t="shared" si="9"/>
        <v>0</v>
      </c>
      <c r="AF26" s="104">
        <f t="shared" si="9"/>
        <v>0</v>
      </c>
      <c r="AG26" s="84">
        <f t="shared" si="10"/>
        <v>0</v>
      </c>
      <c r="AH26" s="105" t="str">
        <f t="shared" si="11"/>
        <v/>
      </c>
      <c r="AJ26" s="84">
        <f t="shared" si="12"/>
        <v>0</v>
      </c>
    </row>
    <row r="27" spans="1:36" x14ac:dyDescent="0.3">
      <c r="A27" s="118" t="s">
        <v>113</v>
      </c>
      <c r="B27" s="110">
        <f t="shared" ref="B27:M27" si="13">SUM(B24:B26)</f>
        <v>0</v>
      </c>
      <c r="C27" s="110">
        <f t="shared" si="13"/>
        <v>0</v>
      </c>
      <c r="D27" s="110">
        <f t="shared" si="13"/>
        <v>0</v>
      </c>
      <c r="E27" s="110">
        <f t="shared" si="13"/>
        <v>0</v>
      </c>
      <c r="F27" s="110">
        <f t="shared" si="13"/>
        <v>0</v>
      </c>
      <c r="G27" s="110">
        <f t="shared" si="13"/>
        <v>0</v>
      </c>
      <c r="H27" s="110">
        <f t="shared" si="13"/>
        <v>0</v>
      </c>
      <c r="I27" s="110">
        <f t="shared" si="13"/>
        <v>0</v>
      </c>
      <c r="J27" s="110">
        <f t="shared" si="13"/>
        <v>0</v>
      </c>
      <c r="K27" s="110">
        <f t="shared" si="13"/>
        <v>0</v>
      </c>
      <c r="L27" s="110">
        <f t="shared" si="13"/>
        <v>0</v>
      </c>
      <c r="M27" s="110">
        <f t="shared" si="13"/>
        <v>0</v>
      </c>
      <c r="N27" s="110">
        <f t="shared" si="7"/>
        <v>0</v>
      </c>
      <c r="O27" s="111" t="str">
        <f t="shared" si="8"/>
        <v/>
      </c>
      <c r="P27" s="84"/>
      <c r="Q27" s="84"/>
      <c r="R27" s="112"/>
      <c r="S27" s="112"/>
      <c r="T27" s="112"/>
      <c r="U27" s="110">
        <f t="shared" ref="U27:AF27" si="14">SUM(U24:U26)</f>
        <v>0</v>
      </c>
      <c r="V27" s="110">
        <f t="shared" si="14"/>
        <v>0</v>
      </c>
      <c r="W27" s="110">
        <f t="shared" si="14"/>
        <v>0</v>
      </c>
      <c r="X27" s="110">
        <f t="shared" si="14"/>
        <v>0</v>
      </c>
      <c r="Y27" s="110">
        <f t="shared" si="14"/>
        <v>0</v>
      </c>
      <c r="Z27" s="110">
        <f t="shared" si="14"/>
        <v>0</v>
      </c>
      <c r="AA27" s="110">
        <f t="shared" si="14"/>
        <v>0</v>
      </c>
      <c r="AB27" s="110">
        <f t="shared" si="14"/>
        <v>0</v>
      </c>
      <c r="AC27" s="110">
        <f t="shared" si="14"/>
        <v>0</v>
      </c>
      <c r="AD27" s="110">
        <f t="shared" si="14"/>
        <v>0</v>
      </c>
      <c r="AE27" s="110">
        <f t="shared" si="14"/>
        <v>0</v>
      </c>
      <c r="AF27" s="110">
        <f t="shared" si="14"/>
        <v>0</v>
      </c>
      <c r="AG27" s="110">
        <f t="shared" si="10"/>
        <v>0</v>
      </c>
      <c r="AH27" s="111" t="str">
        <f t="shared" si="11"/>
        <v/>
      </c>
      <c r="AJ27" s="110">
        <f t="shared" si="12"/>
        <v>0</v>
      </c>
    </row>
    <row r="28" spans="1:36" x14ac:dyDescent="0.3">
      <c r="A28" s="103" t="s">
        <v>114</v>
      </c>
      <c r="B28" s="84">
        <f>IFERROR(SUMIF([2]Jan26A!$A:$A,$A28,INDEX([2]Jan26A!$A:$N,0,MATCH($A$1,[2]Jan26A!$A$7:$N$7,0))),0)</f>
        <v>39.880000000000003</v>
      </c>
      <c r="C28" s="84">
        <f>IFERROR(SUMIF([2]Feb26A!$A:$A,$A28,INDEX([2]Feb26A!$A:$N,0,MATCH($A$1,[2]Feb26A!$A$7:$N$7,0))),0)</f>
        <v>1540.02</v>
      </c>
      <c r="D28" s="84">
        <f>IFERROR(SUMIF([2]Mar26A!$A:$A,$A28,INDEX([2]Mar26A!$A:$N,0,MATCH($A$1,[2]Mar26A!$A$7:$N$7,0))),0)</f>
        <v>137.24</v>
      </c>
      <c r="E28" s="84">
        <f>IFERROR(SUMIF([2]Apr26A!$A:$A,$A28,INDEX([2]Apr26A!$A:$N,0,MATCH($A$1,[2]Apr26A!$A$7:$N$7,0))),0)</f>
        <v>42.45</v>
      </c>
      <c r="F28" s="84">
        <f>IFERROR(SUMIF([2]May26A!$A:$A,$A28,INDEX([2]May26A!$A:$N,0,MATCH($A$1,[2]May26A!$A$7:$N$7,0))),0)</f>
        <v>0</v>
      </c>
      <c r="G28" s="84">
        <f>IFERROR(SUMIF([2]Jun26A!$A:$A,$A28,INDEX([2]Jun26A!$A:$N,0,MATCH($A$1,[2]Jun26A!$A$7:$N$7,0))),0)</f>
        <v>232.93</v>
      </c>
      <c r="H28" s="84">
        <f>IFERROR(SUMIF([2]Jul26A!$A:$A,$A28,INDEX([2]Jul26A!$A:$N,0,MATCH($A$1,[2]Jul26A!$A$7:$N$7,0))),0)</f>
        <v>375.64</v>
      </c>
      <c r="I28" s="84">
        <f>IFERROR(SUMIF([2]Aug26A!$A:$A,$A28,INDEX([2]Aug26A!$A:$N,0,MATCH($A$1,[2]Aug26A!$A$7:$N$7,0))),0)</f>
        <v>5222.07</v>
      </c>
      <c r="J28" s="117">
        <v>0</v>
      </c>
      <c r="K28" s="117">
        <v>0</v>
      </c>
      <c r="L28" s="117">
        <v>0</v>
      </c>
      <c r="M28" s="117">
        <v>0</v>
      </c>
      <c r="N28" s="84">
        <f t="shared" si="7"/>
        <v>7590.23</v>
      </c>
      <c r="O28" s="105" t="str">
        <f t="shared" si="8"/>
        <v/>
      </c>
      <c r="P28" s="84"/>
      <c r="Q28" s="84"/>
      <c r="R28" s="106" t="s">
        <v>99</v>
      </c>
      <c r="S28" s="107">
        <v>0</v>
      </c>
      <c r="T28" s="108">
        <v>0.05</v>
      </c>
      <c r="U28" s="104">
        <f t="shared" ref="U28:AF31" si="15">IF($R28="Manual","",IFERROR(IF($R28="YOY Growth",$N28*(1+$T28)/12,$S28/12),""))</f>
        <v>0</v>
      </c>
      <c r="V28" s="104">
        <f t="shared" si="15"/>
        <v>0</v>
      </c>
      <c r="W28" s="104">
        <f t="shared" si="15"/>
        <v>0</v>
      </c>
      <c r="X28" s="104">
        <f t="shared" si="15"/>
        <v>0</v>
      </c>
      <c r="Y28" s="104">
        <f t="shared" si="15"/>
        <v>0</v>
      </c>
      <c r="Z28" s="104">
        <f t="shared" si="15"/>
        <v>0</v>
      </c>
      <c r="AA28" s="104">
        <f t="shared" si="15"/>
        <v>0</v>
      </c>
      <c r="AB28" s="104">
        <f t="shared" si="15"/>
        <v>0</v>
      </c>
      <c r="AC28" s="104">
        <f t="shared" si="15"/>
        <v>0</v>
      </c>
      <c r="AD28" s="104">
        <f t="shared" si="15"/>
        <v>0</v>
      </c>
      <c r="AE28" s="104">
        <f t="shared" si="15"/>
        <v>0</v>
      </c>
      <c r="AF28" s="104">
        <f t="shared" si="15"/>
        <v>0</v>
      </c>
      <c r="AG28" s="84">
        <f t="shared" si="10"/>
        <v>0</v>
      </c>
      <c r="AH28" s="105" t="str">
        <f t="shared" si="11"/>
        <v/>
      </c>
      <c r="AJ28" s="84">
        <f t="shared" si="12"/>
        <v>7590.23</v>
      </c>
    </row>
    <row r="29" spans="1:36" x14ac:dyDescent="0.3">
      <c r="A29" s="103" t="s">
        <v>115</v>
      </c>
      <c r="B29" s="84">
        <f>IFERROR(SUMIF([2]Jan26A!$A:$A,$A29,INDEX([2]Jan26A!$A:$N,0,MATCH($A$1,[2]Jan26A!$A$7:$N$7,0))),0)</f>
        <v>0</v>
      </c>
      <c r="C29" s="84">
        <f>IFERROR(SUMIF([2]Feb26A!$A:$A,$A29,INDEX([2]Feb26A!$A:$N,0,MATCH($A$1,[2]Feb26A!$A$7:$N$7,0))),0)</f>
        <v>0</v>
      </c>
      <c r="D29" s="84">
        <f>IFERROR(SUMIF([2]Mar26A!$A:$A,$A29,INDEX([2]Mar26A!$A:$N,0,MATCH($A$1,[2]Mar26A!$A$7:$N$7,0))),0)</f>
        <v>0</v>
      </c>
      <c r="E29" s="84">
        <f>IFERROR(SUMIF([2]Apr26A!$A:$A,$A29,INDEX([2]Apr26A!$A:$N,0,MATCH($A$1,[2]Apr26A!$A$7:$N$7,0))),0)</f>
        <v>0</v>
      </c>
      <c r="F29" s="84">
        <f>IFERROR(SUMIF([2]May26A!$A:$A,$A29,INDEX([2]May26A!$A:$N,0,MATCH($A$1,[2]May26A!$A$7:$N$7,0))),0)</f>
        <v>0</v>
      </c>
      <c r="G29" s="84">
        <f>IFERROR(SUMIF([2]Jun26A!$A:$A,$A29,INDEX([2]Jun26A!$A:$N,0,MATCH($A$1,[2]Jun26A!$A$7:$N$7,0))),0)</f>
        <v>0</v>
      </c>
      <c r="H29" s="84">
        <f>IFERROR(SUMIF([2]Jul26A!$A:$A,$A29,INDEX([2]Jul26A!$A:$N,0,MATCH($A$1,[2]Jul26A!$A$7:$N$7,0))),0)</f>
        <v>0</v>
      </c>
      <c r="I29" s="84">
        <f>IFERROR(SUMIF([2]Aug26A!$A:$A,$A29,INDEX([2]Aug26A!$A:$N,0,MATCH($A$1,[2]Aug26A!$A$7:$N$7,0))),0)</f>
        <v>0</v>
      </c>
      <c r="J29" s="117">
        <v>0</v>
      </c>
      <c r="K29" s="117">
        <v>0</v>
      </c>
      <c r="L29" s="117">
        <v>0</v>
      </c>
      <c r="M29" s="117">
        <v>0</v>
      </c>
      <c r="N29" s="84">
        <f t="shared" si="7"/>
        <v>0</v>
      </c>
      <c r="O29" s="105" t="str">
        <f t="shared" si="8"/>
        <v/>
      </c>
      <c r="P29" s="84"/>
      <c r="Q29" s="84"/>
      <c r="R29" s="106" t="s">
        <v>99</v>
      </c>
      <c r="S29" s="107">
        <v>0</v>
      </c>
      <c r="T29" s="108">
        <v>0.05</v>
      </c>
      <c r="U29" s="104">
        <f t="shared" si="15"/>
        <v>0</v>
      </c>
      <c r="V29" s="104">
        <f t="shared" si="15"/>
        <v>0</v>
      </c>
      <c r="W29" s="104">
        <f t="shared" si="15"/>
        <v>0</v>
      </c>
      <c r="X29" s="104">
        <f t="shared" si="15"/>
        <v>0</v>
      </c>
      <c r="Y29" s="104">
        <f t="shared" si="15"/>
        <v>0</v>
      </c>
      <c r="Z29" s="104">
        <f t="shared" si="15"/>
        <v>0</v>
      </c>
      <c r="AA29" s="104">
        <f t="shared" si="15"/>
        <v>0</v>
      </c>
      <c r="AB29" s="104">
        <f t="shared" si="15"/>
        <v>0</v>
      </c>
      <c r="AC29" s="104">
        <f t="shared" si="15"/>
        <v>0</v>
      </c>
      <c r="AD29" s="104">
        <f t="shared" si="15"/>
        <v>0</v>
      </c>
      <c r="AE29" s="104">
        <f t="shared" si="15"/>
        <v>0</v>
      </c>
      <c r="AF29" s="104">
        <f t="shared" si="15"/>
        <v>0</v>
      </c>
      <c r="AG29" s="84">
        <f t="shared" si="10"/>
        <v>0</v>
      </c>
      <c r="AH29" s="105" t="str">
        <f t="shared" si="11"/>
        <v/>
      </c>
      <c r="AJ29" s="84">
        <f t="shared" si="12"/>
        <v>0</v>
      </c>
    </row>
    <row r="30" spans="1:36" x14ac:dyDescent="0.3">
      <c r="A30" s="103" t="s">
        <v>116</v>
      </c>
      <c r="B30" s="84">
        <f>IFERROR(SUMIF([2]Jan26A!$A:$A,$A30,INDEX([2]Jan26A!$A:$N,0,MATCH($A$1,[2]Jan26A!$A$7:$N$7,0))),0)</f>
        <v>0</v>
      </c>
      <c r="C30" s="84">
        <f>IFERROR(SUMIF([2]Feb26A!$A:$A,$A30,INDEX([2]Feb26A!$A:$N,0,MATCH($A$1,[2]Feb26A!$A$7:$N$7,0))),0)</f>
        <v>0</v>
      </c>
      <c r="D30" s="84">
        <f>IFERROR(SUMIF([2]Mar26A!$A:$A,$A30,INDEX([2]Mar26A!$A:$N,0,MATCH($A$1,[2]Mar26A!$A$7:$N$7,0))),0)</f>
        <v>0</v>
      </c>
      <c r="E30" s="84">
        <f>IFERROR(SUMIF([2]Apr26A!$A:$A,$A30,INDEX([2]Apr26A!$A:$N,0,MATCH($A$1,[2]Apr26A!$A$7:$N$7,0))),0)</f>
        <v>0</v>
      </c>
      <c r="F30" s="84">
        <f>IFERROR(SUMIF([2]May26A!$A:$A,$A30,INDEX([2]May26A!$A:$N,0,MATCH($A$1,[2]May26A!$A$7:$N$7,0))),0)</f>
        <v>0</v>
      </c>
      <c r="G30" s="84">
        <f>IFERROR(SUMIF([2]Jun26A!$A:$A,$A30,INDEX([2]Jun26A!$A:$N,0,MATCH($A$1,[2]Jun26A!$A$7:$N$7,0))),0)</f>
        <v>0</v>
      </c>
      <c r="H30" s="84">
        <f>IFERROR(SUMIF([2]Jul26A!$A:$A,$A30,INDEX([2]Jul26A!$A:$N,0,MATCH($A$1,[2]Jul26A!$A$7:$N$7,0))),0)</f>
        <v>0</v>
      </c>
      <c r="I30" s="84">
        <f>IFERROR(SUMIF([2]Aug26A!$A:$A,$A30,INDEX([2]Aug26A!$A:$N,0,MATCH($A$1,[2]Aug26A!$A$7:$N$7,0))),0)</f>
        <v>0</v>
      </c>
      <c r="J30" s="117">
        <v>0</v>
      </c>
      <c r="K30" s="117">
        <v>0</v>
      </c>
      <c r="L30" s="117">
        <v>0</v>
      </c>
      <c r="M30" s="117">
        <v>0</v>
      </c>
      <c r="N30" s="84">
        <f t="shared" si="7"/>
        <v>0</v>
      </c>
      <c r="O30" s="105" t="str">
        <f t="shared" si="8"/>
        <v/>
      </c>
      <c r="P30" s="84"/>
      <c r="Q30" s="84"/>
      <c r="R30" s="106" t="s">
        <v>99</v>
      </c>
      <c r="S30" s="107">
        <v>0</v>
      </c>
      <c r="T30" s="108">
        <v>0.05</v>
      </c>
      <c r="U30" s="104">
        <f t="shared" si="15"/>
        <v>0</v>
      </c>
      <c r="V30" s="104">
        <f t="shared" si="15"/>
        <v>0</v>
      </c>
      <c r="W30" s="104">
        <f t="shared" si="15"/>
        <v>0</v>
      </c>
      <c r="X30" s="104">
        <f t="shared" si="15"/>
        <v>0</v>
      </c>
      <c r="Y30" s="104">
        <f t="shared" si="15"/>
        <v>0</v>
      </c>
      <c r="Z30" s="104">
        <f t="shared" si="15"/>
        <v>0</v>
      </c>
      <c r="AA30" s="104">
        <f t="shared" si="15"/>
        <v>0</v>
      </c>
      <c r="AB30" s="104">
        <f t="shared" si="15"/>
        <v>0</v>
      </c>
      <c r="AC30" s="104">
        <f t="shared" si="15"/>
        <v>0</v>
      </c>
      <c r="AD30" s="104">
        <f t="shared" si="15"/>
        <v>0</v>
      </c>
      <c r="AE30" s="104">
        <f t="shared" si="15"/>
        <v>0</v>
      </c>
      <c r="AF30" s="104">
        <f t="shared" si="15"/>
        <v>0</v>
      </c>
      <c r="AG30" s="84">
        <f t="shared" si="10"/>
        <v>0</v>
      </c>
      <c r="AH30" s="105" t="str">
        <f t="shared" si="11"/>
        <v/>
      </c>
      <c r="AJ30" s="84">
        <f t="shared" si="12"/>
        <v>0</v>
      </c>
    </row>
    <row r="31" spans="1:36" x14ac:dyDescent="0.3">
      <c r="A31" s="103" t="s">
        <v>117</v>
      </c>
      <c r="B31" s="84">
        <f>IFERROR(SUMIF([2]Jan26A!$A:$A,$A31,INDEX([2]Jan26A!$A:$N,0,MATCH($A$1,[2]Jan26A!$A$7:$N$7,0))),0)</f>
        <v>0</v>
      </c>
      <c r="C31" s="84">
        <f>IFERROR(SUMIF([2]Feb26A!$A:$A,$A31,INDEX([2]Feb26A!$A:$N,0,MATCH($A$1,[2]Feb26A!$A$7:$N$7,0))),0)</f>
        <v>0</v>
      </c>
      <c r="D31" s="84">
        <f>IFERROR(SUMIF([2]Mar26A!$A:$A,$A31,INDEX([2]Mar26A!$A:$N,0,MATCH($A$1,[2]Mar26A!$A$7:$N$7,0))),0)</f>
        <v>0</v>
      </c>
      <c r="E31" s="84">
        <f>IFERROR(SUMIF([2]Apr26A!$A:$A,$A31,INDEX([2]Apr26A!$A:$N,0,MATCH($A$1,[2]Apr26A!$A$7:$N$7,0))),0)</f>
        <v>0</v>
      </c>
      <c r="F31" s="84">
        <f>IFERROR(SUMIF([2]May26A!$A:$A,$A31,INDEX([2]May26A!$A:$N,0,MATCH($A$1,[2]May26A!$A$7:$N$7,0))),0)</f>
        <v>0</v>
      </c>
      <c r="G31" s="84">
        <f>IFERROR(SUMIF([2]Jun26A!$A:$A,$A31,INDEX([2]Jun26A!$A:$N,0,MATCH($A$1,[2]Jun26A!$A$7:$N$7,0))),0)</f>
        <v>0</v>
      </c>
      <c r="H31" s="84">
        <f>IFERROR(SUMIF([2]Jul26A!$A:$A,$A31,INDEX([2]Jul26A!$A:$N,0,MATCH($A$1,[2]Jul26A!$A$7:$N$7,0))),0)</f>
        <v>0</v>
      </c>
      <c r="I31" s="84">
        <f>IFERROR(SUMIF([2]Aug26A!$A:$A,$A31,INDEX([2]Aug26A!$A:$N,0,MATCH($A$1,[2]Aug26A!$A$7:$N$7,0))),0)</f>
        <v>0</v>
      </c>
      <c r="J31" s="117">
        <v>0</v>
      </c>
      <c r="K31" s="117">
        <v>0</v>
      </c>
      <c r="L31" s="117">
        <v>0</v>
      </c>
      <c r="M31" s="117">
        <v>0</v>
      </c>
      <c r="N31" s="84">
        <f t="shared" si="7"/>
        <v>0</v>
      </c>
      <c r="O31" s="105" t="str">
        <f t="shared" si="8"/>
        <v/>
      </c>
      <c r="P31" s="84"/>
      <c r="Q31" s="84"/>
      <c r="R31" s="106" t="s">
        <v>99</v>
      </c>
      <c r="S31" s="107">
        <v>0</v>
      </c>
      <c r="T31" s="108">
        <v>0.05</v>
      </c>
      <c r="U31" s="104">
        <f t="shared" si="15"/>
        <v>0</v>
      </c>
      <c r="V31" s="104">
        <f t="shared" si="15"/>
        <v>0</v>
      </c>
      <c r="W31" s="104">
        <f t="shared" si="15"/>
        <v>0</v>
      </c>
      <c r="X31" s="104">
        <f t="shared" si="15"/>
        <v>0</v>
      </c>
      <c r="Y31" s="104">
        <f t="shared" si="15"/>
        <v>0</v>
      </c>
      <c r="Z31" s="104">
        <f t="shared" si="15"/>
        <v>0</v>
      </c>
      <c r="AA31" s="104">
        <f t="shared" si="15"/>
        <v>0</v>
      </c>
      <c r="AB31" s="104">
        <f t="shared" si="15"/>
        <v>0</v>
      </c>
      <c r="AC31" s="104">
        <f t="shared" si="15"/>
        <v>0</v>
      </c>
      <c r="AD31" s="104">
        <f t="shared" si="15"/>
        <v>0</v>
      </c>
      <c r="AE31" s="104">
        <f t="shared" si="15"/>
        <v>0</v>
      </c>
      <c r="AF31" s="104">
        <f t="shared" si="15"/>
        <v>0</v>
      </c>
      <c r="AG31" s="84">
        <f t="shared" si="10"/>
        <v>0</v>
      </c>
      <c r="AH31" s="105" t="str">
        <f t="shared" si="11"/>
        <v/>
      </c>
      <c r="AJ31" s="84">
        <f t="shared" si="12"/>
        <v>0</v>
      </c>
    </row>
    <row r="32" spans="1:36" x14ac:dyDescent="0.3">
      <c r="A32" s="115" t="s">
        <v>118</v>
      </c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105"/>
      <c r="P32" s="84"/>
      <c r="Q32" s="84"/>
      <c r="R32" s="112"/>
      <c r="S32" s="112"/>
      <c r="T32" s="112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105"/>
      <c r="AJ32" s="84"/>
    </row>
    <row r="33" spans="1:36" x14ac:dyDescent="0.3">
      <c r="A33" s="116" t="s">
        <v>119</v>
      </c>
      <c r="B33" s="84">
        <f>IFERROR(SUMIF([2]Jan26A!$A:$A,$A33,INDEX([2]Jan26A!$A:$N,0,MATCH($A$1,[2]Jan26A!$A$7:$N$7,0))),0)</f>
        <v>0</v>
      </c>
      <c r="C33" s="84">
        <f>IFERROR(SUMIF([2]Feb26A!$A:$A,$A33,INDEX([2]Feb26A!$A:$N,0,MATCH($A$1,[2]Feb26A!$A$7:$N$7,0))),0)</f>
        <v>0</v>
      </c>
      <c r="D33" s="84">
        <f>IFERROR(SUMIF([2]Mar26A!$A:$A,$A33,INDEX([2]Mar26A!$A:$N,0,MATCH($A$1,[2]Mar26A!$A$7:$N$7,0))),0)</f>
        <v>65376.84</v>
      </c>
      <c r="E33" s="84">
        <f>IFERROR(SUMIF([2]Apr26A!$A:$A,$A33,INDEX([2]Apr26A!$A:$N,0,MATCH($A$1,[2]Apr26A!$A$7:$N$7,0))),0)</f>
        <v>0</v>
      </c>
      <c r="F33" s="84">
        <f>IFERROR(SUMIF([2]May26A!$A:$A,$A33,INDEX([2]May26A!$A:$N,0,MATCH($A$1,[2]May26A!$A$7:$N$7,0))),0)</f>
        <v>0</v>
      </c>
      <c r="G33" s="84">
        <f>IFERROR(SUMIF([2]Jun26A!$A:$A,$A33,INDEX([2]Jun26A!$A:$N,0,MATCH($A$1,[2]Jun26A!$A$7:$N$7,0))),0)</f>
        <v>0</v>
      </c>
      <c r="H33" s="84">
        <f>IFERROR(SUMIF([2]Jul26A!$A:$A,$A33,INDEX([2]Jul26A!$A:$N,0,MATCH($A$1,[2]Jul26A!$A$7:$N$7,0))),0)</f>
        <v>0</v>
      </c>
      <c r="I33" s="84">
        <f>IFERROR(SUMIF([2]Aug26A!$A:$A,$A33,INDEX([2]Aug26A!$A:$N,0,MATCH($A$1,[2]Aug26A!$A$7:$N$7,0))),0)</f>
        <v>0</v>
      </c>
      <c r="J33" s="117">
        <v>0</v>
      </c>
      <c r="K33" s="117">
        <v>0</v>
      </c>
      <c r="L33" s="117">
        <v>0</v>
      </c>
      <c r="M33" s="117">
        <v>0</v>
      </c>
      <c r="N33" s="84">
        <f t="shared" ref="N33:N42" si="16">SUM(B33:M33)</f>
        <v>65376.84</v>
      </c>
      <c r="O33" s="105" t="str">
        <f t="shared" ref="O33:O42" si="17">IFERROR(N33/N$16,"")</f>
        <v/>
      </c>
      <c r="P33" s="84"/>
      <c r="Q33" s="84"/>
      <c r="R33" s="168"/>
      <c r="S33" s="168"/>
      <c r="T33" s="168"/>
      <c r="U33" s="168"/>
      <c r="V33" s="168"/>
      <c r="W33" s="168"/>
      <c r="X33" s="168"/>
      <c r="Y33" s="168"/>
      <c r="Z33" s="168"/>
      <c r="AA33" s="168"/>
      <c r="AB33" s="168"/>
      <c r="AC33" s="168"/>
      <c r="AD33" s="168"/>
      <c r="AE33" s="168"/>
      <c r="AF33" s="168"/>
      <c r="AG33" s="84">
        <f t="shared" ref="AG33:AG42" si="18">SUM(U33:AF33)</f>
        <v>0</v>
      </c>
      <c r="AH33" s="105" t="str">
        <f t="shared" ref="AH33:AH42" si="19">IFERROR(AG33/AG$16,"")</f>
        <v/>
      </c>
      <c r="AJ33" s="84">
        <f t="shared" ref="AJ33:AJ42" si="20">N33-AG33</f>
        <v>65376.84</v>
      </c>
    </row>
    <row r="34" spans="1:36" x14ac:dyDescent="0.3">
      <c r="A34" s="116" t="s">
        <v>120</v>
      </c>
      <c r="B34" s="84">
        <f>IFERROR(SUMIF([2]Jan26A!$A:$A,$A34,INDEX([2]Jan26A!$A:$N,0,MATCH($A$1,[2]Jan26A!$A$7:$N$7,0))),0)</f>
        <v>0</v>
      </c>
      <c r="C34" s="84">
        <f>IFERROR(SUMIF([2]Feb26A!$A:$A,$A34,INDEX([2]Feb26A!$A:$N,0,MATCH($A$1,[2]Feb26A!$A$7:$N$7,0))),0)</f>
        <v>0</v>
      </c>
      <c r="D34" s="84">
        <f>IFERROR(SUMIF([2]Mar26A!$A:$A,$A34,INDEX([2]Mar26A!$A:$N,0,MATCH($A$1,[2]Mar26A!$A$7:$N$7,0))),0)</f>
        <v>2360.75</v>
      </c>
      <c r="E34" s="84">
        <f>IFERROR(SUMIF([2]Apr26A!$A:$A,$A34,INDEX([2]Apr26A!$A:$N,0,MATCH($A$1,[2]Apr26A!$A$7:$N$7,0))),0)</f>
        <v>0</v>
      </c>
      <c r="F34" s="84">
        <f>IFERROR(SUMIF([2]May26A!$A:$A,$A34,INDEX([2]May26A!$A:$N,0,MATCH($A$1,[2]May26A!$A$7:$N$7,0))),0)</f>
        <v>0</v>
      </c>
      <c r="G34" s="84">
        <f>IFERROR(SUMIF([2]Jun26A!$A:$A,$A34,INDEX([2]Jun26A!$A:$N,0,MATCH($A$1,[2]Jun26A!$A$7:$N$7,0))),0)</f>
        <v>0</v>
      </c>
      <c r="H34" s="84">
        <f>IFERROR(SUMIF([2]Jul26A!$A:$A,$A34,INDEX([2]Jul26A!$A:$N,0,MATCH($A$1,[2]Jul26A!$A$7:$N$7,0))),0)</f>
        <v>0</v>
      </c>
      <c r="I34" s="84">
        <f>IFERROR(SUMIF([2]Aug26A!$A:$A,$A34,INDEX([2]Aug26A!$A:$N,0,MATCH($A$1,[2]Aug26A!$A$7:$N$7,0))),0)</f>
        <v>0</v>
      </c>
      <c r="J34" s="117">
        <v>0</v>
      </c>
      <c r="K34" s="117">
        <v>0</v>
      </c>
      <c r="L34" s="117">
        <v>0</v>
      </c>
      <c r="M34" s="117">
        <v>0</v>
      </c>
      <c r="N34" s="84">
        <f t="shared" si="16"/>
        <v>2360.75</v>
      </c>
      <c r="O34" s="105" t="str">
        <f t="shared" si="17"/>
        <v/>
      </c>
      <c r="P34" s="84"/>
      <c r="Q34" s="84"/>
      <c r="R34" s="168"/>
      <c r="S34" s="168"/>
      <c r="T34" s="168"/>
      <c r="U34" s="168"/>
      <c r="V34" s="168"/>
      <c r="W34" s="168"/>
      <c r="X34" s="168"/>
      <c r="Y34" s="168"/>
      <c r="Z34" s="168"/>
      <c r="AA34" s="168"/>
      <c r="AB34" s="168"/>
      <c r="AC34" s="168"/>
      <c r="AD34" s="168"/>
      <c r="AE34" s="168"/>
      <c r="AF34" s="168"/>
      <c r="AG34" s="84">
        <f t="shared" si="18"/>
        <v>0</v>
      </c>
      <c r="AH34" s="105" t="str">
        <f t="shared" si="19"/>
        <v/>
      </c>
      <c r="AJ34" s="84">
        <f t="shared" si="20"/>
        <v>2360.75</v>
      </c>
    </row>
    <row r="35" spans="1:36" x14ac:dyDescent="0.3">
      <c r="A35" s="116" t="s">
        <v>121</v>
      </c>
      <c r="B35" s="84">
        <f>IFERROR(SUMIF([2]Jan26A!$A:$A,$A35,INDEX([2]Jan26A!$A:$N,0,MATCH($A$1,[2]Jan26A!$A$7:$N$7,0))),0)</f>
        <v>-54670.96</v>
      </c>
      <c r="C35" s="84">
        <f>IFERROR(SUMIF([2]Feb26A!$A:$A,$A35,INDEX([2]Feb26A!$A:$N,0,MATCH($A$1,[2]Feb26A!$A$7:$N$7,0))),0)</f>
        <v>0</v>
      </c>
      <c r="D35" s="84">
        <f>IFERROR(SUMIF([2]Mar26A!$A:$A,$A35,INDEX([2]Mar26A!$A:$N,0,MATCH($A$1,[2]Mar26A!$A$7:$N$7,0))),0)</f>
        <v>-1593.15</v>
      </c>
      <c r="E35" s="84">
        <f>IFERROR(SUMIF([2]Apr26A!$A:$A,$A35,INDEX([2]Apr26A!$A:$N,0,MATCH($A$1,[2]Apr26A!$A$7:$N$7,0))),0)</f>
        <v>0</v>
      </c>
      <c r="F35" s="84">
        <f>IFERROR(SUMIF([2]May26A!$A:$A,$A35,INDEX([2]May26A!$A:$N,0,MATCH($A$1,[2]May26A!$A$7:$N$7,0))),0)</f>
        <v>0</v>
      </c>
      <c r="G35" s="84">
        <f>IFERROR(SUMIF([2]Jun26A!$A:$A,$A35,INDEX([2]Jun26A!$A:$N,0,MATCH($A$1,[2]Jun26A!$A$7:$N$7,0))),0)</f>
        <v>0</v>
      </c>
      <c r="H35" s="84">
        <f>IFERROR(SUMIF([2]Jul26A!$A:$A,$A35,INDEX([2]Jul26A!$A:$N,0,MATCH($A$1,[2]Jul26A!$A$7:$N$7,0))),0)</f>
        <v>0</v>
      </c>
      <c r="I35" s="84">
        <f>IFERROR(SUMIF([2]Aug26A!$A:$A,$A35,INDEX([2]Aug26A!$A:$N,0,MATCH($A$1,[2]Aug26A!$A$7:$N$7,0))),0)</f>
        <v>0</v>
      </c>
      <c r="J35" s="117">
        <v>0</v>
      </c>
      <c r="K35" s="117">
        <v>0</v>
      </c>
      <c r="L35" s="117">
        <v>0</v>
      </c>
      <c r="M35" s="117">
        <v>0</v>
      </c>
      <c r="N35" s="84">
        <f t="shared" si="16"/>
        <v>-56264.11</v>
      </c>
      <c r="O35" s="105" t="str">
        <f t="shared" si="17"/>
        <v/>
      </c>
      <c r="P35" s="84"/>
      <c r="Q35" s="84"/>
      <c r="R35" s="168"/>
      <c r="S35" s="168"/>
      <c r="T35" s="168"/>
      <c r="U35" s="168"/>
      <c r="V35" s="168"/>
      <c r="W35" s="168"/>
      <c r="X35" s="168"/>
      <c r="Y35" s="168"/>
      <c r="Z35" s="168"/>
      <c r="AA35" s="168"/>
      <c r="AB35" s="168"/>
      <c r="AC35" s="168"/>
      <c r="AD35" s="168"/>
      <c r="AE35" s="168"/>
      <c r="AF35" s="168"/>
      <c r="AG35" s="84">
        <f t="shared" si="18"/>
        <v>0</v>
      </c>
      <c r="AH35" s="105" t="str">
        <f t="shared" si="19"/>
        <v/>
      </c>
      <c r="AJ35" s="84">
        <f t="shared" si="20"/>
        <v>-56264.11</v>
      </c>
    </row>
    <row r="36" spans="1:36" x14ac:dyDescent="0.3">
      <c r="A36" s="118" t="s">
        <v>122</v>
      </c>
      <c r="B36" s="110">
        <f t="shared" ref="B36:M36" si="21">SUM(B33:B35)</f>
        <v>-54670.96</v>
      </c>
      <c r="C36" s="110">
        <f t="shared" si="21"/>
        <v>0</v>
      </c>
      <c r="D36" s="110">
        <f t="shared" si="21"/>
        <v>66144.44</v>
      </c>
      <c r="E36" s="110">
        <f t="shared" si="21"/>
        <v>0</v>
      </c>
      <c r="F36" s="110">
        <f t="shared" si="21"/>
        <v>0</v>
      </c>
      <c r="G36" s="110">
        <f t="shared" si="21"/>
        <v>0</v>
      </c>
      <c r="H36" s="110">
        <f t="shared" si="21"/>
        <v>0</v>
      </c>
      <c r="I36" s="110">
        <f t="shared" si="21"/>
        <v>0</v>
      </c>
      <c r="J36" s="110">
        <f t="shared" si="21"/>
        <v>0</v>
      </c>
      <c r="K36" s="110">
        <f t="shared" si="21"/>
        <v>0</v>
      </c>
      <c r="L36" s="110">
        <f t="shared" si="21"/>
        <v>0</v>
      </c>
      <c r="M36" s="110">
        <f t="shared" si="21"/>
        <v>0</v>
      </c>
      <c r="N36" s="110">
        <f t="shared" si="16"/>
        <v>11473.480000000003</v>
      </c>
      <c r="O36" s="111" t="str">
        <f t="shared" si="17"/>
        <v/>
      </c>
      <c r="P36" s="84"/>
      <c r="Q36" s="84"/>
      <c r="R36" s="112"/>
      <c r="S36" s="112"/>
      <c r="T36" s="112"/>
      <c r="U36" s="110">
        <f t="shared" ref="U36:AF36" si="22">SUM(U33:U35)</f>
        <v>0</v>
      </c>
      <c r="V36" s="110">
        <f t="shared" si="22"/>
        <v>0</v>
      </c>
      <c r="W36" s="110">
        <f t="shared" si="22"/>
        <v>0</v>
      </c>
      <c r="X36" s="110">
        <f t="shared" si="22"/>
        <v>0</v>
      </c>
      <c r="Y36" s="110">
        <f t="shared" si="22"/>
        <v>0</v>
      </c>
      <c r="Z36" s="110">
        <f t="shared" si="22"/>
        <v>0</v>
      </c>
      <c r="AA36" s="110">
        <f t="shared" si="22"/>
        <v>0</v>
      </c>
      <c r="AB36" s="110">
        <f t="shared" si="22"/>
        <v>0</v>
      </c>
      <c r="AC36" s="110">
        <f t="shared" si="22"/>
        <v>0</v>
      </c>
      <c r="AD36" s="110">
        <f t="shared" si="22"/>
        <v>0</v>
      </c>
      <c r="AE36" s="110">
        <f t="shared" si="22"/>
        <v>0</v>
      </c>
      <c r="AF36" s="110">
        <f t="shared" si="22"/>
        <v>0</v>
      </c>
      <c r="AG36" s="110">
        <f t="shared" si="18"/>
        <v>0</v>
      </c>
      <c r="AH36" s="111" t="str">
        <f t="shared" si="19"/>
        <v/>
      </c>
      <c r="AJ36" s="110">
        <f t="shared" si="20"/>
        <v>11473.480000000003</v>
      </c>
    </row>
    <row r="37" spans="1:36" x14ac:dyDescent="0.3">
      <c r="A37" s="109" t="s">
        <v>123</v>
      </c>
      <c r="B37" s="110">
        <f t="shared" ref="B37:M37" si="23">B19+B22+B27+B28+B29+B30+B31+B36+B20+B21</f>
        <v>-54631.08</v>
      </c>
      <c r="C37" s="110">
        <f t="shared" si="23"/>
        <v>1540.02</v>
      </c>
      <c r="D37" s="110">
        <f t="shared" si="23"/>
        <v>66281.680000000008</v>
      </c>
      <c r="E37" s="110">
        <f t="shared" si="23"/>
        <v>42.45</v>
      </c>
      <c r="F37" s="110">
        <f t="shared" si="23"/>
        <v>0</v>
      </c>
      <c r="G37" s="110">
        <f t="shared" si="23"/>
        <v>232.93</v>
      </c>
      <c r="H37" s="110">
        <f t="shared" si="23"/>
        <v>375.64</v>
      </c>
      <c r="I37" s="110">
        <f t="shared" si="23"/>
        <v>5222.07</v>
      </c>
      <c r="J37" s="110">
        <f t="shared" si="23"/>
        <v>0</v>
      </c>
      <c r="K37" s="110">
        <f t="shared" si="23"/>
        <v>0</v>
      </c>
      <c r="L37" s="110">
        <f t="shared" si="23"/>
        <v>0</v>
      </c>
      <c r="M37" s="110">
        <f t="shared" si="23"/>
        <v>0</v>
      </c>
      <c r="N37" s="110">
        <f t="shared" si="16"/>
        <v>19063.710000000003</v>
      </c>
      <c r="O37" s="111" t="str">
        <f t="shared" si="17"/>
        <v/>
      </c>
      <c r="P37" s="84"/>
      <c r="Q37" s="84"/>
      <c r="R37" s="112"/>
      <c r="S37" s="112"/>
      <c r="T37" s="112"/>
      <c r="U37" s="110">
        <f t="shared" ref="U37:AF37" si="24">U19+U22+U27+U28+U29+U30+U31+U36+U20+U21</f>
        <v>0</v>
      </c>
      <c r="V37" s="110">
        <f t="shared" si="24"/>
        <v>0</v>
      </c>
      <c r="W37" s="110">
        <f t="shared" si="24"/>
        <v>0</v>
      </c>
      <c r="X37" s="110">
        <f t="shared" si="24"/>
        <v>0</v>
      </c>
      <c r="Y37" s="110">
        <f t="shared" si="24"/>
        <v>0</v>
      </c>
      <c r="Z37" s="110">
        <f t="shared" si="24"/>
        <v>0</v>
      </c>
      <c r="AA37" s="110">
        <f t="shared" si="24"/>
        <v>0</v>
      </c>
      <c r="AB37" s="110">
        <f t="shared" si="24"/>
        <v>0</v>
      </c>
      <c r="AC37" s="110">
        <f t="shared" si="24"/>
        <v>0</v>
      </c>
      <c r="AD37" s="110">
        <f t="shared" si="24"/>
        <v>0</v>
      </c>
      <c r="AE37" s="110">
        <f t="shared" si="24"/>
        <v>0</v>
      </c>
      <c r="AF37" s="110">
        <f t="shared" si="24"/>
        <v>0</v>
      </c>
      <c r="AG37" s="110">
        <f t="shared" si="18"/>
        <v>0</v>
      </c>
      <c r="AH37" s="111" t="str">
        <f t="shared" si="19"/>
        <v/>
      </c>
      <c r="AJ37" s="110">
        <f t="shared" si="20"/>
        <v>19063.710000000003</v>
      </c>
    </row>
    <row r="38" spans="1:36" x14ac:dyDescent="0.3">
      <c r="A38" s="113" t="s">
        <v>124</v>
      </c>
      <c r="B38" s="84">
        <f>IFERROR(SUMIF([2]Jan26A!$A:$A,$A38,INDEX([2]Jan26A!$A:$N,0,MATCH($A$1,[2]Jan26A!$A$7:$N$7,0))),0)</f>
        <v>0</v>
      </c>
      <c r="C38" s="84">
        <f>IFERROR(SUMIF([2]Feb26A!$A:$A,$A38,INDEX([2]Feb26A!$A:$N,0,MATCH($A$1,[2]Feb26A!$A$7:$N$7,0))),0)</f>
        <v>0</v>
      </c>
      <c r="D38" s="84">
        <f>IFERROR(SUMIF([2]Mar26A!$A:$A,$A38,INDEX([2]Mar26A!$A:$N,0,MATCH($A$1,[2]Mar26A!$A$7:$N$7,0))),0)</f>
        <v>0</v>
      </c>
      <c r="E38" s="84">
        <f>IFERROR(SUMIF([2]Apr26A!$A:$A,$A38,INDEX([2]Apr26A!$A:$N,0,MATCH($A$1,[2]Apr26A!$A$7:$N$7,0))),0)</f>
        <v>0</v>
      </c>
      <c r="F38" s="84">
        <f>IFERROR(SUMIF([2]May26A!$A:$A,$A38,INDEX([2]May26A!$A:$N,0,MATCH($A$1,[2]May26A!$A$7:$N$7,0))),0)</f>
        <v>0</v>
      </c>
      <c r="G38" s="84">
        <f>IFERROR(SUMIF([2]Jun26A!$A:$A,$A38,INDEX([2]Jun26A!$A:$N,0,MATCH($A$1,[2]Jun26A!$A$7:$N$7,0))),0)</f>
        <v>0</v>
      </c>
      <c r="H38" s="84">
        <f>IFERROR(SUMIF([2]Jul26A!$A:$A,$A38,INDEX([2]Jul26A!$A:$N,0,MATCH($A$1,[2]Jul26A!$A$7:$N$7,0))),0)</f>
        <v>0</v>
      </c>
      <c r="I38" s="84">
        <f>IFERROR(SUMIF([2]Aug26A!$A:$A,$A38,INDEX([2]Aug26A!$A:$N,0,MATCH($A$1,[2]Aug26A!$A$7:$N$7,0))),0)</f>
        <v>0</v>
      </c>
      <c r="J38" s="117">
        <v>0</v>
      </c>
      <c r="K38" s="117">
        <v>0</v>
      </c>
      <c r="L38" s="117">
        <v>0</v>
      </c>
      <c r="M38" s="117">
        <v>0</v>
      </c>
      <c r="N38" s="84">
        <f t="shared" si="16"/>
        <v>0</v>
      </c>
      <c r="O38" s="105" t="str">
        <f t="shared" si="17"/>
        <v/>
      </c>
      <c r="P38" s="84"/>
      <c r="Q38" s="84"/>
      <c r="R38" s="106" t="s">
        <v>99</v>
      </c>
      <c r="S38" s="107">
        <v>0</v>
      </c>
      <c r="T38" s="108">
        <v>0.05</v>
      </c>
      <c r="U38" s="104">
        <f t="shared" ref="U38:AF42" si="25">IF($R38="Manual","",IFERROR(IF($R38="YOY Growth",$N38*(1+$T38)/12,$S38/12),""))</f>
        <v>0</v>
      </c>
      <c r="V38" s="104">
        <f t="shared" si="25"/>
        <v>0</v>
      </c>
      <c r="W38" s="104">
        <f t="shared" si="25"/>
        <v>0</v>
      </c>
      <c r="X38" s="104">
        <f t="shared" si="25"/>
        <v>0</v>
      </c>
      <c r="Y38" s="104">
        <f t="shared" si="25"/>
        <v>0</v>
      </c>
      <c r="Z38" s="104">
        <f t="shared" si="25"/>
        <v>0</v>
      </c>
      <c r="AA38" s="104">
        <f t="shared" si="25"/>
        <v>0</v>
      </c>
      <c r="AB38" s="104">
        <f t="shared" si="25"/>
        <v>0</v>
      </c>
      <c r="AC38" s="104">
        <f t="shared" si="25"/>
        <v>0</v>
      </c>
      <c r="AD38" s="104">
        <f t="shared" si="25"/>
        <v>0</v>
      </c>
      <c r="AE38" s="104">
        <f t="shared" si="25"/>
        <v>0</v>
      </c>
      <c r="AF38" s="104">
        <f t="shared" si="25"/>
        <v>0</v>
      </c>
      <c r="AG38" s="84">
        <f t="shared" si="18"/>
        <v>0</v>
      </c>
      <c r="AH38" s="105" t="str">
        <f t="shared" si="19"/>
        <v/>
      </c>
      <c r="AJ38" s="84">
        <f t="shared" si="20"/>
        <v>0</v>
      </c>
    </row>
    <row r="39" spans="1:36" x14ac:dyDescent="0.3">
      <c r="A39" s="113" t="s">
        <v>125</v>
      </c>
      <c r="B39" s="84">
        <f>IFERROR(SUMIF([2]Jan26A!$A:$A,$A39,INDEX([2]Jan26A!$A:$N,0,MATCH($A$1,[2]Jan26A!$A$7:$N$7,0))),0)</f>
        <v>0</v>
      </c>
      <c r="C39" s="84">
        <f>IFERROR(SUMIF([2]Feb26A!$A:$A,$A39,INDEX([2]Feb26A!$A:$N,0,MATCH($A$1,[2]Feb26A!$A$7:$N$7,0))),0)</f>
        <v>0</v>
      </c>
      <c r="D39" s="84">
        <f>IFERROR(SUMIF([2]Mar26A!$A:$A,$A39,INDEX([2]Mar26A!$A:$N,0,MATCH($A$1,[2]Mar26A!$A$7:$N$7,0))),0)</f>
        <v>0</v>
      </c>
      <c r="E39" s="84">
        <f>IFERROR(SUMIF([2]Apr26A!$A:$A,$A39,INDEX([2]Apr26A!$A:$N,0,MATCH($A$1,[2]Apr26A!$A$7:$N$7,0))),0)</f>
        <v>0</v>
      </c>
      <c r="F39" s="84">
        <f>IFERROR(SUMIF([2]May26A!$A:$A,$A39,INDEX([2]May26A!$A:$N,0,MATCH($A$1,[2]May26A!$A$7:$N$7,0))),0)</f>
        <v>0</v>
      </c>
      <c r="G39" s="84">
        <f>IFERROR(SUMIF([2]Jun26A!$A:$A,$A39,INDEX([2]Jun26A!$A:$N,0,MATCH($A$1,[2]Jun26A!$A$7:$N$7,0))),0)</f>
        <v>0</v>
      </c>
      <c r="H39" s="84">
        <f>IFERROR(SUMIF([2]Jul26A!$A:$A,$A39,INDEX([2]Jul26A!$A:$N,0,MATCH($A$1,[2]Jul26A!$A$7:$N$7,0))),0)</f>
        <v>0</v>
      </c>
      <c r="I39" s="84">
        <f>IFERROR(SUMIF([2]Aug26A!$A:$A,$A39,INDEX([2]Aug26A!$A:$N,0,MATCH($A$1,[2]Aug26A!$A$7:$N$7,0))),0)</f>
        <v>4693.58</v>
      </c>
      <c r="J39" s="117">
        <v>0</v>
      </c>
      <c r="K39" s="117">
        <v>0</v>
      </c>
      <c r="L39" s="117">
        <v>0</v>
      </c>
      <c r="M39" s="117">
        <v>0</v>
      </c>
      <c r="N39" s="84">
        <f t="shared" si="16"/>
        <v>4693.58</v>
      </c>
      <c r="O39" s="105" t="str">
        <f t="shared" si="17"/>
        <v/>
      </c>
      <c r="P39" s="84"/>
      <c r="Q39" s="84"/>
      <c r="R39" s="106" t="s">
        <v>99</v>
      </c>
      <c r="S39" s="107">
        <v>0</v>
      </c>
      <c r="T39" s="108">
        <v>0.05</v>
      </c>
      <c r="U39" s="104">
        <f t="shared" si="25"/>
        <v>0</v>
      </c>
      <c r="V39" s="104">
        <f t="shared" si="25"/>
        <v>0</v>
      </c>
      <c r="W39" s="104">
        <f t="shared" si="25"/>
        <v>0</v>
      </c>
      <c r="X39" s="104">
        <f t="shared" si="25"/>
        <v>0</v>
      </c>
      <c r="Y39" s="104">
        <f t="shared" si="25"/>
        <v>0</v>
      </c>
      <c r="Z39" s="104">
        <f t="shared" si="25"/>
        <v>0</v>
      </c>
      <c r="AA39" s="104">
        <f t="shared" si="25"/>
        <v>0</v>
      </c>
      <c r="AB39" s="104">
        <f t="shared" si="25"/>
        <v>0</v>
      </c>
      <c r="AC39" s="104">
        <f t="shared" si="25"/>
        <v>0</v>
      </c>
      <c r="AD39" s="104">
        <f t="shared" si="25"/>
        <v>0</v>
      </c>
      <c r="AE39" s="104">
        <f t="shared" si="25"/>
        <v>0</v>
      </c>
      <c r="AF39" s="104">
        <f t="shared" si="25"/>
        <v>0</v>
      </c>
      <c r="AG39" s="84">
        <f t="shared" si="18"/>
        <v>0</v>
      </c>
      <c r="AH39" s="105" t="str">
        <f t="shared" si="19"/>
        <v/>
      </c>
      <c r="AJ39" s="84">
        <f t="shared" si="20"/>
        <v>4693.58</v>
      </c>
    </row>
    <row r="40" spans="1:36" x14ac:dyDescent="0.3">
      <c r="A40" s="113" t="s">
        <v>126</v>
      </c>
      <c r="B40" s="84">
        <f>IFERROR(SUMIF([2]Jan26A!$A:$A,$A40,INDEX([2]Jan26A!$A:$N,0,MATCH($A$1,[2]Jan26A!$A$7:$N$7,0))),0)</f>
        <v>0</v>
      </c>
      <c r="C40" s="84">
        <f>IFERROR(SUMIF([2]Feb26A!$A:$A,$A40,INDEX([2]Feb26A!$A:$N,0,MATCH($A$1,[2]Feb26A!$A$7:$N$7,0))),0)</f>
        <v>0</v>
      </c>
      <c r="D40" s="84">
        <f>IFERROR(SUMIF([2]Mar26A!$A:$A,$A40,INDEX([2]Mar26A!$A:$N,0,MATCH($A$1,[2]Mar26A!$A$7:$N$7,0))),0)</f>
        <v>0</v>
      </c>
      <c r="E40" s="84">
        <f>IFERROR(SUMIF([2]Apr26A!$A:$A,$A40,INDEX([2]Apr26A!$A:$N,0,MATCH($A$1,[2]Apr26A!$A$7:$N$7,0))),0)</f>
        <v>0</v>
      </c>
      <c r="F40" s="84">
        <f>IFERROR(SUMIF([2]May26A!$A:$A,$A40,INDEX([2]May26A!$A:$N,0,MATCH($A$1,[2]May26A!$A$7:$N$7,0))),0)</f>
        <v>0</v>
      </c>
      <c r="G40" s="84">
        <f>IFERROR(SUMIF([2]Jun26A!$A:$A,$A40,INDEX([2]Jun26A!$A:$N,0,MATCH($A$1,[2]Jun26A!$A$7:$N$7,0))),0)</f>
        <v>0</v>
      </c>
      <c r="H40" s="84">
        <f>IFERROR(SUMIF([2]Jul26A!$A:$A,$A40,INDEX([2]Jul26A!$A:$N,0,MATCH($A$1,[2]Jul26A!$A$7:$N$7,0))),0)</f>
        <v>0</v>
      </c>
      <c r="I40" s="84">
        <f>IFERROR(SUMIF([2]Aug26A!$A:$A,$A40,INDEX([2]Aug26A!$A:$N,0,MATCH($A$1,[2]Aug26A!$A$7:$N$7,0))),0)</f>
        <v>0</v>
      </c>
      <c r="J40" s="117">
        <v>0</v>
      </c>
      <c r="K40" s="117">
        <v>0</v>
      </c>
      <c r="L40" s="117">
        <v>0</v>
      </c>
      <c r="M40" s="117">
        <v>0</v>
      </c>
      <c r="N40" s="84">
        <f t="shared" si="16"/>
        <v>0</v>
      </c>
      <c r="O40" s="105" t="str">
        <f t="shared" si="17"/>
        <v/>
      </c>
      <c r="P40" s="84"/>
      <c r="Q40" s="84"/>
      <c r="R40" s="106" t="s">
        <v>99</v>
      </c>
      <c r="S40" s="107">
        <v>0</v>
      </c>
      <c r="T40" s="108">
        <v>0.05</v>
      </c>
      <c r="U40" s="104">
        <f t="shared" si="25"/>
        <v>0</v>
      </c>
      <c r="V40" s="104">
        <f t="shared" si="25"/>
        <v>0</v>
      </c>
      <c r="W40" s="104">
        <f t="shared" si="25"/>
        <v>0</v>
      </c>
      <c r="X40" s="104">
        <f t="shared" si="25"/>
        <v>0</v>
      </c>
      <c r="Y40" s="104">
        <f t="shared" si="25"/>
        <v>0</v>
      </c>
      <c r="Z40" s="104">
        <f t="shared" si="25"/>
        <v>0</v>
      </c>
      <c r="AA40" s="104">
        <f t="shared" si="25"/>
        <v>0</v>
      </c>
      <c r="AB40" s="104">
        <f t="shared" si="25"/>
        <v>0</v>
      </c>
      <c r="AC40" s="104">
        <f t="shared" si="25"/>
        <v>0</v>
      </c>
      <c r="AD40" s="104">
        <f t="shared" si="25"/>
        <v>0</v>
      </c>
      <c r="AE40" s="104">
        <f t="shared" si="25"/>
        <v>0</v>
      </c>
      <c r="AF40" s="104">
        <f t="shared" si="25"/>
        <v>0</v>
      </c>
      <c r="AG40" s="84">
        <f t="shared" si="18"/>
        <v>0</v>
      </c>
      <c r="AH40" s="105" t="str">
        <f t="shared" si="19"/>
        <v/>
      </c>
      <c r="AJ40" s="84">
        <f t="shared" si="20"/>
        <v>0</v>
      </c>
    </row>
    <row r="41" spans="1:36" x14ac:dyDescent="0.3">
      <c r="A41" s="113" t="s">
        <v>127</v>
      </c>
      <c r="B41" s="84">
        <f>IFERROR(SUMIF([2]Jan26A!$A:$A,$A41,INDEX([2]Jan26A!$A:$N,0,MATCH($A$1,[2]Jan26A!$A$7:$N$7,0))),0)</f>
        <v>0</v>
      </c>
      <c r="C41" s="84">
        <f>IFERROR(SUMIF([2]Feb26A!$A:$A,$A41,INDEX([2]Feb26A!$A:$N,0,MATCH($A$1,[2]Feb26A!$A$7:$N$7,0))),0)</f>
        <v>0</v>
      </c>
      <c r="D41" s="84">
        <f>IFERROR(SUMIF([2]Mar26A!$A:$A,$A41,INDEX([2]Mar26A!$A:$N,0,MATCH($A$1,[2]Mar26A!$A$7:$N$7,0))),0)</f>
        <v>0</v>
      </c>
      <c r="E41" s="84">
        <f>IFERROR(SUMIF([2]Apr26A!$A:$A,$A41,INDEX([2]Apr26A!$A:$N,0,MATCH($A$1,[2]Apr26A!$A$7:$N$7,0))),0)</f>
        <v>0</v>
      </c>
      <c r="F41" s="84">
        <f>IFERROR(SUMIF([2]May26A!$A:$A,$A41,INDEX([2]May26A!$A:$N,0,MATCH($A$1,[2]May26A!$A$7:$N$7,0))),0)</f>
        <v>0</v>
      </c>
      <c r="G41" s="84">
        <f>IFERROR(SUMIF([2]Jun26A!$A:$A,$A41,INDEX([2]Jun26A!$A:$N,0,MATCH($A$1,[2]Jun26A!$A$7:$N$7,0))),0)</f>
        <v>0</v>
      </c>
      <c r="H41" s="84">
        <f>IFERROR(SUMIF([2]Jul26A!$A:$A,$A41,INDEX([2]Jul26A!$A:$N,0,MATCH($A$1,[2]Jul26A!$A$7:$N$7,0))),0)</f>
        <v>0</v>
      </c>
      <c r="I41" s="84">
        <f>IFERROR(SUMIF([2]Aug26A!$A:$A,$A41,INDEX([2]Aug26A!$A:$N,0,MATCH($A$1,[2]Aug26A!$A$7:$N$7,0))),0)</f>
        <v>0</v>
      </c>
      <c r="J41" s="117"/>
      <c r="K41" s="117"/>
      <c r="L41" s="117"/>
      <c r="M41" s="117"/>
      <c r="N41" s="84">
        <f t="shared" si="16"/>
        <v>0</v>
      </c>
      <c r="O41" s="105" t="str">
        <f t="shared" si="17"/>
        <v/>
      </c>
      <c r="P41" s="84"/>
      <c r="Q41" s="84"/>
      <c r="R41" s="106" t="s">
        <v>99</v>
      </c>
      <c r="S41" s="107">
        <v>0</v>
      </c>
      <c r="T41" s="108">
        <v>0.05</v>
      </c>
      <c r="U41" s="104">
        <f t="shared" si="25"/>
        <v>0</v>
      </c>
      <c r="V41" s="104">
        <f t="shared" si="25"/>
        <v>0</v>
      </c>
      <c r="W41" s="104">
        <f t="shared" si="25"/>
        <v>0</v>
      </c>
      <c r="X41" s="104">
        <f t="shared" si="25"/>
        <v>0</v>
      </c>
      <c r="Y41" s="104">
        <f t="shared" si="25"/>
        <v>0</v>
      </c>
      <c r="Z41" s="104">
        <f t="shared" si="25"/>
        <v>0</v>
      </c>
      <c r="AA41" s="104">
        <f t="shared" si="25"/>
        <v>0</v>
      </c>
      <c r="AB41" s="104">
        <f t="shared" si="25"/>
        <v>0</v>
      </c>
      <c r="AC41" s="104">
        <f t="shared" si="25"/>
        <v>0</v>
      </c>
      <c r="AD41" s="104">
        <f t="shared" si="25"/>
        <v>0</v>
      </c>
      <c r="AE41" s="104">
        <f t="shared" si="25"/>
        <v>0</v>
      </c>
      <c r="AF41" s="104">
        <f t="shared" si="25"/>
        <v>0</v>
      </c>
      <c r="AG41" s="84">
        <f t="shared" si="18"/>
        <v>0</v>
      </c>
      <c r="AH41" s="105" t="str">
        <f t="shared" si="19"/>
        <v/>
      </c>
      <c r="AJ41" s="84">
        <f t="shared" si="20"/>
        <v>0</v>
      </c>
    </row>
    <row r="42" spans="1:36" x14ac:dyDescent="0.3">
      <c r="A42" s="113" t="s">
        <v>128</v>
      </c>
      <c r="B42" s="84">
        <f>IFERROR(SUMIF([2]Jan26A!$A:$A,$A42,INDEX([2]Jan26A!$A:$N,0,MATCH($A$1,[2]Jan26A!$A$7:$N$7,0))),0)</f>
        <v>0</v>
      </c>
      <c r="C42" s="84">
        <f>IFERROR(SUMIF([2]Feb26A!$A:$A,$A42,INDEX([2]Feb26A!$A:$N,0,MATCH($A$1,[2]Feb26A!$A$7:$N$7,0))),0)</f>
        <v>0</v>
      </c>
      <c r="D42" s="84">
        <f>IFERROR(SUMIF([2]Mar26A!$A:$A,$A42,INDEX([2]Mar26A!$A:$N,0,MATCH($A$1,[2]Mar26A!$A$7:$N$7,0))),0)</f>
        <v>0</v>
      </c>
      <c r="E42" s="84">
        <f>IFERROR(SUMIF([2]Apr26A!$A:$A,$A42,INDEX([2]Apr26A!$A:$N,0,MATCH($A$1,[2]Apr26A!$A$7:$N$7,0))),0)</f>
        <v>0</v>
      </c>
      <c r="F42" s="84">
        <f>IFERROR(SUMIF([2]May26A!$A:$A,$A42,INDEX([2]May26A!$A:$N,0,MATCH($A$1,[2]May26A!$A$7:$N$7,0))),0)</f>
        <v>0</v>
      </c>
      <c r="G42" s="84">
        <f>IFERROR(SUMIF([2]Jun26A!$A:$A,$A42,INDEX([2]Jun26A!$A:$N,0,MATCH($A$1,[2]Jun26A!$A$7:$N$7,0))),0)</f>
        <v>0</v>
      </c>
      <c r="H42" s="84">
        <f>IFERROR(SUMIF([2]Jul26A!$A:$A,$A42,INDEX([2]Jul26A!$A:$N,0,MATCH($A$1,[2]Jul26A!$A$7:$N$7,0))),0)</f>
        <v>0</v>
      </c>
      <c r="I42" s="84">
        <f>IFERROR(SUMIF([2]Aug26A!$A:$A,$A42,INDEX([2]Aug26A!$A:$N,0,MATCH($A$1,[2]Aug26A!$A$7:$N$7,0))),0)</f>
        <v>0</v>
      </c>
      <c r="J42" s="117">
        <v>0</v>
      </c>
      <c r="K42" s="117">
        <v>0</v>
      </c>
      <c r="L42" s="117">
        <v>0</v>
      </c>
      <c r="M42" s="117">
        <v>0</v>
      </c>
      <c r="N42" s="84">
        <f t="shared" si="16"/>
        <v>0</v>
      </c>
      <c r="O42" s="105" t="str">
        <f t="shared" si="17"/>
        <v/>
      </c>
      <c r="P42" s="84"/>
      <c r="Q42" s="84"/>
      <c r="R42" s="106" t="s">
        <v>99</v>
      </c>
      <c r="S42" s="107">
        <v>0</v>
      </c>
      <c r="T42" s="108">
        <v>0.05</v>
      </c>
      <c r="U42" s="104">
        <f t="shared" si="25"/>
        <v>0</v>
      </c>
      <c r="V42" s="104">
        <f t="shared" si="25"/>
        <v>0</v>
      </c>
      <c r="W42" s="104">
        <f t="shared" si="25"/>
        <v>0</v>
      </c>
      <c r="X42" s="104">
        <f t="shared" si="25"/>
        <v>0</v>
      </c>
      <c r="Y42" s="104">
        <f t="shared" si="25"/>
        <v>0</v>
      </c>
      <c r="Z42" s="104">
        <f t="shared" si="25"/>
        <v>0</v>
      </c>
      <c r="AA42" s="104">
        <f t="shared" si="25"/>
        <v>0</v>
      </c>
      <c r="AB42" s="104">
        <f t="shared" si="25"/>
        <v>0</v>
      </c>
      <c r="AC42" s="104">
        <f t="shared" si="25"/>
        <v>0</v>
      </c>
      <c r="AD42" s="104">
        <f t="shared" si="25"/>
        <v>0</v>
      </c>
      <c r="AE42" s="104">
        <f t="shared" si="25"/>
        <v>0</v>
      </c>
      <c r="AF42" s="104">
        <f t="shared" si="25"/>
        <v>0</v>
      </c>
      <c r="AG42" s="84">
        <f t="shared" si="18"/>
        <v>0</v>
      </c>
      <c r="AH42" s="105" t="str">
        <f t="shared" si="19"/>
        <v/>
      </c>
      <c r="AJ42" s="84">
        <f t="shared" si="20"/>
        <v>0</v>
      </c>
    </row>
    <row r="43" spans="1:36" x14ac:dyDescent="0.3">
      <c r="A43" s="102" t="s">
        <v>129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105"/>
      <c r="P43" s="84"/>
      <c r="Q43" s="84"/>
      <c r="R43" s="112"/>
      <c r="S43" s="112"/>
      <c r="T43" s="112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105"/>
      <c r="AJ43" s="84"/>
    </row>
    <row r="44" spans="1:36" x14ac:dyDescent="0.3">
      <c r="A44" s="103" t="s">
        <v>130</v>
      </c>
      <c r="B44" s="84">
        <f>IFERROR(SUMIF([2]Jan26A!$A:$A,$A44,INDEX([2]Jan26A!$A:$N,0,MATCH($A$1,[2]Jan26A!$A$7:$N$7,0))),0)</f>
        <v>0</v>
      </c>
      <c r="C44" s="84">
        <f>IFERROR(SUMIF([2]Feb26A!$A:$A,$A44,INDEX([2]Feb26A!$A:$N,0,MATCH($A$1,[2]Feb26A!$A$7:$N$7,0))),0)</f>
        <v>0</v>
      </c>
      <c r="D44" s="84">
        <f>IFERROR(SUMIF([2]Mar26A!$A:$A,$A44,INDEX([2]Mar26A!$A:$N,0,MATCH($A$1,[2]Mar26A!$A$7:$N$7,0))),0)</f>
        <v>0</v>
      </c>
      <c r="E44" s="84">
        <f>IFERROR(SUMIF([2]Apr26A!$A:$A,$A44,INDEX([2]Apr26A!$A:$N,0,MATCH($A$1,[2]Apr26A!$A$7:$N$7,0))),0)</f>
        <v>0</v>
      </c>
      <c r="F44" s="84">
        <f>IFERROR(SUMIF([2]May26A!$A:$A,$A44,INDEX([2]May26A!$A:$N,0,MATCH($A$1,[2]May26A!$A$7:$N$7,0))),0)</f>
        <v>0</v>
      </c>
      <c r="G44" s="84">
        <f>IFERROR(SUMIF([2]Jun26A!$A:$A,$A44,INDEX([2]Jun26A!$A:$N,0,MATCH($A$1,[2]Jun26A!$A$7:$N$7,0))),0)</f>
        <v>0</v>
      </c>
      <c r="H44" s="84">
        <f>IFERROR(SUMIF([2]Jul26A!$A:$A,$A44,INDEX([2]Jul26A!$A:$N,0,MATCH($A$1,[2]Jul26A!$A$7:$N$7,0))),0)</f>
        <v>0</v>
      </c>
      <c r="I44" s="84">
        <f>IFERROR(SUMIF([2]Aug26A!$A:$A,$A44,INDEX([2]Aug26A!$A:$N,0,MATCH($A$1,[2]Aug26A!$A$7:$N$7,0))),0)</f>
        <v>0</v>
      </c>
      <c r="J44" s="117">
        <v>0</v>
      </c>
      <c r="K44" s="117">
        <v>0</v>
      </c>
      <c r="L44" s="117">
        <v>0</v>
      </c>
      <c r="M44" s="117">
        <v>0</v>
      </c>
      <c r="N44" s="84">
        <f t="shared" ref="N44:N50" si="26">SUM(B44:M44)</f>
        <v>0</v>
      </c>
      <c r="O44" s="105" t="str">
        <f t="shared" ref="O44:O50" si="27">IFERROR(N44/N$16,"")</f>
        <v/>
      </c>
      <c r="P44" s="84"/>
      <c r="Q44" s="84"/>
      <c r="R44" s="106" t="s">
        <v>99</v>
      </c>
      <c r="S44" s="107">
        <v>0</v>
      </c>
      <c r="T44" s="108">
        <v>0.05</v>
      </c>
      <c r="U44" s="104">
        <f t="shared" ref="U44:AF50" si="28">IF($R44="Manual","",IFERROR(IF($R44="YOY Growth",$N44*(1+$T44)/12,$S44/12),""))</f>
        <v>0</v>
      </c>
      <c r="V44" s="104">
        <f t="shared" si="28"/>
        <v>0</v>
      </c>
      <c r="W44" s="104">
        <f t="shared" si="28"/>
        <v>0</v>
      </c>
      <c r="X44" s="104">
        <f t="shared" si="28"/>
        <v>0</v>
      </c>
      <c r="Y44" s="104">
        <f t="shared" si="28"/>
        <v>0</v>
      </c>
      <c r="Z44" s="104">
        <f t="shared" si="28"/>
        <v>0</v>
      </c>
      <c r="AA44" s="104">
        <f t="shared" si="28"/>
        <v>0</v>
      </c>
      <c r="AB44" s="104">
        <f t="shared" si="28"/>
        <v>0</v>
      </c>
      <c r="AC44" s="104">
        <f t="shared" si="28"/>
        <v>0</v>
      </c>
      <c r="AD44" s="104">
        <f t="shared" si="28"/>
        <v>0</v>
      </c>
      <c r="AE44" s="104">
        <f t="shared" si="28"/>
        <v>0</v>
      </c>
      <c r="AF44" s="104">
        <f t="shared" si="28"/>
        <v>0</v>
      </c>
      <c r="AG44" s="84">
        <f t="shared" ref="AG44:AG50" si="29">SUM(U44:AF44)</f>
        <v>0</v>
      </c>
      <c r="AH44" s="105" t="str">
        <f t="shared" ref="AH44:AH50" si="30">IFERROR(AG44/AG$16,"")</f>
        <v/>
      </c>
      <c r="AJ44" s="84">
        <f t="shared" ref="AJ44:AJ50" si="31">N44-AG44</f>
        <v>0</v>
      </c>
    </row>
    <row r="45" spans="1:36" x14ac:dyDescent="0.3">
      <c r="A45" s="103" t="s">
        <v>131</v>
      </c>
      <c r="B45" s="84">
        <f>IFERROR(SUMIF([2]Jan26A!$A:$A,$A45,INDEX([2]Jan26A!$A:$N,0,MATCH($A$1,[2]Jan26A!$A$7:$N$7,0))),0)</f>
        <v>0</v>
      </c>
      <c r="C45" s="84">
        <f>IFERROR(SUMIF([2]Feb26A!$A:$A,$A45,INDEX([2]Feb26A!$A:$N,0,MATCH($A$1,[2]Feb26A!$A$7:$N$7,0))),0)</f>
        <v>0</v>
      </c>
      <c r="D45" s="84">
        <f>IFERROR(SUMIF([2]Mar26A!$A:$A,$A45,INDEX([2]Mar26A!$A:$N,0,MATCH($A$1,[2]Mar26A!$A$7:$N$7,0))),0)</f>
        <v>0</v>
      </c>
      <c r="E45" s="84">
        <f>IFERROR(SUMIF([2]Apr26A!$A:$A,$A45,INDEX([2]Apr26A!$A:$N,0,MATCH($A$1,[2]Apr26A!$A$7:$N$7,0))),0)</f>
        <v>0</v>
      </c>
      <c r="F45" s="84">
        <f>IFERROR(SUMIF([2]May26A!$A:$A,$A45,INDEX([2]May26A!$A:$N,0,MATCH($A$1,[2]May26A!$A$7:$N$7,0))),0)</f>
        <v>0</v>
      </c>
      <c r="G45" s="84">
        <f>IFERROR(SUMIF([2]Jun26A!$A:$A,$A45,INDEX([2]Jun26A!$A:$N,0,MATCH($A$1,[2]Jun26A!$A$7:$N$7,0))),0)</f>
        <v>0</v>
      </c>
      <c r="H45" s="84">
        <f>IFERROR(SUMIF([2]Jul26A!$A:$A,$A45,INDEX([2]Jul26A!$A:$N,0,MATCH($A$1,[2]Jul26A!$A$7:$N$7,0))),0)</f>
        <v>0</v>
      </c>
      <c r="I45" s="84">
        <f>IFERROR(SUMIF([2]Aug26A!$A:$A,$A45,INDEX([2]Aug26A!$A:$N,0,MATCH($A$1,[2]Aug26A!$A$7:$N$7,0))),0)</f>
        <v>0</v>
      </c>
      <c r="J45" s="117">
        <v>0</v>
      </c>
      <c r="K45" s="117">
        <v>0</v>
      </c>
      <c r="L45" s="117">
        <v>0</v>
      </c>
      <c r="M45" s="117">
        <v>0</v>
      </c>
      <c r="N45" s="84">
        <f t="shared" si="26"/>
        <v>0</v>
      </c>
      <c r="O45" s="105" t="str">
        <f t="shared" si="27"/>
        <v/>
      </c>
      <c r="P45" s="84"/>
      <c r="Q45" s="84"/>
      <c r="R45" s="106" t="s">
        <v>99</v>
      </c>
      <c r="S45" s="107">
        <v>0</v>
      </c>
      <c r="T45" s="108">
        <v>0.05</v>
      </c>
      <c r="U45" s="104">
        <f t="shared" si="28"/>
        <v>0</v>
      </c>
      <c r="V45" s="104">
        <f t="shared" si="28"/>
        <v>0</v>
      </c>
      <c r="W45" s="104">
        <f t="shared" si="28"/>
        <v>0</v>
      </c>
      <c r="X45" s="104">
        <f t="shared" si="28"/>
        <v>0</v>
      </c>
      <c r="Y45" s="104">
        <f t="shared" si="28"/>
        <v>0</v>
      </c>
      <c r="Z45" s="104">
        <f t="shared" si="28"/>
        <v>0</v>
      </c>
      <c r="AA45" s="104">
        <f t="shared" si="28"/>
        <v>0</v>
      </c>
      <c r="AB45" s="104">
        <f t="shared" si="28"/>
        <v>0</v>
      </c>
      <c r="AC45" s="104">
        <f t="shared" si="28"/>
        <v>0</v>
      </c>
      <c r="AD45" s="104">
        <f t="shared" si="28"/>
        <v>0</v>
      </c>
      <c r="AE45" s="104">
        <f t="shared" si="28"/>
        <v>0</v>
      </c>
      <c r="AF45" s="104">
        <f t="shared" si="28"/>
        <v>0</v>
      </c>
      <c r="AG45" s="84">
        <f t="shared" si="29"/>
        <v>0</v>
      </c>
      <c r="AH45" s="105" t="str">
        <f t="shared" si="30"/>
        <v/>
      </c>
      <c r="AJ45" s="84">
        <f t="shared" si="31"/>
        <v>0</v>
      </c>
    </row>
    <row r="46" spans="1:36" x14ac:dyDescent="0.3">
      <c r="A46" s="103" t="s">
        <v>132</v>
      </c>
      <c r="B46" s="84">
        <f>IFERROR(SUMIF([2]Jan26A!$A:$A,$A46,INDEX([2]Jan26A!$A:$N,0,MATCH($A$1,[2]Jan26A!$A$7:$N$7,0))),0)</f>
        <v>0</v>
      </c>
      <c r="C46" s="84">
        <f>IFERROR(SUMIF([2]Feb26A!$A:$A,$A46,INDEX([2]Feb26A!$A:$N,0,MATCH($A$1,[2]Feb26A!$A$7:$N$7,0))),0)</f>
        <v>0</v>
      </c>
      <c r="D46" s="84">
        <f>IFERROR(SUMIF([2]Mar26A!$A:$A,$A46,INDEX([2]Mar26A!$A:$N,0,MATCH($A$1,[2]Mar26A!$A$7:$N$7,0))),0)</f>
        <v>0</v>
      </c>
      <c r="E46" s="84">
        <f>IFERROR(SUMIF([2]Apr26A!$A:$A,$A46,INDEX([2]Apr26A!$A:$N,0,MATCH($A$1,[2]Apr26A!$A$7:$N$7,0))),0)</f>
        <v>0</v>
      </c>
      <c r="F46" s="84">
        <f>IFERROR(SUMIF([2]May26A!$A:$A,$A46,INDEX([2]May26A!$A:$N,0,MATCH($A$1,[2]May26A!$A$7:$N$7,0))),0)</f>
        <v>0</v>
      </c>
      <c r="G46" s="84">
        <f>IFERROR(SUMIF([2]Jun26A!$A:$A,$A46,INDEX([2]Jun26A!$A:$N,0,MATCH($A$1,[2]Jun26A!$A$7:$N$7,0))),0)</f>
        <v>0</v>
      </c>
      <c r="H46" s="84">
        <f>IFERROR(SUMIF([2]Jul26A!$A:$A,$A46,INDEX([2]Jul26A!$A:$N,0,MATCH($A$1,[2]Jul26A!$A$7:$N$7,0))),0)</f>
        <v>0</v>
      </c>
      <c r="I46" s="84">
        <f>IFERROR(SUMIF([2]Aug26A!$A:$A,$A46,INDEX([2]Aug26A!$A:$N,0,MATCH($A$1,[2]Aug26A!$A$7:$N$7,0))),0)</f>
        <v>0</v>
      </c>
      <c r="J46" s="117">
        <v>0</v>
      </c>
      <c r="K46" s="117">
        <v>0</v>
      </c>
      <c r="L46" s="117">
        <v>0</v>
      </c>
      <c r="M46" s="117">
        <v>0</v>
      </c>
      <c r="N46" s="84">
        <f t="shared" si="26"/>
        <v>0</v>
      </c>
      <c r="O46" s="105" t="str">
        <f t="shared" si="27"/>
        <v/>
      </c>
      <c r="P46" s="84"/>
      <c r="Q46" s="84"/>
      <c r="R46" s="106" t="s">
        <v>99</v>
      </c>
      <c r="S46" s="107">
        <v>0</v>
      </c>
      <c r="T46" s="108">
        <v>0.05</v>
      </c>
      <c r="U46" s="104">
        <f t="shared" si="28"/>
        <v>0</v>
      </c>
      <c r="V46" s="104">
        <f t="shared" si="28"/>
        <v>0</v>
      </c>
      <c r="W46" s="104">
        <f t="shared" si="28"/>
        <v>0</v>
      </c>
      <c r="X46" s="104">
        <f t="shared" si="28"/>
        <v>0</v>
      </c>
      <c r="Y46" s="104">
        <f t="shared" si="28"/>
        <v>0</v>
      </c>
      <c r="Z46" s="104">
        <f t="shared" si="28"/>
        <v>0</v>
      </c>
      <c r="AA46" s="104">
        <f t="shared" si="28"/>
        <v>0</v>
      </c>
      <c r="AB46" s="104">
        <f t="shared" si="28"/>
        <v>0</v>
      </c>
      <c r="AC46" s="104">
        <f t="shared" si="28"/>
        <v>0</v>
      </c>
      <c r="AD46" s="104">
        <f t="shared" si="28"/>
        <v>0</v>
      </c>
      <c r="AE46" s="104">
        <f t="shared" si="28"/>
        <v>0</v>
      </c>
      <c r="AF46" s="104">
        <f t="shared" si="28"/>
        <v>0</v>
      </c>
      <c r="AG46" s="84">
        <f t="shared" si="29"/>
        <v>0</v>
      </c>
      <c r="AH46" s="105" t="str">
        <f t="shared" si="30"/>
        <v/>
      </c>
      <c r="AJ46" s="84">
        <f t="shared" si="31"/>
        <v>0</v>
      </c>
    </row>
    <row r="47" spans="1:36" x14ac:dyDescent="0.3">
      <c r="A47" s="103" t="s">
        <v>133</v>
      </c>
      <c r="B47" s="84">
        <f>IFERROR(SUMIF([2]Jan26A!$A:$A,$A47,INDEX([2]Jan26A!$A:$N,0,MATCH($A$1,[2]Jan26A!$A$7:$N$7,0))),0)</f>
        <v>0</v>
      </c>
      <c r="C47" s="84">
        <f>IFERROR(SUMIF([2]Feb26A!$A:$A,$A47,INDEX([2]Feb26A!$A:$N,0,MATCH($A$1,[2]Feb26A!$A$7:$N$7,0))),0)</f>
        <v>0</v>
      </c>
      <c r="D47" s="84">
        <f>IFERROR(SUMIF([2]Mar26A!$A:$A,$A47,INDEX([2]Mar26A!$A:$N,0,MATCH($A$1,[2]Mar26A!$A$7:$N$7,0))),0)</f>
        <v>0</v>
      </c>
      <c r="E47" s="84">
        <f>IFERROR(SUMIF([2]Apr26A!$A:$A,$A47,INDEX([2]Apr26A!$A:$N,0,MATCH($A$1,[2]Apr26A!$A$7:$N$7,0))),0)</f>
        <v>0</v>
      </c>
      <c r="F47" s="84">
        <f>IFERROR(SUMIF([2]May26A!$A:$A,$A47,INDEX([2]May26A!$A:$N,0,MATCH($A$1,[2]May26A!$A$7:$N$7,0))),0)</f>
        <v>0</v>
      </c>
      <c r="G47" s="84">
        <f>IFERROR(SUMIF([2]Jun26A!$A:$A,$A47,INDEX([2]Jun26A!$A:$N,0,MATCH($A$1,[2]Jun26A!$A$7:$N$7,0))),0)</f>
        <v>0</v>
      </c>
      <c r="H47" s="84">
        <f>IFERROR(SUMIF([2]Jul26A!$A:$A,$A47,INDEX([2]Jul26A!$A:$N,0,MATCH($A$1,[2]Jul26A!$A$7:$N$7,0))),0)</f>
        <v>0</v>
      </c>
      <c r="I47" s="84">
        <f>IFERROR(SUMIF([2]Aug26A!$A:$A,$A47,INDEX([2]Aug26A!$A:$N,0,MATCH($A$1,[2]Aug26A!$A$7:$N$7,0))),0)</f>
        <v>0</v>
      </c>
      <c r="J47" s="117">
        <v>0</v>
      </c>
      <c r="K47" s="117">
        <v>0</v>
      </c>
      <c r="L47" s="117">
        <v>0</v>
      </c>
      <c r="M47" s="117">
        <v>0</v>
      </c>
      <c r="N47" s="84">
        <f t="shared" si="26"/>
        <v>0</v>
      </c>
      <c r="O47" s="105" t="str">
        <f t="shared" si="27"/>
        <v/>
      </c>
      <c r="P47" s="84"/>
      <c r="Q47" s="84"/>
      <c r="R47" s="106" t="s">
        <v>99</v>
      </c>
      <c r="S47" s="107">
        <v>0</v>
      </c>
      <c r="T47" s="108">
        <v>0.05</v>
      </c>
      <c r="U47" s="104">
        <f t="shared" si="28"/>
        <v>0</v>
      </c>
      <c r="V47" s="104">
        <f t="shared" si="28"/>
        <v>0</v>
      </c>
      <c r="W47" s="104">
        <f t="shared" si="28"/>
        <v>0</v>
      </c>
      <c r="X47" s="104">
        <f t="shared" si="28"/>
        <v>0</v>
      </c>
      <c r="Y47" s="104">
        <f t="shared" si="28"/>
        <v>0</v>
      </c>
      <c r="Z47" s="104">
        <f t="shared" si="28"/>
        <v>0</v>
      </c>
      <c r="AA47" s="104">
        <f t="shared" si="28"/>
        <v>0</v>
      </c>
      <c r="AB47" s="104">
        <f t="shared" si="28"/>
        <v>0</v>
      </c>
      <c r="AC47" s="104">
        <f t="shared" si="28"/>
        <v>0</v>
      </c>
      <c r="AD47" s="104">
        <f t="shared" si="28"/>
        <v>0</v>
      </c>
      <c r="AE47" s="104">
        <f t="shared" si="28"/>
        <v>0</v>
      </c>
      <c r="AF47" s="104">
        <f t="shared" si="28"/>
        <v>0</v>
      </c>
      <c r="AG47" s="84">
        <f t="shared" si="29"/>
        <v>0</v>
      </c>
      <c r="AH47" s="105" t="str">
        <f t="shared" si="30"/>
        <v/>
      </c>
      <c r="AJ47" s="84">
        <f t="shared" si="31"/>
        <v>0</v>
      </c>
    </row>
    <row r="48" spans="1:36" x14ac:dyDescent="0.3">
      <c r="A48" s="103" t="s">
        <v>134</v>
      </c>
      <c r="B48" s="84">
        <f>IFERROR(SUMIF([2]Jan26A!$A:$A,$A48,INDEX([2]Jan26A!$A:$N,0,MATCH($A$1,[2]Jan26A!$A$7:$N$7,0))),0)</f>
        <v>0</v>
      </c>
      <c r="C48" s="84">
        <f>IFERROR(SUMIF([2]Feb26A!$A:$A,$A48,INDEX([2]Feb26A!$A:$N,0,MATCH($A$1,[2]Feb26A!$A$7:$N$7,0))),0)</f>
        <v>0</v>
      </c>
      <c r="D48" s="84">
        <f>IFERROR(SUMIF([2]Mar26A!$A:$A,$A48,INDEX([2]Mar26A!$A:$N,0,MATCH($A$1,[2]Mar26A!$A$7:$N$7,0))),0)</f>
        <v>0</v>
      </c>
      <c r="E48" s="84">
        <f>IFERROR(SUMIF([2]Apr26A!$A:$A,$A48,INDEX([2]Apr26A!$A:$N,0,MATCH($A$1,[2]Apr26A!$A$7:$N$7,0))),0)</f>
        <v>0</v>
      </c>
      <c r="F48" s="84">
        <f>IFERROR(SUMIF([2]May26A!$A:$A,$A48,INDEX([2]May26A!$A:$N,0,MATCH($A$1,[2]May26A!$A$7:$N$7,0))),0)</f>
        <v>0</v>
      </c>
      <c r="G48" s="84">
        <f>IFERROR(SUMIF([2]Jun26A!$A:$A,$A48,INDEX([2]Jun26A!$A:$N,0,MATCH($A$1,[2]Jun26A!$A$7:$N$7,0))),0)</f>
        <v>0</v>
      </c>
      <c r="H48" s="84">
        <f>IFERROR(SUMIF([2]Jul26A!$A:$A,$A48,INDEX([2]Jul26A!$A:$N,0,MATCH($A$1,[2]Jul26A!$A$7:$N$7,0))),0)</f>
        <v>0</v>
      </c>
      <c r="I48" s="84">
        <f>IFERROR(SUMIF([2]Aug26A!$A:$A,$A48,INDEX([2]Aug26A!$A:$N,0,MATCH($A$1,[2]Aug26A!$A$7:$N$7,0))),0)</f>
        <v>0</v>
      </c>
      <c r="J48" s="117">
        <v>0</v>
      </c>
      <c r="K48" s="117">
        <v>0</v>
      </c>
      <c r="L48" s="117">
        <v>0</v>
      </c>
      <c r="M48" s="117">
        <v>0</v>
      </c>
      <c r="N48" s="84">
        <f t="shared" si="26"/>
        <v>0</v>
      </c>
      <c r="O48" s="105" t="str">
        <f t="shared" si="27"/>
        <v/>
      </c>
      <c r="P48" s="84"/>
      <c r="Q48" s="84"/>
      <c r="R48" s="106" t="s">
        <v>99</v>
      </c>
      <c r="S48" s="107">
        <v>0</v>
      </c>
      <c r="T48" s="108">
        <v>0.05</v>
      </c>
      <c r="U48" s="104">
        <f t="shared" si="28"/>
        <v>0</v>
      </c>
      <c r="V48" s="104">
        <f t="shared" si="28"/>
        <v>0</v>
      </c>
      <c r="W48" s="104">
        <f t="shared" si="28"/>
        <v>0</v>
      </c>
      <c r="X48" s="104">
        <f t="shared" si="28"/>
        <v>0</v>
      </c>
      <c r="Y48" s="104">
        <f t="shared" si="28"/>
        <v>0</v>
      </c>
      <c r="Z48" s="104">
        <f t="shared" si="28"/>
        <v>0</v>
      </c>
      <c r="AA48" s="104">
        <f t="shared" si="28"/>
        <v>0</v>
      </c>
      <c r="AB48" s="104">
        <f t="shared" si="28"/>
        <v>0</v>
      </c>
      <c r="AC48" s="104">
        <f t="shared" si="28"/>
        <v>0</v>
      </c>
      <c r="AD48" s="104">
        <f t="shared" si="28"/>
        <v>0</v>
      </c>
      <c r="AE48" s="104">
        <f t="shared" si="28"/>
        <v>0</v>
      </c>
      <c r="AF48" s="104">
        <f t="shared" si="28"/>
        <v>0</v>
      </c>
      <c r="AG48" s="84">
        <f t="shared" si="29"/>
        <v>0</v>
      </c>
      <c r="AH48" s="105" t="str">
        <f t="shared" si="30"/>
        <v/>
      </c>
      <c r="AJ48" s="84">
        <f t="shared" si="31"/>
        <v>0</v>
      </c>
    </row>
    <row r="49" spans="1:36" x14ac:dyDescent="0.3">
      <c r="A49" s="103" t="s">
        <v>135</v>
      </c>
      <c r="B49" s="84">
        <f>IFERROR(SUMIF([2]Jan26A!$A:$A,$A49,INDEX([2]Jan26A!$A:$N,0,MATCH($A$1,[2]Jan26A!$A$7:$N$7,0))),0)</f>
        <v>0</v>
      </c>
      <c r="C49" s="84">
        <f>IFERROR(SUMIF([2]Feb26A!$A:$A,$A49,INDEX([2]Feb26A!$A:$N,0,MATCH($A$1,[2]Feb26A!$A$7:$N$7,0))),0)</f>
        <v>0</v>
      </c>
      <c r="D49" s="84">
        <f>IFERROR(SUMIF([2]Mar26A!$A:$A,$A49,INDEX([2]Mar26A!$A:$N,0,MATCH($A$1,[2]Mar26A!$A$7:$N$7,0))),0)</f>
        <v>0</v>
      </c>
      <c r="E49" s="84">
        <f>IFERROR(SUMIF([2]Apr26A!$A:$A,$A49,INDEX([2]Apr26A!$A:$N,0,MATCH($A$1,[2]Apr26A!$A$7:$N$7,0))),0)</f>
        <v>0</v>
      </c>
      <c r="F49" s="84">
        <f>IFERROR(SUMIF([2]May26A!$A:$A,$A49,INDEX([2]May26A!$A:$N,0,MATCH($A$1,[2]May26A!$A$7:$N$7,0))),0)</f>
        <v>0</v>
      </c>
      <c r="G49" s="84">
        <f>IFERROR(SUMIF([2]Jun26A!$A:$A,$A49,INDEX([2]Jun26A!$A:$N,0,MATCH($A$1,[2]Jun26A!$A$7:$N$7,0))),0)</f>
        <v>0</v>
      </c>
      <c r="H49" s="84">
        <f>IFERROR(SUMIF([2]Jul26A!$A:$A,$A49,INDEX([2]Jul26A!$A:$N,0,MATCH($A$1,[2]Jul26A!$A$7:$N$7,0))),0)</f>
        <v>0</v>
      </c>
      <c r="I49" s="84">
        <f>IFERROR(SUMIF([2]Aug26A!$A:$A,$A49,INDEX([2]Aug26A!$A:$N,0,MATCH($A$1,[2]Aug26A!$A$7:$N$7,0))),0)</f>
        <v>0</v>
      </c>
      <c r="J49" s="117">
        <v>0</v>
      </c>
      <c r="K49" s="117">
        <v>0</v>
      </c>
      <c r="L49" s="117">
        <v>0</v>
      </c>
      <c r="M49" s="117">
        <v>0</v>
      </c>
      <c r="N49" s="84">
        <f t="shared" si="26"/>
        <v>0</v>
      </c>
      <c r="O49" s="105" t="str">
        <f t="shared" si="27"/>
        <v/>
      </c>
      <c r="P49" s="84"/>
      <c r="Q49" s="84"/>
      <c r="R49" s="106" t="s">
        <v>99</v>
      </c>
      <c r="S49" s="107">
        <v>0</v>
      </c>
      <c r="T49" s="108">
        <v>0.05</v>
      </c>
      <c r="U49" s="104">
        <f t="shared" si="28"/>
        <v>0</v>
      </c>
      <c r="V49" s="104">
        <f t="shared" si="28"/>
        <v>0</v>
      </c>
      <c r="W49" s="104">
        <f t="shared" si="28"/>
        <v>0</v>
      </c>
      <c r="X49" s="104">
        <f t="shared" si="28"/>
        <v>0</v>
      </c>
      <c r="Y49" s="104">
        <f t="shared" si="28"/>
        <v>0</v>
      </c>
      <c r="Z49" s="104">
        <f t="shared" si="28"/>
        <v>0</v>
      </c>
      <c r="AA49" s="104">
        <f t="shared" si="28"/>
        <v>0</v>
      </c>
      <c r="AB49" s="104">
        <f t="shared" si="28"/>
        <v>0</v>
      </c>
      <c r="AC49" s="104">
        <f t="shared" si="28"/>
        <v>0</v>
      </c>
      <c r="AD49" s="104">
        <f t="shared" si="28"/>
        <v>0</v>
      </c>
      <c r="AE49" s="104">
        <f t="shared" si="28"/>
        <v>0</v>
      </c>
      <c r="AF49" s="104">
        <f t="shared" si="28"/>
        <v>0</v>
      </c>
      <c r="AG49" s="84">
        <f t="shared" si="29"/>
        <v>0</v>
      </c>
      <c r="AH49" s="105" t="str">
        <f t="shared" si="30"/>
        <v/>
      </c>
      <c r="AJ49" s="84">
        <f t="shared" si="31"/>
        <v>0</v>
      </c>
    </row>
    <row r="50" spans="1:36" x14ac:dyDescent="0.3">
      <c r="A50" s="103" t="s">
        <v>136</v>
      </c>
      <c r="B50" s="84">
        <f>IFERROR(SUMIF([2]Jan26A!$A:$A,$A50,INDEX([2]Jan26A!$A:$N,0,MATCH($A$1,[2]Jan26A!$A$7:$N$7,0))),0)</f>
        <v>0</v>
      </c>
      <c r="C50" s="84">
        <f>IFERROR(SUMIF([2]Feb26A!$A:$A,$A50,INDEX([2]Feb26A!$A:$N,0,MATCH($A$1,[2]Feb26A!$A$7:$N$7,0))),0)</f>
        <v>0</v>
      </c>
      <c r="D50" s="84">
        <f>IFERROR(SUMIF([2]Mar26A!$A:$A,$A50,INDEX([2]Mar26A!$A:$N,0,MATCH($A$1,[2]Mar26A!$A$7:$N$7,0))),0)</f>
        <v>0</v>
      </c>
      <c r="E50" s="84">
        <f>IFERROR(SUMIF([2]Apr26A!$A:$A,$A50,INDEX([2]Apr26A!$A:$N,0,MATCH($A$1,[2]Apr26A!$A$7:$N$7,0))),0)</f>
        <v>0</v>
      </c>
      <c r="F50" s="84">
        <f>IFERROR(SUMIF([2]May26A!$A:$A,$A50,INDEX([2]May26A!$A:$N,0,MATCH($A$1,[2]May26A!$A$7:$N$7,0))),0)</f>
        <v>0</v>
      </c>
      <c r="G50" s="84">
        <f>IFERROR(SUMIF([2]Jun26A!$A:$A,$A50,INDEX([2]Jun26A!$A:$N,0,MATCH($A$1,[2]Jun26A!$A$7:$N$7,0))),0)</f>
        <v>0</v>
      </c>
      <c r="H50" s="84">
        <f>IFERROR(SUMIF([2]Jul26A!$A:$A,$A50,INDEX([2]Jul26A!$A:$N,0,MATCH($A$1,[2]Jul26A!$A$7:$N$7,0))),0)</f>
        <v>0</v>
      </c>
      <c r="I50" s="84">
        <f>IFERROR(SUMIF([2]Aug26A!$A:$A,$A50,INDEX([2]Aug26A!$A:$N,0,MATCH($A$1,[2]Aug26A!$A$7:$N$7,0))),0)</f>
        <v>0</v>
      </c>
      <c r="J50" s="117">
        <v>0</v>
      </c>
      <c r="K50" s="117">
        <v>0</v>
      </c>
      <c r="L50" s="117">
        <v>0</v>
      </c>
      <c r="M50" s="117">
        <v>0</v>
      </c>
      <c r="N50" s="84">
        <f t="shared" si="26"/>
        <v>0</v>
      </c>
      <c r="O50" s="105" t="str">
        <f t="shared" si="27"/>
        <v/>
      </c>
      <c r="P50" s="84"/>
      <c r="Q50" s="84"/>
      <c r="R50" s="106" t="s">
        <v>99</v>
      </c>
      <c r="S50" s="107">
        <v>0</v>
      </c>
      <c r="T50" s="108">
        <v>0.05</v>
      </c>
      <c r="U50" s="104">
        <f t="shared" si="28"/>
        <v>0</v>
      </c>
      <c r="V50" s="104">
        <f t="shared" si="28"/>
        <v>0</v>
      </c>
      <c r="W50" s="104">
        <f t="shared" si="28"/>
        <v>0</v>
      </c>
      <c r="X50" s="104">
        <f t="shared" si="28"/>
        <v>0</v>
      </c>
      <c r="Y50" s="104">
        <f t="shared" si="28"/>
        <v>0</v>
      </c>
      <c r="Z50" s="104">
        <f t="shared" si="28"/>
        <v>0</v>
      </c>
      <c r="AA50" s="104">
        <f t="shared" si="28"/>
        <v>0</v>
      </c>
      <c r="AB50" s="104">
        <f t="shared" si="28"/>
        <v>0</v>
      </c>
      <c r="AC50" s="104">
        <f t="shared" si="28"/>
        <v>0</v>
      </c>
      <c r="AD50" s="104">
        <f t="shared" si="28"/>
        <v>0</v>
      </c>
      <c r="AE50" s="104">
        <f t="shared" si="28"/>
        <v>0</v>
      </c>
      <c r="AF50" s="104">
        <f t="shared" si="28"/>
        <v>0</v>
      </c>
      <c r="AG50" s="84">
        <f t="shared" si="29"/>
        <v>0</v>
      </c>
      <c r="AH50" s="105" t="str">
        <f t="shared" si="30"/>
        <v/>
      </c>
      <c r="AJ50" s="84">
        <f t="shared" si="31"/>
        <v>0</v>
      </c>
    </row>
    <row r="51" spans="1:36" x14ac:dyDescent="0.3">
      <c r="A51" s="115" t="s">
        <v>137</v>
      </c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105"/>
      <c r="P51" s="84"/>
      <c r="Q51" s="84"/>
      <c r="R51" s="112"/>
      <c r="S51" s="112"/>
      <c r="T51" s="112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105"/>
      <c r="AJ51" s="84"/>
    </row>
    <row r="52" spans="1:36" x14ac:dyDescent="0.3">
      <c r="A52" s="116" t="s">
        <v>138</v>
      </c>
      <c r="B52" s="84">
        <f>IFERROR(SUMIF([2]Jan26A!$A:$A,$A52,INDEX([2]Jan26A!$A:$N,0,MATCH($A$1,[2]Jan26A!$A$7:$N$7,0))),0)</f>
        <v>0</v>
      </c>
      <c r="C52" s="84">
        <f>IFERROR(SUMIF([2]Feb26A!$A:$A,$A52,INDEX([2]Feb26A!$A:$N,0,MATCH($A$1,[2]Feb26A!$A$7:$N$7,0))),0)</f>
        <v>0</v>
      </c>
      <c r="D52" s="84">
        <f>IFERROR(SUMIF([2]Mar26A!$A:$A,$A52,INDEX([2]Mar26A!$A:$N,0,MATCH($A$1,[2]Mar26A!$A$7:$N$7,0))),0)</f>
        <v>0</v>
      </c>
      <c r="E52" s="84">
        <f>IFERROR(SUMIF([2]Apr26A!$A:$A,$A52,INDEX([2]Apr26A!$A:$N,0,MATCH($A$1,[2]Apr26A!$A$7:$N$7,0))),0)</f>
        <v>0</v>
      </c>
      <c r="F52" s="84">
        <f>IFERROR(SUMIF([2]May26A!$A:$A,$A52,INDEX([2]May26A!$A:$N,0,MATCH($A$1,[2]May26A!$A$7:$N$7,0))),0)</f>
        <v>0</v>
      </c>
      <c r="G52" s="84">
        <f>IFERROR(SUMIF([2]Jun26A!$A:$A,$A52,INDEX([2]Jun26A!$A:$N,0,MATCH($A$1,[2]Jun26A!$A$7:$N$7,0))),0)</f>
        <v>0</v>
      </c>
      <c r="H52" s="84">
        <f>IFERROR(SUMIF([2]Jul26A!$A:$A,$A52,INDEX([2]Jul26A!$A:$N,0,MATCH($A$1,[2]Jul26A!$A$7:$N$7,0))),0)</f>
        <v>0</v>
      </c>
      <c r="I52" s="84">
        <f>IFERROR(SUMIF([2]Aug26A!$A:$A,$A52,INDEX([2]Aug26A!$A:$N,0,MATCH($A$1,[2]Aug26A!$A$7:$N$7,0))),0)</f>
        <v>0</v>
      </c>
      <c r="J52" s="117">
        <v>0</v>
      </c>
      <c r="K52" s="117">
        <v>0</v>
      </c>
      <c r="L52" s="117">
        <v>0</v>
      </c>
      <c r="M52" s="117">
        <v>0</v>
      </c>
      <c r="N52" s="84">
        <f>SUM(B52:M52)</f>
        <v>0</v>
      </c>
      <c r="O52" s="105" t="str">
        <f>IFERROR(N52/N$16,"")</f>
        <v/>
      </c>
      <c r="P52" s="84"/>
      <c r="Q52" s="84"/>
      <c r="R52" s="168"/>
      <c r="S52" s="168"/>
      <c r="T52" s="168"/>
      <c r="U52" s="168"/>
      <c r="V52" s="168"/>
      <c r="W52" s="168"/>
      <c r="X52" s="168"/>
      <c r="Y52" s="168"/>
      <c r="Z52" s="168"/>
      <c r="AA52" s="168"/>
      <c r="AB52" s="168"/>
      <c r="AC52" s="168"/>
      <c r="AD52" s="168"/>
      <c r="AE52" s="168"/>
      <c r="AF52" s="168"/>
      <c r="AG52" s="84">
        <f>SUM(U52:AF52)</f>
        <v>0</v>
      </c>
      <c r="AH52" s="105" t="str">
        <f>IFERROR(AG52/AG$16,"")</f>
        <v/>
      </c>
      <c r="AJ52" s="84">
        <f>N52-AG52</f>
        <v>0</v>
      </c>
    </row>
    <row r="53" spans="1:36" x14ac:dyDescent="0.3">
      <c r="A53" s="116" t="s">
        <v>139</v>
      </c>
      <c r="B53" s="84">
        <f>IFERROR(SUMIF([2]Jan26A!$A:$A,$A53,INDEX([2]Jan26A!$A:$N,0,MATCH($A$1,[2]Jan26A!$A$7:$N$7,0))),0)</f>
        <v>0</v>
      </c>
      <c r="C53" s="84">
        <f>IFERROR(SUMIF([2]Feb26A!$A:$A,$A53,INDEX([2]Feb26A!$A:$N,0,MATCH($A$1,[2]Feb26A!$A$7:$N$7,0))),0)</f>
        <v>0</v>
      </c>
      <c r="D53" s="84">
        <f>IFERROR(SUMIF([2]Mar26A!$A:$A,$A53,INDEX([2]Mar26A!$A:$N,0,MATCH($A$1,[2]Mar26A!$A$7:$N$7,0))),0)</f>
        <v>0</v>
      </c>
      <c r="E53" s="84">
        <f>IFERROR(SUMIF([2]Apr26A!$A:$A,$A53,INDEX([2]Apr26A!$A:$N,0,MATCH($A$1,[2]Apr26A!$A$7:$N$7,0))),0)</f>
        <v>0</v>
      </c>
      <c r="F53" s="84">
        <f>IFERROR(SUMIF([2]May26A!$A:$A,$A53,INDEX([2]May26A!$A:$N,0,MATCH($A$1,[2]May26A!$A$7:$N$7,0))),0)</f>
        <v>0</v>
      </c>
      <c r="G53" s="84">
        <f>IFERROR(SUMIF([2]Jun26A!$A:$A,$A53,INDEX([2]Jun26A!$A:$N,0,MATCH($A$1,[2]Jun26A!$A$7:$N$7,0))),0)</f>
        <v>0</v>
      </c>
      <c r="H53" s="84">
        <f>IFERROR(SUMIF([2]Jul26A!$A:$A,$A53,INDEX([2]Jul26A!$A:$N,0,MATCH($A$1,[2]Jul26A!$A$7:$N$7,0))),0)</f>
        <v>0</v>
      </c>
      <c r="I53" s="84">
        <f>IFERROR(SUMIF([2]Aug26A!$A:$A,$A53,INDEX([2]Aug26A!$A:$N,0,MATCH($A$1,[2]Aug26A!$A$7:$N$7,0))),0)</f>
        <v>0</v>
      </c>
      <c r="J53" s="117">
        <v>0</v>
      </c>
      <c r="K53" s="117">
        <v>0</v>
      </c>
      <c r="L53" s="117">
        <v>0</v>
      </c>
      <c r="M53" s="117">
        <v>0</v>
      </c>
      <c r="N53" s="84">
        <f>SUM(B53:M53)</f>
        <v>0</v>
      </c>
      <c r="O53" s="105" t="str">
        <f>IFERROR(N53/N$16,"")</f>
        <v/>
      </c>
      <c r="P53" s="84"/>
      <c r="Q53" s="84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168"/>
      <c r="AE53" s="168"/>
      <c r="AF53" s="168"/>
      <c r="AG53" s="84">
        <f>SUM(U53:AF53)</f>
        <v>0</v>
      </c>
      <c r="AH53" s="105" t="str">
        <f>IFERROR(AG53/AG$16,"")</f>
        <v/>
      </c>
      <c r="AJ53" s="84">
        <f>N53-AG53</f>
        <v>0</v>
      </c>
    </row>
    <row r="54" spans="1:36" x14ac:dyDescent="0.3">
      <c r="A54" s="116" t="s">
        <v>140</v>
      </c>
      <c r="B54" s="84">
        <f>IFERROR(SUMIF([2]Jan26A!$A:$A,$A54,INDEX([2]Jan26A!$A:$N,0,MATCH($A$1,[2]Jan26A!$A$7:$N$7,0))),0)</f>
        <v>0</v>
      </c>
      <c r="C54" s="84">
        <f>IFERROR(SUMIF([2]Feb26A!$A:$A,$A54,INDEX([2]Feb26A!$A:$N,0,MATCH($A$1,[2]Feb26A!$A$7:$N$7,0))),0)</f>
        <v>0</v>
      </c>
      <c r="D54" s="84">
        <f>IFERROR(SUMIF([2]Mar26A!$A:$A,$A54,INDEX([2]Mar26A!$A:$N,0,MATCH($A$1,[2]Mar26A!$A$7:$N$7,0))),0)</f>
        <v>0</v>
      </c>
      <c r="E54" s="84">
        <f>IFERROR(SUMIF([2]Apr26A!$A:$A,$A54,INDEX([2]Apr26A!$A:$N,0,MATCH($A$1,[2]Apr26A!$A$7:$N$7,0))),0)</f>
        <v>0</v>
      </c>
      <c r="F54" s="84">
        <f>IFERROR(SUMIF([2]May26A!$A:$A,$A54,INDEX([2]May26A!$A:$N,0,MATCH($A$1,[2]May26A!$A$7:$N$7,0))),0)</f>
        <v>0</v>
      </c>
      <c r="G54" s="84">
        <f>IFERROR(SUMIF([2]Jun26A!$A:$A,$A54,INDEX([2]Jun26A!$A:$N,0,MATCH($A$1,[2]Jun26A!$A$7:$N$7,0))),0)</f>
        <v>0</v>
      </c>
      <c r="H54" s="84">
        <f>IFERROR(SUMIF([2]Jul26A!$A:$A,$A54,INDEX([2]Jul26A!$A:$N,0,MATCH($A$1,[2]Jul26A!$A$7:$N$7,0))),0)</f>
        <v>0</v>
      </c>
      <c r="I54" s="84">
        <f>IFERROR(SUMIF([2]Aug26A!$A:$A,$A54,INDEX([2]Aug26A!$A:$N,0,MATCH($A$1,[2]Aug26A!$A$7:$N$7,0))),0)</f>
        <v>0</v>
      </c>
      <c r="J54" s="117">
        <v>0</v>
      </c>
      <c r="K54" s="117">
        <v>0</v>
      </c>
      <c r="L54" s="117">
        <v>0</v>
      </c>
      <c r="M54" s="117">
        <v>0</v>
      </c>
      <c r="N54" s="84">
        <f>SUM(B54:M54)</f>
        <v>0</v>
      </c>
      <c r="O54" s="105" t="str">
        <f>IFERROR(N54/N$16,"")</f>
        <v/>
      </c>
      <c r="P54" s="84"/>
      <c r="Q54" s="84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  <c r="AC54" s="168"/>
      <c r="AD54" s="168"/>
      <c r="AE54" s="168"/>
      <c r="AF54" s="168"/>
      <c r="AG54" s="84">
        <f>SUM(U54:AF54)</f>
        <v>0</v>
      </c>
      <c r="AH54" s="105" t="str">
        <f>IFERROR(AG54/AG$16,"")</f>
        <v/>
      </c>
      <c r="AJ54" s="84">
        <f>N54-AG54</f>
        <v>0</v>
      </c>
    </row>
    <row r="55" spans="1:36" x14ac:dyDescent="0.3">
      <c r="A55" s="118" t="s">
        <v>141</v>
      </c>
      <c r="B55" s="110">
        <f t="shared" ref="B55:M55" si="32">SUM(B52:B54)</f>
        <v>0</v>
      </c>
      <c r="C55" s="110">
        <f t="shared" si="32"/>
        <v>0</v>
      </c>
      <c r="D55" s="110">
        <f t="shared" si="32"/>
        <v>0</v>
      </c>
      <c r="E55" s="110">
        <f t="shared" si="32"/>
        <v>0</v>
      </c>
      <c r="F55" s="110">
        <f t="shared" si="32"/>
        <v>0</v>
      </c>
      <c r="G55" s="110">
        <f t="shared" si="32"/>
        <v>0</v>
      </c>
      <c r="H55" s="110">
        <f t="shared" si="32"/>
        <v>0</v>
      </c>
      <c r="I55" s="110">
        <f t="shared" si="32"/>
        <v>0</v>
      </c>
      <c r="J55" s="110">
        <f t="shared" si="32"/>
        <v>0</v>
      </c>
      <c r="K55" s="110">
        <f t="shared" si="32"/>
        <v>0</v>
      </c>
      <c r="L55" s="110">
        <f t="shared" si="32"/>
        <v>0</v>
      </c>
      <c r="M55" s="110">
        <f t="shared" si="32"/>
        <v>0</v>
      </c>
      <c r="N55" s="110">
        <f>SUM(B55:M55)</f>
        <v>0</v>
      </c>
      <c r="O55" s="111" t="str">
        <f>IFERROR(N55/N$16,"")</f>
        <v/>
      </c>
      <c r="P55" s="84"/>
      <c r="Q55" s="84"/>
      <c r="R55" s="180"/>
      <c r="S55" s="180"/>
      <c r="T55" s="180"/>
      <c r="U55" s="110">
        <f t="shared" ref="U55:AF55" si="33">SUM(U52:U54)</f>
        <v>0</v>
      </c>
      <c r="V55" s="110">
        <f t="shared" si="33"/>
        <v>0</v>
      </c>
      <c r="W55" s="110">
        <f t="shared" si="33"/>
        <v>0</v>
      </c>
      <c r="X55" s="110">
        <f t="shared" si="33"/>
        <v>0</v>
      </c>
      <c r="Y55" s="110">
        <f t="shared" si="33"/>
        <v>0</v>
      </c>
      <c r="Z55" s="110">
        <f t="shared" si="33"/>
        <v>0</v>
      </c>
      <c r="AA55" s="110">
        <f t="shared" si="33"/>
        <v>0</v>
      </c>
      <c r="AB55" s="110">
        <f t="shared" si="33"/>
        <v>0</v>
      </c>
      <c r="AC55" s="110">
        <f t="shared" si="33"/>
        <v>0</v>
      </c>
      <c r="AD55" s="110">
        <f t="shared" si="33"/>
        <v>0</v>
      </c>
      <c r="AE55" s="110">
        <f t="shared" si="33"/>
        <v>0</v>
      </c>
      <c r="AF55" s="110">
        <f t="shared" si="33"/>
        <v>0</v>
      </c>
      <c r="AG55" s="110">
        <f>SUM(U55:AF55)</f>
        <v>0</v>
      </c>
      <c r="AH55" s="111" t="str">
        <f>IFERROR(AG55/AG$16,"")</f>
        <v/>
      </c>
      <c r="AJ55" s="110">
        <f>N55-AG55</f>
        <v>0</v>
      </c>
    </row>
    <row r="56" spans="1:36" x14ac:dyDescent="0.3">
      <c r="A56" s="109" t="s">
        <v>142</v>
      </c>
      <c r="B56" s="110">
        <f t="shared" ref="B56:M56" si="34">B44+B45+B46+B47+B48+B49+B50+B55</f>
        <v>0</v>
      </c>
      <c r="C56" s="110">
        <f t="shared" si="34"/>
        <v>0</v>
      </c>
      <c r="D56" s="110">
        <f t="shared" si="34"/>
        <v>0</v>
      </c>
      <c r="E56" s="110">
        <f t="shared" si="34"/>
        <v>0</v>
      </c>
      <c r="F56" s="110">
        <f t="shared" si="34"/>
        <v>0</v>
      </c>
      <c r="G56" s="110">
        <f t="shared" si="34"/>
        <v>0</v>
      </c>
      <c r="H56" s="110">
        <f t="shared" si="34"/>
        <v>0</v>
      </c>
      <c r="I56" s="110">
        <f t="shared" si="34"/>
        <v>0</v>
      </c>
      <c r="J56" s="110">
        <f t="shared" si="34"/>
        <v>0</v>
      </c>
      <c r="K56" s="110">
        <f t="shared" si="34"/>
        <v>0</v>
      </c>
      <c r="L56" s="110">
        <f t="shared" si="34"/>
        <v>0</v>
      </c>
      <c r="M56" s="110">
        <f t="shared" si="34"/>
        <v>0</v>
      </c>
      <c r="N56" s="110">
        <f>SUM(B56:M56)</f>
        <v>0</v>
      </c>
      <c r="O56" s="111" t="str">
        <f>IFERROR(N56/N$16,"")</f>
        <v/>
      </c>
      <c r="P56" s="84"/>
      <c r="Q56" s="84"/>
      <c r="R56" s="112"/>
      <c r="S56" s="112"/>
      <c r="T56" s="112"/>
      <c r="U56" s="110">
        <f t="shared" ref="U56:AF56" si="35">U44+U45+U46+U47+U48+U49+U50+U55</f>
        <v>0</v>
      </c>
      <c r="V56" s="110">
        <f t="shared" si="35"/>
        <v>0</v>
      </c>
      <c r="W56" s="110">
        <f t="shared" si="35"/>
        <v>0</v>
      </c>
      <c r="X56" s="110">
        <f t="shared" si="35"/>
        <v>0</v>
      </c>
      <c r="Y56" s="110">
        <f t="shared" si="35"/>
        <v>0</v>
      </c>
      <c r="Z56" s="110">
        <f t="shared" si="35"/>
        <v>0</v>
      </c>
      <c r="AA56" s="110">
        <f t="shared" si="35"/>
        <v>0</v>
      </c>
      <c r="AB56" s="110">
        <f t="shared" si="35"/>
        <v>0</v>
      </c>
      <c r="AC56" s="110">
        <f t="shared" si="35"/>
        <v>0</v>
      </c>
      <c r="AD56" s="110">
        <f t="shared" si="35"/>
        <v>0</v>
      </c>
      <c r="AE56" s="110">
        <f t="shared" si="35"/>
        <v>0</v>
      </c>
      <c r="AF56" s="110">
        <f t="shared" si="35"/>
        <v>0</v>
      </c>
      <c r="AG56" s="110">
        <f>SUM(U56:AF56)</f>
        <v>0</v>
      </c>
      <c r="AH56" s="111" t="str">
        <f>IFERROR(AG56/AG$16,"")</f>
        <v/>
      </c>
      <c r="AJ56" s="110">
        <f>N56-AG56</f>
        <v>0</v>
      </c>
    </row>
    <row r="57" spans="1:36" x14ac:dyDescent="0.3">
      <c r="A57" s="102" t="s">
        <v>143</v>
      </c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105"/>
      <c r="P57" s="84"/>
      <c r="Q57" s="84"/>
      <c r="R57" s="112"/>
      <c r="S57" s="112"/>
      <c r="T57" s="112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105"/>
      <c r="AJ57" s="84"/>
    </row>
    <row r="58" spans="1:36" x14ac:dyDescent="0.3">
      <c r="A58" s="103" t="s">
        <v>144</v>
      </c>
      <c r="B58" s="84">
        <f>IFERROR(SUMIF([2]Jan26A!$A:$A,$A58,INDEX([2]Jan26A!$A:$N,0,MATCH($A$1,[2]Jan26A!$A$7:$N$7,0))),0)</f>
        <v>0</v>
      </c>
      <c r="C58" s="84">
        <f>IFERROR(SUMIF([2]Feb26A!$A:$A,$A58,INDEX([2]Feb26A!$A:$N,0,MATCH($A$1,[2]Feb26A!$A$7:$N$7,0))),0)</f>
        <v>0</v>
      </c>
      <c r="D58" s="84">
        <f>IFERROR(SUMIF([2]Mar26A!$A:$A,$A58,INDEX([2]Mar26A!$A:$N,0,MATCH($A$1,[2]Mar26A!$A$7:$N$7,0))),0)</f>
        <v>0</v>
      </c>
      <c r="E58" s="84">
        <f>IFERROR(SUMIF([2]Apr26A!$A:$A,$A58,INDEX([2]Apr26A!$A:$N,0,MATCH($A$1,[2]Apr26A!$A$7:$N$7,0))),0)</f>
        <v>34.99</v>
      </c>
      <c r="F58" s="84">
        <f>IFERROR(SUMIF([2]May26A!$A:$A,$A58,INDEX([2]May26A!$A:$N,0,MATCH($A$1,[2]May26A!$A$7:$N$7,0))),0)</f>
        <v>0</v>
      </c>
      <c r="G58" s="84">
        <f>IFERROR(SUMIF([2]Jun26A!$A:$A,$A58,INDEX([2]Jun26A!$A:$N,0,MATCH($A$1,[2]Jun26A!$A$7:$N$7,0))),0)</f>
        <v>0</v>
      </c>
      <c r="H58" s="84">
        <f>IFERROR(SUMIF([2]Jul26A!$A:$A,$A58,INDEX([2]Jul26A!$A:$N,0,MATCH($A$1,[2]Jul26A!$A$7:$N$7,0))),0)</f>
        <v>0</v>
      </c>
      <c r="I58" s="84">
        <f>IFERROR(SUMIF([2]Aug26A!$A:$A,$A58,INDEX([2]Aug26A!$A:$N,0,MATCH($A$1,[2]Aug26A!$A$7:$N$7,0))),0)</f>
        <v>0</v>
      </c>
      <c r="J58" s="117">
        <v>0</v>
      </c>
      <c r="K58" s="117">
        <v>0</v>
      </c>
      <c r="L58" s="117">
        <v>0</v>
      </c>
      <c r="M58" s="117">
        <v>0</v>
      </c>
      <c r="N58" s="84">
        <f t="shared" ref="N58:N64" si="36">SUM(B58:M58)</f>
        <v>34.99</v>
      </c>
      <c r="O58" s="105" t="str">
        <f t="shared" ref="O58:O64" si="37">IFERROR(N58/N$16,"")</f>
        <v/>
      </c>
      <c r="P58" s="84"/>
      <c r="Q58" s="84"/>
      <c r="R58" s="106" t="s">
        <v>99</v>
      </c>
      <c r="S58" s="107">
        <v>0</v>
      </c>
      <c r="T58" s="108">
        <v>0.05</v>
      </c>
      <c r="U58" s="104">
        <f t="shared" ref="U58:AF60" si="38">IF($R58="Manual","",IFERROR(IF($R58="YOY Growth",$N58*(1+$T58)/12,$S58/12),""))</f>
        <v>0</v>
      </c>
      <c r="V58" s="104">
        <f t="shared" si="38"/>
        <v>0</v>
      </c>
      <c r="W58" s="104">
        <f t="shared" si="38"/>
        <v>0</v>
      </c>
      <c r="X58" s="104">
        <f t="shared" si="38"/>
        <v>0</v>
      </c>
      <c r="Y58" s="104">
        <f t="shared" si="38"/>
        <v>0</v>
      </c>
      <c r="Z58" s="104">
        <f t="shared" si="38"/>
        <v>0</v>
      </c>
      <c r="AA58" s="104">
        <f t="shared" si="38"/>
        <v>0</v>
      </c>
      <c r="AB58" s="104">
        <f t="shared" si="38"/>
        <v>0</v>
      </c>
      <c r="AC58" s="104">
        <f t="shared" si="38"/>
        <v>0</v>
      </c>
      <c r="AD58" s="104">
        <f t="shared" si="38"/>
        <v>0</v>
      </c>
      <c r="AE58" s="104">
        <f t="shared" si="38"/>
        <v>0</v>
      </c>
      <c r="AF58" s="104">
        <f t="shared" si="38"/>
        <v>0</v>
      </c>
      <c r="AG58" s="84">
        <f t="shared" ref="AG58:AG64" si="39">SUM(U58:AF58)</f>
        <v>0</v>
      </c>
      <c r="AH58" s="105" t="str">
        <f t="shared" ref="AH58:AH64" si="40">IFERROR(AG58/AG$16,"")</f>
        <v/>
      </c>
      <c r="AJ58" s="84">
        <f t="shared" ref="AJ58:AJ63" si="41">N58-AG58</f>
        <v>34.99</v>
      </c>
    </row>
    <row r="59" spans="1:36" x14ac:dyDescent="0.3">
      <c r="A59" s="103" t="s">
        <v>145</v>
      </c>
      <c r="B59" s="84">
        <f>IFERROR(SUMIF([2]Jan26A!$A:$A,$A59,INDEX([2]Jan26A!$A:$N,0,MATCH($A$1,[2]Jan26A!$A$7:$N$7,0))),0)</f>
        <v>0</v>
      </c>
      <c r="C59" s="84">
        <f>IFERROR(SUMIF([2]Feb26A!$A:$A,$A59,INDEX([2]Feb26A!$A:$N,0,MATCH($A$1,[2]Feb26A!$A$7:$N$7,0))),0)</f>
        <v>0</v>
      </c>
      <c r="D59" s="84">
        <f>IFERROR(SUMIF([2]Mar26A!$A:$A,$A59,INDEX([2]Mar26A!$A:$N,0,MATCH($A$1,[2]Mar26A!$A$7:$N$7,0))),0)</f>
        <v>0</v>
      </c>
      <c r="E59" s="84">
        <f>IFERROR(SUMIF([2]Apr26A!$A:$A,$A59,INDEX([2]Apr26A!$A:$N,0,MATCH($A$1,[2]Apr26A!$A$7:$N$7,0))),0)</f>
        <v>0</v>
      </c>
      <c r="F59" s="84">
        <f>IFERROR(SUMIF([2]May26A!$A:$A,$A59,INDEX([2]May26A!$A:$N,0,MATCH($A$1,[2]May26A!$A$7:$N$7,0))),0)</f>
        <v>0</v>
      </c>
      <c r="G59" s="84">
        <f>IFERROR(SUMIF([2]Jun26A!$A:$A,$A59,INDEX([2]Jun26A!$A:$N,0,MATCH($A$1,[2]Jun26A!$A$7:$N$7,0))),0)</f>
        <v>0</v>
      </c>
      <c r="H59" s="84">
        <f>IFERROR(SUMIF([2]Jul26A!$A:$A,$A59,INDEX([2]Jul26A!$A:$N,0,MATCH($A$1,[2]Jul26A!$A$7:$N$7,0))),0)</f>
        <v>0</v>
      </c>
      <c r="I59" s="84">
        <f>IFERROR(SUMIF([2]Aug26A!$A:$A,$A59,INDEX([2]Aug26A!$A:$N,0,MATCH($A$1,[2]Aug26A!$A$7:$N$7,0))),0)</f>
        <v>0</v>
      </c>
      <c r="J59" s="117">
        <v>0</v>
      </c>
      <c r="K59" s="117">
        <v>0</v>
      </c>
      <c r="L59" s="117">
        <v>0</v>
      </c>
      <c r="M59" s="117">
        <v>0</v>
      </c>
      <c r="N59" s="84">
        <f t="shared" si="36"/>
        <v>0</v>
      </c>
      <c r="O59" s="105" t="str">
        <f t="shared" si="37"/>
        <v/>
      </c>
      <c r="P59" s="84"/>
      <c r="Q59" s="84"/>
      <c r="R59" s="106" t="s">
        <v>99</v>
      </c>
      <c r="S59" s="107">
        <v>0</v>
      </c>
      <c r="T59" s="108">
        <v>0.05</v>
      </c>
      <c r="U59" s="104">
        <f t="shared" si="38"/>
        <v>0</v>
      </c>
      <c r="V59" s="104">
        <f t="shared" si="38"/>
        <v>0</v>
      </c>
      <c r="W59" s="104">
        <f t="shared" si="38"/>
        <v>0</v>
      </c>
      <c r="X59" s="104">
        <f t="shared" si="38"/>
        <v>0</v>
      </c>
      <c r="Y59" s="104">
        <f t="shared" si="38"/>
        <v>0</v>
      </c>
      <c r="Z59" s="104">
        <f t="shared" si="38"/>
        <v>0</v>
      </c>
      <c r="AA59" s="104">
        <f t="shared" si="38"/>
        <v>0</v>
      </c>
      <c r="AB59" s="104">
        <f t="shared" si="38"/>
        <v>0</v>
      </c>
      <c r="AC59" s="104">
        <f t="shared" si="38"/>
        <v>0</v>
      </c>
      <c r="AD59" s="104">
        <f t="shared" si="38"/>
        <v>0</v>
      </c>
      <c r="AE59" s="104">
        <f t="shared" si="38"/>
        <v>0</v>
      </c>
      <c r="AF59" s="104">
        <f t="shared" si="38"/>
        <v>0</v>
      </c>
      <c r="AG59" s="84">
        <f t="shared" si="39"/>
        <v>0</v>
      </c>
      <c r="AH59" s="105" t="str">
        <f t="shared" si="40"/>
        <v/>
      </c>
      <c r="AJ59" s="84">
        <f t="shared" si="41"/>
        <v>0</v>
      </c>
    </row>
    <row r="60" spans="1:36" x14ac:dyDescent="0.3">
      <c r="A60" s="103" t="s">
        <v>146</v>
      </c>
      <c r="B60" s="84">
        <f>IFERROR(SUMIF([2]Jan26A!$A:$A,$A60,INDEX([2]Jan26A!$A:$N,0,MATCH($A$1,[2]Jan26A!$A$7:$N$7,0))),0)</f>
        <v>0</v>
      </c>
      <c r="C60" s="84">
        <f>IFERROR(SUMIF([2]Feb26A!$A:$A,$A60,INDEX([2]Feb26A!$A:$N,0,MATCH($A$1,[2]Feb26A!$A$7:$N$7,0))),0)</f>
        <v>0</v>
      </c>
      <c r="D60" s="84">
        <f>IFERROR(SUMIF([2]Mar26A!$A:$A,$A60,INDEX([2]Mar26A!$A:$N,0,MATCH($A$1,[2]Mar26A!$A$7:$N$7,0))),0)</f>
        <v>0</v>
      </c>
      <c r="E60" s="84">
        <f>IFERROR(SUMIF([2]Apr26A!$A:$A,$A60,INDEX([2]Apr26A!$A:$N,0,MATCH($A$1,[2]Apr26A!$A$7:$N$7,0))),0)</f>
        <v>0</v>
      </c>
      <c r="F60" s="84">
        <f>IFERROR(SUMIF([2]May26A!$A:$A,$A60,INDEX([2]May26A!$A:$N,0,MATCH($A$1,[2]May26A!$A$7:$N$7,0))),0)</f>
        <v>0</v>
      </c>
      <c r="G60" s="84">
        <f>IFERROR(SUMIF([2]Jun26A!$A:$A,$A60,INDEX([2]Jun26A!$A:$N,0,MATCH($A$1,[2]Jun26A!$A$7:$N$7,0))),0)</f>
        <v>0</v>
      </c>
      <c r="H60" s="84">
        <f>IFERROR(SUMIF([2]Jul26A!$A:$A,$A60,INDEX([2]Jul26A!$A:$N,0,MATCH($A$1,[2]Jul26A!$A$7:$N$7,0))),0)</f>
        <v>0</v>
      </c>
      <c r="I60" s="84">
        <f>IFERROR(SUMIF([2]Aug26A!$A:$A,$A60,INDEX([2]Aug26A!$A:$N,0,MATCH($A$1,[2]Aug26A!$A$7:$N$7,0))),0)</f>
        <v>321.5</v>
      </c>
      <c r="J60" s="117">
        <v>0</v>
      </c>
      <c r="K60" s="117">
        <v>0</v>
      </c>
      <c r="L60" s="117">
        <v>0</v>
      </c>
      <c r="M60" s="117">
        <v>0</v>
      </c>
      <c r="N60" s="84">
        <f t="shared" si="36"/>
        <v>321.5</v>
      </c>
      <c r="O60" s="105" t="str">
        <f t="shared" si="37"/>
        <v/>
      </c>
      <c r="P60" s="84"/>
      <c r="Q60" s="84"/>
      <c r="R60" s="106" t="s">
        <v>99</v>
      </c>
      <c r="S60" s="107">
        <v>0</v>
      </c>
      <c r="T60" s="108">
        <v>0.05</v>
      </c>
      <c r="U60" s="104">
        <f t="shared" si="38"/>
        <v>0</v>
      </c>
      <c r="V60" s="104">
        <f t="shared" si="38"/>
        <v>0</v>
      </c>
      <c r="W60" s="104">
        <f t="shared" si="38"/>
        <v>0</v>
      </c>
      <c r="X60" s="104">
        <f t="shared" si="38"/>
        <v>0</v>
      </c>
      <c r="Y60" s="104">
        <f t="shared" si="38"/>
        <v>0</v>
      </c>
      <c r="Z60" s="104">
        <f t="shared" si="38"/>
        <v>0</v>
      </c>
      <c r="AA60" s="104">
        <f t="shared" si="38"/>
        <v>0</v>
      </c>
      <c r="AB60" s="104">
        <f t="shared" si="38"/>
        <v>0</v>
      </c>
      <c r="AC60" s="104">
        <f t="shared" si="38"/>
        <v>0</v>
      </c>
      <c r="AD60" s="104">
        <f t="shared" si="38"/>
        <v>0</v>
      </c>
      <c r="AE60" s="104">
        <f t="shared" si="38"/>
        <v>0</v>
      </c>
      <c r="AF60" s="104">
        <f t="shared" si="38"/>
        <v>0</v>
      </c>
      <c r="AG60" s="84">
        <f t="shared" si="39"/>
        <v>0</v>
      </c>
      <c r="AH60" s="105" t="str">
        <f t="shared" si="40"/>
        <v/>
      </c>
      <c r="AJ60" s="84">
        <f t="shared" si="41"/>
        <v>321.5</v>
      </c>
    </row>
    <row r="61" spans="1:36" x14ac:dyDescent="0.3">
      <c r="A61" s="109" t="s">
        <v>147</v>
      </c>
      <c r="B61" s="119">
        <f t="shared" ref="B61:M61" si="42">SUM(B58:B60)</f>
        <v>0</v>
      </c>
      <c r="C61" s="119">
        <f t="shared" si="42"/>
        <v>0</v>
      </c>
      <c r="D61" s="119">
        <f t="shared" si="42"/>
        <v>0</v>
      </c>
      <c r="E61" s="119">
        <f t="shared" si="42"/>
        <v>34.99</v>
      </c>
      <c r="F61" s="119">
        <f t="shared" si="42"/>
        <v>0</v>
      </c>
      <c r="G61" s="119">
        <f t="shared" si="42"/>
        <v>0</v>
      </c>
      <c r="H61" s="119">
        <f t="shared" si="42"/>
        <v>0</v>
      </c>
      <c r="I61" s="119">
        <f t="shared" si="42"/>
        <v>321.5</v>
      </c>
      <c r="J61" s="119">
        <f t="shared" si="42"/>
        <v>0</v>
      </c>
      <c r="K61" s="119">
        <f t="shared" si="42"/>
        <v>0</v>
      </c>
      <c r="L61" s="119">
        <f t="shared" si="42"/>
        <v>0</v>
      </c>
      <c r="M61" s="119">
        <f t="shared" si="42"/>
        <v>0</v>
      </c>
      <c r="N61" s="119">
        <f t="shared" si="36"/>
        <v>356.49</v>
      </c>
      <c r="O61" s="120" t="str">
        <f t="shared" si="37"/>
        <v/>
      </c>
      <c r="P61" s="84"/>
      <c r="Q61" s="84"/>
      <c r="R61" s="112"/>
      <c r="S61" s="112"/>
      <c r="T61" s="112"/>
      <c r="U61" s="119">
        <f t="shared" ref="U61:AF61" si="43">SUM(U58:U60)</f>
        <v>0</v>
      </c>
      <c r="V61" s="119">
        <f t="shared" si="43"/>
        <v>0</v>
      </c>
      <c r="W61" s="119">
        <f t="shared" si="43"/>
        <v>0</v>
      </c>
      <c r="X61" s="119">
        <f t="shared" si="43"/>
        <v>0</v>
      </c>
      <c r="Y61" s="119">
        <f t="shared" si="43"/>
        <v>0</v>
      </c>
      <c r="Z61" s="119">
        <f t="shared" si="43"/>
        <v>0</v>
      </c>
      <c r="AA61" s="119">
        <f t="shared" si="43"/>
        <v>0</v>
      </c>
      <c r="AB61" s="119">
        <f t="shared" si="43"/>
        <v>0</v>
      </c>
      <c r="AC61" s="119">
        <f t="shared" si="43"/>
        <v>0</v>
      </c>
      <c r="AD61" s="119">
        <f t="shared" si="43"/>
        <v>0</v>
      </c>
      <c r="AE61" s="119">
        <f t="shared" si="43"/>
        <v>0</v>
      </c>
      <c r="AF61" s="119">
        <f t="shared" si="43"/>
        <v>0</v>
      </c>
      <c r="AG61" s="119">
        <f t="shared" si="39"/>
        <v>0</v>
      </c>
      <c r="AH61" s="120" t="str">
        <f t="shared" si="40"/>
        <v/>
      </c>
      <c r="AJ61" s="110">
        <f t="shared" si="41"/>
        <v>356.49</v>
      </c>
    </row>
    <row r="62" spans="1:36" x14ac:dyDescent="0.3">
      <c r="A62" s="161" t="s">
        <v>148</v>
      </c>
      <c r="B62" s="84">
        <f>IFERROR(SUMIF([2]Jan26A!$A:$A,$A62,INDEX([2]Jan26A!$A:$N,0,MATCH($A$1,[2]Jan26A!$A$7:$N$7,0))),0)</f>
        <v>0</v>
      </c>
      <c r="C62" s="84">
        <f>IFERROR(SUMIF([2]Feb26A!$A:$A,$A62,INDEX([2]Feb26A!$A:$N,0,MATCH($A$1,[2]Feb26A!$A$7:$N$7,0))),0)</f>
        <v>0</v>
      </c>
      <c r="D62" s="84">
        <f>IFERROR(SUMIF([2]Mar26A!$A:$A,$A62,INDEX([2]Mar26A!$A:$N,0,MATCH($A$1,[2]Mar26A!$A$7:$N$7,0))),0)</f>
        <v>0</v>
      </c>
      <c r="E62" s="84">
        <f>IFERROR(SUMIF([2]Apr26A!$A:$A,$A62,INDEX([2]Apr26A!$A:$N,0,MATCH($A$1,[2]Apr26A!$A$7:$N$7,0))),0)</f>
        <v>0</v>
      </c>
      <c r="F62" s="84">
        <f>IFERROR(SUMIF([2]May26A!$A:$A,$A62,INDEX([2]May26A!$A:$N,0,MATCH($A$1,[2]May26A!$A$7:$N$7,0))),0)</f>
        <v>0</v>
      </c>
      <c r="G62" s="84">
        <f>IFERROR(SUMIF([2]Jun26A!$A:$A,$A62,INDEX([2]Jun26A!$A:$N,0,MATCH($A$1,[2]Jun26A!$A$7:$N$7,0))),0)</f>
        <v>0</v>
      </c>
      <c r="H62" s="84">
        <f>IFERROR(SUMIF([2]Jul26A!$A:$A,$A62,INDEX([2]Jul26A!$A:$N,0,MATCH($A$1,[2]Jul26A!$A$7:$N$7,0))),0)</f>
        <v>0</v>
      </c>
      <c r="I62" s="84">
        <f>IFERROR(SUMIF([2]Aug26A!$A:$A,$A62,INDEX([2]Aug26A!$A:$N,0,MATCH($A$1,[2]Aug26A!$A$7:$N$7,0))),0)</f>
        <v>0</v>
      </c>
      <c r="J62" s="117">
        <v>0</v>
      </c>
      <c r="K62" s="117">
        <v>0</v>
      </c>
      <c r="L62" s="117">
        <v>0</v>
      </c>
      <c r="M62" s="117">
        <v>0</v>
      </c>
      <c r="N62" s="84">
        <f t="shared" si="36"/>
        <v>0</v>
      </c>
      <c r="O62" s="105" t="str">
        <f t="shared" si="37"/>
        <v/>
      </c>
      <c r="P62" s="84"/>
      <c r="Q62" s="84"/>
      <c r="R62" s="106" t="s">
        <v>99</v>
      </c>
      <c r="S62" s="107">
        <v>0</v>
      </c>
      <c r="T62" s="108">
        <v>0.05</v>
      </c>
      <c r="U62" s="104">
        <f t="shared" ref="U62:AF62" si="44">IF($R62="Manual","",IFERROR(IF($R62="YOY Growth",$N62*(1+$T62)/12,$S62/12),""))</f>
        <v>0</v>
      </c>
      <c r="V62" s="104">
        <f t="shared" si="44"/>
        <v>0</v>
      </c>
      <c r="W62" s="104">
        <f t="shared" si="44"/>
        <v>0</v>
      </c>
      <c r="X62" s="104">
        <f t="shared" si="44"/>
        <v>0</v>
      </c>
      <c r="Y62" s="104">
        <f t="shared" si="44"/>
        <v>0</v>
      </c>
      <c r="Z62" s="104">
        <f t="shared" si="44"/>
        <v>0</v>
      </c>
      <c r="AA62" s="104">
        <f t="shared" si="44"/>
        <v>0</v>
      </c>
      <c r="AB62" s="104">
        <f t="shared" si="44"/>
        <v>0</v>
      </c>
      <c r="AC62" s="104">
        <f t="shared" si="44"/>
        <v>0</v>
      </c>
      <c r="AD62" s="104">
        <f t="shared" si="44"/>
        <v>0</v>
      </c>
      <c r="AE62" s="104">
        <f t="shared" si="44"/>
        <v>0</v>
      </c>
      <c r="AF62" s="104">
        <f t="shared" si="44"/>
        <v>0</v>
      </c>
      <c r="AG62" s="84">
        <f t="shared" si="39"/>
        <v>0</v>
      </c>
      <c r="AH62" s="105" t="str">
        <f t="shared" si="40"/>
        <v/>
      </c>
      <c r="AJ62" s="84">
        <f t="shared" si="41"/>
        <v>0</v>
      </c>
    </row>
    <row r="63" spans="1:36" x14ac:dyDescent="0.3">
      <c r="A63" s="114" t="s">
        <v>149</v>
      </c>
      <c r="B63" s="110">
        <f>B37+B38+B39+B40+B41+B42+B56+B61+B62</f>
        <v>-54631.08</v>
      </c>
      <c r="C63" s="110">
        <f t="shared" ref="C63:M63" si="45">C37+C38+C39+C40+C41+C42+C56+C61+C62</f>
        <v>1540.02</v>
      </c>
      <c r="D63" s="110">
        <f t="shared" si="45"/>
        <v>66281.680000000008</v>
      </c>
      <c r="E63" s="110">
        <f t="shared" si="45"/>
        <v>77.44</v>
      </c>
      <c r="F63" s="110">
        <f t="shared" si="45"/>
        <v>0</v>
      </c>
      <c r="G63" s="110">
        <f t="shared" si="45"/>
        <v>232.93</v>
      </c>
      <c r="H63" s="110">
        <f t="shared" si="45"/>
        <v>375.64</v>
      </c>
      <c r="I63" s="110">
        <f t="shared" si="45"/>
        <v>10237.15</v>
      </c>
      <c r="J63" s="110">
        <f t="shared" si="45"/>
        <v>0</v>
      </c>
      <c r="K63" s="110">
        <f t="shared" si="45"/>
        <v>0</v>
      </c>
      <c r="L63" s="110">
        <f t="shared" si="45"/>
        <v>0</v>
      </c>
      <c r="M63" s="110">
        <f t="shared" si="45"/>
        <v>0</v>
      </c>
      <c r="N63" s="110">
        <f>SUM(B63:M63)</f>
        <v>24113.780000000002</v>
      </c>
      <c r="O63" s="111" t="str">
        <f>IFERROR(N63/N$16,"")</f>
        <v/>
      </c>
      <c r="P63" s="84"/>
      <c r="Q63" s="84"/>
      <c r="R63" s="112"/>
      <c r="S63" s="112"/>
      <c r="T63" s="112"/>
      <c r="U63" s="110">
        <f>U37+U38+U39+U40+U41+U42+U56+U61+U62</f>
        <v>0</v>
      </c>
      <c r="V63" s="110">
        <f t="shared" ref="V63:AF63" si="46">V37+V38+V39+V40+V41+V42+V56+V61+V62</f>
        <v>0</v>
      </c>
      <c r="W63" s="110">
        <f t="shared" si="46"/>
        <v>0</v>
      </c>
      <c r="X63" s="110">
        <f t="shared" si="46"/>
        <v>0</v>
      </c>
      <c r="Y63" s="110">
        <f t="shared" si="46"/>
        <v>0</v>
      </c>
      <c r="Z63" s="110">
        <f t="shared" si="46"/>
        <v>0</v>
      </c>
      <c r="AA63" s="110">
        <f t="shared" si="46"/>
        <v>0</v>
      </c>
      <c r="AB63" s="110">
        <f t="shared" si="46"/>
        <v>0</v>
      </c>
      <c r="AC63" s="110">
        <f t="shared" si="46"/>
        <v>0</v>
      </c>
      <c r="AD63" s="110">
        <f t="shared" si="46"/>
        <v>0</v>
      </c>
      <c r="AE63" s="110">
        <f t="shared" si="46"/>
        <v>0</v>
      </c>
      <c r="AF63" s="110">
        <f t="shared" si="46"/>
        <v>0</v>
      </c>
      <c r="AG63" s="110">
        <f>SUM(U63:AF63)</f>
        <v>0</v>
      </c>
      <c r="AH63" s="111" t="str">
        <f>IFERROR(AG63/AG$16,"")</f>
        <v/>
      </c>
      <c r="AJ63" s="110">
        <f t="shared" si="41"/>
        <v>24113.780000000002</v>
      </c>
    </row>
    <row r="64" spans="1:36" x14ac:dyDescent="0.3">
      <c r="A64" s="121" t="s">
        <v>150</v>
      </c>
      <c r="B64" s="110">
        <f t="shared" ref="B64:M64" si="47">B16-B63</f>
        <v>54631.08</v>
      </c>
      <c r="C64" s="110">
        <f t="shared" si="47"/>
        <v>-1540.02</v>
      </c>
      <c r="D64" s="110">
        <f t="shared" si="47"/>
        <v>-66281.680000000008</v>
      </c>
      <c r="E64" s="110">
        <f t="shared" si="47"/>
        <v>-77.44</v>
      </c>
      <c r="F64" s="110">
        <f t="shared" si="47"/>
        <v>0</v>
      </c>
      <c r="G64" s="110">
        <f t="shared" si="47"/>
        <v>-232.93</v>
      </c>
      <c r="H64" s="110">
        <f t="shared" si="47"/>
        <v>-375.64</v>
      </c>
      <c r="I64" s="110">
        <f t="shared" si="47"/>
        <v>-10237.15</v>
      </c>
      <c r="J64" s="110">
        <f t="shared" si="47"/>
        <v>0</v>
      </c>
      <c r="K64" s="110">
        <f t="shared" si="47"/>
        <v>0</v>
      </c>
      <c r="L64" s="110">
        <f t="shared" si="47"/>
        <v>0</v>
      </c>
      <c r="M64" s="110">
        <f t="shared" si="47"/>
        <v>0</v>
      </c>
      <c r="N64" s="110">
        <f t="shared" si="36"/>
        <v>-24113.780000000002</v>
      </c>
      <c r="O64" s="111" t="str">
        <f t="shared" si="37"/>
        <v/>
      </c>
      <c r="P64" s="84"/>
      <c r="Q64" s="84"/>
      <c r="R64" s="112"/>
      <c r="S64" s="112"/>
      <c r="T64" s="112"/>
      <c r="U64" s="110">
        <f t="shared" ref="U64:AF64" si="48">U16-U63</f>
        <v>0</v>
      </c>
      <c r="V64" s="110">
        <f t="shared" si="48"/>
        <v>0</v>
      </c>
      <c r="W64" s="110">
        <f t="shared" si="48"/>
        <v>0</v>
      </c>
      <c r="X64" s="110">
        <f t="shared" si="48"/>
        <v>0</v>
      </c>
      <c r="Y64" s="110">
        <f t="shared" si="48"/>
        <v>0</v>
      </c>
      <c r="Z64" s="110">
        <f t="shared" si="48"/>
        <v>0</v>
      </c>
      <c r="AA64" s="110">
        <f t="shared" si="48"/>
        <v>0</v>
      </c>
      <c r="AB64" s="110">
        <f t="shared" si="48"/>
        <v>0</v>
      </c>
      <c r="AC64" s="110">
        <f t="shared" si="48"/>
        <v>0</v>
      </c>
      <c r="AD64" s="110">
        <f t="shared" si="48"/>
        <v>0</v>
      </c>
      <c r="AE64" s="110">
        <f t="shared" si="48"/>
        <v>0</v>
      </c>
      <c r="AF64" s="110">
        <f t="shared" si="48"/>
        <v>0</v>
      </c>
      <c r="AG64" s="110">
        <f t="shared" si="39"/>
        <v>0</v>
      </c>
      <c r="AH64" s="111" t="str">
        <f t="shared" si="40"/>
        <v/>
      </c>
      <c r="AJ64" s="110">
        <f>AG64-N64</f>
        <v>24113.780000000002</v>
      </c>
    </row>
    <row r="65" spans="1:36" x14ac:dyDescent="0.3">
      <c r="A65" s="101" t="s">
        <v>151</v>
      </c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05"/>
      <c r="P65" s="84"/>
      <c r="Q65" s="84"/>
      <c r="R65" s="112"/>
      <c r="S65" s="112"/>
      <c r="T65" s="11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05"/>
      <c r="AJ65" s="105"/>
    </row>
    <row r="66" spans="1:36" x14ac:dyDescent="0.3">
      <c r="A66" s="102" t="s">
        <v>152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105"/>
      <c r="P66" s="84"/>
      <c r="Q66" s="84"/>
      <c r="R66" s="112"/>
      <c r="S66" s="112"/>
      <c r="T66" s="112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105"/>
      <c r="AJ66" s="84"/>
    </row>
    <row r="67" spans="1:36" x14ac:dyDescent="0.3">
      <c r="A67" s="103" t="s">
        <v>153</v>
      </c>
      <c r="B67" s="84">
        <f>IFERROR(SUMIF([2]Jan26A!$A:$A,$A67,INDEX([2]Jan26A!$A:$N,0,MATCH($A$1,[2]Jan26A!$A$7:$N$7,0))),0)</f>
        <v>73651.56</v>
      </c>
      <c r="C67" s="84">
        <f>IFERROR(SUMIF([2]Feb26A!$A:$A,$A67,INDEX([2]Feb26A!$A:$N,0,MATCH($A$1,[2]Feb26A!$A$7:$N$7,0))),0)</f>
        <v>27724.99</v>
      </c>
      <c r="D67" s="84">
        <f>IFERROR(SUMIF([2]Mar26A!$A:$A,$A67,INDEX([2]Mar26A!$A:$N,0,MATCH($A$1,[2]Mar26A!$A$7:$N$7,0))),0)</f>
        <v>28018.639999999999</v>
      </c>
      <c r="E67" s="84">
        <f>IFERROR(SUMIF([2]Apr26A!$A:$A,$A67,INDEX([2]Apr26A!$A:$N,0,MATCH($A$1,[2]Apr26A!$A$7:$N$7,0))),0)</f>
        <v>30558.3</v>
      </c>
      <c r="F67" s="84">
        <f>IFERROR(SUMIF([2]May26A!$A:$A,$A67,INDEX([2]May26A!$A:$N,0,MATCH($A$1,[2]May26A!$A$7:$N$7,0))),0)</f>
        <v>91088.28</v>
      </c>
      <c r="G67" s="84">
        <f>IFERROR(SUMIF([2]Jun26A!$A:$A,$A67,INDEX([2]Jun26A!$A:$N,0,MATCH($A$1,[2]Jun26A!$A$7:$N$7,0))),0)</f>
        <v>90396.46</v>
      </c>
      <c r="H67" s="84">
        <f>IFERROR(SUMIF([2]Jul26A!$A:$A,$A67,INDEX([2]Jul26A!$A:$N,0,MATCH($A$1,[2]Jul26A!$A$7:$N$7,0))),0)</f>
        <v>94365.88</v>
      </c>
      <c r="I67" s="84">
        <f>IFERROR(SUMIF([2]Aug26A!$A:$A,$A67,INDEX([2]Aug26A!$A:$N,0,MATCH($A$1,[2]Aug26A!$A$7:$N$7,0))),0)</f>
        <v>103467.64</v>
      </c>
      <c r="J67" s="117">
        <v>122800</v>
      </c>
      <c r="K67" s="117">
        <v>125500</v>
      </c>
      <c r="L67" s="117">
        <v>125500</v>
      </c>
      <c r="M67" s="117">
        <v>135100</v>
      </c>
      <c r="N67" s="84">
        <f t="shared" ref="N67:N80" si="49">SUM(B67:M67)</f>
        <v>1048171.75</v>
      </c>
      <c r="O67" s="105" t="str">
        <f t="shared" ref="O67:O80" si="50">IFERROR(N67/N$16,"")</f>
        <v/>
      </c>
      <c r="P67" s="84"/>
      <c r="Q67" s="84"/>
      <c r="R67" s="157"/>
      <c r="S67" s="157"/>
      <c r="T67" s="157"/>
      <c r="U67" s="157">
        <f>'PE HC'!M67</f>
        <v>89166.25</v>
      </c>
      <c r="V67" s="157">
        <f>'PE HC'!N67</f>
        <v>89166.25</v>
      </c>
      <c r="W67" s="157">
        <f>'PE HC'!O67</f>
        <v>89166.25</v>
      </c>
      <c r="X67" s="157">
        <f>'PE HC'!P67</f>
        <v>89166.25</v>
      </c>
      <c r="Y67" s="157">
        <f>'PE HC'!Q67</f>
        <v>89166.25</v>
      </c>
      <c r="Z67" s="157">
        <f>'PE HC'!R67</f>
        <v>89166.25</v>
      </c>
      <c r="AA67" s="157">
        <f>'PE HC'!S67</f>
        <v>89166.25</v>
      </c>
      <c r="AB67" s="157">
        <f>'PE HC'!T67</f>
        <v>89166.25</v>
      </c>
      <c r="AC67" s="157">
        <f>'PE HC'!U67</f>
        <v>89166.25</v>
      </c>
      <c r="AD67" s="157">
        <f>'PE HC'!V67</f>
        <v>91841.237500000003</v>
      </c>
      <c r="AE67" s="157">
        <f>'PE HC'!W67</f>
        <v>91841.237500000003</v>
      </c>
      <c r="AF67" s="157">
        <f>'PE HC'!X67</f>
        <v>91841.237500000003</v>
      </c>
      <c r="AG67" s="84">
        <f t="shared" ref="AG67:AG80" si="51">SUM(U67:AF67)</f>
        <v>1078019.9625000001</v>
      </c>
      <c r="AH67" s="105" t="str">
        <f t="shared" ref="AH67:AH80" si="52">IFERROR(AG67/AG$16,"")</f>
        <v/>
      </c>
      <c r="AJ67" s="84">
        <f t="shared" ref="AJ67:AJ80" si="53">N67-AG67</f>
        <v>-29848.21250000014</v>
      </c>
    </row>
    <row r="68" spans="1:36" x14ac:dyDescent="0.3">
      <c r="A68" s="103" t="s">
        <v>154</v>
      </c>
      <c r="B68" s="84">
        <f>IFERROR(SUMIF([2]Jan26A!$A:$A,$A68,INDEX([2]Jan26A!$A:$N,0,MATCH($A$1,[2]Jan26A!$A$7:$N$7,0))),0)</f>
        <v>3695.16</v>
      </c>
      <c r="C68" s="84">
        <f>IFERROR(SUMIF([2]Feb26A!$A:$A,$A68,INDEX([2]Feb26A!$A:$N,0,MATCH($A$1,[2]Feb26A!$A$7:$N$7,0))),0)</f>
        <v>1055.23</v>
      </c>
      <c r="D68" s="84">
        <f>IFERROR(SUMIF([2]Mar26A!$A:$A,$A68,INDEX([2]Mar26A!$A:$N,0,MATCH($A$1,[2]Mar26A!$A$7:$N$7,0))),0)</f>
        <v>1011.75</v>
      </c>
      <c r="E68" s="84">
        <f>IFERROR(SUMIF([2]Apr26A!$A:$A,$A68,INDEX([2]Apr26A!$A:$N,0,MATCH($A$1,[2]Apr26A!$A$7:$N$7,0))),0)</f>
        <v>1042.8699999999999</v>
      </c>
      <c r="F68" s="84">
        <f>IFERROR(SUMIF([2]May26A!$A:$A,$A68,INDEX([2]May26A!$A:$N,0,MATCH($A$1,[2]May26A!$A$7:$N$7,0))),0)</f>
        <v>3064.28</v>
      </c>
      <c r="G68" s="84">
        <f>IFERROR(SUMIF([2]Jun26A!$A:$A,$A68,INDEX([2]Jun26A!$A:$N,0,MATCH($A$1,[2]Jun26A!$A$7:$N$7,0))),0)</f>
        <v>3071.67</v>
      </c>
      <c r="H68" s="84">
        <f>IFERROR(SUMIF([2]Jul26A!$A:$A,$A68,INDEX([2]Jul26A!$A:$N,0,MATCH($A$1,[2]Jul26A!$A$7:$N$7,0))),0)</f>
        <v>3332.95</v>
      </c>
      <c r="I68" s="84">
        <f>IFERROR(SUMIF([2]Aug26A!$A:$A,$A68,INDEX([2]Aug26A!$A:$N,0,MATCH($A$1,[2]Aug26A!$A$7:$N$7,0))),0)</f>
        <v>4964.72</v>
      </c>
      <c r="J68" s="117">
        <v>4421</v>
      </c>
      <c r="K68" s="117">
        <v>4518</v>
      </c>
      <c r="L68" s="117">
        <v>4518</v>
      </c>
      <c r="M68" s="117">
        <v>4864</v>
      </c>
      <c r="N68" s="84">
        <f t="shared" si="49"/>
        <v>39559.630000000005</v>
      </c>
      <c r="O68" s="105" t="str">
        <f t="shared" si="50"/>
        <v/>
      </c>
      <c r="P68" s="84"/>
      <c r="Q68" s="84"/>
      <c r="R68" s="157"/>
      <c r="S68" s="157"/>
      <c r="T68" s="157"/>
      <c r="U68" s="157">
        <f>'PE HC'!M68</f>
        <v>3184.5424875966064</v>
      </c>
      <c r="V68" s="157">
        <f>'PE HC'!N68</f>
        <v>3184.5424875966064</v>
      </c>
      <c r="W68" s="157">
        <f>'PE HC'!O68</f>
        <v>3184.5424875966064</v>
      </c>
      <c r="X68" s="157">
        <f>'PE HC'!P68</f>
        <v>3184.5424875966064</v>
      </c>
      <c r="Y68" s="157">
        <f>'PE HC'!Q68</f>
        <v>3184.5424875966064</v>
      </c>
      <c r="Z68" s="157">
        <f>'PE HC'!R68</f>
        <v>3184.5424875966064</v>
      </c>
      <c r="AA68" s="157">
        <f>'PE HC'!S68</f>
        <v>3184.5424875966064</v>
      </c>
      <c r="AB68" s="157">
        <f>'PE HC'!T68</f>
        <v>3184.5424875966064</v>
      </c>
      <c r="AC68" s="157">
        <f>'PE HC'!U68</f>
        <v>3184.5424875966064</v>
      </c>
      <c r="AD68" s="157">
        <f>'PE HC'!V68</f>
        <v>3280.0787622245048</v>
      </c>
      <c r="AE68" s="157">
        <f>'PE HC'!W68</f>
        <v>3280.0787622245048</v>
      </c>
      <c r="AF68" s="157">
        <f>'PE HC'!X68</f>
        <v>3280.0787622245048</v>
      </c>
      <c r="AG68" s="84">
        <f t="shared" si="51"/>
        <v>38501.11867504297</v>
      </c>
      <c r="AH68" s="105" t="str">
        <f t="shared" si="52"/>
        <v/>
      </c>
      <c r="AJ68" s="84">
        <f t="shared" si="53"/>
        <v>1058.511324957035</v>
      </c>
    </row>
    <row r="69" spans="1:36" x14ac:dyDescent="0.3">
      <c r="A69" s="103" t="s">
        <v>155</v>
      </c>
      <c r="B69" s="84">
        <f>IFERROR(SUMIF([2]Jan26A!$A:$A,$A69,INDEX([2]Jan26A!$A:$N,0,MATCH($A$1,[2]Jan26A!$A$7:$N$7,0))),0)</f>
        <v>61159.6</v>
      </c>
      <c r="C69" s="84">
        <f>IFERROR(SUMIF([2]Feb26A!$A:$A,$A69,INDEX([2]Feb26A!$A:$N,0,MATCH($A$1,[2]Feb26A!$A$7:$N$7,0))),0)</f>
        <v>17771.740000000002</v>
      </c>
      <c r="D69" s="84">
        <f>IFERROR(SUMIF([2]Mar26A!$A:$A,$A69,INDEX([2]Mar26A!$A:$N,0,MATCH($A$1,[2]Mar26A!$A$7:$N$7,0))),0)</f>
        <v>10616.78</v>
      </c>
      <c r="E69" s="84">
        <f>IFERROR(SUMIF([2]Apr26A!$A:$A,$A69,INDEX([2]Apr26A!$A:$N,0,MATCH($A$1,[2]Apr26A!$A$7:$N$7,0))),0)</f>
        <v>10961.94</v>
      </c>
      <c r="F69" s="84">
        <f>IFERROR(SUMIF([2]May26A!$A:$A,$A69,INDEX([2]May26A!$A:$N,0,MATCH($A$1,[2]May26A!$A$7:$N$7,0))),0)</f>
        <v>5752.25</v>
      </c>
      <c r="G69" s="84">
        <f>IFERROR(SUMIF([2]Jun26A!$A:$A,$A69,INDEX([2]Jun26A!$A:$N,0,MATCH($A$1,[2]Jun26A!$A$7:$N$7,0))),0)</f>
        <v>7975.89</v>
      </c>
      <c r="H69" s="84">
        <f>IFERROR(SUMIF([2]Jul26A!$A:$A,$A69,INDEX([2]Jul26A!$A:$N,0,MATCH($A$1,[2]Jul26A!$A$7:$N$7,0))),0)</f>
        <v>7066.98</v>
      </c>
      <c r="I69" s="84">
        <f>IFERROR(SUMIF([2]Aug26A!$A:$A,$A69,INDEX([2]Aug26A!$A:$N,0,MATCH($A$1,[2]Aug26A!$A$7:$N$7,0))),0)</f>
        <v>11912.99</v>
      </c>
      <c r="J69" s="117">
        <v>8842</v>
      </c>
      <c r="K69" s="117">
        <v>9036</v>
      </c>
      <c r="L69" s="117">
        <v>9036</v>
      </c>
      <c r="M69" s="117">
        <v>9727</v>
      </c>
      <c r="N69" s="84">
        <f t="shared" si="49"/>
        <v>169859.16999999998</v>
      </c>
      <c r="O69" s="105" t="str">
        <f t="shared" si="50"/>
        <v/>
      </c>
      <c r="P69" s="84"/>
      <c r="Q69" s="84"/>
      <c r="R69" s="157"/>
      <c r="S69" s="157"/>
      <c r="T69" s="157"/>
      <c r="U69" s="157">
        <f>'PE HC'!M69</f>
        <v>7867.3457092512253</v>
      </c>
      <c r="V69" s="157">
        <f>'PE HC'!N69</f>
        <v>7867.3457092512253</v>
      </c>
      <c r="W69" s="157">
        <f>'PE HC'!O69</f>
        <v>7867.3457092512253</v>
      </c>
      <c r="X69" s="157">
        <f>'PE HC'!P69</f>
        <v>7867.3457092512253</v>
      </c>
      <c r="Y69" s="157">
        <f>'PE HC'!Q69</f>
        <v>7867.3457092512253</v>
      </c>
      <c r="Z69" s="157">
        <f>'PE HC'!R69</f>
        <v>7867.3457092512253</v>
      </c>
      <c r="AA69" s="157">
        <f>'PE HC'!S69</f>
        <v>7867.3457092512253</v>
      </c>
      <c r="AB69" s="157">
        <f>'PE HC'!T69</f>
        <v>7867.3457092512253</v>
      </c>
      <c r="AC69" s="157">
        <f>'PE HC'!U69</f>
        <v>7867.3457092512253</v>
      </c>
      <c r="AD69" s="157">
        <f>'PE HC'!V69</f>
        <v>8103.3660805287627</v>
      </c>
      <c r="AE69" s="157">
        <f>'PE HC'!W69</f>
        <v>8103.3660805287627</v>
      </c>
      <c r="AF69" s="157">
        <f>'PE HC'!X69</f>
        <v>8103.3660805287627</v>
      </c>
      <c r="AG69" s="84">
        <f t="shared" si="51"/>
        <v>95116.209624847324</v>
      </c>
      <c r="AH69" s="105" t="str">
        <f t="shared" si="52"/>
        <v/>
      </c>
      <c r="AJ69" s="84">
        <f t="shared" si="53"/>
        <v>74742.960375152659</v>
      </c>
    </row>
    <row r="70" spans="1:36" x14ac:dyDescent="0.3">
      <c r="A70" s="103" t="s">
        <v>156</v>
      </c>
      <c r="B70" s="84">
        <f>IFERROR(SUMIF([2]Jan26A!$A:$A,$A70,INDEX([2]Jan26A!$A:$N,0,MATCH($A$1,[2]Jan26A!$A$7:$N$7,0))),0)</f>
        <v>0</v>
      </c>
      <c r="C70" s="84">
        <f>IFERROR(SUMIF([2]Feb26A!$A:$A,$A70,INDEX([2]Feb26A!$A:$N,0,MATCH($A$1,[2]Feb26A!$A$7:$N$7,0))),0)</f>
        <v>0</v>
      </c>
      <c r="D70" s="84">
        <f>IFERROR(SUMIF([2]Mar26A!$A:$A,$A70,INDEX([2]Mar26A!$A:$N,0,MATCH($A$1,[2]Mar26A!$A$7:$N$7,0))),0)</f>
        <v>0</v>
      </c>
      <c r="E70" s="84">
        <f>IFERROR(SUMIF([2]Apr26A!$A:$A,$A70,INDEX([2]Apr26A!$A:$N,0,MATCH($A$1,[2]Apr26A!$A$7:$N$7,0))),0)</f>
        <v>0</v>
      </c>
      <c r="F70" s="84">
        <f>IFERROR(SUMIF([2]May26A!$A:$A,$A70,INDEX([2]May26A!$A:$N,0,MATCH($A$1,[2]May26A!$A$7:$N$7,0))),0)</f>
        <v>0</v>
      </c>
      <c r="G70" s="84">
        <f>IFERROR(SUMIF([2]Jun26A!$A:$A,$A70,INDEX([2]Jun26A!$A:$N,0,MATCH($A$1,[2]Jun26A!$A$7:$N$7,0))),0)</f>
        <v>0</v>
      </c>
      <c r="H70" s="84">
        <f>IFERROR(SUMIF([2]Jul26A!$A:$A,$A70,INDEX([2]Jul26A!$A:$N,0,MATCH($A$1,[2]Jul26A!$A$7:$N$7,0))),0)</f>
        <v>0</v>
      </c>
      <c r="I70" s="84">
        <f>IFERROR(SUMIF([2]Aug26A!$A:$A,$A70,INDEX([2]Aug26A!$A:$N,0,MATCH($A$1,[2]Aug26A!$A$7:$N$7,0))),0)</f>
        <v>0</v>
      </c>
      <c r="J70" s="117">
        <v>0</v>
      </c>
      <c r="K70" s="117">
        <v>0</v>
      </c>
      <c r="L70" s="117">
        <v>0</v>
      </c>
      <c r="M70" s="117">
        <v>0</v>
      </c>
      <c r="N70" s="84">
        <f t="shared" si="49"/>
        <v>0</v>
      </c>
      <c r="O70" s="105" t="str">
        <f t="shared" si="50"/>
        <v/>
      </c>
      <c r="P70" s="84"/>
      <c r="Q70" s="84"/>
      <c r="R70" s="106" t="s">
        <v>99</v>
      </c>
      <c r="S70" s="107">
        <v>0</v>
      </c>
      <c r="T70" s="108">
        <v>0.05</v>
      </c>
      <c r="U70" s="104">
        <f t="shared" ref="U70:AF72" si="54">IF($R70="Manual","",IFERROR(IF($R70="YOY Growth",$N70*(1+$T70)/12,$S70/12),""))</f>
        <v>0</v>
      </c>
      <c r="V70" s="104">
        <f t="shared" si="54"/>
        <v>0</v>
      </c>
      <c r="W70" s="104">
        <f t="shared" si="54"/>
        <v>0</v>
      </c>
      <c r="X70" s="104">
        <f t="shared" si="54"/>
        <v>0</v>
      </c>
      <c r="Y70" s="104">
        <f t="shared" si="54"/>
        <v>0</v>
      </c>
      <c r="Z70" s="104">
        <f t="shared" si="54"/>
        <v>0</v>
      </c>
      <c r="AA70" s="104">
        <f t="shared" si="54"/>
        <v>0</v>
      </c>
      <c r="AB70" s="104">
        <f t="shared" si="54"/>
        <v>0</v>
      </c>
      <c r="AC70" s="104">
        <f t="shared" si="54"/>
        <v>0</v>
      </c>
      <c r="AD70" s="104">
        <f t="shared" si="54"/>
        <v>0</v>
      </c>
      <c r="AE70" s="104">
        <f t="shared" si="54"/>
        <v>0</v>
      </c>
      <c r="AF70" s="104">
        <f t="shared" si="54"/>
        <v>0</v>
      </c>
      <c r="AG70" s="84">
        <f t="shared" si="51"/>
        <v>0</v>
      </c>
      <c r="AH70" s="105" t="str">
        <f t="shared" si="52"/>
        <v/>
      </c>
      <c r="AJ70" s="84">
        <f t="shared" si="53"/>
        <v>0</v>
      </c>
    </row>
    <row r="71" spans="1:36" x14ac:dyDescent="0.3">
      <c r="A71" s="103" t="s">
        <v>157</v>
      </c>
      <c r="B71" s="84">
        <f>IFERROR(SUMIF([2]Jan26A!$A:$A,$A71,INDEX([2]Jan26A!$A:$N,0,MATCH($A$1,[2]Jan26A!$A$7:$N$7,0))),0)</f>
        <v>0</v>
      </c>
      <c r="C71" s="84">
        <f>IFERROR(SUMIF([2]Feb26A!$A:$A,$A71,INDEX([2]Feb26A!$A:$N,0,MATCH($A$1,[2]Feb26A!$A$7:$N$7,0))),0)</f>
        <v>0</v>
      </c>
      <c r="D71" s="84">
        <f>IFERROR(SUMIF([2]Mar26A!$A:$A,$A71,INDEX([2]Mar26A!$A:$N,0,MATCH($A$1,[2]Mar26A!$A$7:$N$7,0))),0)</f>
        <v>0</v>
      </c>
      <c r="E71" s="84">
        <f>IFERROR(SUMIF([2]Apr26A!$A:$A,$A71,INDEX([2]Apr26A!$A:$N,0,MATCH($A$1,[2]Apr26A!$A$7:$N$7,0))),0)</f>
        <v>0</v>
      </c>
      <c r="F71" s="84">
        <f>IFERROR(SUMIF([2]May26A!$A:$A,$A71,INDEX([2]May26A!$A:$N,0,MATCH($A$1,[2]May26A!$A$7:$N$7,0))),0)</f>
        <v>0</v>
      </c>
      <c r="G71" s="84">
        <f>IFERROR(SUMIF([2]Jun26A!$A:$A,$A71,INDEX([2]Jun26A!$A:$N,0,MATCH($A$1,[2]Jun26A!$A$7:$N$7,0))),0)</f>
        <v>0</v>
      </c>
      <c r="H71" s="84">
        <f>IFERROR(SUMIF([2]Jul26A!$A:$A,$A71,INDEX([2]Jul26A!$A:$N,0,MATCH($A$1,[2]Jul26A!$A$7:$N$7,0))),0)</f>
        <v>0</v>
      </c>
      <c r="I71" s="84">
        <f>IFERROR(SUMIF([2]Aug26A!$A:$A,$A71,INDEX([2]Aug26A!$A:$N,0,MATCH($A$1,[2]Aug26A!$A$7:$N$7,0))),0)</f>
        <v>0</v>
      </c>
      <c r="J71" s="117">
        <v>0</v>
      </c>
      <c r="K71" s="117">
        <v>0</v>
      </c>
      <c r="L71" s="117">
        <v>0</v>
      </c>
      <c r="M71" s="117">
        <v>0</v>
      </c>
      <c r="N71" s="84">
        <f t="shared" si="49"/>
        <v>0</v>
      </c>
      <c r="O71" s="105" t="str">
        <f t="shared" si="50"/>
        <v/>
      </c>
      <c r="P71" s="84"/>
      <c r="Q71" s="84"/>
      <c r="R71" s="106" t="s">
        <v>99</v>
      </c>
      <c r="S71" s="107">
        <v>0</v>
      </c>
      <c r="T71" s="108">
        <v>0.05</v>
      </c>
      <c r="U71" s="104">
        <f t="shared" si="54"/>
        <v>0</v>
      </c>
      <c r="V71" s="104">
        <f t="shared" si="54"/>
        <v>0</v>
      </c>
      <c r="W71" s="104">
        <f t="shared" si="54"/>
        <v>0</v>
      </c>
      <c r="X71" s="104">
        <f t="shared" si="54"/>
        <v>0</v>
      </c>
      <c r="Y71" s="104">
        <f t="shared" si="54"/>
        <v>0</v>
      </c>
      <c r="Z71" s="104">
        <f t="shared" si="54"/>
        <v>0</v>
      </c>
      <c r="AA71" s="104">
        <f t="shared" si="54"/>
        <v>0</v>
      </c>
      <c r="AB71" s="104">
        <f t="shared" si="54"/>
        <v>0</v>
      </c>
      <c r="AC71" s="104">
        <f t="shared" si="54"/>
        <v>0</v>
      </c>
      <c r="AD71" s="104">
        <f t="shared" si="54"/>
        <v>0</v>
      </c>
      <c r="AE71" s="104">
        <f t="shared" si="54"/>
        <v>0</v>
      </c>
      <c r="AF71" s="104">
        <f t="shared" si="54"/>
        <v>0</v>
      </c>
      <c r="AG71" s="84">
        <f t="shared" si="51"/>
        <v>0</v>
      </c>
      <c r="AH71" s="105" t="str">
        <f t="shared" si="52"/>
        <v/>
      </c>
      <c r="AJ71" s="84">
        <f t="shared" si="53"/>
        <v>0</v>
      </c>
    </row>
    <row r="72" spans="1:36" x14ac:dyDescent="0.3">
      <c r="A72" s="103" t="s">
        <v>158</v>
      </c>
      <c r="B72" s="84">
        <f>IFERROR(SUMIF([2]Jan26A!$A:$A,$A72,INDEX([2]Jan26A!$A:$N,0,MATCH($A$1,[2]Jan26A!$A$7:$N$7,0))),0)</f>
        <v>0</v>
      </c>
      <c r="C72" s="84">
        <f>IFERROR(SUMIF([2]Feb26A!$A:$A,$A72,INDEX([2]Feb26A!$A:$N,0,MATCH($A$1,[2]Feb26A!$A$7:$N$7,0))),0)</f>
        <v>0</v>
      </c>
      <c r="D72" s="84">
        <f>IFERROR(SUMIF([2]Mar26A!$A:$A,$A72,INDEX([2]Mar26A!$A:$N,0,MATCH($A$1,[2]Mar26A!$A$7:$N$7,0))),0)</f>
        <v>0</v>
      </c>
      <c r="E72" s="84">
        <f>IFERROR(SUMIF([2]Apr26A!$A:$A,$A72,INDEX([2]Apr26A!$A:$N,0,MATCH($A$1,[2]Apr26A!$A$7:$N$7,0))),0)</f>
        <v>0</v>
      </c>
      <c r="F72" s="84">
        <f>IFERROR(SUMIF([2]May26A!$A:$A,$A72,INDEX([2]May26A!$A:$N,0,MATCH($A$1,[2]May26A!$A$7:$N$7,0))),0)</f>
        <v>0</v>
      </c>
      <c r="G72" s="84">
        <f>IFERROR(SUMIF([2]Jun26A!$A:$A,$A72,INDEX([2]Jun26A!$A:$N,0,MATCH($A$1,[2]Jun26A!$A$7:$N$7,0))),0)</f>
        <v>0</v>
      </c>
      <c r="H72" s="84">
        <f>IFERROR(SUMIF([2]Jul26A!$A:$A,$A72,INDEX([2]Jul26A!$A:$N,0,MATCH($A$1,[2]Jul26A!$A$7:$N$7,0))),0)</f>
        <v>0</v>
      </c>
      <c r="I72" s="84">
        <f>IFERROR(SUMIF([2]Aug26A!$A:$A,$A72,INDEX([2]Aug26A!$A:$N,0,MATCH($A$1,[2]Aug26A!$A$7:$N$7,0))),0)</f>
        <v>0</v>
      </c>
      <c r="J72" s="117">
        <v>0</v>
      </c>
      <c r="K72" s="117">
        <v>0</v>
      </c>
      <c r="L72" s="117">
        <v>0</v>
      </c>
      <c r="M72" s="117">
        <v>0</v>
      </c>
      <c r="N72" s="84">
        <f t="shared" si="49"/>
        <v>0</v>
      </c>
      <c r="O72" s="105" t="str">
        <f t="shared" si="50"/>
        <v/>
      </c>
      <c r="P72" s="84"/>
      <c r="Q72" s="84"/>
      <c r="R72" s="106" t="s">
        <v>99</v>
      </c>
      <c r="S72" s="107">
        <v>0</v>
      </c>
      <c r="T72" s="108">
        <v>0.05</v>
      </c>
      <c r="U72" s="104">
        <f t="shared" si="54"/>
        <v>0</v>
      </c>
      <c r="V72" s="104">
        <f t="shared" si="54"/>
        <v>0</v>
      </c>
      <c r="W72" s="104">
        <f t="shared" si="54"/>
        <v>0</v>
      </c>
      <c r="X72" s="104">
        <f t="shared" si="54"/>
        <v>0</v>
      </c>
      <c r="Y72" s="104">
        <f t="shared" si="54"/>
        <v>0</v>
      </c>
      <c r="Z72" s="104">
        <f t="shared" si="54"/>
        <v>0</v>
      </c>
      <c r="AA72" s="104">
        <f t="shared" si="54"/>
        <v>0</v>
      </c>
      <c r="AB72" s="104">
        <f t="shared" si="54"/>
        <v>0</v>
      </c>
      <c r="AC72" s="104">
        <f t="shared" si="54"/>
        <v>0</v>
      </c>
      <c r="AD72" s="104">
        <f t="shared" si="54"/>
        <v>0</v>
      </c>
      <c r="AE72" s="104">
        <f t="shared" si="54"/>
        <v>0</v>
      </c>
      <c r="AF72" s="104">
        <f t="shared" si="54"/>
        <v>0</v>
      </c>
      <c r="AG72" s="84">
        <f t="shared" si="51"/>
        <v>0</v>
      </c>
      <c r="AH72" s="105" t="str">
        <f t="shared" si="52"/>
        <v/>
      </c>
      <c r="AJ72" s="84">
        <f t="shared" si="53"/>
        <v>0</v>
      </c>
    </row>
    <row r="73" spans="1:36" x14ac:dyDescent="0.3">
      <c r="A73" s="109" t="s">
        <v>159</v>
      </c>
      <c r="B73" s="110">
        <f t="shared" ref="B73:M73" si="55">SUM(B67:B72)</f>
        <v>138506.32</v>
      </c>
      <c r="C73" s="110">
        <f t="shared" si="55"/>
        <v>46551.960000000006</v>
      </c>
      <c r="D73" s="110">
        <f t="shared" si="55"/>
        <v>39647.17</v>
      </c>
      <c r="E73" s="110">
        <f t="shared" si="55"/>
        <v>42563.11</v>
      </c>
      <c r="F73" s="110">
        <f t="shared" si="55"/>
        <v>99904.81</v>
      </c>
      <c r="G73" s="110">
        <f t="shared" si="55"/>
        <v>101444.02</v>
      </c>
      <c r="H73" s="110">
        <f t="shared" si="55"/>
        <v>104765.81</v>
      </c>
      <c r="I73" s="110">
        <f t="shared" si="55"/>
        <v>120345.35</v>
      </c>
      <c r="J73" s="110">
        <f t="shared" si="55"/>
        <v>136063</v>
      </c>
      <c r="K73" s="110">
        <f t="shared" si="55"/>
        <v>139054</v>
      </c>
      <c r="L73" s="110">
        <f t="shared" si="55"/>
        <v>139054</v>
      </c>
      <c r="M73" s="110">
        <f t="shared" si="55"/>
        <v>149691</v>
      </c>
      <c r="N73" s="110">
        <f t="shared" si="49"/>
        <v>1257590.5499999998</v>
      </c>
      <c r="O73" s="111" t="str">
        <f t="shared" si="50"/>
        <v/>
      </c>
      <c r="P73" s="84"/>
      <c r="Q73" s="84"/>
      <c r="R73" s="112"/>
      <c r="S73" s="112"/>
      <c r="T73" s="112"/>
      <c r="U73" s="110">
        <f t="shared" ref="U73:AF73" si="56">SUM(U67:U72)</f>
        <v>100218.13819684784</v>
      </c>
      <c r="V73" s="110">
        <f t="shared" si="56"/>
        <v>100218.13819684784</v>
      </c>
      <c r="W73" s="110">
        <f t="shared" si="56"/>
        <v>100218.13819684784</v>
      </c>
      <c r="X73" s="110">
        <f t="shared" si="56"/>
        <v>100218.13819684784</v>
      </c>
      <c r="Y73" s="110">
        <f t="shared" si="56"/>
        <v>100218.13819684784</v>
      </c>
      <c r="Z73" s="110">
        <f t="shared" si="56"/>
        <v>100218.13819684784</v>
      </c>
      <c r="AA73" s="110">
        <f t="shared" si="56"/>
        <v>100218.13819684784</v>
      </c>
      <c r="AB73" s="110">
        <f t="shared" si="56"/>
        <v>100218.13819684784</v>
      </c>
      <c r="AC73" s="110">
        <f t="shared" si="56"/>
        <v>100218.13819684784</v>
      </c>
      <c r="AD73" s="110">
        <f t="shared" si="56"/>
        <v>103224.68234275328</v>
      </c>
      <c r="AE73" s="110">
        <f t="shared" si="56"/>
        <v>103224.68234275328</v>
      </c>
      <c r="AF73" s="110">
        <f t="shared" si="56"/>
        <v>103224.68234275328</v>
      </c>
      <c r="AG73" s="110">
        <f t="shared" si="51"/>
        <v>1211637.2907998906</v>
      </c>
      <c r="AH73" s="111" t="str">
        <f t="shared" si="52"/>
        <v/>
      </c>
      <c r="AJ73" s="110">
        <f t="shared" si="53"/>
        <v>45953.259200109169</v>
      </c>
    </row>
    <row r="74" spans="1:36" x14ac:dyDescent="0.3">
      <c r="A74" s="113" t="s">
        <v>160</v>
      </c>
      <c r="B74" s="84">
        <f>IFERROR(SUMIF([2]Jan26A!$A:$A,$A74,INDEX([2]Jan26A!$A:$N,0,MATCH($A$1,[2]Jan26A!$A$7:$N$7,0))),0)</f>
        <v>0</v>
      </c>
      <c r="C74" s="84">
        <f>IFERROR(SUMIF([2]Feb26A!$A:$A,$A74,INDEX([2]Feb26A!$A:$N,0,MATCH($A$1,[2]Feb26A!$A$7:$N$7,0))),0)</f>
        <v>0</v>
      </c>
      <c r="D74" s="84">
        <f>IFERROR(SUMIF([2]Mar26A!$A:$A,$A74,INDEX([2]Mar26A!$A:$N,0,MATCH($A$1,[2]Mar26A!$A$7:$N$7,0))),0)</f>
        <v>0</v>
      </c>
      <c r="E74" s="84">
        <f>IFERROR(SUMIF([2]Apr26A!$A:$A,$A74,INDEX([2]Apr26A!$A:$N,0,MATCH($A$1,[2]Apr26A!$A$7:$N$7,0))),0)</f>
        <v>235.12</v>
      </c>
      <c r="F74" s="84">
        <f>IFERROR(SUMIF([2]May26A!$A:$A,$A74,INDEX([2]May26A!$A:$N,0,MATCH($A$1,[2]May26A!$A$7:$N$7,0))),0)</f>
        <v>0</v>
      </c>
      <c r="G74" s="84">
        <f>IFERROR(SUMIF([2]Jun26A!$A:$A,$A74,INDEX([2]Jun26A!$A:$N,0,MATCH($A$1,[2]Jun26A!$A$7:$N$7,0))),0)</f>
        <v>0</v>
      </c>
      <c r="H74" s="84">
        <f>IFERROR(SUMIF([2]Jul26A!$A:$A,$A74,INDEX([2]Jul26A!$A:$N,0,MATCH($A$1,[2]Jul26A!$A$7:$N$7,0))),0)</f>
        <v>0</v>
      </c>
      <c r="I74" s="84">
        <f>IFERROR(SUMIF([2]Aug26A!$A:$A,$A74,INDEX([2]Aug26A!$A:$N,0,MATCH($A$1,[2]Aug26A!$A$7:$N$7,0))),0)</f>
        <v>0</v>
      </c>
      <c r="J74" s="117">
        <v>500</v>
      </c>
      <c r="K74" s="117">
        <v>500</v>
      </c>
      <c r="L74" s="117">
        <v>500</v>
      </c>
      <c r="M74" s="117">
        <v>500</v>
      </c>
      <c r="N74" s="84">
        <f t="shared" si="49"/>
        <v>2235.12</v>
      </c>
      <c r="O74" s="105" t="str">
        <f t="shared" si="50"/>
        <v/>
      </c>
      <c r="P74" s="84"/>
      <c r="Q74" s="84"/>
      <c r="R74" s="106" t="s">
        <v>99</v>
      </c>
      <c r="S74" s="107">
        <v>0</v>
      </c>
      <c r="T74" s="108">
        <v>0.05</v>
      </c>
      <c r="U74" s="104">
        <f t="shared" ref="U74:AF80" si="57">IF($R74="Manual","",IFERROR(IF($R74="YOY Growth",$N74*(1+$T74)/12,$S74/12),""))</f>
        <v>0</v>
      </c>
      <c r="V74" s="104">
        <f t="shared" si="57"/>
        <v>0</v>
      </c>
      <c r="W74" s="104">
        <f t="shared" si="57"/>
        <v>0</v>
      </c>
      <c r="X74" s="104">
        <f t="shared" si="57"/>
        <v>0</v>
      </c>
      <c r="Y74" s="104">
        <f t="shared" si="57"/>
        <v>0</v>
      </c>
      <c r="Z74" s="104">
        <f t="shared" si="57"/>
        <v>0</v>
      </c>
      <c r="AA74" s="104">
        <f t="shared" si="57"/>
        <v>0</v>
      </c>
      <c r="AB74" s="104">
        <f t="shared" si="57"/>
        <v>0</v>
      </c>
      <c r="AC74" s="104">
        <f t="shared" si="57"/>
        <v>0</v>
      </c>
      <c r="AD74" s="104">
        <f t="shared" si="57"/>
        <v>0</v>
      </c>
      <c r="AE74" s="104">
        <f t="shared" si="57"/>
        <v>0</v>
      </c>
      <c r="AF74" s="104">
        <f t="shared" si="57"/>
        <v>0</v>
      </c>
      <c r="AG74" s="84">
        <f t="shared" si="51"/>
        <v>0</v>
      </c>
      <c r="AH74" s="105" t="str">
        <f t="shared" si="52"/>
        <v/>
      </c>
      <c r="AJ74" s="84">
        <f t="shared" si="53"/>
        <v>2235.12</v>
      </c>
    </row>
    <row r="75" spans="1:36" x14ac:dyDescent="0.3">
      <c r="A75" s="113" t="s">
        <v>161</v>
      </c>
      <c r="B75" s="84">
        <f>IFERROR(SUMIF([2]Jan26A!$A:$A,$A75,INDEX([2]Jan26A!$A:$N,0,MATCH($A$1,[2]Jan26A!$A$7:$N$7,0))),0)</f>
        <v>0</v>
      </c>
      <c r="C75" s="84">
        <f>IFERROR(SUMIF([2]Feb26A!$A:$A,$A75,INDEX([2]Feb26A!$A:$N,0,MATCH($A$1,[2]Feb26A!$A$7:$N$7,0))),0)</f>
        <v>0</v>
      </c>
      <c r="D75" s="84">
        <f>IFERROR(SUMIF([2]Mar26A!$A:$A,$A75,INDEX([2]Mar26A!$A:$N,0,MATCH($A$1,[2]Mar26A!$A$7:$N$7,0))),0)</f>
        <v>0</v>
      </c>
      <c r="E75" s="84">
        <f>IFERROR(SUMIF([2]Apr26A!$A:$A,$A75,INDEX([2]Apr26A!$A:$N,0,MATCH($A$1,[2]Apr26A!$A$7:$N$7,0))),0)</f>
        <v>20</v>
      </c>
      <c r="F75" s="84">
        <f>IFERROR(SUMIF([2]May26A!$A:$A,$A75,INDEX([2]May26A!$A:$N,0,MATCH($A$1,[2]May26A!$A$7:$N$7,0))),0)</f>
        <v>0</v>
      </c>
      <c r="G75" s="84">
        <f>IFERROR(SUMIF([2]Jun26A!$A:$A,$A75,INDEX([2]Jun26A!$A:$N,0,MATCH($A$1,[2]Jun26A!$A$7:$N$7,0))),0)</f>
        <v>0</v>
      </c>
      <c r="H75" s="84">
        <f>IFERROR(SUMIF([2]Jul26A!$A:$A,$A75,INDEX([2]Jul26A!$A:$N,0,MATCH($A$1,[2]Jul26A!$A$7:$N$7,0))),0)</f>
        <v>0</v>
      </c>
      <c r="I75" s="84">
        <f>IFERROR(SUMIF([2]Aug26A!$A:$A,$A75,INDEX([2]Aug26A!$A:$N,0,MATCH($A$1,[2]Aug26A!$A$7:$N$7,0))),0)</f>
        <v>232.33</v>
      </c>
      <c r="J75" s="117">
        <v>0</v>
      </c>
      <c r="K75" s="117">
        <v>0</v>
      </c>
      <c r="L75" s="117">
        <v>0</v>
      </c>
      <c r="M75" s="117">
        <v>0</v>
      </c>
      <c r="N75" s="84">
        <f t="shared" si="49"/>
        <v>252.33</v>
      </c>
      <c r="O75" s="105" t="str">
        <f t="shared" si="50"/>
        <v/>
      </c>
      <c r="P75" s="84"/>
      <c r="Q75" s="84"/>
      <c r="R75" s="106" t="s">
        <v>99</v>
      </c>
      <c r="S75" s="107">
        <v>0</v>
      </c>
      <c r="T75" s="108">
        <v>0.05</v>
      </c>
      <c r="U75" s="104">
        <f t="shared" si="57"/>
        <v>0</v>
      </c>
      <c r="V75" s="104">
        <f t="shared" si="57"/>
        <v>0</v>
      </c>
      <c r="W75" s="104">
        <f t="shared" si="57"/>
        <v>0</v>
      </c>
      <c r="X75" s="104">
        <f t="shared" si="57"/>
        <v>0</v>
      </c>
      <c r="Y75" s="104">
        <f t="shared" si="57"/>
        <v>0</v>
      </c>
      <c r="Z75" s="104">
        <f t="shared" si="57"/>
        <v>0</v>
      </c>
      <c r="AA75" s="104">
        <f t="shared" si="57"/>
        <v>0</v>
      </c>
      <c r="AB75" s="104">
        <f t="shared" si="57"/>
        <v>0</v>
      </c>
      <c r="AC75" s="104">
        <f t="shared" si="57"/>
        <v>0</v>
      </c>
      <c r="AD75" s="104">
        <f t="shared" si="57"/>
        <v>0</v>
      </c>
      <c r="AE75" s="104">
        <f t="shared" si="57"/>
        <v>0</v>
      </c>
      <c r="AF75" s="104">
        <f t="shared" si="57"/>
        <v>0</v>
      </c>
      <c r="AG75" s="84">
        <f t="shared" si="51"/>
        <v>0</v>
      </c>
      <c r="AH75" s="105" t="str">
        <f t="shared" si="52"/>
        <v/>
      </c>
      <c r="AJ75" s="84">
        <f t="shared" si="53"/>
        <v>252.33</v>
      </c>
    </row>
    <row r="76" spans="1:36" x14ac:dyDescent="0.3">
      <c r="A76" s="113" t="s">
        <v>162</v>
      </c>
      <c r="B76" s="84">
        <f>IFERROR(SUMIF([2]Jan26A!$A:$A,$A76,INDEX([2]Jan26A!$A:$N,0,MATCH($A$1,[2]Jan26A!$A$7:$N$7,0))),0)</f>
        <v>68.3</v>
      </c>
      <c r="C76" s="84">
        <f>IFERROR(SUMIF([2]Feb26A!$A:$A,$A76,INDEX([2]Feb26A!$A:$N,0,MATCH($A$1,[2]Feb26A!$A$7:$N$7,0))),0)</f>
        <v>0</v>
      </c>
      <c r="D76" s="84">
        <f>IFERROR(SUMIF([2]Mar26A!$A:$A,$A76,INDEX([2]Mar26A!$A:$N,0,MATCH($A$1,[2]Mar26A!$A$7:$N$7,0))),0)</f>
        <v>0</v>
      </c>
      <c r="E76" s="84">
        <f>IFERROR(SUMIF([2]Apr26A!$A:$A,$A76,INDEX([2]Apr26A!$A:$N,0,MATCH($A$1,[2]Apr26A!$A$7:$N$7,0))),0)</f>
        <v>0</v>
      </c>
      <c r="F76" s="84">
        <f>IFERROR(SUMIF([2]May26A!$A:$A,$A76,INDEX([2]May26A!$A:$N,0,MATCH($A$1,[2]May26A!$A$7:$N$7,0))),0)</f>
        <v>0</v>
      </c>
      <c r="G76" s="84">
        <f>IFERROR(SUMIF([2]Jun26A!$A:$A,$A76,INDEX([2]Jun26A!$A:$N,0,MATCH($A$1,[2]Jun26A!$A$7:$N$7,0))),0)</f>
        <v>0</v>
      </c>
      <c r="H76" s="84">
        <f>IFERROR(SUMIF([2]Jul26A!$A:$A,$A76,INDEX([2]Jul26A!$A:$N,0,MATCH($A$1,[2]Jul26A!$A$7:$N$7,0))),0)</f>
        <v>0</v>
      </c>
      <c r="I76" s="84">
        <f>IFERROR(SUMIF([2]Aug26A!$A:$A,$A76,INDEX([2]Aug26A!$A:$N,0,MATCH($A$1,[2]Aug26A!$A$7:$N$7,0))),0)</f>
        <v>119.7</v>
      </c>
      <c r="J76" s="117">
        <v>100</v>
      </c>
      <c r="K76" s="117">
        <v>100</v>
      </c>
      <c r="L76" s="117">
        <v>100</v>
      </c>
      <c r="M76" s="117">
        <v>100</v>
      </c>
      <c r="N76" s="84">
        <f t="shared" si="49"/>
        <v>588</v>
      </c>
      <c r="O76" s="105" t="str">
        <f t="shared" si="50"/>
        <v/>
      </c>
      <c r="P76" s="84"/>
      <c r="Q76" s="84"/>
      <c r="R76" s="106" t="s">
        <v>99</v>
      </c>
      <c r="S76" s="107">
        <v>0</v>
      </c>
      <c r="T76" s="108">
        <v>0.05</v>
      </c>
      <c r="U76" s="104">
        <f t="shared" si="57"/>
        <v>0</v>
      </c>
      <c r="V76" s="104">
        <f t="shared" si="57"/>
        <v>0</v>
      </c>
      <c r="W76" s="104">
        <f t="shared" si="57"/>
        <v>0</v>
      </c>
      <c r="X76" s="104">
        <f t="shared" si="57"/>
        <v>0</v>
      </c>
      <c r="Y76" s="104">
        <f t="shared" si="57"/>
        <v>0</v>
      </c>
      <c r="Z76" s="104">
        <f t="shared" si="57"/>
        <v>0</v>
      </c>
      <c r="AA76" s="104">
        <f t="shared" si="57"/>
        <v>0</v>
      </c>
      <c r="AB76" s="104">
        <f t="shared" si="57"/>
        <v>0</v>
      </c>
      <c r="AC76" s="104">
        <f t="shared" si="57"/>
        <v>0</v>
      </c>
      <c r="AD76" s="104">
        <f t="shared" si="57"/>
        <v>0</v>
      </c>
      <c r="AE76" s="104">
        <f t="shared" si="57"/>
        <v>0</v>
      </c>
      <c r="AF76" s="104">
        <f t="shared" si="57"/>
        <v>0</v>
      </c>
      <c r="AG76" s="84">
        <f t="shared" si="51"/>
        <v>0</v>
      </c>
      <c r="AH76" s="105" t="str">
        <f t="shared" si="52"/>
        <v/>
      </c>
      <c r="AJ76" s="84">
        <f t="shared" si="53"/>
        <v>588</v>
      </c>
    </row>
    <row r="77" spans="1:36" x14ac:dyDescent="0.3">
      <c r="A77" s="113" t="s">
        <v>163</v>
      </c>
      <c r="B77" s="84">
        <f>IFERROR(SUMIF([2]Jan26A!$A:$A,$A77,INDEX([2]Jan26A!$A:$N,0,MATCH($A$1,[2]Jan26A!$A$7:$N$7,0))),0)</f>
        <v>0</v>
      </c>
      <c r="C77" s="84">
        <f>IFERROR(SUMIF([2]Feb26A!$A:$A,$A77,INDEX([2]Feb26A!$A:$N,0,MATCH($A$1,[2]Feb26A!$A$7:$N$7,0))),0)</f>
        <v>0</v>
      </c>
      <c r="D77" s="84">
        <f>IFERROR(SUMIF([2]Mar26A!$A:$A,$A77,INDEX([2]Mar26A!$A:$N,0,MATCH($A$1,[2]Mar26A!$A$7:$N$7,0))),0)</f>
        <v>0</v>
      </c>
      <c r="E77" s="84">
        <f>IFERROR(SUMIF([2]Apr26A!$A:$A,$A77,INDEX([2]Apr26A!$A:$N,0,MATCH($A$1,[2]Apr26A!$A$7:$N$7,0))),0)</f>
        <v>0</v>
      </c>
      <c r="F77" s="84">
        <f>IFERROR(SUMIF([2]May26A!$A:$A,$A77,INDEX([2]May26A!$A:$N,0,MATCH($A$1,[2]May26A!$A$7:$N$7,0))),0)</f>
        <v>0</v>
      </c>
      <c r="G77" s="84">
        <f>IFERROR(SUMIF([2]Jun26A!$A:$A,$A77,INDEX([2]Jun26A!$A:$N,0,MATCH($A$1,[2]Jun26A!$A$7:$N$7,0))),0)</f>
        <v>0</v>
      </c>
      <c r="H77" s="84">
        <f>IFERROR(SUMIF([2]Jul26A!$A:$A,$A77,INDEX([2]Jul26A!$A:$N,0,MATCH($A$1,[2]Jul26A!$A$7:$N$7,0))),0)</f>
        <v>0</v>
      </c>
      <c r="I77" s="84">
        <f>IFERROR(SUMIF([2]Aug26A!$A:$A,$A77,INDEX([2]Aug26A!$A:$N,0,MATCH($A$1,[2]Aug26A!$A$7:$N$7,0))),0)</f>
        <v>0</v>
      </c>
      <c r="J77" s="117">
        <v>0</v>
      </c>
      <c r="K77" s="117">
        <v>0</v>
      </c>
      <c r="L77" s="117">
        <v>0</v>
      </c>
      <c r="M77" s="117">
        <v>0</v>
      </c>
      <c r="N77" s="84">
        <f t="shared" si="49"/>
        <v>0</v>
      </c>
      <c r="O77" s="105" t="str">
        <f t="shared" si="50"/>
        <v/>
      </c>
      <c r="P77" s="84"/>
      <c r="Q77" s="84"/>
      <c r="R77" s="106" t="s">
        <v>99</v>
      </c>
      <c r="S77" s="107">
        <v>0</v>
      </c>
      <c r="T77" s="108">
        <v>0.05</v>
      </c>
      <c r="U77" s="104">
        <f t="shared" si="57"/>
        <v>0</v>
      </c>
      <c r="V77" s="104">
        <f t="shared" si="57"/>
        <v>0</v>
      </c>
      <c r="W77" s="104">
        <f t="shared" si="57"/>
        <v>0</v>
      </c>
      <c r="X77" s="104">
        <f t="shared" si="57"/>
        <v>0</v>
      </c>
      <c r="Y77" s="104">
        <f t="shared" si="57"/>
        <v>0</v>
      </c>
      <c r="Z77" s="104">
        <f t="shared" si="57"/>
        <v>0</v>
      </c>
      <c r="AA77" s="104">
        <f t="shared" si="57"/>
        <v>0</v>
      </c>
      <c r="AB77" s="104">
        <f t="shared" si="57"/>
        <v>0</v>
      </c>
      <c r="AC77" s="104">
        <f t="shared" si="57"/>
        <v>0</v>
      </c>
      <c r="AD77" s="104">
        <f t="shared" si="57"/>
        <v>0</v>
      </c>
      <c r="AE77" s="104">
        <f t="shared" si="57"/>
        <v>0</v>
      </c>
      <c r="AF77" s="104">
        <f t="shared" si="57"/>
        <v>0</v>
      </c>
      <c r="AG77" s="84">
        <f t="shared" si="51"/>
        <v>0</v>
      </c>
      <c r="AH77" s="105" t="str">
        <f t="shared" si="52"/>
        <v/>
      </c>
      <c r="AJ77" s="84">
        <f t="shared" si="53"/>
        <v>0</v>
      </c>
    </row>
    <row r="78" spans="1:36" x14ac:dyDescent="0.3">
      <c r="A78" s="113" t="s">
        <v>164</v>
      </c>
      <c r="B78" s="84">
        <f>IFERROR(SUMIF([2]Jan26A!$A:$A,$A78,INDEX([2]Jan26A!$A:$N,0,MATCH($A$1,[2]Jan26A!$A$7:$N$7,0))),0)</f>
        <v>0</v>
      </c>
      <c r="C78" s="84">
        <f>IFERROR(SUMIF([2]Feb26A!$A:$A,$A78,INDEX([2]Feb26A!$A:$N,0,MATCH($A$1,[2]Feb26A!$A$7:$N$7,0))),0)</f>
        <v>0</v>
      </c>
      <c r="D78" s="84">
        <f>IFERROR(SUMIF([2]Mar26A!$A:$A,$A78,INDEX([2]Mar26A!$A:$N,0,MATCH($A$1,[2]Mar26A!$A$7:$N$7,0))),0)</f>
        <v>0</v>
      </c>
      <c r="E78" s="84">
        <f>IFERROR(SUMIF([2]Apr26A!$A:$A,$A78,INDEX([2]Apr26A!$A:$N,0,MATCH($A$1,[2]Apr26A!$A$7:$N$7,0))),0)</f>
        <v>0</v>
      </c>
      <c r="F78" s="84">
        <f>IFERROR(SUMIF([2]May26A!$A:$A,$A78,INDEX([2]May26A!$A:$N,0,MATCH($A$1,[2]May26A!$A$7:$N$7,0))),0)</f>
        <v>0</v>
      </c>
      <c r="G78" s="84">
        <f>IFERROR(SUMIF([2]Jun26A!$A:$A,$A78,INDEX([2]Jun26A!$A:$N,0,MATCH($A$1,[2]Jun26A!$A$7:$N$7,0))),0)</f>
        <v>0</v>
      </c>
      <c r="H78" s="84">
        <f>IFERROR(SUMIF([2]Jul26A!$A:$A,$A78,INDEX([2]Jul26A!$A:$N,0,MATCH($A$1,[2]Jul26A!$A$7:$N$7,0))),0)</f>
        <v>0</v>
      </c>
      <c r="I78" s="84">
        <f>IFERROR(SUMIF([2]Aug26A!$A:$A,$A78,INDEX([2]Aug26A!$A:$N,0,MATCH($A$1,[2]Aug26A!$A$7:$N$7,0))),0)</f>
        <v>0</v>
      </c>
      <c r="J78" s="117">
        <v>300</v>
      </c>
      <c r="K78" s="117">
        <v>300</v>
      </c>
      <c r="L78" s="117">
        <v>300</v>
      </c>
      <c r="M78" s="117">
        <v>300</v>
      </c>
      <c r="N78" s="84">
        <f t="shared" si="49"/>
        <v>1200</v>
      </c>
      <c r="O78" s="105" t="str">
        <f t="shared" si="50"/>
        <v/>
      </c>
      <c r="P78" s="84"/>
      <c r="Q78" s="84"/>
      <c r="R78" s="106" t="s">
        <v>99</v>
      </c>
      <c r="S78" s="107">
        <v>0</v>
      </c>
      <c r="T78" s="108">
        <v>0.05</v>
      </c>
      <c r="U78" s="104">
        <f t="shared" si="57"/>
        <v>0</v>
      </c>
      <c r="V78" s="104">
        <f t="shared" si="57"/>
        <v>0</v>
      </c>
      <c r="W78" s="104">
        <f t="shared" si="57"/>
        <v>0</v>
      </c>
      <c r="X78" s="104">
        <f t="shared" si="57"/>
        <v>0</v>
      </c>
      <c r="Y78" s="104">
        <f t="shared" si="57"/>
        <v>0</v>
      </c>
      <c r="Z78" s="104">
        <f t="shared" si="57"/>
        <v>0</v>
      </c>
      <c r="AA78" s="104">
        <f t="shared" si="57"/>
        <v>0</v>
      </c>
      <c r="AB78" s="104">
        <f t="shared" si="57"/>
        <v>0</v>
      </c>
      <c r="AC78" s="104">
        <f t="shared" si="57"/>
        <v>0</v>
      </c>
      <c r="AD78" s="104">
        <f t="shared" si="57"/>
        <v>0</v>
      </c>
      <c r="AE78" s="104">
        <f t="shared" si="57"/>
        <v>0</v>
      </c>
      <c r="AF78" s="104">
        <f t="shared" si="57"/>
        <v>0</v>
      </c>
      <c r="AG78" s="84">
        <f t="shared" si="51"/>
        <v>0</v>
      </c>
      <c r="AH78" s="105" t="str">
        <f t="shared" si="52"/>
        <v/>
      </c>
      <c r="AJ78" s="84">
        <f t="shared" si="53"/>
        <v>1200</v>
      </c>
    </row>
    <row r="79" spans="1:36" x14ac:dyDescent="0.3">
      <c r="A79" s="113" t="s">
        <v>165</v>
      </c>
      <c r="B79" s="84">
        <f>IFERROR(SUMIF([2]Jan26A!$A:$A,$A79,INDEX([2]Jan26A!$A:$N,0,MATCH($A$1,[2]Jan26A!$A$7:$N$7,0))),0)</f>
        <v>0</v>
      </c>
      <c r="C79" s="84">
        <f>IFERROR(SUMIF([2]Feb26A!$A:$A,$A79,INDEX([2]Feb26A!$A:$N,0,MATCH($A$1,[2]Feb26A!$A$7:$N$7,0))),0)</f>
        <v>0</v>
      </c>
      <c r="D79" s="84">
        <f>IFERROR(SUMIF([2]Mar26A!$A:$A,$A79,INDEX([2]Mar26A!$A:$N,0,MATCH($A$1,[2]Mar26A!$A$7:$N$7,0))),0)</f>
        <v>0</v>
      </c>
      <c r="E79" s="84">
        <f>IFERROR(SUMIF([2]Apr26A!$A:$A,$A79,INDEX([2]Apr26A!$A:$N,0,MATCH($A$1,[2]Apr26A!$A$7:$N$7,0))),0)</f>
        <v>0</v>
      </c>
      <c r="F79" s="84">
        <f>IFERROR(SUMIF([2]May26A!$A:$A,$A79,INDEX([2]May26A!$A:$N,0,MATCH($A$1,[2]May26A!$A$7:$N$7,0))),0)</f>
        <v>0</v>
      </c>
      <c r="G79" s="84">
        <f>IFERROR(SUMIF([2]Jun26A!$A:$A,$A79,INDEX([2]Jun26A!$A:$N,0,MATCH($A$1,[2]Jun26A!$A$7:$N$7,0))),0)</f>
        <v>0</v>
      </c>
      <c r="H79" s="84">
        <f>IFERROR(SUMIF([2]Jul26A!$A:$A,$A79,INDEX([2]Jul26A!$A:$N,0,MATCH($A$1,[2]Jul26A!$A$7:$N$7,0))),0)</f>
        <v>0</v>
      </c>
      <c r="I79" s="84">
        <f>IFERROR(SUMIF([2]Aug26A!$A:$A,$A79,INDEX([2]Aug26A!$A:$N,0,MATCH($A$1,[2]Aug26A!$A$7:$N$7,0))),0)</f>
        <v>0</v>
      </c>
      <c r="J79" s="117">
        <v>0</v>
      </c>
      <c r="K79" s="117">
        <v>0</v>
      </c>
      <c r="L79" s="117">
        <v>0</v>
      </c>
      <c r="M79" s="117">
        <v>0</v>
      </c>
      <c r="N79" s="84">
        <f t="shared" si="49"/>
        <v>0</v>
      </c>
      <c r="O79" s="105" t="str">
        <f t="shared" si="50"/>
        <v/>
      </c>
      <c r="P79" s="84"/>
      <c r="Q79" s="84"/>
      <c r="R79" s="106" t="s">
        <v>99</v>
      </c>
      <c r="S79" s="107">
        <v>0</v>
      </c>
      <c r="T79" s="108">
        <v>0.05</v>
      </c>
      <c r="U79" s="104">
        <f t="shared" si="57"/>
        <v>0</v>
      </c>
      <c r="V79" s="104">
        <f t="shared" si="57"/>
        <v>0</v>
      </c>
      <c r="W79" s="104">
        <f t="shared" si="57"/>
        <v>0</v>
      </c>
      <c r="X79" s="104">
        <f t="shared" si="57"/>
        <v>0</v>
      </c>
      <c r="Y79" s="104">
        <f t="shared" si="57"/>
        <v>0</v>
      </c>
      <c r="Z79" s="104">
        <f t="shared" si="57"/>
        <v>0</v>
      </c>
      <c r="AA79" s="104">
        <f t="shared" si="57"/>
        <v>0</v>
      </c>
      <c r="AB79" s="104">
        <f t="shared" si="57"/>
        <v>0</v>
      </c>
      <c r="AC79" s="104">
        <f t="shared" si="57"/>
        <v>0</v>
      </c>
      <c r="AD79" s="104">
        <f t="shared" si="57"/>
        <v>0</v>
      </c>
      <c r="AE79" s="104">
        <f t="shared" si="57"/>
        <v>0</v>
      </c>
      <c r="AF79" s="104">
        <f t="shared" si="57"/>
        <v>0</v>
      </c>
      <c r="AG79" s="84">
        <f t="shared" si="51"/>
        <v>0</v>
      </c>
      <c r="AH79" s="105" t="str">
        <f t="shared" si="52"/>
        <v/>
      </c>
      <c r="AJ79" s="84">
        <f t="shared" si="53"/>
        <v>0</v>
      </c>
    </row>
    <row r="80" spans="1:36" x14ac:dyDescent="0.3">
      <c r="A80" s="113" t="s">
        <v>166</v>
      </c>
      <c r="B80" s="84">
        <f>IFERROR(SUMIF([2]Jan26A!$A:$A,$A80,INDEX([2]Jan26A!$A:$N,0,MATCH($A$1,[2]Jan26A!$A$7:$N$7,0))),0)</f>
        <v>34.99</v>
      </c>
      <c r="C80" s="84">
        <f>IFERROR(SUMIF([2]Feb26A!$A:$A,$A80,INDEX([2]Feb26A!$A:$N,0,MATCH($A$1,[2]Feb26A!$A$7:$N$7,0))),0)</f>
        <v>60</v>
      </c>
      <c r="D80" s="84">
        <f>IFERROR(SUMIF([2]Mar26A!$A:$A,$A80,INDEX([2]Mar26A!$A:$N,0,MATCH($A$1,[2]Mar26A!$A$7:$N$7,0))),0)</f>
        <v>220</v>
      </c>
      <c r="E80" s="84">
        <f>IFERROR(SUMIF([2]Apr26A!$A:$A,$A80,INDEX([2]Apr26A!$A:$N,0,MATCH($A$1,[2]Apr26A!$A$7:$N$7,0))),0)</f>
        <v>240</v>
      </c>
      <c r="F80" s="84">
        <f>IFERROR(SUMIF([2]May26A!$A:$A,$A80,INDEX([2]May26A!$A:$N,0,MATCH($A$1,[2]May26A!$A$7:$N$7,0))),0)</f>
        <v>34.99</v>
      </c>
      <c r="G80" s="84">
        <f>IFERROR(SUMIF([2]Jun26A!$A:$A,$A80,INDEX([2]Jun26A!$A:$N,0,MATCH($A$1,[2]Jun26A!$A$7:$N$7,0))),0)</f>
        <v>0</v>
      </c>
      <c r="H80" s="84">
        <f>IFERROR(SUMIF([2]Jul26A!$A:$A,$A80,INDEX([2]Jul26A!$A:$N,0,MATCH($A$1,[2]Jul26A!$A$7:$N$7,0))),0)</f>
        <v>0</v>
      </c>
      <c r="I80" s="84">
        <f>IFERROR(SUMIF([2]Aug26A!$A:$A,$A80,INDEX([2]Aug26A!$A:$N,0,MATCH($A$1,[2]Aug26A!$A$7:$N$7,0))),0)</f>
        <v>0</v>
      </c>
      <c r="J80" s="117">
        <v>150</v>
      </c>
      <c r="K80" s="117">
        <v>150</v>
      </c>
      <c r="L80" s="117">
        <v>150</v>
      </c>
      <c r="M80" s="117">
        <v>150</v>
      </c>
      <c r="N80" s="84">
        <f t="shared" si="49"/>
        <v>1189.98</v>
      </c>
      <c r="O80" s="105" t="str">
        <f t="shared" si="50"/>
        <v/>
      </c>
      <c r="P80" s="84"/>
      <c r="Q80" s="84"/>
      <c r="R80" s="106" t="s">
        <v>99</v>
      </c>
      <c r="S80" s="107">
        <v>0</v>
      </c>
      <c r="T80" s="108">
        <v>0.05</v>
      </c>
      <c r="U80" s="104">
        <f t="shared" si="57"/>
        <v>0</v>
      </c>
      <c r="V80" s="104">
        <f t="shared" si="57"/>
        <v>0</v>
      </c>
      <c r="W80" s="104">
        <f t="shared" si="57"/>
        <v>0</v>
      </c>
      <c r="X80" s="104">
        <f t="shared" si="57"/>
        <v>0</v>
      </c>
      <c r="Y80" s="104">
        <f t="shared" si="57"/>
        <v>0</v>
      </c>
      <c r="Z80" s="104">
        <f t="shared" si="57"/>
        <v>0</v>
      </c>
      <c r="AA80" s="104">
        <f t="shared" si="57"/>
        <v>0</v>
      </c>
      <c r="AB80" s="104">
        <f t="shared" si="57"/>
        <v>0</v>
      </c>
      <c r="AC80" s="104">
        <f t="shared" si="57"/>
        <v>0</v>
      </c>
      <c r="AD80" s="104">
        <f t="shared" si="57"/>
        <v>0</v>
      </c>
      <c r="AE80" s="104">
        <f t="shared" si="57"/>
        <v>0</v>
      </c>
      <c r="AF80" s="104">
        <f t="shared" si="57"/>
        <v>0</v>
      </c>
      <c r="AG80" s="84">
        <f t="shared" si="51"/>
        <v>0</v>
      </c>
      <c r="AH80" s="105" t="str">
        <f t="shared" si="52"/>
        <v/>
      </c>
      <c r="AJ80" s="84">
        <f t="shared" si="53"/>
        <v>1189.98</v>
      </c>
    </row>
    <row r="81" spans="1:36" x14ac:dyDescent="0.3">
      <c r="A81" s="102" t="s">
        <v>167</v>
      </c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105"/>
      <c r="P81" s="84"/>
      <c r="Q81" s="84"/>
      <c r="R81" s="112"/>
      <c r="S81" s="112"/>
      <c r="T81" s="112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105"/>
      <c r="AJ81" s="84"/>
    </row>
    <row r="82" spans="1:36" x14ac:dyDescent="0.3">
      <c r="A82" s="103" t="s">
        <v>168</v>
      </c>
      <c r="B82" s="84">
        <f>IFERROR(SUMIF([2]Jan26A!$A:$A,$A82,INDEX([2]Jan26A!$A:$N,0,MATCH($A$1,[2]Jan26A!$A$7:$N$7,0))),0)</f>
        <v>0</v>
      </c>
      <c r="C82" s="84">
        <f>IFERROR(SUMIF([2]Feb26A!$A:$A,$A82,INDEX([2]Feb26A!$A:$N,0,MATCH($A$1,[2]Feb26A!$A$7:$N$7,0))),0)</f>
        <v>0</v>
      </c>
      <c r="D82" s="84">
        <f>IFERROR(SUMIF([2]Mar26A!$A:$A,$A82,INDEX([2]Mar26A!$A:$N,0,MATCH($A$1,[2]Mar26A!$A$7:$N$7,0))),0)</f>
        <v>0</v>
      </c>
      <c r="E82" s="84">
        <f>IFERROR(SUMIF([2]Apr26A!$A:$A,$A82,INDEX([2]Apr26A!$A:$N,0,MATCH($A$1,[2]Apr26A!$A$7:$N$7,0))),0)</f>
        <v>0</v>
      </c>
      <c r="F82" s="84">
        <f>IFERROR(SUMIF([2]May26A!$A:$A,$A82,INDEX([2]May26A!$A:$N,0,MATCH($A$1,[2]May26A!$A$7:$N$7,0))),0)</f>
        <v>0</v>
      </c>
      <c r="G82" s="84">
        <f>IFERROR(SUMIF([2]Jun26A!$A:$A,$A82,INDEX([2]Jun26A!$A:$N,0,MATCH($A$1,[2]Jun26A!$A$7:$N$7,0))),0)</f>
        <v>0</v>
      </c>
      <c r="H82" s="84">
        <f>IFERROR(SUMIF([2]Jul26A!$A:$A,$A82,INDEX([2]Jul26A!$A:$N,0,MATCH($A$1,[2]Jul26A!$A$7:$N$7,0))),0)</f>
        <v>0</v>
      </c>
      <c r="I82" s="84">
        <f>IFERROR(SUMIF([2]Aug26A!$A:$A,$A82,INDEX([2]Aug26A!$A:$N,0,MATCH($A$1,[2]Aug26A!$A$7:$N$7,0))),0)</f>
        <v>0</v>
      </c>
      <c r="J82" s="117">
        <v>0</v>
      </c>
      <c r="K82" s="117">
        <v>0</v>
      </c>
      <c r="L82" s="117">
        <v>0</v>
      </c>
      <c r="M82" s="117">
        <v>0</v>
      </c>
      <c r="N82" s="84">
        <f t="shared" ref="N82:N117" si="58">SUM(B82:M82)</f>
        <v>0</v>
      </c>
      <c r="O82" s="105" t="str">
        <f t="shared" ref="O82:O116" si="59">IFERROR(N82/N$16,"")</f>
        <v/>
      </c>
      <c r="P82" s="84"/>
      <c r="Q82" s="84"/>
      <c r="R82" s="106" t="s">
        <v>99</v>
      </c>
      <c r="S82" s="107">
        <v>0</v>
      </c>
      <c r="T82" s="108">
        <v>0.05</v>
      </c>
      <c r="U82" s="104">
        <f t="shared" ref="U82:AF86" si="60">IF($R82="Manual","",IFERROR(IF($R82="YOY Growth",$N82*(1+$T82)/12,$S82/12),""))</f>
        <v>0</v>
      </c>
      <c r="V82" s="104">
        <f t="shared" si="60"/>
        <v>0</v>
      </c>
      <c r="W82" s="104">
        <f t="shared" si="60"/>
        <v>0</v>
      </c>
      <c r="X82" s="104">
        <f t="shared" si="60"/>
        <v>0</v>
      </c>
      <c r="Y82" s="104">
        <f t="shared" si="60"/>
        <v>0</v>
      </c>
      <c r="Z82" s="104">
        <f t="shared" si="60"/>
        <v>0</v>
      </c>
      <c r="AA82" s="104">
        <f t="shared" si="60"/>
        <v>0</v>
      </c>
      <c r="AB82" s="104">
        <f t="shared" si="60"/>
        <v>0</v>
      </c>
      <c r="AC82" s="104">
        <f t="shared" si="60"/>
        <v>0</v>
      </c>
      <c r="AD82" s="104">
        <f t="shared" si="60"/>
        <v>0</v>
      </c>
      <c r="AE82" s="104">
        <f t="shared" si="60"/>
        <v>0</v>
      </c>
      <c r="AF82" s="104">
        <f t="shared" si="60"/>
        <v>0</v>
      </c>
      <c r="AG82" s="84">
        <f t="shared" ref="AG82:AG117" si="61">SUM(U82:AF82)</f>
        <v>0</v>
      </c>
      <c r="AH82" s="105" t="str">
        <f t="shared" ref="AH82:AH116" si="62">IFERROR(AG82/AG$16,"")</f>
        <v/>
      </c>
      <c r="AJ82" s="84">
        <f t="shared" ref="AJ82:AJ116" si="63">N82-AG82</f>
        <v>0</v>
      </c>
    </row>
    <row r="83" spans="1:36" x14ac:dyDescent="0.3">
      <c r="A83" s="103" t="s">
        <v>169</v>
      </c>
      <c r="B83" s="84">
        <f>IFERROR(SUMIF([2]Jan26A!$A:$A,$A83,INDEX([2]Jan26A!$A:$N,0,MATCH($A$1,[2]Jan26A!$A$7:$N$7,0))),0)</f>
        <v>0</v>
      </c>
      <c r="C83" s="84">
        <f>IFERROR(SUMIF([2]Feb26A!$A:$A,$A83,INDEX([2]Feb26A!$A:$N,0,MATCH($A$1,[2]Feb26A!$A$7:$N$7,0))),0)</f>
        <v>0</v>
      </c>
      <c r="D83" s="84">
        <f>IFERROR(SUMIF([2]Mar26A!$A:$A,$A83,INDEX([2]Mar26A!$A:$N,0,MATCH($A$1,[2]Mar26A!$A$7:$N$7,0))),0)</f>
        <v>0</v>
      </c>
      <c r="E83" s="84">
        <f>IFERROR(SUMIF([2]Apr26A!$A:$A,$A83,INDEX([2]Apr26A!$A:$N,0,MATCH($A$1,[2]Apr26A!$A$7:$N$7,0))),0)</f>
        <v>0</v>
      </c>
      <c r="F83" s="84">
        <f>IFERROR(SUMIF([2]May26A!$A:$A,$A83,INDEX([2]May26A!$A:$N,0,MATCH($A$1,[2]May26A!$A$7:$N$7,0))),0)</f>
        <v>0</v>
      </c>
      <c r="G83" s="84">
        <f>IFERROR(SUMIF([2]Jun26A!$A:$A,$A83,INDEX([2]Jun26A!$A:$N,0,MATCH($A$1,[2]Jun26A!$A$7:$N$7,0))),0)</f>
        <v>0</v>
      </c>
      <c r="H83" s="84">
        <f>IFERROR(SUMIF([2]Jul26A!$A:$A,$A83,INDEX([2]Jul26A!$A:$N,0,MATCH($A$1,[2]Jul26A!$A$7:$N$7,0))),0)</f>
        <v>0</v>
      </c>
      <c r="I83" s="84">
        <f>IFERROR(SUMIF([2]Aug26A!$A:$A,$A83,INDEX([2]Aug26A!$A:$N,0,MATCH($A$1,[2]Aug26A!$A$7:$N$7,0))),0)</f>
        <v>0</v>
      </c>
      <c r="J83" s="117">
        <v>0</v>
      </c>
      <c r="K83" s="117">
        <v>0</v>
      </c>
      <c r="L83" s="117">
        <v>0</v>
      </c>
      <c r="M83" s="117">
        <v>0</v>
      </c>
      <c r="N83" s="84">
        <f t="shared" si="58"/>
        <v>0</v>
      </c>
      <c r="O83" s="105" t="str">
        <f t="shared" si="59"/>
        <v/>
      </c>
      <c r="P83" s="84"/>
      <c r="Q83" s="84"/>
      <c r="R83" s="106" t="s">
        <v>99</v>
      </c>
      <c r="S83" s="107">
        <v>0</v>
      </c>
      <c r="T83" s="108">
        <v>0.05</v>
      </c>
      <c r="U83" s="104">
        <f t="shared" si="60"/>
        <v>0</v>
      </c>
      <c r="V83" s="104">
        <f t="shared" si="60"/>
        <v>0</v>
      </c>
      <c r="W83" s="104">
        <f t="shared" si="60"/>
        <v>0</v>
      </c>
      <c r="X83" s="104">
        <f t="shared" si="60"/>
        <v>0</v>
      </c>
      <c r="Y83" s="104">
        <f t="shared" si="60"/>
        <v>0</v>
      </c>
      <c r="Z83" s="104">
        <f t="shared" si="60"/>
        <v>0</v>
      </c>
      <c r="AA83" s="104">
        <f t="shared" si="60"/>
        <v>0</v>
      </c>
      <c r="AB83" s="104">
        <f t="shared" si="60"/>
        <v>0</v>
      </c>
      <c r="AC83" s="104">
        <f t="shared" si="60"/>
        <v>0</v>
      </c>
      <c r="AD83" s="104">
        <f t="shared" si="60"/>
        <v>0</v>
      </c>
      <c r="AE83" s="104">
        <f t="shared" si="60"/>
        <v>0</v>
      </c>
      <c r="AF83" s="104">
        <f t="shared" si="60"/>
        <v>0</v>
      </c>
      <c r="AG83" s="84">
        <f t="shared" si="61"/>
        <v>0</v>
      </c>
      <c r="AH83" s="105" t="str">
        <f t="shared" si="62"/>
        <v/>
      </c>
      <c r="AJ83" s="84">
        <f t="shared" si="63"/>
        <v>0</v>
      </c>
    </row>
    <row r="84" spans="1:36" x14ac:dyDescent="0.3">
      <c r="A84" s="103" t="s">
        <v>170</v>
      </c>
      <c r="B84" s="84">
        <f>IFERROR(SUMIF([2]Jan26A!$A:$A,$A84,INDEX([2]Jan26A!$A:$N,0,MATCH($A$1,[2]Jan26A!$A$7:$N$7,0))),0)</f>
        <v>0</v>
      </c>
      <c r="C84" s="84">
        <f>IFERROR(SUMIF([2]Feb26A!$A:$A,$A84,INDEX([2]Feb26A!$A:$N,0,MATCH($A$1,[2]Feb26A!$A$7:$N$7,0))),0)</f>
        <v>0</v>
      </c>
      <c r="D84" s="84">
        <f>IFERROR(SUMIF([2]Mar26A!$A:$A,$A84,INDEX([2]Mar26A!$A:$N,0,MATCH($A$1,[2]Mar26A!$A$7:$N$7,0))),0)</f>
        <v>0</v>
      </c>
      <c r="E84" s="84">
        <f>IFERROR(SUMIF([2]Apr26A!$A:$A,$A84,INDEX([2]Apr26A!$A:$N,0,MATCH($A$1,[2]Apr26A!$A$7:$N$7,0))),0)</f>
        <v>0</v>
      </c>
      <c r="F84" s="84">
        <f>IFERROR(SUMIF([2]May26A!$A:$A,$A84,INDEX([2]May26A!$A:$N,0,MATCH($A$1,[2]May26A!$A$7:$N$7,0))),0)</f>
        <v>0</v>
      </c>
      <c r="G84" s="84">
        <f>IFERROR(SUMIF([2]Jun26A!$A:$A,$A84,INDEX([2]Jun26A!$A:$N,0,MATCH($A$1,[2]Jun26A!$A$7:$N$7,0))),0)</f>
        <v>0</v>
      </c>
      <c r="H84" s="84">
        <f>IFERROR(SUMIF([2]Jul26A!$A:$A,$A84,INDEX([2]Jul26A!$A:$N,0,MATCH($A$1,[2]Jul26A!$A$7:$N$7,0))),0)</f>
        <v>0</v>
      </c>
      <c r="I84" s="84">
        <f>IFERROR(SUMIF([2]Aug26A!$A:$A,$A84,INDEX([2]Aug26A!$A:$N,0,MATCH($A$1,[2]Aug26A!$A$7:$N$7,0))),0)</f>
        <v>0</v>
      </c>
      <c r="J84" s="117">
        <v>0</v>
      </c>
      <c r="K84" s="117">
        <v>0</v>
      </c>
      <c r="L84" s="117">
        <v>0</v>
      </c>
      <c r="M84" s="117">
        <v>0</v>
      </c>
      <c r="N84" s="84">
        <f t="shared" si="58"/>
        <v>0</v>
      </c>
      <c r="O84" s="105" t="str">
        <f t="shared" si="59"/>
        <v/>
      </c>
      <c r="P84" s="84"/>
      <c r="Q84" s="84"/>
      <c r="R84" s="106" t="s">
        <v>99</v>
      </c>
      <c r="S84" s="107">
        <v>0</v>
      </c>
      <c r="T84" s="108">
        <v>0.05</v>
      </c>
      <c r="U84" s="104">
        <f t="shared" si="60"/>
        <v>0</v>
      </c>
      <c r="V84" s="104">
        <f t="shared" si="60"/>
        <v>0</v>
      </c>
      <c r="W84" s="104">
        <f t="shared" si="60"/>
        <v>0</v>
      </c>
      <c r="X84" s="104">
        <f t="shared" si="60"/>
        <v>0</v>
      </c>
      <c r="Y84" s="104">
        <f t="shared" si="60"/>
        <v>0</v>
      </c>
      <c r="Z84" s="104">
        <f t="shared" si="60"/>
        <v>0</v>
      </c>
      <c r="AA84" s="104">
        <f t="shared" si="60"/>
        <v>0</v>
      </c>
      <c r="AB84" s="104">
        <f t="shared" si="60"/>
        <v>0</v>
      </c>
      <c r="AC84" s="104">
        <f t="shared" si="60"/>
        <v>0</v>
      </c>
      <c r="AD84" s="104">
        <f t="shared" si="60"/>
        <v>0</v>
      </c>
      <c r="AE84" s="104">
        <f t="shared" si="60"/>
        <v>0</v>
      </c>
      <c r="AF84" s="104">
        <f t="shared" si="60"/>
        <v>0</v>
      </c>
      <c r="AG84" s="84">
        <f t="shared" si="61"/>
        <v>0</v>
      </c>
      <c r="AH84" s="105" t="str">
        <f t="shared" si="62"/>
        <v/>
      </c>
      <c r="AJ84" s="84">
        <f t="shared" si="63"/>
        <v>0</v>
      </c>
    </row>
    <row r="85" spans="1:36" x14ac:dyDescent="0.3">
      <c r="A85" s="103" t="s">
        <v>171</v>
      </c>
      <c r="B85" s="84">
        <f>IFERROR(SUMIF([2]Jan26A!$A:$A,$A85,INDEX([2]Jan26A!$A:$N,0,MATCH($A$1,[2]Jan26A!$A$7:$N$7,0))),0)</f>
        <v>0</v>
      </c>
      <c r="C85" s="84">
        <f>IFERROR(SUMIF([2]Feb26A!$A:$A,$A85,INDEX([2]Feb26A!$A:$N,0,MATCH($A$1,[2]Feb26A!$A$7:$N$7,0))),0)</f>
        <v>0</v>
      </c>
      <c r="D85" s="84">
        <f>IFERROR(SUMIF([2]Mar26A!$A:$A,$A85,INDEX([2]Mar26A!$A:$N,0,MATCH($A$1,[2]Mar26A!$A$7:$N$7,0))),0)</f>
        <v>0</v>
      </c>
      <c r="E85" s="84">
        <f>IFERROR(SUMIF([2]Apr26A!$A:$A,$A85,INDEX([2]Apr26A!$A:$N,0,MATCH($A$1,[2]Apr26A!$A$7:$N$7,0))),0)</f>
        <v>0</v>
      </c>
      <c r="F85" s="84">
        <f>IFERROR(SUMIF([2]May26A!$A:$A,$A85,INDEX([2]May26A!$A:$N,0,MATCH($A$1,[2]May26A!$A$7:$N$7,0))),0)</f>
        <v>0</v>
      </c>
      <c r="G85" s="84">
        <f>IFERROR(SUMIF([2]Jun26A!$A:$A,$A85,INDEX([2]Jun26A!$A:$N,0,MATCH($A$1,[2]Jun26A!$A$7:$N$7,0))),0)</f>
        <v>0</v>
      </c>
      <c r="H85" s="84">
        <f>IFERROR(SUMIF([2]Jul26A!$A:$A,$A85,INDEX([2]Jul26A!$A:$N,0,MATCH($A$1,[2]Jul26A!$A$7:$N$7,0))),0)</f>
        <v>0</v>
      </c>
      <c r="I85" s="84">
        <f>IFERROR(SUMIF([2]Aug26A!$A:$A,$A85,INDEX([2]Aug26A!$A:$N,0,MATCH($A$1,[2]Aug26A!$A$7:$N$7,0))),0)</f>
        <v>0</v>
      </c>
      <c r="J85" s="117">
        <v>0</v>
      </c>
      <c r="K85" s="117">
        <v>0</v>
      </c>
      <c r="L85" s="117">
        <v>0</v>
      </c>
      <c r="M85" s="117">
        <v>0</v>
      </c>
      <c r="N85" s="84">
        <f t="shared" si="58"/>
        <v>0</v>
      </c>
      <c r="O85" s="105" t="str">
        <f t="shared" si="59"/>
        <v/>
      </c>
      <c r="P85" s="84"/>
      <c r="Q85" s="84"/>
      <c r="R85" s="106" t="s">
        <v>99</v>
      </c>
      <c r="S85" s="107">
        <v>0</v>
      </c>
      <c r="T85" s="108">
        <v>0.05</v>
      </c>
      <c r="U85" s="104">
        <f t="shared" si="60"/>
        <v>0</v>
      </c>
      <c r="V85" s="104">
        <f t="shared" si="60"/>
        <v>0</v>
      </c>
      <c r="W85" s="104">
        <f t="shared" si="60"/>
        <v>0</v>
      </c>
      <c r="X85" s="104">
        <f t="shared" si="60"/>
        <v>0</v>
      </c>
      <c r="Y85" s="104">
        <f t="shared" si="60"/>
        <v>0</v>
      </c>
      <c r="Z85" s="104">
        <f t="shared" si="60"/>
        <v>0</v>
      </c>
      <c r="AA85" s="104">
        <f t="shared" si="60"/>
        <v>0</v>
      </c>
      <c r="AB85" s="104">
        <f t="shared" si="60"/>
        <v>0</v>
      </c>
      <c r="AC85" s="104">
        <f t="shared" si="60"/>
        <v>0</v>
      </c>
      <c r="AD85" s="104">
        <f t="shared" si="60"/>
        <v>0</v>
      </c>
      <c r="AE85" s="104">
        <f t="shared" si="60"/>
        <v>0</v>
      </c>
      <c r="AF85" s="104">
        <f t="shared" si="60"/>
        <v>0</v>
      </c>
      <c r="AG85" s="84">
        <f t="shared" si="61"/>
        <v>0</v>
      </c>
      <c r="AH85" s="105" t="str">
        <f t="shared" si="62"/>
        <v/>
      </c>
      <c r="AJ85" s="84">
        <f t="shared" si="63"/>
        <v>0</v>
      </c>
    </row>
    <row r="86" spans="1:36" x14ac:dyDescent="0.3">
      <c r="A86" s="103" t="s">
        <v>172</v>
      </c>
      <c r="B86" s="84">
        <f>IFERROR(SUMIF([2]Jan26A!$A:$A,$A86,INDEX([2]Jan26A!$A:$N,0,MATCH($A$1,[2]Jan26A!$A$7:$N$7,0))),0)</f>
        <v>0</v>
      </c>
      <c r="C86" s="84">
        <f>IFERROR(SUMIF([2]Feb26A!$A:$A,$A86,INDEX([2]Feb26A!$A:$N,0,MATCH($A$1,[2]Feb26A!$A$7:$N$7,0))),0)</f>
        <v>0</v>
      </c>
      <c r="D86" s="84">
        <f>IFERROR(SUMIF([2]Mar26A!$A:$A,$A86,INDEX([2]Mar26A!$A:$N,0,MATCH($A$1,[2]Mar26A!$A$7:$N$7,0))),0)</f>
        <v>0</v>
      </c>
      <c r="E86" s="84">
        <f>IFERROR(SUMIF([2]Apr26A!$A:$A,$A86,INDEX([2]Apr26A!$A:$N,0,MATCH($A$1,[2]Apr26A!$A$7:$N$7,0))),0)</f>
        <v>0</v>
      </c>
      <c r="F86" s="84">
        <f>IFERROR(SUMIF([2]May26A!$A:$A,$A86,INDEX([2]May26A!$A:$N,0,MATCH($A$1,[2]May26A!$A$7:$N$7,0))),0)</f>
        <v>0</v>
      </c>
      <c r="G86" s="84">
        <f>IFERROR(SUMIF([2]Jun26A!$A:$A,$A86,INDEX([2]Jun26A!$A:$N,0,MATCH($A$1,[2]Jun26A!$A$7:$N$7,0))),0)</f>
        <v>0</v>
      </c>
      <c r="H86" s="84">
        <f>IFERROR(SUMIF([2]Jul26A!$A:$A,$A86,INDEX([2]Jul26A!$A:$N,0,MATCH($A$1,[2]Jul26A!$A$7:$N$7,0))),0)</f>
        <v>0</v>
      </c>
      <c r="I86" s="84">
        <f>IFERROR(SUMIF([2]Aug26A!$A:$A,$A86,INDEX([2]Aug26A!$A:$N,0,MATCH($A$1,[2]Aug26A!$A$7:$N$7,0))),0)</f>
        <v>0</v>
      </c>
      <c r="J86" s="117">
        <v>0</v>
      </c>
      <c r="K86" s="117">
        <v>0</v>
      </c>
      <c r="L86" s="117">
        <v>0</v>
      </c>
      <c r="M86" s="117">
        <v>0</v>
      </c>
      <c r="N86" s="84">
        <f t="shared" si="58"/>
        <v>0</v>
      </c>
      <c r="O86" s="105" t="str">
        <f t="shared" si="59"/>
        <v/>
      </c>
      <c r="P86" s="84"/>
      <c r="Q86" s="84"/>
      <c r="R86" s="106" t="s">
        <v>99</v>
      </c>
      <c r="S86" s="107">
        <v>0</v>
      </c>
      <c r="T86" s="108">
        <v>0.05</v>
      </c>
      <c r="U86" s="104">
        <f t="shared" si="60"/>
        <v>0</v>
      </c>
      <c r="V86" s="104">
        <f t="shared" si="60"/>
        <v>0</v>
      </c>
      <c r="W86" s="104">
        <f t="shared" si="60"/>
        <v>0</v>
      </c>
      <c r="X86" s="104">
        <f t="shared" si="60"/>
        <v>0</v>
      </c>
      <c r="Y86" s="104">
        <f t="shared" si="60"/>
        <v>0</v>
      </c>
      <c r="Z86" s="104">
        <f t="shared" si="60"/>
        <v>0</v>
      </c>
      <c r="AA86" s="104">
        <f t="shared" si="60"/>
        <v>0</v>
      </c>
      <c r="AB86" s="104">
        <f t="shared" si="60"/>
        <v>0</v>
      </c>
      <c r="AC86" s="104">
        <f t="shared" si="60"/>
        <v>0</v>
      </c>
      <c r="AD86" s="104">
        <f t="shared" si="60"/>
        <v>0</v>
      </c>
      <c r="AE86" s="104">
        <f t="shared" si="60"/>
        <v>0</v>
      </c>
      <c r="AF86" s="104">
        <f t="shared" si="60"/>
        <v>0</v>
      </c>
      <c r="AG86" s="84">
        <f t="shared" si="61"/>
        <v>0</v>
      </c>
      <c r="AH86" s="105" t="str">
        <f t="shared" si="62"/>
        <v/>
      </c>
      <c r="AJ86" s="84">
        <f t="shared" si="63"/>
        <v>0</v>
      </c>
    </row>
    <row r="87" spans="1:36" x14ac:dyDescent="0.3">
      <c r="A87" s="109" t="s">
        <v>173</v>
      </c>
      <c r="B87" s="110">
        <f t="shared" ref="B87:M87" si="64">SUM(B82:B86)</f>
        <v>0</v>
      </c>
      <c r="C87" s="110">
        <f t="shared" si="64"/>
        <v>0</v>
      </c>
      <c r="D87" s="110">
        <f t="shared" si="64"/>
        <v>0</v>
      </c>
      <c r="E87" s="110">
        <f t="shared" si="64"/>
        <v>0</v>
      </c>
      <c r="F87" s="110">
        <f t="shared" si="64"/>
        <v>0</v>
      </c>
      <c r="G87" s="110">
        <f t="shared" si="64"/>
        <v>0</v>
      </c>
      <c r="H87" s="110">
        <f t="shared" si="64"/>
        <v>0</v>
      </c>
      <c r="I87" s="110">
        <f t="shared" si="64"/>
        <v>0</v>
      </c>
      <c r="J87" s="110">
        <f t="shared" si="64"/>
        <v>0</v>
      </c>
      <c r="K87" s="110">
        <f t="shared" si="64"/>
        <v>0</v>
      </c>
      <c r="L87" s="110">
        <f t="shared" si="64"/>
        <v>0</v>
      </c>
      <c r="M87" s="110">
        <f t="shared" si="64"/>
        <v>0</v>
      </c>
      <c r="N87" s="110">
        <f t="shared" si="58"/>
        <v>0</v>
      </c>
      <c r="O87" s="111" t="str">
        <f t="shared" si="59"/>
        <v/>
      </c>
      <c r="P87" s="84"/>
      <c r="Q87" s="84"/>
      <c r="R87" s="112"/>
      <c r="S87" s="112"/>
      <c r="T87" s="112"/>
      <c r="U87" s="110">
        <f t="shared" ref="U87:AF87" si="65">SUM(U82:U86)</f>
        <v>0</v>
      </c>
      <c r="V87" s="110">
        <f t="shared" si="65"/>
        <v>0</v>
      </c>
      <c r="W87" s="110">
        <f t="shared" si="65"/>
        <v>0</v>
      </c>
      <c r="X87" s="110">
        <f t="shared" si="65"/>
        <v>0</v>
      </c>
      <c r="Y87" s="110">
        <f t="shared" si="65"/>
        <v>0</v>
      </c>
      <c r="Z87" s="110">
        <f t="shared" si="65"/>
        <v>0</v>
      </c>
      <c r="AA87" s="110">
        <f t="shared" si="65"/>
        <v>0</v>
      </c>
      <c r="AB87" s="110">
        <f t="shared" si="65"/>
        <v>0</v>
      </c>
      <c r="AC87" s="110">
        <f t="shared" si="65"/>
        <v>0</v>
      </c>
      <c r="AD87" s="110">
        <f t="shared" si="65"/>
        <v>0</v>
      </c>
      <c r="AE87" s="110">
        <f t="shared" si="65"/>
        <v>0</v>
      </c>
      <c r="AF87" s="110">
        <f t="shared" si="65"/>
        <v>0</v>
      </c>
      <c r="AG87" s="110">
        <f t="shared" si="61"/>
        <v>0</v>
      </c>
      <c r="AH87" s="111" t="str">
        <f t="shared" si="62"/>
        <v/>
      </c>
      <c r="AJ87" s="110">
        <f t="shared" si="63"/>
        <v>0</v>
      </c>
    </row>
    <row r="88" spans="1:36" x14ac:dyDescent="0.3">
      <c r="A88" s="113" t="s">
        <v>174</v>
      </c>
      <c r="B88" s="84">
        <f>IFERROR(SUMIF([2]Jan26A!$A:$A,$A88,INDEX([2]Jan26A!$A:$N,0,MATCH($A$1,[2]Jan26A!$A$7:$N$7,0))),0)</f>
        <v>0</v>
      </c>
      <c r="C88" s="84">
        <f>IFERROR(SUMIF([2]Feb26A!$A:$A,$A88,INDEX([2]Feb26A!$A:$N,0,MATCH($A$1,[2]Feb26A!$A$7:$N$7,0))),0)</f>
        <v>0</v>
      </c>
      <c r="D88" s="84">
        <f>IFERROR(SUMIF([2]Mar26A!$A:$A,$A88,INDEX([2]Mar26A!$A:$N,0,MATCH($A$1,[2]Mar26A!$A$7:$N$7,0))),0)</f>
        <v>0</v>
      </c>
      <c r="E88" s="84">
        <f>IFERROR(SUMIF([2]Apr26A!$A:$A,$A88,INDEX([2]Apr26A!$A:$N,0,MATCH($A$1,[2]Apr26A!$A$7:$N$7,0))),0)</f>
        <v>0</v>
      </c>
      <c r="F88" s="84">
        <f>IFERROR(SUMIF([2]May26A!$A:$A,$A88,INDEX([2]May26A!$A:$N,0,MATCH($A$1,[2]May26A!$A$7:$N$7,0))),0)</f>
        <v>0</v>
      </c>
      <c r="G88" s="84">
        <f>IFERROR(SUMIF([2]Jun26A!$A:$A,$A88,INDEX([2]Jun26A!$A:$N,0,MATCH($A$1,[2]Jun26A!$A$7:$N$7,0))),0)</f>
        <v>0</v>
      </c>
      <c r="H88" s="84">
        <f>IFERROR(SUMIF([2]Jul26A!$A:$A,$A88,INDEX([2]Jul26A!$A:$N,0,MATCH($A$1,[2]Jul26A!$A$7:$N$7,0))),0)</f>
        <v>0</v>
      </c>
      <c r="I88" s="84">
        <f>IFERROR(SUMIF([2]Aug26A!$A:$A,$A88,INDEX([2]Aug26A!$A:$N,0,MATCH($A$1,[2]Aug26A!$A$7:$N$7,0))),0)</f>
        <v>0</v>
      </c>
      <c r="J88" s="117">
        <v>0</v>
      </c>
      <c r="K88" s="117">
        <v>0</v>
      </c>
      <c r="L88" s="117">
        <v>0</v>
      </c>
      <c r="M88" s="117">
        <v>0</v>
      </c>
      <c r="N88" s="84">
        <f t="shared" si="58"/>
        <v>0</v>
      </c>
      <c r="O88" s="105" t="str">
        <f t="shared" si="59"/>
        <v/>
      </c>
      <c r="P88" s="84"/>
      <c r="Q88" s="84"/>
      <c r="R88" s="106" t="s">
        <v>99</v>
      </c>
      <c r="S88" s="107">
        <v>0</v>
      </c>
      <c r="T88" s="108">
        <v>0.05</v>
      </c>
      <c r="U88" s="104">
        <f t="shared" ref="U88:AF97" si="66">IF($R88="Manual","",IFERROR(IF($R88="YOY Growth",$N88*(1+$T88)/12,$S88/12),""))</f>
        <v>0</v>
      </c>
      <c r="V88" s="104">
        <f t="shared" si="66"/>
        <v>0</v>
      </c>
      <c r="W88" s="104">
        <f t="shared" si="66"/>
        <v>0</v>
      </c>
      <c r="X88" s="104">
        <f t="shared" si="66"/>
        <v>0</v>
      </c>
      <c r="Y88" s="104">
        <f t="shared" si="66"/>
        <v>0</v>
      </c>
      <c r="Z88" s="104">
        <f t="shared" si="66"/>
        <v>0</v>
      </c>
      <c r="AA88" s="104">
        <f t="shared" si="66"/>
        <v>0</v>
      </c>
      <c r="AB88" s="104">
        <f t="shared" si="66"/>
        <v>0</v>
      </c>
      <c r="AC88" s="104">
        <f t="shared" si="66"/>
        <v>0</v>
      </c>
      <c r="AD88" s="104">
        <f t="shared" si="66"/>
        <v>0</v>
      </c>
      <c r="AE88" s="104">
        <f t="shared" si="66"/>
        <v>0</v>
      </c>
      <c r="AF88" s="104">
        <f t="shared" si="66"/>
        <v>0</v>
      </c>
      <c r="AG88" s="84">
        <f t="shared" si="61"/>
        <v>0</v>
      </c>
      <c r="AH88" s="105" t="str">
        <f t="shared" si="62"/>
        <v/>
      </c>
      <c r="AJ88" s="84">
        <f t="shared" si="63"/>
        <v>0</v>
      </c>
    </row>
    <row r="89" spans="1:36" x14ac:dyDescent="0.3">
      <c r="A89" s="113" t="s">
        <v>175</v>
      </c>
      <c r="B89" s="84">
        <f>IFERROR(SUMIF([2]Jan26A!$A:$A,$A89,INDEX([2]Jan26A!$A:$N,0,MATCH($A$1,[2]Jan26A!$A$7:$N$7,0))),0)</f>
        <v>0</v>
      </c>
      <c r="C89" s="84">
        <f>IFERROR(SUMIF([2]Feb26A!$A:$A,$A89,INDEX([2]Feb26A!$A:$N,0,MATCH($A$1,[2]Feb26A!$A$7:$N$7,0))),0)</f>
        <v>0</v>
      </c>
      <c r="D89" s="84">
        <f>IFERROR(SUMIF([2]Mar26A!$A:$A,$A89,INDEX([2]Mar26A!$A:$N,0,MATCH($A$1,[2]Mar26A!$A$7:$N$7,0))),0)</f>
        <v>0</v>
      </c>
      <c r="E89" s="84">
        <f>IFERROR(SUMIF([2]Apr26A!$A:$A,$A89,INDEX([2]Apr26A!$A:$N,0,MATCH($A$1,[2]Apr26A!$A$7:$N$7,0))),0)</f>
        <v>0</v>
      </c>
      <c r="F89" s="84">
        <f>IFERROR(SUMIF([2]May26A!$A:$A,$A89,INDEX([2]May26A!$A:$N,0,MATCH($A$1,[2]May26A!$A$7:$N$7,0))),0)</f>
        <v>0</v>
      </c>
      <c r="G89" s="84">
        <f>IFERROR(SUMIF([2]Jun26A!$A:$A,$A89,INDEX([2]Jun26A!$A:$N,0,MATCH($A$1,[2]Jun26A!$A$7:$N$7,0))),0)</f>
        <v>0</v>
      </c>
      <c r="H89" s="84">
        <f>IFERROR(SUMIF([2]Jul26A!$A:$A,$A89,INDEX([2]Jul26A!$A:$N,0,MATCH($A$1,[2]Jul26A!$A$7:$N$7,0))),0)</f>
        <v>0</v>
      </c>
      <c r="I89" s="84">
        <f>IFERROR(SUMIF([2]Aug26A!$A:$A,$A89,INDEX([2]Aug26A!$A:$N,0,MATCH($A$1,[2]Aug26A!$A$7:$N$7,0))),0)</f>
        <v>0</v>
      </c>
      <c r="J89" s="117">
        <v>0</v>
      </c>
      <c r="K89" s="117">
        <v>0</v>
      </c>
      <c r="L89" s="117">
        <v>0</v>
      </c>
      <c r="M89" s="117">
        <v>0</v>
      </c>
      <c r="N89" s="84">
        <f t="shared" si="58"/>
        <v>0</v>
      </c>
      <c r="O89" s="105" t="str">
        <f t="shared" si="59"/>
        <v/>
      </c>
      <c r="P89" s="84"/>
      <c r="Q89" s="84"/>
      <c r="R89" s="106" t="s">
        <v>99</v>
      </c>
      <c r="S89" s="107">
        <v>0</v>
      </c>
      <c r="T89" s="108">
        <v>0.05</v>
      </c>
      <c r="U89" s="104">
        <f t="shared" si="66"/>
        <v>0</v>
      </c>
      <c r="V89" s="104">
        <f t="shared" si="66"/>
        <v>0</v>
      </c>
      <c r="W89" s="104">
        <f t="shared" si="66"/>
        <v>0</v>
      </c>
      <c r="X89" s="104">
        <f t="shared" si="66"/>
        <v>0</v>
      </c>
      <c r="Y89" s="104">
        <f t="shared" si="66"/>
        <v>0</v>
      </c>
      <c r="Z89" s="104">
        <f t="shared" si="66"/>
        <v>0</v>
      </c>
      <c r="AA89" s="104">
        <f t="shared" si="66"/>
        <v>0</v>
      </c>
      <c r="AB89" s="104">
        <f t="shared" si="66"/>
        <v>0</v>
      </c>
      <c r="AC89" s="104">
        <f t="shared" si="66"/>
        <v>0</v>
      </c>
      <c r="AD89" s="104">
        <f t="shared" si="66"/>
        <v>0</v>
      </c>
      <c r="AE89" s="104">
        <f t="shared" si="66"/>
        <v>0</v>
      </c>
      <c r="AF89" s="104">
        <f t="shared" si="66"/>
        <v>0</v>
      </c>
      <c r="AG89" s="84">
        <f t="shared" si="61"/>
        <v>0</v>
      </c>
      <c r="AH89" s="105" t="str">
        <f t="shared" si="62"/>
        <v/>
      </c>
      <c r="AJ89" s="84">
        <f t="shared" si="63"/>
        <v>0</v>
      </c>
    </row>
    <row r="90" spans="1:36" x14ac:dyDescent="0.3">
      <c r="A90" s="113" t="s">
        <v>176</v>
      </c>
      <c r="B90" s="84">
        <f>IFERROR(SUMIF([2]Jan26A!$A:$A,$A90,INDEX([2]Jan26A!$A:$N,0,MATCH($A$1,[2]Jan26A!$A$7:$N$7,0))),0)</f>
        <v>0</v>
      </c>
      <c r="C90" s="84">
        <f>IFERROR(SUMIF([2]Feb26A!$A:$A,$A90,INDEX([2]Feb26A!$A:$N,0,MATCH($A$1,[2]Feb26A!$A$7:$N$7,0))),0)</f>
        <v>0</v>
      </c>
      <c r="D90" s="84">
        <f>IFERROR(SUMIF([2]Mar26A!$A:$A,$A90,INDEX([2]Mar26A!$A:$N,0,MATCH($A$1,[2]Mar26A!$A$7:$N$7,0))),0)</f>
        <v>0</v>
      </c>
      <c r="E90" s="84">
        <f>IFERROR(SUMIF([2]Apr26A!$A:$A,$A90,INDEX([2]Apr26A!$A:$N,0,MATCH($A$1,[2]Apr26A!$A$7:$N$7,0))),0)</f>
        <v>0</v>
      </c>
      <c r="F90" s="84">
        <f>IFERROR(SUMIF([2]May26A!$A:$A,$A90,INDEX([2]May26A!$A:$N,0,MATCH($A$1,[2]May26A!$A$7:$N$7,0))),0)</f>
        <v>0</v>
      </c>
      <c r="G90" s="84">
        <f>IFERROR(SUMIF([2]Jun26A!$A:$A,$A90,INDEX([2]Jun26A!$A:$N,0,MATCH($A$1,[2]Jun26A!$A$7:$N$7,0))),0)</f>
        <v>0</v>
      </c>
      <c r="H90" s="84">
        <f>IFERROR(SUMIF([2]Jul26A!$A:$A,$A90,INDEX([2]Jul26A!$A:$N,0,MATCH($A$1,[2]Jul26A!$A$7:$N$7,0))),0)</f>
        <v>0</v>
      </c>
      <c r="I90" s="84">
        <f>IFERROR(SUMIF([2]Aug26A!$A:$A,$A90,INDEX([2]Aug26A!$A:$N,0,MATCH($A$1,[2]Aug26A!$A$7:$N$7,0))),0)</f>
        <v>0</v>
      </c>
      <c r="J90" s="117">
        <v>0</v>
      </c>
      <c r="K90" s="117">
        <v>0</v>
      </c>
      <c r="L90" s="117">
        <v>0</v>
      </c>
      <c r="M90" s="117">
        <v>0</v>
      </c>
      <c r="N90" s="84">
        <f t="shared" si="58"/>
        <v>0</v>
      </c>
      <c r="O90" s="105" t="str">
        <f t="shared" si="59"/>
        <v/>
      </c>
      <c r="P90" s="84"/>
      <c r="Q90" s="84"/>
      <c r="R90" s="106" t="s">
        <v>99</v>
      </c>
      <c r="S90" s="107">
        <v>0</v>
      </c>
      <c r="T90" s="108">
        <v>0.05</v>
      </c>
      <c r="U90" s="104">
        <f t="shared" si="66"/>
        <v>0</v>
      </c>
      <c r="V90" s="104">
        <f t="shared" si="66"/>
        <v>0</v>
      </c>
      <c r="W90" s="104">
        <f t="shared" si="66"/>
        <v>0</v>
      </c>
      <c r="X90" s="104">
        <f t="shared" si="66"/>
        <v>0</v>
      </c>
      <c r="Y90" s="104">
        <f t="shared" si="66"/>
        <v>0</v>
      </c>
      <c r="Z90" s="104">
        <f t="shared" si="66"/>
        <v>0</v>
      </c>
      <c r="AA90" s="104">
        <f t="shared" si="66"/>
        <v>0</v>
      </c>
      <c r="AB90" s="104">
        <f t="shared" si="66"/>
        <v>0</v>
      </c>
      <c r="AC90" s="104">
        <f t="shared" si="66"/>
        <v>0</v>
      </c>
      <c r="AD90" s="104">
        <f t="shared" si="66"/>
        <v>0</v>
      </c>
      <c r="AE90" s="104">
        <f t="shared" si="66"/>
        <v>0</v>
      </c>
      <c r="AF90" s="104">
        <f t="shared" si="66"/>
        <v>0</v>
      </c>
      <c r="AG90" s="84">
        <f t="shared" si="61"/>
        <v>0</v>
      </c>
      <c r="AH90" s="105" t="str">
        <f t="shared" si="62"/>
        <v/>
      </c>
      <c r="AJ90" s="84">
        <f t="shared" si="63"/>
        <v>0</v>
      </c>
    </row>
    <row r="91" spans="1:36" x14ac:dyDescent="0.3">
      <c r="A91" s="113" t="s">
        <v>177</v>
      </c>
      <c r="B91" s="84">
        <f>IFERROR(SUMIF([2]Jan26A!$A:$A,$A91,INDEX([2]Jan26A!$A:$N,0,MATCH($A$1,[2]Jan26A!$A$7:$N$7,0))),0)</f>
        <v>0</v>
      </c>
      <c r="C91" s="84">
        <f>IFERROR(SUMIF([2]Feb26A!$A:$A,$A91,INDEX([2]Feb26A!$A:$N,0,MATCH($A$1,[2]Feb26A!$A$7:$N$7,0))),0)</f>
        <v>0</v>
      </c>
      <c r="D91" s="84">
        <f>IFERROR(SUMIF([2]Mar26A!$A:$A,$A91,INDEX([2]Mar26A!$A:$N,0,MATCH($A$1,[2]Mar26A!$A$7:$N$7,0))),0)</f>
        <v>0</v>
      </c>
      <c r="E91" s="84">
        <f>IFERROR(SUMIF([2]Apr26A!$A:$A,$A91,INDEX([2]Apr26A!$A:$N,0,MATCH($A$1,[2]Apr26A!$A$7:$N$7,0))),0)</f>
        <v>0</v>
      </c>
      <c r="F91" s="84">
        <f>IFERROR(SUMIF([2]May26A!$A:$A,$A91,INDEX([2]May26A!$A:$N,0,MATCH($A$1,[2]May26A!$A$7:$N$7,0))),0)</f>
        <v>0</v>
      </c>
      <c r="G91" s="84">
        <f>IFERROR(SUMIF([2]Jun26A!$A:$A,$A91,INDEX([2]Jun26A!$A:$N,0,MATCH($A$1,[2]Jun26A!$A$7:$N$7,0))),0)</f>
        <v>0</v>
      </c>
      <c r="H91" s="84">
        <f>IFERROR(SUMIF([2]Jul26A!$A:$A,$A91,INDEX([2]Jul26A!$A:$N,0,MATCH($A$1,[2]Jul26A!$A$7:$N$7,0))),0)</f>
        <v>0</v>
      </c>
      <c r="I91" s="84">
        <f>IFERROR(SUMIF([2]Aug26A!$A:$A,$A91,INDEX([2]Aug26A!$A:$N,0,MATCH($A$1,[2]Aug26A!$A$7:$N$7,0))),0)</f>
        <v>0</v>
      </c>
      <c r="J91" s="117">
        <v>0</v>
      </c>
      <c r="K91" s="117">
        <v>0</v>
      </c>
      <c r="L91" s="117">
        <v>0</v>
      </c>
      <c r="M91" s="117">
        <v>0</v>
      </c>
      <c r="N91" s="84">
        <f t="shared" si="58"/>
        <v>0</v>
      </c>
      <c r="O91" s="105" t="str">
        <f t="shared" si="59"/>
        <v/>
      </c>
      <c r="P91" s="84"/>
      <c r="Q91" s="84"/>
      <c r="R91" s="106" t="s">
        <v>99</v>
      </c>
      <c r="S91" s="107">
        <v>0</v>
      </c>
      <c r="T91" s="108">
        <v>0.05</v>
      </c>
      <c r="U91" s="104">
        <f t="shared" si="66"/>
        <v>0</v>
      </c>
      <c r="V91" s="104">
        <f t="shared" si="66"/>
        <v>0</v>
      </c>
      <c r="W91" s="104">
        <f t="shared" si="66"/>
        <v>0</v>
      </c>
      <c r="X91" s="104">
        <f t="shared" si="66"/>
        <v>0</v>
      </c>
      <c r="Y91" s="104">
        <f t="shared" si="66"/>
        <v>0</v>
      </c>
      <c r="Z91" s="104">
        <f t="shared" si="66"/>
        <v>0</v>
      </c>
      <c r="AA91" s="104">
        <f t="shared" si="66"/>
        <v>0</v>
      </c>
      <c r="AB91" s="104">
        <f t="shared" si="66"/>
        <v>0</v>
      </c>
      <c r="AC91" s="104">
        <f t="shared" si="66"/>
        <v>0</v>
      </c>
      <c r="AD91" s="104">
        <f t="shared" si="66"/>
        <v>0</v>
      </c>
      <c r="AE91" s="104">
        <f t="shared" si="66"/>
        <v>0</v>
      </c>
      <c r="AF91" s="104">
        <f t="shared" si="66"/>
        <v>0</v>
      </c>
      <c r="AG91" s="84">
        <f t="shared" si="61"/>
        <v>0</v>
      </c>
      <c r="AH91" s="105" t="str">
        <f t="shared" si="62"/>
        <v/>
      </c>
      <c r="AJ91" s="84">
        <f t="shared" si="63"/>
        <v>0</v>
      </c>
    </row>
    <row r="92" spans="1:36" x14ac:dyDescent="0.3">
      <c r="A92" s="113" t="s">
        <v>178</v>
      </c>
      <c r="B92" s="84">
        <f>IFERROR(SUMIF([2]Jan26A!$A:$A,$A92,INDEX([2]Jan26A!$A:$N,0,MATCH($A$1,[2]Jan26A!$A$7:$N$7,0))),0)</f>
        <v>0</v>
      </c>
      <c r="C92" s="84">
        <f>IFERROR(SUMIF([2]Feb26A!$A:$A,$A92,INDEX([2]Feb26A!$A:$N,0,MATCH($A$1,[2]Feb26A!$A$7:$N$7,0))),0)</f>
        <v>0</v>
      </c>
      <c r="D92" s="84">
        <f>IFERROR(SUMIF([2]Mar26A!$A:$A,$A92,INDEX([2]Mar26A!$A:$N,0,MATCH($A$1,[2]Mar26A!$A$7:$N$7,0))),0)</f>
        <v>0</v>
      </c>
      <c r="E92" s="84">
        <f>IFERROR(SUMIF([2]Apr26A!$A:$A,$A92,INDEX([2]Apr26A!$A:$N,0,MATCH($A$1,[2]Apr26A!$A$7:$N$7,0))),0)</f>
        <v>0</v>
      </c>
      <c r="F92" s="84">
        <f>IFERROR(SUMIF([2]May26A!$A:$A,$A92,INDEX([2]May26A!$A:$N,0,MATCH($A$1,[2]May26A!$A$7:$N$7,0))),0)</f>
        <v>0</v>
      </c>
      <c r="G92" s="84">
        <f>IFERROR(SUMIF([2]Jun26A!$A:$A,$A92,INDEX([2]Jun26A!$A:$N,0,MATCH($A$1,[2]Jun26A!$A$7:$N$7,0))),0)</f>
        <v>34.99</v>
      </c>
      <c r="H92" s="84">
        <f>IFERROR(SUMIF([2]Jul26A!$A:$A,$A92,INDEX([2]Jul26A!$A:$N,0,MATCH($A$1,[2]Jul26A!$A$7:$N$7,0))),0)</f>
        <v>0</v>
      </c>
      <c r="I92" s="84">
        <f>IFERROR(SUMIF([2]Aug26A!$A:$A,$A92,INDEX([2]Aug26A!$A:$N,0,MATCH($A$1,[2]Aug26A!$A$7:$N$7,0))),0)</f>
        <v>0</v>
      </c>
      <c r="J92" s="117">
        <v>0</v>
      </c>
      <c r="K92" s="117">
        <v>0</v>
      </c>
      <c r="L92" s="117">
        <v>0</v>
      </c>
      <c r="M92" s="117">
        <v>0</v>
      </c>
      <c r="N92" s="84">
        <f t="shared" si="58"/>
        <v>34.99</v>
      </c>
      <c r="O92" s="105" t="str">
        <f t="shared" si="59"/>
        <v/>
      </c>
      <c r="P92" s="84"/>
      <c r="Q92" s="84"/>
      <c r="R92" s="106" t="s">
        <v>99</v>
      </c>
      <c r="S92" s="107">
        <v>0</v>
      </c>
      <c r="T92" s="108">
        <v>0.05</v>
      </c>
      <c r="U92" s="104">
        <f t="shared" si="66"/>
        <v>0</v>
      </c>
      <c r="V92" s="104">
        <f t="shared" si="66"/>
        <v>0</v>
      </c>
      <c r="W92" s="104">
        <f t="shared" si="66"/>
        <v>0</v>
      </c>
      <c r="X92" s="104">
        <f t="shared" si="66"/>
        <v>0</v>
      </c>
      <c r="Y92" s="104">
        <f t="shared" si="66"/>
        <v>0</v>
      </c>
      <c r="Z92" s="104">
        <f t="shared" si="66"/>
        <v>0</v>
      </c>
      <c r="AA92" s="104">
        <f t="shared" si="66"/>
        <v>0</v>
      </c>
      <c r="AB92" s="104">
        <f t="shared" si="66"/>
        <v>0</v>
      </c>
      <c r="AC92" s="104">
        <f t="shared" si="66"/>
        <v>0</v>
      </c>
      <c r="AD92" s="104">
        <f t="shared" si="66"/>
        <v>0</v>
      </c>
      <c r="AE92" s="104">
        <f t="shared" si="66"/>
        <v>0</v>
      </c>
      <c r="AF92" s="104">
        <f t="shared" si="66"/>
        <v>0</v>
      </c>
      <c r="AG92" s="84">
        <f t="shared" si="61"/>
        <v>0</v>
      </c>
      <c r="AH92" s="105" t="str">
        <f t="shared" si="62"/>
        <v/>
      </c>
      <c r="AJ92" s="84">
        <f t="shared" si="63"/>
        <v>34.99</v>
      </c>
    </row>
    <row r="93" spans="1:36" x14ac:dyDescent="0.3">
      <c r="A93" s="113" t="s">
        <v>179</v>
      </c>
      <c r="B93" s="84">
        <f>IFERROR(SUMIF([2]Jan26A!$A:$A,$A93,INDEX([2]Jan26A!$A:$N,0,MATCH($A$1,[2]Jan26A!$A$7:$N$7,0))),0)</f>
        <v>0</v>
      </c>
      <c r="C93" s="84">
        <f>IFERROR(SUMIF([2]Feb26A!$A:$A,$A93,INDEX([2]Feb26A!$A:$N,0,MATCH($A$1,[2]Feb26A!$A$7:$N$7,0))),0)</f>
        <v>303.06</v>
      </c>
      <c r="D93" s="84">
        <f>IFERROR(SUMIF([2]Mar26A!$A:$A,$A93,INDEX([2]Mar26A!$A:$N,0,MATCH($A$1,[2]Mar26A!$A$7:$N$7,0))),0)</f>
        <v>0</v>
      </c>
      <c r="E93" s="84">
        <f>IFERROR(SUMIF([2]Apr26A!$A:$A,$A93,INDEX([2]Apr26A!$A:$N,0,MATCH($A$1,[2]Apr26A!$A$7:$N$7,0))),0)</f>
        <v>0</v>
      </c>
      <c r="F93" s="84">
        <f>IFERROR(SUMIF([2]May26A!$A:$A,$A93,INDEX([2]May26A!$A:$N,0,MATCH($A$1,[2]May26A!$A$7:$N$7,0))),0)</f>
        <v>0</v>
      </c>
      <c r="G93" s="84">
        <f>IFERROR(SUMIF([2]Jun26A!$A:$A,$A93,INDEX([2]Jun26A!$A:$N,0,MATCH($A$1,[2]Jun26A!$A$7:$N$7,0))),0)</f>
        <v>25.44</v>
      </c>
      <c r="H93" s="84">
        <f>IFERROR(SUMIF([2]Jul26A!$A:$A,$A93,INDEX([2]Jul26A!$A:$N,0,MATCH($A$1,[2]Jul26A!$A$7:$N$7,0))),0)</f>
        <v>0</v>
      </c>
      <c r="I93" s="84">
        <f>IFERROR(SUMIF([2]Aug26A!$A:$A,$A93,INDEX([2]Aug26A!$A:$N,0,MATCH($A$1,[2]Aug26A!$A$7:$N$7,0))),0)</f>
        <v>19.07</v>
      </c>
      <c r="J93" s="117">
        <v>700</v>
      </c>
      <c r="K93" s="117">
        <v>700</v>
      </c>
      <c r="L93" s="117">
        <v>700</v>
      </c>
      <c r="M93" s="117">
        <v>700</v>
      </c>
      <c r="N93" s="84">
        <f t="shared" si="58"/>
        <v>3147.5699999999997</v>
      </c>
      <c r="O93" s="105" t="str">
        <f t="shared" si="59"/>
        <v/>
      </c>
      <c r="P93" s="84"/>
      <c r="Q93" s="84"/>
      <c r="R93" s="106" t="s">
        <v>99</v>
      </c>
      <c r="S93" s="107">
        <v>0</v>
      </c>
      <c r="T93" s="108">
        <v>0.05</v>
      </c>
      <c r="U93" s="104">
        <f t="shared" si="66"/>
        <v>0</v>
      </c>
      <c r="V93" s="104">
        <f t="shared" si="66"/>
        <v>0</v>
      </c>
      <c r="W93" s="104">
        <f t="shared" si="66"/>
        <v>0</v>
      </c>
      <c r="X93" s="104">
        <f t="shared" si="66"/>
        <v>0</v>
      </c>
      <c r="Y93" s="104">
        <f t="shared" si="66"/>
        <v>0</v>
      </c>
      <c r="Z93" s="104">
        <f t="shared" si="66"/>
        <v>0</v>
      </c>
      <c r="AA93" s="104">
        <f t="shared" si="66"/>
        <v>0</v>
      </c>
      <c r="AB93" s="104">
        <f t="shared" si="66"/>
        <v>0</v>
      </c>
      <c r="AC93" s="104">
        <f t="shared" si="66"/>
        <v>0</v>
      </c>
      <c r="AD93" s="104">
        <f t="shared" si="66"/>
        <v>0</v>
      </c>
      <c r="AE93" s="104">
        <f t="shared" si="66"/>
        <v>0</v>
      </c>
      <c r="AF93" s="104">
        <f t="shared" si="66"/>
        <v>0</v>
      </c>
      <c r="AG93" s="84">
        <f t="shared" si="61"/>
        <v>0</v>
      </c>
      <c r="AH93" s="105" t="str">
        <f t="shared" si="62"/>
        <v/>
      </c>
      <c r="AJ93" s="84">
        <f t="shared" si="63"/>
        <v>3147.5699999999997</v>
      </c>
    </row>
    <row r="94" spans="1:36" x14ac:dyDescent="0.3">
      <c r="A94" s="113" t="s">
        <v>180</v>
      </c>
      <c r="B94" s="84">
        <f>IFERROR(SUMIF([2]Jan26A!$A:$A,$A94,INDEX([2]Jan26A!$A:$N,0,MATCH($A$1,[2]Jan26A!$A$7:$N$7,0))),0)</f>
        <v>0</v>
      </c>
      <c r="C94" s="84">
        <f>IFERROR(SUMIF([2]Feb26A!$A:$A,$A94,INDEX([2]Feb26A!$A:$N,0,MATCH($A$1,[2]Feb26A!$A$7:$N$7,0))),0)</f>
        <v>0</v>
      </c>
      <c r="D94" s="84">
        <f>IFERROR(SUMIF([2]Mar26A!$A:$A,$A94,INDEX([2]Mar26A!$A:$N,0,MATCH($A$1,[2]Mar26A!$A$7:$N$7,0))),0)</f>
        <v>0</v>
      </c>
      <c r="E94" s="84">
        <f>IFERROR(SUMIF([2]Apr26A!$A:$A,$A94,INDEX([2]Apr26A!$A:$N,0,MATCH($A$1,[2]Apr26A!$A$7:$N$7,0))),0)</f>
        <v>0</v>
      </c>
      <c r="F94" s="84">
        <f>IFERROR(SUMIF([2]May26A!$A:$A,$A94,INDEX([2]May26A!$A:$N,0,MATCH($A$1,[2]May26A!$A$7:$N$7,0))),0)</f>
        <v>0</v>
      </c>
      <c r="G94" s="84">
        <f>IFERROR(SUMIF([2]Jun26A!$A:$A,$A94,INDEX([2]Jun26A!$A:$N,0,MATCH($A$1,[2]Jun26A!$A$7:$N$7,0))),0)</f>
        <v>0</v>
      </c>
      <c r="H94" s="84">
        <f>IFERROR(SUMIF([2]Jul26A!$A:$A,$A94,INDEX([2]Jul26A!$A:$N,0,MATCH($A$1,[2]Jul26A!$A$7:$N$7,0))),0)</f>
        <v>0</v>
      </c>
      <c r="I94" s="84">
        <f>IFERROR(SUMIF([2]Aug26A!$A:$A,$A94,INDEX([2]Aug26A!$A:$N,0,MATCH($A$1,[2]Aug26A!$A$7:$N$7,0))),0)</f>
        <v>0</v>
      </c>
      <c r="J94" s="117">
        <v>0</v>
      </c>
      <c r="K94" s="117">
        <v>0</v>
      </c>
      <c r="L94" s="117">
        <v>0</v>
      </c>
      <c r="M94" s="117">
        <v>0</v>
      </c>
      <c r="N94" s="84">
        <f t="shared" si="58"/>
        <v>0</v>
      </c>
      <c r="O94" s="105" t="str">
        <f t="shared" si="59"/>
        <v/>
      </c>
      <c r="P94" s="84"/>
      <c r="Q94" s="84"/>
      <c r="R94" s="106" t="s">
        <v>99</v>
      </c>
      <c r="S94" s="107">
        <v>0</v>
      </c>
      <c r="T94" s="108">
        <v>0.05</v>
      </c>
      <c r="U94" s="104">
        <f t="shared" si="66"/>
        <v>0</v>
      </c>
      <c r="V94" s="104">
        <f t="shared" si="66"/>
        <v>0</v>
      </c>
      <c r="W94" s="104">
        <f t="shared" si="66"/>
        <v>0</v>
      </c>
      <c r="X94" s="104">
        <f t="shared" si="66"/>
        <v>0</v>
      </c>
      <c r="Y94" s="104">
        <f t="shared" si="66"/>
        <v>0</v>
      </c>
      <c r="Z94" s="104">
        <f t="shared" si="66"/>
        <v>0</v>
      </c>
      <c r="AA94" s="104">
        <f t="shared" si="66"/>
        <v>0</v>
      </c>
      <c r="AB94" s="104">
        <f t="shared" si="66"/>
        <v>0</v>
      </c>
      <c r="AC94" s="104">
        <f t="shared" si="66"/>
        <v>0</v>
      </c>
      <c r="AD94" s="104">
        <f t="shared" si="66"/>
        <v>0</v>
      </c>
      <c r="AE94" s="104">
        <f t="shared" si="66"/>
        <v>0</v>
      </c>
      <c r="AF94" s="104">
        <f t="shared" si="66"/>
        <v>0</v>
      </c>
      <c r="AG94" s="84">
        <f t="shared" si="61"/>
        <v>0</v>
      </c>
      <c r="AH94" s="105" t="str">
        <f t="shared" si="62"/>
        <v/>
      </c>
      <c r="AJ94" s="84">
        <f t="shared" si="63"/>
        <v>0</v>
      </c>
    </row>
    <row r="95" spans="1:36" x14ac:dyDescent="0.3">
      <c r="A95" s="113" t="s">
        <v>181</v>
      </c>
      <c r="B95" s="84">
        <f>IFERROR(SUMIF([2]Jan26A!$A:$A,$A95,INDEX([2]Jan26A!$A:$N,0,MATCH($A$1,[2]Jan26A!$A$7:$N$7,0))),0)</f>
        <v>2825.54</v>
      </c>
      <c r="C95" s="84">
        <f>IFERROR(SUMIF([2]Feb26A!$A:$A,$A95,INDEX([2]Feb26A!$A:$N,0,MATCH($A$1,[2]Feb26A!$A$7:$N$7,0))),0)</f>
        <v>0</v>
      </c>
      <c r="D95" s="84">
        <f>IFERROR(SUMIF([2]Mar26A!$A:$A,$A95,INDEX([2]Mar26A!$A:$N,0,MATCH($A$1,[2]Mar26A!$A$7:$N$7,0))),0)</f>
        <v>1968.65</v>
      </c>
      <c r="E95" s="84">
        <f>IFERROR(SUMIF([2]Apr26A!$A:$A,$A95,INDEX([2]Apr26A!$A:$N,0,MATCH($A$1,[2]Apr26A!$A$7:$N$7,0))),0)</f>
        <v>2282.91</v>
      </c>
      <c r="F95" s="84">
        <f>IFERROR(SUMIF([2]May26A!$A:$A,$A95,INDEX([2]May26A!$A:$N,0,MATCH($A$1,[2]May26A!$A$7:$N$7,0))),0)</f>
        <v>2569.77</v>
      </c>
      <c r="G95" s="84">
        <f>IFERROR(SUMIF([2]Jun26A!$A:$A,$A95,INDEX([2]Jun26A!$A:$N,0,MATCH($A$1,[2]Jun26A!$A$7:$N$7,0))),0)</f>
        <v>274.27999999999997</v>
      </c>
      <c r="H95" s="84">
        <f>IFERROR(SUMIF([2]Jul26A!$A:$A,$A95,INDEX([2]Jul26A!$A:$N,0,MATCH($A$1,[2]Jul26A!$A$7:$N$7,0))),0)</f>
        <v>516.4</v>
      </c>
      <c r="I95" s="84">
        <f>IFERROR(SUMIF([2]Aug26A!$A:$A,$A95,INDEX([2]Aug26A!$A:$N,0,MATCH($A$1,[2]Aug26A!$A$7:$N$7,0))),0)</f>
        <v>467.43</v>
      </c>
      <c r="J95" s="117">
        <v>2700</v>
      </c>
      <c r="K95" s="117">
        <v>2700</v>
      </c>
      <c r="L95" s="117">
        <v>2700</v>
      </c>
      <c r="M95" s="117">
        <v>2700</v>
      </c>
      <c r="N95" s="84">
        <f t="shared" si="58"/>
        <v>21704.980000000003</v>
      </c>
      <c r="O95" s="105" t="str">
        <f t="shared" si="59"/>
        <v/>
      </c>
      <c r="P95" s="84"/>
      <c r="Q95" s="84"/>
      <c r="R95" s="106" t="s">
        <v>99</v>
      </c>
      <c r="S95" s="107">
        <v>0</v>
      </c>
      <c r="T95" s="108">
        <v>0.05</v>
      </c>
      <c r="U95" s="104">
        <f t="shared" si="66"/>
        <v>0</v>
      </c>
      <c r="V95" s="104">
        <f t="shared" si="66"/>
        <v>0</v>
      </c>
      <c r="W95" s="104">
        <f t="shared" si="66"/>
        <v>0</v>
      </c>
      <c r="X95" s="104">
        <f t="shared" si="66"/>
        <v>0</v>
      </c>
      <c r="Y95" s="104">
        <f t="shared" si="66"/>
        <v>0</v>
      </c>
      <c r="Z95" s="104">
        <f t="shared" si="66"/>
        <v>0</v>
      </c>
      <c r="AA95" s="104">
        <f t="shared" si="66"/>
        <v>0</v>
      </c>
      <c r="AB95" s="104">
        <f t="shared" si="66"/>
        <v>0</v>
      </c>
      <c r="AC95" s="104">
        <f t="shared" si="66"/>
        <v>0</v>
      </c>
      <c r="AD95" s="104">
        <f t="shared" si="66"/>
        <v>0</v>
      </c>
      <c r="AE95" s="104">
        <f t="shared" si="66"/>
        <v>0</v>
      </c>
      <c r="AF95" s="104">
        <f t="shared" si="66"/>
        <v>0</v>
      </c>
      <c r="AG95" s="84">
        <f t="shared" si="61"/>
        <v>0</v>
      </c>
      <c r="AH95" s="105" t="str">
        <f t="shared" si="62"/>
        <v/>
      </c>
      <c r="AJ95" s="84">
        <f t="shared" si="63"/>
        <v>21704.980000000003</v>
      </c>
    </row>
    <row r="96" spans="1:36" x14ac:dyDescent="0.3">
      <c r="A96" s="113" t="s">
        <v>182</v>
      </c>
      <c r="B96" s="84">
        <f>IFERROR(SUMIF([2]Jan26A!$A:$A,$A96,INDEX([2]Jan26A!$A:$N,0,MATCH($A$1,[2]Jan26A!$A$7:$N$7,0))),0)</f>
        <v>0</v>
      </c>
      <c r="C96" s="84">
        <f>IFERROR(SUMIF([2]Feb26A!$A:$A,$A96,INDEX([2]Feb26A!$A:$N,0,MATCH($A$1,[2]Feb26A!$A$7:$N$7,0))),0)</f>
        <v>0</v>
      </c>
      <c r="D96" s="84">
        <f>IFERROR(SUMIF([2]Mar26A!$A:$A,$A96,INDEX([2]Mar26A!$A:$N,0,MATCH($A$1,[2]Mar26A!$A$7:$N$7,0))),0)</f>
        <v>0</v>
      </c>
      <c r="E96" s="84">
        <f>IFERROR(SUMIF([2]Apr26A!$A:$A,$A96,INDEX([2]Apr26A!$A:$N,0,MATCH($A$1,[2]Apr26A!$A$7:$N$7,0))),0)</f>
        <v>0</v>
      </c>
      <c r="F96" s="84">
        <f>IFERROR(SUMIF([2]May26A!$A:$A,$A96,INDEX([2]May26A!$A:$N,0,MATCH($A$1,[2]May26A!$A$7:$N$7,0))),0)</f>
        <v>0</v>
      </c>
      <c r="G96" s="84">
        <f>IFERROR(SUMIF([2]Jun26A!$A:$A,$A96,INDEX([2]Jun26A!$A:$N,0,MATCH($A$1,[2]Jun26A!$A$7:$N$7,0))),0)</f>
        <v>0</v>
      </c>
      <c r="H96" s="84">
        <f>IFERROR(SUMIF([2]Jul26A!$A:$A,$A96,INDEX([2]Jul26A!$A:$N,0,MATCH($A$1,[2]Jul26A!$A$7:$N$7,0))),0)</f>
        <v>0</v>
      </c>
      <c r="I96" s="84">
        <f>IFERROR(SUMIF([2]Aug26A!$A:$A,$A96,INDEX([2]Aug26A!$A:$N,0,MATCH($A$1,[2]Aug26A!$A$7:$N$7,0))),0)</f>
        <v>0</v>
      </c>
      <c r="J96" s="117">
        <v>0</v>
      </c>
      <c r="K96" s="117">
        <v>0</v>
      </c>
      <c r="L96" s="117">
        <v>0</v>
      </c>
      <c r="M96" s="117">
        <v>0</v>
      </c>
      <c r="N96" s="84">
        <f t="shared" si="58"/>
        <v>0</v>
      </c>
      <c r="O96" s="105" t="str">
        <f t="shared" si="59"/>
        <v/>
      </c>
      <c r="P96" s="84"/>
      <c r="Q96" s="84"/>
      <c r="R96" s="106" t="s">
        <v>99</v>
      </c>
      <c r="S96" s="107">
        <v>0</v>
      </c>
      <c r="T96" s="108">
        <v>0.05</v>
      </c>
      <c r="U96" s="104">
        <f t="shared" si="66"/>
        <v>0</v>
      </c>
      <c r="V96" s="104">
        <f t="shared" si="66"/>
        <v>0</v>
      </c>
      <c r="W96" s="104">
        <f t="shared" si="66"/>
        <v>0</v>
      </c>
      <c r="X96" s="104">
        <f t="shared" si="66"/>
        <v>0</v>
      </c>
      <c r="Y96" s="104">
        <f t="shared" si="66"/>
        <v>0</v>
      </c>
      <c r="Z96" s="104">
        <f t="shared" si="66"/>
        <v>0</v>
      </c>
      <c r="AA96" s="104">
        <f t="shared" si="66"/>
        <v>0</v>
      </c>
      <c r="AB96" s="104">
        <f t="shared" si="66"/>
        <v>0</v>
      </c>
      <c r="AC96" s="104">
        <f t="shared" si="66"/>
        <v>0</v>
      </c>
      <c r="AD96" s="104">
        <f t="shared" si="66"/>
        <v>0</v>
      </c>
      <c r="AE96" s="104">
        <f t="shared" si="66"/>
        <v>0</v>
      </c>
      <c r="AF96" s="104">
        <f t="shared" si="66"/>
        <v>0</v>
      </c>
      <c r="AG96" s="84">
        <f t="shared" si="61"/>
        <v>0</v>
      </c>
      <c r="AH96" s="105" t="str">
        <f t="shared" si="62"/>
        <v/>
      </c>
      <c r="AJ96" s="84">
        <f t="shared" si="63"/>
        <v>0</v>
      </c>
    </row>
    <row r="97" spans="1:36" x14ac:dyDescent="0.3">
      <c r="A97" s="113" t="s">
        <v>183</v>
      </c>
      <c r="B97" s="84">
        <f>IFERROR(SUMIF([2]Jan26A!$A:$A,$A97,INDEX([2]Jan26A!$A:$N,0,MATCH($A$1,[2]Jan26A!$A$7:$N$7,0))),0)</f>
        <v>0</v>
      </c>
      <c r="C97" s="84">
        <f>IFERROR(SUMIF([2]Feb26A!$A:$A,$A97,INDEX([2]Feb26A!$A:$N,0,MATCH($A$1,[2]Feb26A!$A$7:$N$7,0))),0)</f>
        <v>0</v>
      </c>
      <c r="D97" s="84">
        <f>IFERROR(SUMIF([2]Mar26A!$A:$A,$A97,INDEX([2]Mar26A!$A:$N,0,MATCH($A$1,[2]Mar26A!$A$7:$N$7,0))),0)</f>
        <v>0</v>
      </c>
      <c r="E97" s="84">
        <f>IFERROR(SUMIF([2]Apr26A!$A:$A,$A97,INDEX([2]Apr26A!$A:$N,0,MATCH($A$1,[2]Apr26A!$A$7:$N$7,0))),0)</f>
        <v>0</v>
      </c>
      <c r="F97" s="84">
        <f>IFERROR(SUMIF([2]May26A!$A:$A,$A97,INDEX([2]May26A!$A:$N,0,MATCH($A$1,[2]May26A!$A$7:$N$7,0))),0)</f>
        <v>0</v>
      </c>
      <c r="G97" s="84">
        <f>IFERROR(SUMIF([2]Jun26A!$A:$A,$A97,INDEX([2]Jun26A!$A:$N,0,MATCH($A$1,[2]Jun26A!$A$7:$N$7,0))),0)</f>
        <v>0</v>
      </c>
      <c r="H97" s="84">
        <f>IFERROR(SUMIF([2]Jul26A!$A:$A,$A97,INDEX([2]Jul26A!$A:$N,0,MATCH($A$1,[2]Jul26A!$A$7:$N$7,0))),0)</f>
        <v>0</v>
      </c>
      <c r="I97" s="84">
        <f>IFERROR(SUMIF([2]Aug26A!$A:$A,$A97,INDEX([2]Aug26A!$A:$N,0,MATCH($A$1,[2]Aug26A!$A$7:$N$7,0))),0)</f>
        <v>0</v>
      </c>
      <c r="J97" s="117">
        <v>0</v>
      </c>
      <c r="K97" s="117">
        <v>0</v>
      </c>
      <c r="L97" s="117">
        <v>0</v>
      </c>
      <c r="M97" s="117">
        <v>0</v>
      </c>
      <c r="N97" s="84">
        <f t="shared" si="58"/>
        <v>0</v>
      </c>
      <c r="O97" s="105" t="str">
        <f t="shared" si="59"/>
        <v/>
      </c>
      <c r="P97" s="84"/>
      <c r="Q97" s="84"/>
      <c r="R97" s="106" t="s">
        <v>99</v>
      </c>
      <c r="S97" s="107">
        <v>0</v>
      </c>
      <c r="T97" s="108">
        <v>0.05</v>
      </c>
      <c r="U97" s="104">
        <f t="shared" si="66"/>
        <v>0</v>
      </c>
      <c r="V97" s="104">
        <f t="shared" si="66"/>
        <v>0</v>
      </c>
      <c r="W97" s="104">
        <f t="shared" si="66"/>
        <v>0</v>
      </c>
      <c r="X97" s="104">
        <f t="shared" si="66"/>
        <v>0</v>
      </c>
      <c r="Y97" s="104">
        <f t="shared" si="66"/>
        <v>0</v>
      </c>
      <c r="Z97" s="104">
        <f t="shared" si="66"/>
        <v>0</v>
      </c>
      <c r="AA97" s="104">
        <f t="shared" si="66"/>
        <v>0</v>
      </c>
      <c r="AB97" s="104">
        <f t="shared" si="66"/>
        <v>0</v>
      </c>
      <c r="AC97" s="104">
        <f t="shared" si="66"/>
        <v>0</v>
      </c>
      <c r="AD97" s="104">
        <f t="shared" si="66"/>
        <v>0</v>
      </c>
      <c r="AE97" s="104">
        <f t="shared" si="66"/>
        <v>0</v>
      </c>
      <c r="AF97" s="104">
        <f t="shared" si="66"/>
        <v>0</v>
      </c>
      <c r="AG97" s="84">
        <f t="shared" si="61"/>
        <v>0</v>
      </c>
      <c r="AH97" s="105" t="str">
        <f t="shared" si="62"/>
        <v/>
      </c>
      <c r="AJ97" s="84">
        <f t="shared" si="63"/>
        <v>0</v>
      </c>
    </row>
    <row r="98" spans="1:36" x14ac:dyDescent="0.3">
      <c r="A98" s="113" t="s">
        <v>184</v>
      </c>
      <c r="B98" s="84">
        <f>IFERROR(SUMIF([2]Jan26A!$A:$A,$A98,INDEX([2]Jan26A!$A:$N,0,MATCH($A$1,[2]Jan26A!$A$7:$N$7,0))),0)</f>
        <v>0</v>
      </c>
      <c r="C98" s="84">
        <f>IFERROR(SUMIF([2]Feb26A!$A:$A,$A98,INDEX([2]Feb26A!$A:$N,0,MATCH($A$1,[2]Feb26A!$A$7:$N$7,0))),0)</f>
        <v>0</v>
      </c>
      <c r="D98" s="84">
        <f>IFERROR(SUMIF([2]Mar26A!$A:$A,$A98,INDEX([2]Mar26A!$A:$N,0,MATCH($A$1,[2]Mar26A!$A$7:$N$7,0))),0)</f>
        <v>0</v>
      </c>
      <c r="E98" s="84">
        <f>IFERROR(SUMIF([2]Apr26A!$A:$A,$A98,INDEX([2]Apr26A!$A:$N,0,MATCH($A$1,[2]Apr26A!$A$7:$N$7,0))),0)</f>
        <v>0</v>
      </c>
      <c r="F98" s="84">
        <f>IFERROR(SUMIF([2]May26A!$A:$A,$A98,INDEX([2]May26A!$A:$N,0,MATCH($A$1,[2]May26A!$A$7:$N$7,0))),0)</f>
        <v>0</v>
      </c>
      <c r="G98" s="84">
        <f>IFERROR(SUMIF([2]Jun26A!$A:$A,$A98,INDEX([2]Jun26A!$A:$N,0,MATCH($A$1,[2]Jun26A!$A$7:$N$7,0))),0)</f>
        <v>0</v>
      </c>
      <c r="H98" s="84">
        <f>IFERROR(SUMIF([2]Jul26A!$A:$A,$A98,INDEX([2]Jul26A!$A:$N,0,MATCH($A$1,[2]Jul26A!$A$7:$N$7,0))),0)</f>
        <v>0</v>
      </c>
      <c r="I98" s="84">
        <f>IFERROR(SUMIF([2]Aug26A!$A:$A,$A98,INDEX([2]Aug26A!$A:$N,0,MATCH($A$1,[2]Aug26A!$A$7:$N$7,0))),0)</f>
        <v>0</v>
      </c>
      <c r="J98" s="117">
        <v>0</v>
      </c>
      <c r="K98" s="117">
        <v>0</v>
      </c>
      <c r="L98" s="117">
        <v>0</v>
      </c>
      <c r="M98" s="117">
        <v>0</v>
      </c>
      <c r="N98" s="84">
        <f t="shared" si="58"/>
        <v>0</v>
      </c>
      <c r="O98" s="105" t="str">
        <f t="shared" si="59"/>
        <v/>
      </c>
      <c r="P98" s="84"/>
      <c r="Q98" s="84"/>
      <c r="R98" s="106" t="s">
        <v>99</v>
      </c>
      <c r="S98" s="107">
        <v>0</v>
      </c>
      <c r="T98" s="108">
        <v>0.05</v>
      </c>
      <c r="U98" s="104">
        <f t="shared" ref="U98:AF107" si="67">IF($R98="Manual","",IFERROR(IF($R98="YOY Growth",$N98*(1+$T98)/12,$S98/12),""))</f>
        <v>0</v>
      </c>
      <c r="V98" s="104">
        <f t="shared" si="67"/>
        <v>0</v>
      </c>
      <c r="W98" s="104">
        <f t="shared" si="67"/>
        <v>0</v>
      </c>
      <c r="X98" s="104">
        <f t="shared" si="67"/>
        <v>0</v>
      </c>
      <c r="Y98" s="104">
        <f t="shared" si="67"/>
        <v>0</v>
      </c>
      <c r="Z98" s="104">
        <f t="shared" si="67"/>
        <v>0</v>
      </c>
      <c r="AA98" s="104">
        <f t="shared" si="67"/>
        <v>0</v>
      </c>
      <c r="AB98" s="104">
        <f t="shared" si="67"/>
        <v>0</v>
      </c>
      <c r="AC98" s="104">
        <f t="shared" si="67"/>
        <v>0</v>
      </c>
      <c r="AD98" s="104">
        <f t="shared" si="67"/>
        <v>0</v>
      </c>
      <c r="AE98" s="104">
        <f t="shared" si="67"/>
        <v>0</v>
      </c>
      <c r="AF98" s="104">
        <f t="shared" si="67"/>
        <v>0</v>
      </c>
      <c r="AG98" s="84">
        <f t="shared" si="61"/>
        <v>0</v>
      </c>
      <c r="AH98" s="105" t="str">
        <f t="shared" si="62"/>
        <v/>
      </c>
      <c r="AJ98" s="84">
        <f t="shared" si="63"/>
        <v>0</v>
      </c>
    </row>
    <row r="99" spans="1:36" x14ac:dyDescent="0.3">
      <c r="A99" s="113" t="s">
        <v>185</v>
      </c>
      <c r="B99" s="84">
        <f>IFERROR(SUMIF([2]Jan26A!$A:$A,$A99,INDEX([2]Jan26A!$A:$N,0,MATCH($A$1,[2]Jan26A!$A$7:$N$7,0))),0)</f>
        <v>108.95</v>
      </c>
      <c r="C99" s="84">
        <f>IFERROR(SUMIF([2]Feb26A!$A:$A,$A99,INDEX([2]Feb26A!$A:$N,0,MATCH($A$1,[2]Feb26A!$A$7:$N$7,0))),0)</f>
        <v>653.16999999999996</v>
      </c>
      <c r="D99" s="84">
        <f>IFERROR(SUMIF([2]Mar26A!$A:$A,$A99,INDEX([2]Mar26A!$A:$N,0,MATCH($A$1,[2]Mar26A!$A$7:$N$7,0))),0)</f>
        <v>183.94</v>
      </c>
      <c r="E99" s="84">
        <f>IFERROR(SUMIF([2]Apr26A!$A:$A,$A99,INDEX([2]Apr26A!$A:$N,0,MATCH($A$1,[2]Apr26A!$A$7:$N$7,0))),0)</f>
        <v>108.95</v>
      </c>
      <c r="F99" s="84">
        <f>IFERROR(SUMIF([2]May26A!$A:$A,$A99,INDEX([2]May26A!$A:$N,0,MATCH($A$1,[2]May26A!$A$7:$N$7,0))),0)</f>
        <v>0</v>
      </c>
      <c r="G99" s="84">
        <f>IFERROR(SUMIF([2]Jun26A!$A:$A,$A99,INDEX([2]Jun26A!$A:$N,0,MATCH($A$1,[2]Jun26A!$A$7:$N$7,0))),0)</f>
        <v>48.95</v>
      </c>
      <c r="H99" s="84">
        <f>IFERROR(SUMIF([2]Jul26A!$A:$A,$A99,INDEX([2]Jul26A!$A:$N,0,MATCH($A$1,[2]Jul26A!$A$7:$N$7,0))),0)</f>
        <v>125.05</v>
      </c>
      <c r="I99" s="84">
        <f>IFERROR(SUMIF([2]Aug26A!$A:$A,$A99,INDEX([2]Aug26A!$A:$N,0,MATCH($A$1,[2]Aug26A!$A$7:$N$7,0))),0)</f>
        <v>64.2</v>
      </c>
      <c r="J99" s="117">
        <v>450</v>
      </c>
      <c r="K99" s="117">
        <v>450</v>
      </c>
      <c r="L99" s="117">
        <v>450</v>
      </c>
      <c r="M99" s="117">
        <v>450</v>
      </c>
      <c r="N99" s="84">
        <f t="shared" si="58"/>
        <v>3093.21</v>
      </c>
      <c r="O99" s="105" t="str">
        <f t="shared" si="59"/>
        <v/>
      </c>
      <c r="P99" s="84"/>
      <c r="Q99" s="84"/>
      <c r="R99" s="106" t="s">
        <v>99</v>
      </c>
      <c r="S99" s="107">
        <v>0</v>
      </c>
      <c r="T99" s="108">
        <v>0.05</v>
      </c>
      <c r="U99" s="104">
        <f t="shared" si="67"/>
        <v>0</v>
      </c>
      <c r="V99" s="104">
        <f t="shared" si="67"/>
        <v>0</v>
      </c>
      <c r="W99" s="104">
        <f t="shared" si="67"/>
        <v>0</v>
      </c>
      <c r="X99" s="104">
        <f t="shared" si="67"/>
        <v>0</v>
      </c>
      <c r="Y99" s="104">
        <f t="shared" si="67"/>
        <v>0</v>
      </c>
      <c r="Z99" s="104">
        <f t="shared" si="67"/>
        <v>0</v>
      </c>
      <c r="AA99" s="104">
        <f t="shared" si="67"/>
        <v>0</v>
      </c>
      <c r="AB99" s="104">
        <f t="shared" si="67"/>
        <v>0</v>
      </c>
      <c r="AC99" s="104">
        <f t="shared" si="67"/>
        <v>0</v>
      </c>
      <c r="AD99" s="104">
        <f t="shared" si="67"/>
        <v>0</v>
      </c>
      <c r="AE99" s="104">
        <f t="shared" si="67"/>
        <v>0</v>
      </c>
      <c r="AF99" s="104">
        <f t="shared" si="67"/>
        <v>0</v>
      </c>
      <c r="AG99" s="84">
        <f t="shared" si="61"/>
        <v>0</v>
      </c>
      <c r="AH99" s="105" t="str">
        <f t="shared" si="62"/>
        <v/>
      </c>
      <c r="AJ99" s="84">
        <f t="shared" si="63"/>
        <v>3093.21</v>
      </c>
    </row>
    <row r="100" spans="1:36" x14ac:dyDescent="0.3">
      <c r="A100" s="113" t="s">
        <v>186</v>
      </c>
      <c r="B100" s="84">
        <f>IFERROR(SUMIF([2]Jan26A!$A:$A,$A100,INDEX([2]Jan26A!$A:$N,0,MATCH($A$1,[2]Jan26A!$A$7:$N$7,0))),0)</f>
        <v>0</v>
      </c>
      <c r="C100" s="84">
        <f>IFERROR(SUMIF([2]Feb26A!$A:$A,$A100,INDEX([2]Feb26A!$A:$N,0,MATCH($A$1,[2]Feb26A!$A$7:$N$7,0))),0)</f>
        <v>0</v>
      </c>
      <c r="D100" s="84">
        <f>IFERROR(SUMIF([2]Mar26A!$A:$A,$A100,INDEX([2]Mar26A!$A:$N,0,MATCH($A$1,[2]Mar26A!$A$7:$N$7,0))),0)</f>
        <v>0</v>
      </c>
      <c r="E100" s="84">
        <f>IFERROR(SUMIF([2]Apr26A!$A:$A,$A100,INDEX([2]Apr26A!$A:$N,0,MATCH($A$1,[2]Apr26A!$A$7:$N$7,0))),0)</f>
        <v>0</v>
      </c>
      <c r="F100" s="84">
        <f>IFERROR(SUMIF([2]May26A!$A:$A,$A100,INDEX([2]May26A!$A:$N,0,MATCH($A$1,[2]May26A!$A$7:$N$7,0))),0)</f>
        <v>0</v>
      </c>
      <c r="G100" s="84">
        <f>IFERROR(SUMIF([2]Jun26A!$A:$A,$A100,INDEX([2]Jun26A!$A:$N,0,MATCH($A$1,[2]Jun26A!$A$7:$N$7,0))),0)</f>
        <v>0</v>
      </c>
      <c r="H100" s="84">
        <f>IFERROR(SUMIF([2]Jul26A!$A:$A,$A100,INDEX([2]Jul26A!$A:$N,0,MATCH($A$1,[2]Jul26A!$A$7:$N$7,0))),0)</f>
        <v>0</v>
      </c>
      <c r="I100" s="84">
        <f>IFERROR(SUMIF([2]Aug26A!$A:$A,$A100,INDEX([2]Aug26A!$A:$N,0,MATCH($A$1,[2]Aug26A!$A$7:$N$7,0))),0)</f>
        <v>0</v>
      </c>
      <c r="J100" s="117">
        <v>0</v>
      </c>
      <c r="K100" s="117">
        <v>0</v>
      </c>
      <c r="L100" s="117">
        <v>0</v>
      </c>
      <c r="M100" s="117">
        <v>0</v>
      </c>
      <c r="N100" s="84">
        <f t="shared" si="58"/>
        <v>0</v>
      </c>
      <c r="O100" s="105" t="str">
        <f t="shared" si="59"/>
        <v/>
      </c>
      <c r="P100" s="84"/>
      <c r="Q100" s="84"/>
      <c r="R100" s="106" t="s">
        <v>99</v>
      </c>
      <c r="S100" s="107">
        <v>0</v>
      </c>
      <c r="T100" s="108">
        <v>0.05</v>
      </c>
      <c r="U100" s="104">
        <f t="shared" si="67"/>
        <v>0</v>
      </c>
      <c r="V100" s="104">
        <f t="shared" si="67"/>
        <v>0</v>
      </c>
      <c r="W100" s="104">
        <f t="shared" si="67"/>
        <v>0</v>
      </c>
      <c r="X100" s="104">
        <f t="shared" si="67"/>
        <v>0</v>
      </c>
      <c r="Y100" s="104">
        <f t="shared" si="67"/>
        <v>0</v>
      </c>
      <c r="Z100" s="104">
        <f t="shared" si="67"/>
        <v>0</v>
      </c>
      <c r="AA100" s="104">
        <f t="shared" si="67"/>
        <v>0</v>
      </c>
      <c r="AB100" s="104">
        <f t="shared" si="67"/>
        <v>0</v>
      </c>
      <c r="AC100" s="104">
        <f t="shared" si="67"/>
        <v>0</v>
      </c>
      <c r="AD100" s="104">
        <f t="shared" si="67"/>
        <v>0</v>
      </c>
      <c r="AE100" s="104">
        <f t="shared" si="67"/>
        <v>0</v>
      </c>
      <c r="AF100" s="104">
        <f t="shared" si="67"/>
        <v>0</v>
      </c>
      <c r="AG100" s="84">
        <f t="shared" si="61"/>
        <v>0</v>
      </c>
      <c r="AH100" s="105" t="str">
        <f t="shared" si="62"/>
        <v/>
      </c>
      <c r="AJ100" s="84">
        <f t="shared" si="63"/>
        <v>0</v>
      </c>
    </row>
    <row r="101" spans="1:36" x14ac:dyDescent="0.3">
      <c r="A101" s="113" t="s">
        <v>187</v>
      </c>
      <c r="B101" s="84">
        <f>IFERROR(SUMIF([2]Jan26A!$A:$A,$A101,INDEX([2]Jan26A!$A:$N,0,MATCH($A$1,[2]Jan26A!$A$7:$N$7,0))),0)</f>
        <v>0</v>
      </c>
      <c r="C101" s="84">
        <f>IFERROR(SUMIF([2]Feb26A!$A:$A,$A101,INDEX([2]Feb26A!$A:$N,0,MATCH($A$1,[2]Feb26A!$A$7:$N$7,0))),0)</f>
        <v>0</v>
      </c>
      <c r="D101" s="84">
        <f>IFERROR(SUMIF([2]Mar26A!$A:$A,$A101,INDEX([2]Mar26A!$A:$N,0,MATCH($A$1,[2]Mar26A!$A$7:$N$7,0))),0)</f>
        <v>0</v>
      </c>
      <c r="E101" s="84">
        <f>IFERROR(SUMIF([2]Apr26A!$A:$A,$A101,INDEX([2]Apr26A!$A:$N,0,MATCH($A$1,[2]Apr26A!$A$7:$N$7,0))),0)</f>
        <v>0</v>
      </c>
      <c r="F101" s="84">
        <f>IFERROR(SUMIF([2]May26A!$A:$A,$A101,INDEX([2]May26A!$A:$N,0,MATCH($A$1,[2]May26A!$A$7:$N$7,0))),0)</f>
        <v>0</v>
      </c>
      <c r="G101" s="84">
        <f>IFERROR(SUMIF([2]Jun26A!$A:$A,$A101,INDEX([2]Jun26A!$A:$N,0,MATCH($A$1,[2]Jun26A!$A$7:$N$7,0))),0)</f>
        <v>0</v>
      </c>
      <c r="H101" s="84">
        <f>IFERROR(SUMIF([2]Jul26A!$A:$A,$A101,INDEX([2]Jul26A!$A:$N,0,MATCH($A$1,[2]Jul26A!$A$7:$N$7,0))),0)</f>
        <v>0</v>
      </c>
      <c r="I101" s="84">
        <f>IFERROR(SUMIF([2]Aug26A!$A:$A,$A101,INDEX([2]Aug26A!$A:$N,0,MATCH($A$1,[2]Aug26A!$A$7:$N$7,0))),0)</f>
        <v>0</v>
      </c>
      <c r="J101" s="117">
        <v>0</v>
      </c>
      <c r="K101" s="117">
        <v>0</v>
      </c>
      <c r="L101" s="117">
        <v>0</v>
      </c>
      <c r="M101" s="117">
        <v>0</v>
      </c>
      <c r="N101" s="84">
        <f t="shared" si="58"/>
        <v>0</v>
      </c>
      <c r="O101" s="105" t="str">
        <f t="shared" si="59"/>
        <v/>
      </c>
      <c r="P101" s="84"/>
      <c r="Q101" s="84"/>
      <c r="R101" s="106" t="s">
        <v>99</v>
      </c>
      <c r="S101" s="107">
        <v>0</v>
      </c>
      <c r="T101" s="108">
        <v>0.05</v>
      </c>
      <c r="U101" s="104">
        <f t="shared" si="67"/>
        <v>0</v>
      </c>
      <c r="V101" s="104">
        <f t="shared" si="67"/>
        <v>0</v>
      </c>
      <c r="W101" s="104">
        <f t="shared" si="67"/>
        <v>0</v>
      </c>
      <c r="X101" s="104">
        <f t="shared" si="67"/>
        <v>0</v>
      </c>
      <c r="Y101" s="104">
        <f t="shared" si="67"/>
        <v>0</v>
      </c>
      <c r="Z101" s="104">
        <f t="shared" si="67"/>
        <v>0</v>
      </c>
      <c r="AA101" s="104">
        <f t="shared" si="67"/>
        <v>0</v>
      </c>
      <c r="AB101" s="104">
        <f t="shared" si="67"/>
        <v>0</v>
      </c>
      <c r="AC101" s="104">
        <f t="shared" si="67"/>
        <v>0</v>
      </c>
      <c r="AD101" s="104">
        <f t="shared" si="67"/>
        <v>0</v>
      </c>
      <c r="AE101" s="104">
        <f t="shared" si="67"/>
        <v>0</v>
      </c>
      <c r="AF101" s="104">
        <f t="shared" si="67"/>
        <v>0</v>
      </c>
      <c r="AG101" s="84">
        <f t="shared" si="61"/>
        <v>0</v>
      </c>
      <c r="AH101" s="105" t="str">
        <f t="shared" si="62"/>
        <v/>
      </c>
      <c r="AJ101" s="84">
        <f t="shared" si="63"/>
        <v>0</v>
      </c>
    </row>
    <row r="102" spans="1:36" x14ac:dyDescent="0.3">
      <c r="A102" s="113" t="s">
        <v>188</v>
      </c>
      <c r="B102" s="84">
        <f>IFERROR(SUMIF([2]Jan26A!$A:$A,$A102,INDEX([2]Jan26A!$A:$N,0,MATCH($A$1,[2]Jan26A!$A$7:$N$7,0))),0)</f>
        <v>0</v>
      </c>
      <c r="C102" s="84">
        <f>IFERROR(SUMIF([2]Feb26A!$A:$A,$A102,INDEX([2]Feb26A!$A:$N,0,MATCH($A$1,[2]Feb26A!$A$7:$N$7,0))),0)</f>
        <v>188.66</v>
      </c>
      <c r="D102" s="84">
        <f>IFERROR(SUMIF([2]Mar26A!$A:$A,$A102,INDEX([2]Mar26A!$A:$N,0,MATCH($A$1,[2]Mar26A!$A$7:$N$7,0))),0)</f>
        <v>0</v>
      </c>
      <c r="E102" s="84">
        <f>IFERROR(SUMIF([2]Apr26A!$A:$A,$A102,INDEX([2]Apr26A!$A:$N,0,MATCH($A$1,[2]Apr26A!$A$7:$N$7,0))),0)</f>
        <v>0</v>
      </c>
      <c r="F102" s="84">
        <f>IFERROR(SUMIF([2]May26A!$A:$A,$A102,INDEX([2]May26A!$A:$N,0,MATCH($A$1,[2]May26A!$A$7:$N$7,0))),0)</f>
        <v>0</v>
      </c>
      <c r="G102" s="84">
        <f>IFERROR(SUMIF([2]Jun26A!$A:$A,$A102,INDEX([2]Jun26A!$A:$N,0,MATCH($A$1,[2]Jun26A!$A$7:$N$7,0))),0)</f>
        <v>0</v>
      </c>
      <c r="H102" s="84">
        <f>IFERROR(SUMIF([2]Jul26A!$A:$A,$A102,INDEX([2]Jul26A!$A:$N,0,MATCH($A$1,[2]Jul26A!$A$7:$N$7,0))),0)</f>
        <v>0</v>
      </c>
      <c r="I102" s="84">
        <f>IFERROR(SUMIF([2]Aug26A!$A:$A,$A102,INDEX([2]Aug26A!$A:$N,0,MATCH($A$1,[2]Aug26A!$A$7:$N$7,0))),0)</f>
        <v>34.99</v>
      </c>
      <c r="J102" s="117">
        <v>0</v>
      </c>
      <c r="K102" s="117">
        <v>0</v>
      </c>
      <c r="L102" s="117">
        <v>0</v>
      </c>
      <c r="M102" s="117">
        <v>0</v>
      </c>
      <c r="N102" s="84">
        <f t="shared" si="58"/>
        <v>223.65</v>
      </c>
      <c r="O102" s="105" t="str">
        <f t="shared" si="59"/>
        <v/>
      </c>
      <c r="P102" s="84"/>
      <c r="Q102" s="84"/>
      <c r="R102" s="106" t="s">
        <v>99</v>
      </c>
      <c r="S102" s="107">
        <v>0</v>
      </c>
      <c r="T102" s="108">
        <v>0.05</v>
      </c>
      <c r="U102" s="104">
        <f t="shared" si="67"/>
        <v>0</v>
      </c>
      <c r="V102" s="104">
        <f t="shared" si="67"/>
        <v>0</v>
      </c>
      <c r="W102" s="104">
        <f t="shared" si="67"/>
        <v>0</v>
      </c>
      <c r="X102" s="104">
        <f t="shared" si="67"/>
        <v>0</v>
      </c>
      <c r="Y102" s="104">
        <f t="shared" si="67"/>
        <v>0</v>
      </c>
      <c r="Z102" s="104">
        <f t="shared" si="67"/>
        <v>0</v>
      </c>
      <c r="AA102" s="104">
        <f t="shared" si="67"/>
        <v>0</v>
      </c>
      <c r="AB102" s="104">
        <f t="shared" si="67"/>
        <v>0</v>
      </c>
      <c r="AC102" s="104">
        <f t="shared" si="67"/>
        <v>0</v>
      </c>
      <c r="AD102" s="104">
        <f t="shared" si="67"/>
        <v>0</v>
      </c>
      <c r="AE102" s="104">
        <f t="shared" si="67"/>
        <v>0</v>
      </c>
      <c r="AF102" s="104">
        <f t="shared" si="67"/>
        <v>0</v>
      </c>
      <c r="AG102" s="84">
        <f t="shared" si="61"/>
        <v>0</v>
      </c>
      <c r="AH102" s="105" t="str">
        <f t="shared" si="62"/>
        <v/>
      </c>
      <c r="AJ102" s="84">
        <f t="shared" si="63"/>
        <v>223.65</v>
      </c>
    </row>
    <row r="103" spans="1:36" x14ac:dyDescent="0.3">
      <c r="A103" s="113" t="s">
        <v>189</v>
      </c>
      <c r="B103" s="84">
        <f>IFERROR(SUMIF([2]Jan26A!$A:$A,$A103,INDEX([2]Jan26A!$A:$N,0,MATCH($A$1,[2]Jan26A!$A$7:$N$7,0))),0)</f>
        <v>0</v>
      </c>
      <c r="C103" s="84">
        <f>IFERROR(SUMIF([2]Feb26A!$A:$A,$A103,INDEX([2]Feb26A!$A:$N,0,MATCH($A$1,[2]Feb26A!$A$7:$N$7,0))),0)</f>
        <v>0</v>
      </c>
      <c r="D103" s="84">
        <f>IFERROR(SUMIF([2]Mar26A!$A:$A,$A103,INDEX([2]Mar26A!$A:$N,0,MATCH($A$1,[2]Mar26A!$A$7:$N$7,0))),0)</f>
        <v>0</v>
      </c>
      <c r="E103" s="84">
        <f>IFERROR(SUMIF([2]Apr26A!$A:$A,$A103,INDEX([2]Apr26A!$A:$N,0,MATCH($A$1,[2]Apr26A!$A$7:$N$7,0))),0)</f>
        <v>0</v>
      </c>
      <c r="F103" s="84">
        <f>IFERROR(SUMIF([2]May26A!$A:$A,$A103,INDEX([2]May26A!$A:$N,0,MATCH($A$1,[2]May26A!$A$7:$N$7,0))),0)</f>
        <v>0</v>
      </c>
      <c r="G103" s="84">
        <f>IFERROR(SUMIF([2]Jun26A!$A:$A,$A103,INDEX([2]Jun26A!$A:$N,0,MATCH($A$1,[2]Jun26A!$A$7:$N$7,0))),0)</f>
        <v>0</v>
      </c>
      <c r="H103" s="84">
        <f>IFERROR(SUMIF([2]Jul26A!$A:$A,$A103,INDEX([2]Jul26A!$A:$N,0,MATCH($A$1,[2]Jul26A!$A$7:$N$7,0))),0)</f>
        <v>0</v>
      </c>
      <c r="I103" s="84">
        <f>IFERROR(SUMIF([2]Aug26A!$A:$A,$A103,INDEX([2]Aug26A!$A:$N,0,MATCH($A$1,[2]Aug26A!$A$7:$N$7,0))),0)</f>
        <v>0</v>
      </c>
      <c r="J103" s="117">
        <v>0</v>
      </c>
      <c r="K103" s="117">
        <v>0</v>
      </c>
      <c r="L103" s="117">
        <v>0</v>
      </c>
      <c r="M103" s="117">
        <v>0</v>
      </c>
      <c r="N103" s="84">
        <f t="shared" si="58"/>
        <v>0</v>
      </c>
      <c r="O103" s="105" t="str">
        <f t="shared" si="59"/>
        <v/>
      </c>
      <c r="P103" s="84"/>
      <c r="Q103" s="84"/>
      <c r="R103" s="106" t="s">
        <v>99</v>
      </c>
      <c r="S103" s="107">
        <v>0</v>
      </c>
      <c r="T103" s="108">
        <v>0.05</v>
      </c>
      <c r="U103" s="104">
        <f t="shared" si="67"/>
        <v>0</v>
      </c>
      <c r="V103" s="104">
        <f t="shared" si="67"/>
        <v>0</v>
      </c>
      <c r="W103" s="104">
        <f t="shared" si="67"/>
        <v>0</v>
      </c>
      <c r="X103" s="104">
        <f t="shared" si="67"/>
        <v>0</v>
      </c>
      <c r="Y103" s="104">
        <f t="shared" si="67"/>
        <v>0</v>
      </c>
      <c r="Z103" s="104">
        <f t="shared" si="67"/>
        <v>0</v>
      </c>
      <c r="AA103" s="104">
        <f t="shared" si="67"/>
        <v>0</v>
      </c>
      <c r="AB103" s="104">
        <f t="shared" si="67"/>
        <v>0</v>
      </c>
      <c r="AC103" s="104">
        <f t="shared" si="67"/>
        <v>0</v>
      </c>
      <c r="AD103" s="104">
        <f t="shared" si="67"/>
        <v>0</v>
      </c>
      <c r="AE103" s="104">
        <f t="shared" si="67"/>
        <v>0</v>
      </c>
      <c r="AF103" s="104">
        <f t="shared" si="67"/>
        <v>0</v>
      </c>
      <c r="AG103" s="84">
        <f t="shared" si="61"/>
        <v>0</v>
      </c>
      <c r="AH103" s="105" t="str">
        <f t="shared" si="62"/>
        <v/>
      </c>
      <c r="AJ103" s="84">
        <f t="shared" si="63"/>
        <v>0</v>
      </c>
    </row>
    <row r="104" spans="1:36" x14ac:dyDescent="0.3">
      <c r="A104" s="113" t="s">
        <v>190</v>
      </c>
      <c r="B104" s="84">
        <f>IFERROR(SUMIF([2]Jan26A!$A:$A,$A104,INDEX([2]Jan26A!$A:$N,0,MATCH($A$1,[2]Jan26A!$A$7:$N$7,0))),0)</f>
        <v>0</v>
      </c>
      <c r="C104" s="84">
        <f>IFERROR(SUMIF([2]Feb26A!$A:$A,$A104,INDEX([2]Feb26A!$A:$N,0,MATCH($A$1,[2]Feb26A!$A$7:$N$7,0))),0)</f>
        <v>0</v>
      </c>
      <c r="D104" s="84">
        <f>IFERROR(SUMIF([2]Mar26A!$A:$A,$A104,INDEX([2]Mar26A!$A:$N,0,MATCH($A$1,[2]Mar26A!$A$7:$N$7,0))),0)</f>
        <v>0</v>
      </c>
      <c r="E104" s="84">
        <f>IFERROR(SUMIF([2]Apr26A!$A:$A,$A104,INDEX([2]Apr26A!$A:$N,0,MATCH($A$1,[2]Apr26A!$A$7:$N$7,0))),0)</f>
        <v>0</v>
      </c>
      <c r="F104" s="84">
        <f>IFERROR(SUMIF([2]May26A!$A:$A,$A104,INDEX([2]May26A!$A:$N,0,MATCH($A$1,[2]May26A!$A$7:$N$7,0))),0)</f>
        <v>0</v>
      </c>
      <c r="G104" s="84">
        <f>IFERROR(SUMIF([2]Jun26A!$A:$A,$A104,INDEX([2]Jun26A!$A:$N,0,MATCH($A$1,[2]Jun26A!$A$7:$N$7,0))),0)</f>
        <v>0</v>
      </c>
      <c r="H104" s="84">
        <f>IFERROR(SUMIF([2]Jul26A!$A:$A,$A104,INDEX([2]Jul26A!$A:$N,0,MATCH($A$1,[2]Jul26A!$A$7:$N$7,0))),0)</f>
        <v>0</v>
      </c>
      <c r="I104" s="84">
        <f>IFERROR(SUMIF([2]Aug26A!$A:$A,$A104,INDEX([2]Aug26A!$A:$N,0,MATCH($A$1,[2]Aug26A!$A$7:$N$7,0))),0)</f>
        <v>0</v>
      </c>
      <c r="J104" s="117">
        <v>0</v>
      </c>
      <c r="K104" s="117">
        <v>0</v>
      </c>
      <c r="L104" s="117">
        <v>0</v>
      </c>
      <c r="M104" s="117">
        <v>0</v>
      </c>
      <c r="N104" s="84">
        <f t="shared" si="58"/>
        <v>0</v>
      </c>
      <c r="O104" s="105" t="str">
        <f t="shared" si="59"/>
        <v/>
      </c>
      <c r="P104" s="84"/>
      <c r="Q104" s="84"/>
      <c r="R104" s="106" t="s">
        <v>99</v>
      </c>
      <c r="S104" s="107">
        <v>0</v>
      </c>
      <c r="T104" s="108">
        <v>0.05</v>
      </c>
      <c r="U104" s="104">
        <f t="shared" si="67"/>
        <v>0</v>
      </c>
      <c r="V104" s="104">
        <f t="shared" si="67"/>
        <v>0</v>
      </c>
      <c r="W104" s="104">
        <f t="shared" si="67"/>
        <v>0</v>
      </c>
      <c r="X104" s="104">
        <f t="shared" si="67"/>
        <v>0</v>
      </c>
      <c r="Y104" s="104">
        <f t="shared" si="67"/>
        <v>0</v>
      </c>
      <c r="Z104" s="104">
        <f t="shared" si="67"/>
        <v>0</v>
      </c>
      <c r="AA104" s="104">
        <f t="shared" si="67"/>
        <v>0</v>
      </c>
      <c r="AB104" s="104">
        <f t="shared" si="67"/>
        <v>0</v>
      </c>
      <c r="AC104" s="104">
        <f t="shared" si="67"/>
        <v>0</v>
      </c>
      <c r="AD104" s="104">
        <f t="shared" si="67"/>
        <v>0</v>
      </c>
      <c r="AE104" s="104">
        <f t="shared" si="67"/>
        <v>0</v>
      </c>
      <c r="AF104" s="104">
        <f t="shared" si="67"/>
        <v>0</v>
      </c>
      <c r="AG104" s="84">
        <f t="shared" si="61"/>
        <v>0</v>
      </c>
      <c r="AH104" s="105" t="str">
        <f t="shared" si="62"/>
        <v/>
      </c>
      <c r="AJ104" s="84">
        <f t="shared" si="63"/>
        <v>0</v>
      </c>
    </row>
    <row r="105" spans="1:36" x14ac:dyDescent="0.3">
      <c r="A105" s="113" t="s">
        <v>191</v>
      </c>
      <c r="B105" s="84">
        <f>IFERROR(SUMIF([2]Jan26A!$A:$A,$A105,INDEX([2]Jan26A!$A:$N,0,MATCH($A$1,[2]Jan26A!$A$7:$N$7,0))),0)</f>
        <v>0</v>
      </c>
      <c r="C105" s="84">
        <f>IFERROR(SUMIF([2]Feb26A!$A:$A,$A105,INDEX([2]Feb26A!$A:$N,0,MATCH($A$1,[2]Feb26A!$A$7:$N$7,0))),0)</f>
        <v>0</v>
      </c>
      <c r="D105" s="84">
        <f>IFERROR(SUMIF([2]Mar26A!$A:$A,$A105,INDEX([2]Mar26A!$A:$N,0,MATCH($A$1,[2]Mar26A!$A$7:$N$7,0))),0)</f>
        <v>0</v>
      </c>
      <c r="E105" s="84">
        <f>IFERROR(SUMIF([2]Apr26A!$A:$A,$A105,INDEX([2]Apr26A!$A:$N,0,MATCH($A$1,[2]Apr26A!$A$7:$N$7,0))),0)</f>
        <v>0</v>
      </c>
      <c r="F105" s="84">
        <f>IFERROR(SUMIF([2]May26A!$A:$A,$A105,INDEX([2]May26A!$A:$N,0,MATCH($A$1,[2]May26A!$A$7:$N$7,0))),0)</f>
        <v>0</v>
      </c>
      <c r="G105" s="84">
        <f>IFERROR(SUMIF([2]Jun26A!$A:$A,$A105,INDEX([2]Jun26A!$A:$N,0,MATCH($A$1,[2]Jun26A!$A$7:$N$7,0))),0)</f>
        <v>0</v>
      </c>
      <c r="H105" s="84">
        <f>IFERROR(SUMIF([2]Jul26A!$A:$A,$A105,INDEX([2]Jul26A!$A:$N,0,MATCH($A$1,[2]Jul26A!$A$7:$N$7,0))),0)</f>
        <v>0</v>
      </c>
      <c r="I105" s="84">
        <f>IFERROR(SUMIF([2]Aug26A!$A:$A,$A105,INDEX([2]Aug26A!$A:$N,0,MATCH($A$1,[2]Aug26A!$A$7:$N$7,0))),0)</f>
        <v>0</v>
      </c>
      <c r="J105" s="117">
        <v>0</v>
      </c>
      <c r="K105" s="117">
        <v>0</v>
      </c>
      <c r="L105" s="117">
        <v>0</v>
      </c>
      <c r="M105" s="117">
        <v>0</v>
      </c>
      <c r="N105" s="84">
        <f t="shared" si="58"/>
        <v>0</v>
      </c>
      <c r="O105" s="105" t="str">
        <f t="shared" si="59"/>
        <v/>
      </c>
      <c r="P105" s="84"/>
      <c r="Q105" s="84"/>
      <c r="R105" s="106" t="s">
        <v>99</v>
      </c>
      <c r="S105" s="107">
        <v>0</v>
      </c>
      <c r="T105" s="108">
        <v>0.05</v>
      </c>
      <c r="U105" s="104">
        <f t="shared" si="67"/>
        <v>0</v>
      </c>
      <c r="V105" s="104">
        <f t="shared" si="67"/>
        <v>0</v>
      </c>
      <c r="W105" s="104">
        <f t="shared" si="67"/>
        <v>0</v>
      </c>
      <c r="X105" s="104">
        <f t="shared" si="67"/>
        <v>0</v>
      </c>
      <c r="Y105" s="104">
        <f t="shared" si="67"/>
        <v>0</v>
      </c>
      <c r="Z105" s="104">
        <f t="shared" si="67"/>
        <v>0</v>
      </c>
      <c r="AA105" s="104">
        <f t="shared" si="67"/>
        <v>0</v>
      </c>
      <c r="AB105" s="104">
        <f t="shared" si="67"/>
        <v>0</v>
      </c>
      <c r="AC105" s="104">
        <f t="shared" si="67"/>
        <v>0</v>
      </c>
      <c r="AD105" s="104">
        <f t="shared" si="67"/>
        <v>0</v>
      </c>
      <c r="AE105" s="104">
        <f t="shared" si="67"/>
        <v>0</v>
      </c>
      <c r="AF105" s="104">
        <f t="shared" si="67"/>
        <v>0</v>
      </c>
      <c r="AG105" s="84">
        <f t="shared" si="61"/>
        <v>0</v>
      </c>
      <c r="AH105" s="105" t="str">
        <f t="shared" si="62"/>
        <v/>
      </c>
      <c r="AJ105" s="84">
        <f t="shared" si="63"/>
        <v>0</v>
      </c>
    </row>
    <row r="106" spans="1:36" x14ac:dyDescent="0.3">
      <c r="A106" s="113" t="s">
        <v>192</v>
      </c>
      <c r="B106" s="84">
        <f>IFERROR(SUMIF([2]Jan26A!$A:$A,$A106,INDEX([2]Jan26A!$A:$N,0,MATCH($A$1,[2]Jan26A!$A$7:$N$7,0))),0)</f>
        <v>0</v>
      </c>
      <c r="C106" s="84">
        <f>IFERROR(SUMIF([2]Feb26A!$A:$A,$A106,INDEX([2]Feb26A!$A:$N,0,MATCH($A$1,[2]Feb26A!$A$7:$N$7,0))),0)</f>
        <v>0</v>
      </c>
      <c r="D106" s="84">
        <f>IFERROR(SUMIF([2]Mar26A!$A:$A,$A106,INDEX([2]Mar26A!$A:$N,0,MATCH($A$1,[2]Mar26A!$A$7:$N$7,0))),0)</f>
        <v>0</v>
      </c>
      <c r="E106" s="84">
        <f>IFERROR(SUMIF([2]Apr26A!$A:$A,$A106,INDEX([2]Apr26A!$A:$N,0,MATCH($A$1,[2]Apr26A!$A$7:$N$7,0))),0)</f>
        <v>0</v>
      </c>
      <c r="F106" s="84">
        <f>IFERROR(SUMIF([2]May26A!$A:$A,$A106,INDEX([2]May26A!$A:$N,0,MATCH($A$1,[2]May26A!$A$7:$N$7,0))),0)</f>
        <v>0</v>
      </c>
      <c r="G106" s="84">
        <f>IFERROR(SUMIF([2]Jun26A!$A:$A,$A106,INDEX([2]Jun26A!$A:$N,0,MATCH($A$1,[2]Jun26A!$A$7:$N$7,0))),0)</f>
        <v>0</v>
      </c>
      <c r="H106" s="84">
        <f>IFERROR(SUMIF([2]Jul26A!$A:$A,$A106,INDEX([2]Jul26A!$A:$N,0,MATCH($A$1,[2]Jul26A!$A$7:$N$7,0))),0)</f>
        <v>0</v>
      </c>
      <c r="I106" s="84">
        <f>IFERROR(SUMIF([2]Aug26A!$A:$A,$A106,INDEX([2]Aug26A!$A:$N,0,MATCH($A$1,[2]Aug26A!$A$7:$N$7,0))),0)</f>
        <v>0</v>
      </c>
      <c r="J106" s="117">
        <v>0</v>
      </c>
      <c r="K106" s="117">
        <v>0</v>
      </c>
      <c r="L106" s="117">
        <v>0</v>
      </c>
      <c r="M106" s="117">
        <v>0</v>
      </c>
      <c r="N106" s="84">
        <f t="shared" si="58"/>
        <v>0</v>
      </c>
      <c r="O106" s="105" t="str">
        <f t="shared" si="59"/>
        <v/>
      </c>
      <c r="P106" s="84"/>
      <c r="Q106" s="84"/>
      <c r="R106" s="106" t="s">
        <v>99</v>
      </c>
      <c r="S106" s="107">
        <v>0</v>
      </c>
      <c r="T106" s="108">
        <v>0.05</v>
      </c>
      <c r="U106" s="104">
        <f t="shared" si="67"/>
        <v>0</v>
      </c>
      <c r="V106" s="104">
        <f t="shared" si="67"/>
        <v>0</v>
      </c>
      <c r="W106" s="104">
        <f t="shared" si="67"/>
        <v>0</v>
      </c>
      <c r="X106" s="104">
        <f t="shared" si="67"/>
        <v>0</v>
      </c>
      <c r="Y106" s="104">
        <f t="shared" si="67"/>
        <v>0</v>
      </c>
      <c r="Z106" s="104">
        <f t="shared" si="67"/>
        <v>0</v>
      </c>
      <c r="AA106" s="104">
        <f t="shared" si="67"/>
        <v>0</v>
      </c>
      <c r="AB106" s="104">
        <f t="shared" si="67"/>
        <v>0</v>
      </c>
      <c r="AC106" s="104">
        <f t="shared" si="67"/>
        <v>0</v>
      </c>
      <c r="AD106" s="104">
        <f t="shared" si="67"/>
        <v>0</v>
      </c>
      <c r="AE106" s="104">
        <f t="shared" si="67"/>
        <v>0</v>
      </c>
      <c r="AF106" s="104">
        <f t="shared" si="67"/>
        <v>0</v>
      </c>
      <c r="AG106" s="84">
        <f t="shared" si="61"/>
        <v>0</v>
      </c>
      <c r="AH106" s="105" t="str">
        <f t="shared" si="62"/>
        <v/>
      </c>
      <c r="AJ106" s="84">
        <f t="shared" si="63"/>
        <v>0</v>
      </c>
    </row>
    <row r="107" spans="1:36" x14ac:dyDescent="0.3">
      <c r="A107" s="113" t="s">
        <v>193</v>
      </c>
      <c r="B107" s="84">
        <f>IFERROR(SUMIF([2]Jan26A!$A:$A,$A107,INDEX([2]Jan26A!$A:$N,0,MATCH($A$1,[2]Jan26A!$A$7:$N$7,0))),0)</f>
        <v>0</v>
      </c>
      <c r="C107" s="84">
        <f>IFERROR(SUMIF([2]Feb26A!$A:$A,$A107,INDEX([2]Feb26A!$A:$N,0,MATCH($A$1,[2]Feb26A!$A$7:$N$7,0))),0)</f>
        <v>0</v>
      </c>
      <c r="D107" s="84">
        <f>IFERROR(SUMIF([2]Mar26A!$A:$A,$A107,INDEX([2]Mar26A!$A:$N,0,MATCH($A$1,[2]Mar26A!$A$7:$N$7,0))),0)</f>
        <v>0</v>
      </c>
      <c r="E107" s="84">
        <f>IFERROR(SUMIF([2]Apr26A!$A:$A,$A107,INDEX([2]Apr26A!$A:$N,0,MATCH($A$1,[2]Apr26A!$A$7:$N$7,0))),0)</f>
        <v>0</v>
      </c>
      <c r="F107" s="84">
        <f>IFERROR(SUMIF([2]May26A!$A:$A,$A107,INDEX([2]May26A!$A:$N,0,MATCH($A$1,[2]May26A!$A$7:$N$7,0))),0)</f>
        <v>0</v>
      </c>
      <c r="G107" s="84">
        <f>IFERROR(SUMIF([2]Jun26A!$A:$A,$A107,INDEX([2]Jun26A!$A:$N,0,MATCH($A$1,[2]Jun26A!$A$7:$N$7,0))),0)</f>
        <v>0</v>
      </c>
      <c r="H107" s="84">
        <f>IFERROR(SUMIF([2]Jul26A!$A:$A,$A107,INDEX([2]Jul26A!$A:$N,0,MATCH($A$1,[2]Jul26A!$A$7:$N$7,0))),0)</f>
        <v>0</v>
      </c>
      <c r="I107" s="84">
        <f>IFERROR(SUMIF([2]Aug26A!$A:$A,$A107,INDEX([2]Aug26A!$A:$N,0,MATCH($A$1,[2]Aug26A!$A$7:$N$7,0))),0)</f>
        <v>0</v>
      </c>
      <c r="J107" s="117">
        <v>0</v>
      </c>
      <c r="K107" s="117">
        <v>0</v>
      </c>
      <c r="L107" s="117">
        <v>0</v>
      </c>
      <c r="M107" s="117">
        <v>0</v>
      </c>
      <c r="N107" s="84">
        <f t="shared" si="58"/>
        <v>0</v>
      </c>
      <c r="O107" s="105" t="str">
        <f t="shared" si="59"/>
        <v/>
      </c>
      <c r="P107" s="84"/>
      <c r="Q107" s="84"/>
      <c r="R107" s="106" t="s">
        <v>99</v>
      </c>
      <c r="S107" s="107">
        <v>0</v>
      </c>
      <c r="T107" s="108">
        <v>0.05</v>
      </c>
      <c r="U107" s="104">
        <f t="shared" si="67"/>
        <v>0</v>
      </c>
      <c r="V107" s="104">
        <f t="shared" si="67"/>
        <v>0</v>
      </c>
      <c r="W107" s="104">
        <f t="shared" si="67"/>
        <v>0</v>
      </c>
      <c r="X107" s="104">
        <f t="shared" si="67"/>
        <v>0</v>
      </c>
      <c r="Y107" s="104">
        <f t="shared" si="67"/>
        <v>0</v>
      </c>
      <c r="Z107" s="104">
        <f t="shared" si="67"/>
        <v>0</v>
      </c>
      <c r="AA107" s="104">
        <f t="shared" si="67"/>
        <v>0</v>
      </c>
      <c r="AB107" s="104">
        <f t="shared" si="67"/>
        <v>0</v>
      </c>
      <c r="AC107" s="104">
        <f t="shared" si="67"/>
        <v>0</v>
      </c>
      <c r="AD107" s="104">
        <f t="shared" si="67"/>
        <v>0</v>
      </c>
      <c r="AE107" s="104">
        <f t="shared" si="67"/>
        <v>0</v>
      </c>
      <c r="AF107" s="104">
        <f t="shared" si="67"/>
        <v>0</v>
      </c>
      <c r="AG107" s="84">
        <f t="shared" si="61"/>
        <v>0</v>
      </c>
      <c r="AH107" s="105" t="str">
        <f t="shared" si="62"/>
        <v/>
      </c>
      <c r="AJ107" s="84">
        <f t="shared" si="63"/>
        <v>0</v>
      </c>
    </row>
    <row r="108" spans="1:36" x14ac:dyDescent="0.3">
      <c r="A108" s="113" t="s">
        <v>194</v>
      </c>
      <c r="B108" s="84">
        <f>IFERROR(SUMIF([2]Jan26A!$A:$A,$A108,INDEX([2]Jan26A!$A:$N,0,MATCH($A$1,[2]Jan26A!$A$7:$N$7,0))),0)</f>
        <v>0</v>
      </c>
      <c r="C108" s="84">
        <f>IFERROR(SUMIF([2]Feb26A!$A:$A,$A108,INDEX([2]Feb26A!$A:$N,0,MATCH($A$1,[2]Feb26A!$A$7:$N$7,0))),0)</f>
        <v>0</v>
      </c>
      <c r="D108" s="84">
        <f>IFERROR(SUMIF([2]Mar26A!$A:$A,$A108,INDEX([2]Mar26A!$A:$N,0,MATCH($A$1,[2]Mar26A!$A$7:$N$7,0))),0)</f>
        <v>0</v>
      </c>
      <c r="E108" s="84">
        <f>IFERROR(SUMIF([2]Apr26A!$A:$A,$A108,INDEX([2]Apr26A!$A:$N,0,MATCH($A$1,[2]Apr26A!$A$7:$N$7,0))),0)</f>
        <v>0</v>
      </c>
      <c r="F108" s="84">
        <f>IFERROR(SUMIF([2]May26A!$A:$A,$A108,INDEX([2]May26A!$A:$N,0,MATCH($A$1,[2]May26A!$A$7:$N$7,0))),0)</f>
        <v>0</v>
      </c>
      <c r="G108" s="84">
        <f>IFERROR(SUMIF([2]Jun26A!$A:$A,$A108,INDEX([2]Jun26A!$A:$N,0,MATCH($A$1,[2]Jun26A!$A$7:$N$7,0))),0)</f>
        <v>0</v>
      </c>
      <c r="H108" s="84">
        <f>IFERROR(SUMIF([2]Jul26A!$A:$A,$A108,INDEX([2]Jul26A!$A:$N,0,MATCH($A$1,[2]Jul26A!$A$7:$N$7,0))),0)</f>
        <v>0</v>
      </c>
      <c r="I108" s="84">
        <f>IFERROR(SUMIF([2]Aug26A!$A:$A,$A108,INDEX([2]Aug26A!$A:$N,0,MATCH($A$1,[2]Aug26A!$A$7:$N$7,0))),0)</f>
        <v>0</v>
      </c>
      <c r="J108" s="117">
        <v>0</v>
      </c>
      <c r="K108" s="117">
        <v>0</v>
      </c>
      <c r="L108" s="117">
        <v>0</v>
      </c>
      <c r="M108" s="117">
        <v>0</v>
      </c>
      <c r="N108" s="84">
        <f t="shared" si="58"/>
        <v>0</v>
      </c>
      <c r="O108" s="105" t="str">
        <f t="shared" si="59"/>
        <v/>
      </c>
      <c r="P108" s="84"/>
      <c r="Q108" s="84"/>
      <c r="R108" s="106" t="s">
        <v>99</v>
      </c>
      <c r="S108" s="107">
        <v>0</v>
      </c>
      <c r="T108" s="108">
        <v>0.05</v>
      </c>
      <c r="U108" s="104">
        <f t="shared" ref="U108:AF115" si="68">IF($R108="Manual","",IFERROR(IF($R108="YOY Growth",$N108*(1+$T108)/12,$S108/12),""))</f>
        <v>0</v>
      </c>
      <c r="V108" s="104">
        <f t="shared" si="68"/>
        <v>0</v>
      </c>
      <c r="W108" s="104">
        <f t="shared" si="68"/>
        <v>0</v>
      </c>
      <c r="X108" s="104">
        <f t="shared" si="68"/>
        <v>0</v>
      </c>
      <c r="Y108" s="104">
        <f t="shared" si="68"/>
        <v>0</v>
      </c>
      <c r="Z108" s="104">
        <f t="shared" si="68"/>
        <v>0</v>
      </c>
      <c r="AA108" s="104">
        <f t="shared" si="68"/>
        <v>0</v>
      </c>
      <c r="AB108" s="104">
        <f t="shared" si="68"/>
        <v>0</v>
      </c>
      <c r="AC108" s="104">
        <f t="shared" si="68"/>
        <v>0</v>
      </c>
      <c r="AD108" s="104">
        <f t="shared" si="68"/>
        <v>0</v>
      </c>
      <c r="AE108" s="104">
        <f t="shared" si="68"/>
        <v>0</v>
      </c>
      <c r="AF108" s="104">
        <f t="shared" si="68"/>
        <v>0</v>
      </c>
      <c r="AG108" s="84">
        <f t="shared" si="61"/>
        <v>0</v>
      </c>
      <c r="AH108" s="105" t="str">
        <f t="shared" si="62"/>
        <v/>
      </c>
      <c r="AJ108" s="84">
        <f t="shared" si="63"/>
        <v>0</v>
      </c>
    </row>
    <row r="109" spans="1:36" x14ac:dyDescent="0.3">
      <c r="A109" s="113" t="s">
        <v>195</v>
      </c>
      <c r="B109" s="84">
        <f>IFERROR(SUMIF([2]Jan26A!$A:$A,$A109,INDEX([2]Jan26A!$A:$N,0,MATCH($A$1,[2]Jan26A!$A$7:$N$7,0))),0)</f>
        <v>0</v>
      </c>
      <c r="C109" s="84">
        <f>IFERROR(SUMIF([2]Feb26A!$A:$A,$A109,INDEX([2]Feb26A!$A:$N,0,MATCH($A$1,[2]Feb26A!$A$7:$N$7,0))),0)</f>
        <v>0</v>
      </c>
      <c r="D109" s="84">
        <f>IFERROR(SUMIF([2]Mar26A!$A:$A,$A109,INDEX([2]Mar26A!$A:$N,0,MATCH($A$1,[2]Mar26A!$A$7:$N$7,0))),0)</f>
        <v>0</v>
      </c>
      <c r="E109" s="84">
        <f>IFERROR(SUMIF([2]Apr26A!$A:$A,$A109,INDEX([2]Apr26A!$A:$N,0,MATCH($A$1,[2]Apr26A!$A$7:$N$7,0))),0)</f>
        <v>0</v>
      </c>
      <c r="F109" s="84">
        <f>IFERROR(SUMIF([2]May26A!$A:$A,$A109,INDEX([2]May26A!$A:$N,0,MATCH($A$1,[2]May26A!$A$7:$N$7,0))),0)</f>
        <v>0</v>
      </c>
      <c r="G109" s="84">
        <f>IFERROR(SUMIF([2]Jun26A!$A:$A,$A109,INDEX([2]Jun26A!$A:$N,0,MATCH($A$1,[2]Jun26A!$A$7:$N$7,0))),0)</f>
        <v>0</v>
      </c>
      <c r="H109" s="84">
        <f>IFERROR(SUMIF([2]Jul26A!$A:$A,$A109,INDEX([2]Jul26A!$A:$N,0,MATCH($A$1,[2]Jul26A!$A$7:$N$7,0))),0)</f>
        <v>0</v>
      </c>
      <c r="I109" s="84">
        <f>IFERROR(SUMIF([2]Aug26A!$A:$A,$A109,INDEX([2]Aug26A!$A:$N,0,MATCH($A$1,[2]Aug26A!$A$7:$N$7,0))),0)</f>
        <v>0</v>
      </c>
      <c r="J109" s="117">
        <v>0</v>
      </c>
      <c r="K109" s="117">
        <v>0</v>
      </c>
      <c r="L109" s="117">
        <v>0</v>
      </c>
      <c r="M109" s="117">
        <v>0</v>
      </c>
      <c r="N109" s="84">
        <f t="shared" si="58"/>
        <v>0</v>
      </c>
      <c r="O109" s="105" t="str">
        <f t="shared" si="59"/>
        <v/>
      </c>
      <c r="P109" s="84"/>
      <c r="Q109" s="84"/>
      <c r="R109" s="106" t="s">
        <v>99</v>
      </c>
      <c r="S109" s="107">
        <v>0</v>
      </c>
      <c r="T109" s="108">
        <v>0.05</v>
      </c>
      <c r="U109" s="104">
        <f t="shared" si="68"/>
        <v>0</v>
      </c>
      <c r="V109" s="104">
        <f t="shared" si="68"/>
        <v>0</v>
      </c>
      <c r="W109" s="104">
        <f t="shared" si="68"/>
        <v>0</v>
      </c>
      <c r="X109" s="104">
        <f t="shared" si="68"/>
        <v>0</v>
      </c>
      <c r="Y109" s="104">
        <f t="shared" si="68"/>
        <v>0</v>
      </c>
      <c r="Z109" s="104">
        <f t="shared" si="68"/>
        <v>0</v>
      </c>
      <c r="AA109" s="104">
        <f t="shared" si="68"/>
        <v>0</v>
      </c>
      <c r="AB109" s="104">
        <f t="shared" si="68"/>
        <v>0</v>
      </c>
      <c r="AC109" s="104">
        <f t="shared" si="68"/>
        <v>0</v>
      </c>
      <c r="AD109" s="104">
        <f t="shared" si="68"/>
        <v>0</v>
      </c>
      <c r="AE109" s="104">
        <f t="shared" si="68"/>
        <v>0</v>
      </c>
      <c r="AF109" s="104">
        <f t="shared" si="68"/>
        <v>0</v>
      </c>
      <c r="AG109" s="84">
        <f t="shared" si="61"/>
        <v>0</v>
      </c>
      <c r="AH109" s="105" t="str">
        <f t="shared" si="62"/>
        <v/>
      </c>
      <c r="AJ109" s="84">
        <f t="shared" si="63"/>
        <v>0</v>
      </c>
    </row>
    <row r="110" spans="1:36" x14ac:dyDescent="0.3">
      <c r="A110" s="113" t="s">
        <v>196</v>
      </c>
      <c r="B110" s="84">
        <f>IFERROR(SUMIF([2]Jan26A!$A:$A,$A110,INDEX([2]Jan26A!$A:$N,0,MATCH($A$1,[2]Jan26A!$A$7:$N$7,0))),0)</f>
        <v>0</v>
      </c>
      <c r="C110" s="84">
        <f>IFERROR(SUMIF([2]Feb26A!$A:$A,$A110,INDEX([2]Feb26A!$A:$N,0,MATCH($A$1,[2]Feb26A!$A$7:$N$7,0))),0)</f>
        <v>0</v>
      </c>
      <c r="D110" s="84">
        <f>IFERROR(SUMIF([2]Mar26A!$A:$A,$A110,INDEX([2]Mar26A!$A:$N,0,MATCH($A$1,[2]Mar26A!$A$7:$N$7,0))),0)</f>
        <v>0</v>
      </c>
      <c r="E110" s="84">
        <f>IFERROR(SUMIF([2]Apr26A!$A:$A,$A110,INDEX([2]Apr26A!$A:$N,0,MATCH($A$1,[2]Apr26A!$A$7:$N$7,0))),0)</f>
        <v>0</v>
      </c>
      <c r="F110" s="84">
        <f>IFERROR(SUMIF([2]May26A!$A:$A,$A110,INDEX([2]May26A!$A:$N,0,MATCH($A$1,[2]May26A!$A$7:$N$7,0))),0)</f>
        <v>0</v>
      </c>
      <c r="G110" s="84">
        <f>IFERROR(SUMIF([2]Jun26A!$A:$A,$A110,INDEX([2]Jun26A!$A:$N,0,MATCH($A$1,[2]Jun26A!$A$7:$N$7,0))),0)</f>
        <v>0</v>
      </c>
      <c r="H110" s="84">
        <f>IFERROR(SUMIF([2]Jul26A!$A:$A,$A110,INDEX([2]Jul26A!$A:$N,0,MATCH($A$1,[2]Jul26A!$A$7:$N$7,0))),0)</f>
        <v>0</v>
      </c>
      <c r="I110" s="84">
        <f>IFERROR(SUMIF([2]Aug26A!$A:$A,$A110,INDEX([2]Aug26A!$A:$N,0,MATCH($A$1,[2]Aug26A!$A$7:$N$7,0))),0)</f>
        <v>0</v>
      </c>
      <c r="J110" s="117">
        <v>0</v>
      </c>
      <c r="K110" s="117">
        <v>0</v>
      </c>
      <c r="L110" s="117">
        <v>0</v>
      </c>
      <c r="M110" s="117">
        <v>0</v>
      </c>
      <c r="N110" s="84">
        <f t="shared" si="58"/>
        <v>0</v>
      </c>
      <c r="O110" s="105" t="str">
        <f t="shared" si="59"/>
        <v/>
      </c>
      <c r="P110" s="84"/>
      <c r="Q110" s="84"/>
      <c r="R110" s="106" t="s">
        <v>99</v>
      </c>
      <c r="S110" s="107">
        <v>0</v>
      </c>
      <c r="T110" s="108">
        <v>0.05</v>
      </c>
      <c r="U110" s="104">
        <f t="shared" si="68"/>
        <v>0</v>
      </c>
      <c r="V110" s="104">
        <f t="shared" si="68"/>
        <v>0</v>
      </c>
      <c r="W110" s="104">
        <f t="shared" si="68"/>
        <v>0</v>
      </c>
      <c r="X110" s="104">
        <f t="shared" si="68"/>
        <v>0</v>
      </c>
      <c r="Y110" s="104">
        <f t="shared" si="68"/>
        <v>0</v>
      </c>
      <c r="Z110" s="104">
        <f t="shared" si="68"/>
        <v>0</v>
      </c>
      <c r="AA110" s="104">
        <f t="shared" si="68"/>
        <v>0</v>
      </c>
      <c r="AB110" s="104">
        <f t="shared" si="68"/>
        <v>0</v>
      </c>
      <c r="AC110" s="104">
        <f t="shared" si="68"/>
        <v>0</v>
      </c>
      <c r="AD110" s="104">
        <f t="shared" si="68"/>
        <v>0</v>
      </c>
      <c r="AE110" s="104">
        <f t="shared" si="68"/>
        <v>0</v>
      </c>
      <c r="AF110" s="104">
        <f t="shared" si="68"/>
        <v>0</v>
      </c>
      <c r="AG110" s="84">
        <f t="shared" si="61"/>
        <v>0</v>
      </c>
      <c r="AH110" s="105" t="str">
        <f t="shared" si="62"/>
        <v/>
      </c>
      <c r="AJ110" s="84">
        <f t="shared" si="63"/>
        <v>0</v>
      </c>
    </row>
    <row r="111" spans="1:36" x14ac:dyDescent="0.3">
      <c r="A111" s="113" t="s">
        <v>197</v>
      </c>
      <c r="B111" s="84">
        <f>IFERROR(SUMIF([2]Jan26A!$A:$A,$A111,INDEX([2]Jan26A!$A:$N,0,MATCH($A$1,[2]Jan26A!$A$7:$N$7,0))),0)</f>
        <v>0</v>
      </c>
      <c r="C111" s="84">
        <f>IFERROR(SUMIF([2]Feb26A!$A:$A,$A111,INDEX([2]Feb26A!$A:$N,0,MATCH($A$1,[2]Feb26A!$A$7:$N$7,0))),0)</f>
        <v>0</v>
      </c>
      <c r="D111" s="84">
        <f>IFERROR(SUMIF([2]Mar26A!$A:$A,$A111,INDEX([2]Mar26A!$A:$N,0,MATCH($A$1,[2]Mar26A!$A$7:$N$7,0))),0)</f>
        <v>0</v>
      </c>
      <c r="E111" s="84">
        <f>IFERROR(SUMIF([2]Apr26A!$A:$A,$A111,INDEX([2]Apr26A!$A:$N,0,MATCH($A$1,[2]Apr26A!$A$7:$N$7,0))),0)</f>
        <v>0</v>
      </c>
      <c r="F111" s="84">
        <f>IFERROR(SUMIF([2]May26A!$A:$A,$A111,INDEX([2]May26A!$A:$N,0,MATCH($A$1,[2]May26A!$A$7:$N$7,0))),0)</f>
        <v>0</v>
      </c>
      <c r="G111" s="84">
        <f>IFERROR(SUMIF([2]Jun26A!$A:$A,$A111,INDEX([2]Jun26A!$A:$N,0,MATCH($A$1,[2]Jun26A!$A$7:$N$7,0))),0)</f>
        <v>0</v>
      </c>
      <c r="H111" s="84">
        <f>IFERROR(SUMIF([2]Jul26A!$A:$A,$A111,INDEX([2]Jul26A!$A:$N,0,MATCH($A$1,[2]Jul26A!$A$7:$N$7,0))),0)</f>
        <v>0</v>
      </c>
      <c r="I111" s="84">
        <f>IFERROR(SUMIF([2]Aug26A!$A:$A,$A111,INDEX([2]Aug26A!$A:$N,0,MATCH($A$1,[2]Aug26A!$A$7:$N$7,0))),0)</f>
        <v>0</v>
      </c>
      <c r="J111" s="117">
        <v>0</v>
      </c>
      <c r="K111" s="117">
        <v>0</v>
      </c>
      <c r="L111" s="117">
        <v>0</v>
      </c>
      <c r="M111" s="117">
        <v>0</v>
      </c>
      <c r="N111" s="84">
        <f t="shared" si="58"/>
        <v>0</v>
      </c>
      <c r="O111" s="105" t="str">
        <f t="shared" si="59"/>
        <v/>
      </c>
      <c r="P111" s="84"/>
      <c r="Q111" s="84"/>
      <c r="R111" s="106" t="s">
        <v>99</v>
      </c>
      <c r="S111" s="107">
        <v>0</v>
      </c>
      <c r="T111" s="108">
        <v>0.05</v>
      </c>
      <c r="U111" s="104">
        <f t="shared" si="68"/>
        <v>0</v>
      </c>
      <c r="V111" s="104">
        <f t="shared" si="68"/>
        <v>0</v>
      </c>
      <c r="W111" s="104">
        <f t="shared" si="68"/>
        <v>0</v>
      </c>
      <c r="X111" s="104">
        <f t="shared" si="68"/>
        <v>0</v>
      </c>
      <c r="Y111" s="104">
        <f t="shared" si="68"/>
        <v>0</v>
      </c>
      <c r="Z111" s="104">
        <f t="shared" si="68"/>
        <v>0</v>
      </c>
      <c r="AA111" s="104">
        <f t="shared" si="68"/>
        <v>0</v>
      </c>
      <c r="AB111" s="104">
        <f t="shared" si="68"/>
        <v>0</v>
      </c>
      <c r="AC111" s="104">
        <f t="shared" si="68"/>
        <v>0</v>
      </c>
      <c r="AD111" s="104">
        <f t="shared" si="68"/>
        <v>0</v>
      </c>
      <c r="AE111" s="104">
        <f t="shared" si="68"/>
        <v>0</v>
      </c>
      <c r="AF111" s="104">
        <f t="shared" si="68"/>
        <v>0</v>
      </c>
      <c r="AG111" s="84">
        <f t="shared" si="61"/>
        <v>0</v>
      </c>
      <c r="AH111" s="105" t="str">
        <f t="shared" si="62"/>
        <v/>
      </c>
      <c r="AJ111" s="84">
        <f t="shared" si="63"/>
        <v>0</v>
      </c>
    </row>
    <row r="112" spans="1:36" x14ac:dyDescent="0.3">
      <c r="A112" s="113" t="s">
        <v>198</v>
      </c>
      <c r="B112" s="84">
        <f>IFERROR(SUMIF([2]Jan26A!$A:$A,$A112,INDEX([2]Jan26A!$A:$N,0,MATCH($A$1,[2]Jan26A!$A$7:$N$7,0))),0)</f>
        <v>0</v>
      </c>
      <c r="C112" s="84">
        <f>IFERROR(SUMIF([2]Feb26A!$A:$A,$A112,INDEX([2]Feb26A!$A:$N,0,MATCH($A$1,[2]Feb26A!$A$7:$N$7,0))),0)</f>
        <v>0</v>
      </c>
      <c r="D112" s="84">
        <f>IFERROR(SUMIF([2]Mar26A!$A:$A,$A112,INDEX([2]Mar26A!$A:$N,0,MATCH($A$1,[2]Mar26A!$A$7:$N$7,0))),0)</f>
        <v>0</v>
      </c>
      <c r="E112" s="84">
        <f>IFERROR(SUMIF([2]Apr26A!$A:$A,$A112,INDEX([2]Apr26A!$A:$N,0,MATCH($A$1,[2]Apr26A!$A$7:$N$7,0))),0)</f>
        <v>0</v>
      </c>
      <c r="F112" s="84">
        <f>IFERROR(SUMIF([2]May26A!$A:$A,$A112,INDEX([2]May26A!$A:$N,0,MATCH($A$1,[2]May26A!$A$7:$N$7,0))),0)</f>
        <v>0</v>
      </c>
      <c r="G112" s="84">
        <f>IFERROR(SUMIF([2]Jun26A!$A:$A,$A112,INDEX([2]Jun26A!$A:$N,0,MATCH($A$1,[2]Jun26A!$A$7:$N$7,0))),0)</f>
        <v>0</v>
      </c>
      <c r="H112" s="84">
        <f>IFERROR(SUMIF([2]Jul26A!$A:$A,$A112,INDEX([2]Jul26A!$A:$N,0,MATCH($A$1,[2]Jul26A!$A$7:$N$7,0))),0)</f>
        <v>0</v>
      </c>
      <c r="I112" s="84">
        <f>IFERROR(SUMIF([2]Aug26A!$A:$A,$A112,INDEX([2]Aug26A!$A:$N,0,MATCH($A$1,[2]Aug26A!$A$7:$N$7,0))),0)</f>
        <v>0</v>
      </c>
      <c r="J112" s="117">
        <v>0</v>
      </c>
      <c r="K112" s="117">
        <v>0</v>
      </c>
      <c r="L112" s="117">
        <v>0</v>
      </c>
      <c r="M112" s="117">
        <v>0</v>
      </c>
      <c r="N112" s="84">
        <f t="shared" si="58"/>
        <v>0</v>
      </c>
      <c r="O112" s="105" t="str">
        <f t="shared" si="59"/>
        <v/>
      </c>
      <c r="P112" s="84"/>
      <c r="Q112" s="84"/>
      <c r="R112" s="106" t="s">
        <v>99</v>
      </c>
      <c r="S112" s="107">
        <v>0</v>
      </c>
      <c r="T112" s="108">
        <v>0.05</v>
      </c>
      <c r="U112" s="104">
        <f t="shared" si="68"/>
        <v>0</v>
      </c>
      <c r="V112" s="104">
        <f t="shared" si="68"/>
        <v>0</v>
      </c>
      <c r="W112" s="104">
        <f t="shared" si="68"/>
        <v>0</v>
      </c>
      <c r="X112" s="104">
        <f t="shared" si="68"/>
        <v>0</v>
      </c>
      <c r="Y112" s="104">
        <f t="shared" si="68"/>
        <v>0</v>
      </c>
      <c r="Z112" s="104">
        <f t="shared" si="68"/>
        <v>0</v>
      </c>
      <c r="AA112" s="104">
        <f t="shared" si="68"/>
        <v>0</v>
      </c>
      <c r="AB112" s="104">
        <f t="shared" si="68"/>
        <v>0</v>
      </c>
      <c r="AC112" s="104">
        <f t="shared" si="68"/>
        <v>0</v>
      </c>
      <c r="AD112" s="104">
        <f t="shared" si="68"/>
        <v>0</v>
      </c>
      <c r="AE112" s="104">
        <f t="shared" si="68"/>
        <v>0</v>
      </c>
      <c r="AF112" s="104">
        <f t="shared" si="68"/>
        <v>0</v>
      </c>
      <c r="AG112" s="84">
        <f t="shared" si="61"/>
        <v>0</v>
      </c>
      <c r="AH112" s="105" t="str">
        <f t="shared" si="62"/>
        <v/>
      </c>
      <c r="AJ112" s="84">
        <f t="shared" si="63"/>
        <v>0</v>
      </c>
    </row>
    <row r="113" spans="1:36" x14ac:dyDescent="0.3">
      <c r="A113" s="113" t="s">
        <v>199</v>
      </c>
      <c r="B113" s="84">
        <f>IFERROR(SUMIF([2]Jan26A!$A:$A,$A113,INDEX([2]Jan26A!$A:$N,0,MATCH($A$1,[2]Jan26A!$A$7:$N$7,0))),0)</f>
        <v>0</v>
      </c>
      <c r="C113" s="84">
        <f>IFERROR(SUMIF([2]Feb26A!$A:$A,$A113,INDEX([2]Feb26A!$A:$N,0,MATCH($A$1,[2]Feb26A!$A$7:$N$7,0))),0)</f>
        <v>0</v>
      </c>
      <c r="D113" s="84">
        <f>IFERROR(SUMIF([2]Mar26A!$A:$A,$A113,INDEX([2]Mar26A!$A:$N,0,MATCH($A$1,[2]Mar26A!$A$7:$N$7,0))),0)</f>
        <v>0</v>
      </c>
      <c r="E113" s="84">
        <f>IFERROR(SUMIF([2]Apr26A!$A:$A,$A113,INDEX([2]Apr26A!$A:$N,0,MATCH($A$1,[2]Apr26A!$A$7:$N$7,0))),0)</f>
        <v>0</v>
      </c>
      <c r="F113" s="84">
        <f>IFERROR(SUMIF([2]May26A!$A:$A,$A113,INDEX([2]May26A!$A:$N,0,MATCH($A$1,[2]May26A!$A$7:$N$7,0))),0)</f>
        <v>0</v>
      </c>
      <c r="G113" s="84">
        <f>IFERROR(SUMIF([2]Jun26A!$A:$A,$A113,INDEX([2]Jun26A!$A:$N,0,MATCH($A$1,[2]Jun26A!$A$7:$N$7,0))),0)</f>
        <v>0</v>
      </c>
      <c r="H113" s="84">
        <f>IFERROR(SUMIF([2]Jul26A!$A:$A,$A113,INDEX([2]Jul26A!$A:$N,0,MATCH($A$1,[2]Jul26A!$A$7:$N$7,0))),0)</f>
        <v>0</v>
      </c>
      <c r="I113" s="84">
        <f>IFERROR(SUMIF([2]Aug26A!$A:$A,$A113,INDEX([2]Aug26A!$A:$N,0,MATCH($A$1,[2]Aug26A!$A$7:$N$7,0))),0)</f>
        <v>0</v>
      </c>
      <c r="J113" s="117">
        <v>0</v>
      </c>
      <c r="K113" s="117">
        <v>0</v>
      </c>
      <c r="L113" s="117">
        <v>0</v>
      </c>
      <c r="M113" s="117">
        <v>0</v>
      </c>
      <c r="N113" s="84">
        <f t="shared" si="58"/>
        <v>0</v>
      </c>
      <c r="O113" s="105" t="str">
        <f t="shared" si="59"/>
        <v/>
      </c>
      <c r="P113" s="84"/>
      <c r="Q113" s="84"/>
      <c r="R113" s="106" t="s">
        <v>99</v>
      </c>
      <c r="S113" s="107">
        <v>0</v>
      </c>
      <c r="T113" s="108">
        <v>0.05</v>
      </c>
      <c r="U113" s="104">
        <f t="shared" si="68"/>
        <v>0</v>
      </c>
      <c r="V113" s="104">
        <f t="shared" si="68"/>
        <v>0</v>
      </c>
      <c r="W113" s="104">
        <f t="shared" si="68"/>
        <v>0</v>
      </c>
      <c r="X113" s="104">
        <f t="shared" si="68"/>
        <v>0</v>
      </c>
      <c r="Y113" s="104">
        <f t="shared" si="68"/>
        <v>0</v>
      </c>
      <c r="Z113" s="104">
        <f t="shared" si="68"/>
        <v>0</v>
      </c>
      <c r="AA113" s="104">
        <f t="shared" si="68"/>
        <v>0</v>
      </c>
      <c r="AB113" s="104">
        <f t="shared" si="68"/>
        <v>0</v>
      </c>
      <c r="AC113" s="104">
        <f t="shared" si="68"/>
        <v>0</v>
      </c>
      <c r="AD113" s="104">
        <f t="shared" si="68"/>
        <v>0</v>
      </c>
      <c r="AE113" s="104">
        <f t="shared" si="68"/>
        <v>0</v>
      </c>
      <c r="AF113" s="104">
        <f t="shared" si="68"/>
        <v>0</v>
      </c>
      <c r="AG113" s="84">
        <f t="shared" si="61"/>
        <v>0</v>
      </c>
      <c r="AH113" s="105" t="str">
        <f t="shared" si="62"/>
        <v/>
      </c>
      <c r="AJ113" s="84">
        <f t="shared" si="63"/>
        <v>0</v>
      </c>
    </row>
    <row r="114" spans="1:36" x14ac:dyDescent="0.3">
      <c r="A114" s="113" t="s">
        <v>200</v>
      </c>
      <c r="B114" s="84">
        <f>IFERROR(SUMIF([2]Jan26A!$A:$A,$A114,INDEX([2]Jan26A!$A:$N,0,MATCH($A$1,[2]Jan26A!$A$7:$N$7,0))),0)</f>
        <v>0</v>
      </c>
      <c r="C114" s="84">
        <f>IFERROR(SUMIF([2]Feb26A!$A:$A,$A114,INDEX([2]Feb26A!$A:$N,0,MATCH($A$1,[2]Feb26A!$A$7:$N$7,0))),0)</f>
        <v>0</v>
      </c>
      <c r="D114" s="84">
        <f>IFERROR(SUMIF([2]Mar26A!$A:$A,$A114,INDEX([2]Mar26A!$A:$N,0,MATCH($A$1,[2]Mar26A!$A$7:$N$7,0))),0)</f>
        <v>0</v>
      </c>
      <c r="E114" s="84">
        <f>IFERROR(SUMIF([2]Apr26A!$A:$A,$A114,INDEX([2]Apr26A!$A:$N,0,MATCH($A$1,[2]Apr26A!$A$7:$N$7,0))),0)</f>
        <v>0</v>
      </c>
      <c r="F114" s="84">
        <f>IFERROR(SUMIF([2]May26A!$A:$A,$A114,INDEX([2]May26A!$A:$N,0,MATCH($A$1,[2]May26A!$A$7:$N$7,0))),0)</f>
        <v>0</v>
      </c>
      <c r="G114" s="84">
        <f>IFERROR(SUMIF([2]Jun26A!$A:$A,$A114,INDEX([2]Jun26A!$A:$N,0,MATCH($A$1,[2]Jun26A!$A$7:$N$7,0))),0)</f>
        <v>0</v>
      </c>
      <c r="H114" s="84">
        <f>IFERROR(SUMIF([2]Jul26A!$A:$A,$A114,INDEX([2]Jul26A!$A:$N,0,MATCH($A$1,[2]Jul26A!$A$7:$N$7,0))),0)</f>
        <v>0</v>
      </c>
      <c r="I114" s="84">
        <f>IFERROR(SUMIF([2]Aug26A!$A:$A,$A114,INDEX([2]Aug26A!$A:$N,0,MATCH($A$1,[2]Aug26A!$A$7:$N$7,0))),0)</f>
        <v>0</v>
      </c>
      <c r="J114" s="117">
        <v>0</v>
      </c>
      <c r="K114" s="117">
        <v>0</v>
      </c>
      <c r="L114" s="117">
        <v>0</v>
      </c>
      <c r="M114" s="117">
        <v>0</v>
      </c>
      <c r="N114" s="84">
        <f t="shared" si="58"/>
        <v>0</v>
      </c>
      <c r="O114" s="105" t="str">
        <f t="shared" si="59"/>
        <v/>
      </c>
      <c r="P114" s="84"/>
      <c r="Q114" s="84"/>
      <c r="R114" s="106" t="s">
        <v>99</v>
      </c>
      <c r="S114" s="107">
        <v>0</v>
      </c>
      <c r="T114" s="108">
        <v>0.05</v>
      </c>
      <c r="U114" s="104">
        <f t="shared" si="68"/>
        <v>0</v>
      </c>
      <c r="V114" s="104">
        <f t="shared" si="68"/>
        <v>0</v>
      </c>
      <c r="W114" s="104">
        <f t="shared" si="68"/>
        <v>0</v>
      </c>
      <c r="X114" s="104">
        <f t="shared" si="68"/>
        <v>0</v>
      </c>
      <c r="Y114" s="104">
        <f t="shared" si="68"/>
        <v>0</v>
      </c>
      <c r="Z114" s="104">
        <f t="shared" si="68"/>
        <v>0</v>
      </c>
      <c r="AA114" s="104">
        <f t="shared" si="68"/>
        <v>0</v>
      </c>
      <c r="AB114" s="104">
        <f t="shared" si="68"/>
        <v>0</v>
      </c>
      <c r="AC114" s="104">
        <f t="shared" si="68"/>
        <v>0</v>
      </c>
      <c r="AD114" s="104">
        <f t="shared" si="68"/>
        <v>0</v>
      </c>
      <c r="AE114" s="104">
        <f t="shared" si="68"/>
        <v>0</v>
      </c>
      <c r="AF114" s="104">
        <f t="shared" si="68"/>
        <v>0</v>
      </c>
      <c r="AG114" s="84">
        <f t="shared" si="61"/>
        <v>0</v>
      </c>
      <c r="AH114" s="105" t="str">
        <f t="shared" si="62"/>
        <v/>
      </c>
      <c r="AJ114" s="84">
        <f t="shared" si="63"/>
        <v>0</v>
      </c>
    </row>
    <row r="115" spans="1:36" x14ac:dyDescent="0.3">
      <c r="A115" s="113" t="s">
        <v>201</v>
      </c>
      <c r="B115" s="84">
        <f>IFERROR(SUMIF([2]Jan26A!$A:$A,$A115,INDEX([2]Jan26A!$A:$N,0,MATCH($A$1,[2]Jan26A!$A$7:$N$7,0))),0)</f>
        <v>0</v>
      </c>
      <c r="C115" s="84">
        <f>IFERROR(SUMIF([2]Feb26A!$A:$A,$A115,INDEX([2]Feb26A!$A:$N,0,MATCH($A$1,[2]Feb26A!$A$7:$N$7,0))),0)</f>
        <v>0</v>
      </c>
      <c r="D115" s="84">
        <f>IFERROR(SUMIF([2]Mar26A!$A:$A,$A115,INDEX([2]Mar26A!$A:$N,0,MATCH($A$1,[2]Mar26A!$A$7:$N$7,0))),0)</f>
        <v>0</v>
      </c>
      <c r="E115" s="84">
        <f>IFERROR(SUMIF([2]Apr26A!$A:$A,$A115,INDEX([2]Apr26A!$A:$N,0,MATCH($A$1,[2]Apr26A!$A$7:$N$7,0))),0)</f>
        <v>0</v>
      </c>
      <c r="F115" s="84">
        <f>IFERROR(SUMIF([2]May26A!$A:$A,$A115,INDEX([2]May26A!$A:$N,0,MATCH($A$1,[2]May26A!$A$7:$N$7,0))),0)</f>
        <v>0</v>
      </c>
      <c r="G115" s="84">
        <f>IFERROR(SUMIF([2]Jun26A!$A:$A,$A115,INDEX([2]Jun26A!$A:$N,0,MATCH($A$1,[2]Jun26A!$A$7:$N$7,0))),0)</f>
        <v>0</v>
      </c>
      <c r="H115" s="84">
        <f>IFERROR(SUMIF([2]Jul26A!$A:$A,$A115,INDEX([2]Jul26A!$A:$N,0,MATCH($A$1,[2]Jul26A!$A$7:$N$7,0))),0)</f>
        <v>0</v>
      </c>
      <c r="I115" s="84">
        <f>IFERROR(SUMIF([2]Aug26A!$A:$A,$A115,INDEX([2]Aug26A!$A:$N,0,MATCH($A$1,[2]Aug26A!$A$7:$N$7,0))),0)</f>
        <v>0</v>
      </c>
      <c r="J115" s="117">
        <v>0</v>
      </c>
      <c r="K115" s="117">
        <v>0</v>
      </c>
      <c r="L115" s="117">
        <v>0</v>
      </c>
      <c r="M115" s="117">
        <v>0</v>
      </c>
      <c r="N115" s="84">
        <f t="shared" si="58"/>
        <v>0</v>
      </c>
      <c r="O115" s="105" t="str">
        <f t="shared" si="59"/>
        <v/>
      </c>
      <c r="P115" s="84"/>
      <c r="Q115" s="84"/>
      <c r="R115" s="106" t="s">
        <v>99</v>
      </c>
      <c r="S115" s="107">
        <v>0</v>
      </c>
      <c r="T115" s="108">
        <v>0.05</v>
      </c>
      <c r="U115" s="104">
        <f t="shared" si="68"/>
        <v>0</v>
      </c>
      <c r="V115" s="104">
        <f t="shared" si="68"/>
        <v>0</v>
      </c>
      <c r="W115" s="104">
        <f t="shared" si="68"/>
        <v>0</v>
      </c>
      <c r="X115" s="104">
        <f t="shared" si="68"/>
        <v>0</v>
      </c>
      <c r="Y115" s="104">
        <f t="shared" si="68"/>
        <v>0</v>
      </c>
      <c r="Z115" s="104">
        <f t="shared" si="68"/>
        <v>0</v>
      </c>
      <c r="AA115" s="104">
        <f t="shared" si="68"/>
        <v>0</v>
      </c>
      <c r="AB115" s="104">
        <f t="shared" si="68"/>
        <v>0</v>
      </c>
      <c r="AC115" s="104">
        <f t="shared" si="68"/>
        <v>0</v>
      </c>
      <c r="AD115" s="104">
        <f t="shared" si="68"/>
        <v>0</v>
      </c>
      <c r="AE115" s="104">
        <f t="shared" si="68"/>
        <v>0</v>
      </c>
      <c r="AF115" s="104">
        <f t="shared" si="68"/>
        <v>0</v>
      </c>
      <c r="AG115" s="84">
        <f t="shared" si="61"/>
        <v>0</v>
      </c>
      <c r="AH115" s="105" t="str">
        <f t="shared" si="62"/>
        <v/>
      </c>
      <c r="AJ115" s="84">
        <f t="shared" si="63"/>
        <v>0</v>
      </c>
    </row>
    <row r="116" spans="1:36" x14ac:dyDescent="0.3">
      <c r="A116" s="114" t="s">
        <v>202</v>
      </c>
      <c r="B116" s="110">
        <f t="shared" ref="B116:M116" si="69">B73+SUM(B74:B80)+B87+SUM(B88:B115)</f>
        <v>141544.1</v>
      </c>
      <c r="C116" s="110">
        <f t="shared" si="69"/>
        <v>47756.850000000006</v>
      </c>
      <c r="D116" s="110">
        <f t="shared" si="69"/>
        <v>42019.759999999995</v>
      </c>
      <c r="E116" s="110">
        <f t="shared" si="69"/>
        <v>45450.090000000004</v>
      </c>
      <c r="F116" s="110">
        <f t="shared" si="69"/>
        <v>102509.57</v>
      </c>
      <c r="G116" s="110">
        <f t="shared" si="69"/>
        <v>101827.68000000001</v>
      </c>
      <c r="H116" s="110">
        <f t="shared" si="69"/>
        <v>105407.26</v>
      </c>
      <c r="I116" s="110">
        <f t="shared" si="69"/>
        <v>121283.07</v>
      </c>
      <c r="J116" s="110">
        <f t="shared" si="69"/>
        <v>140963</v>
      </c>
      <c r="K116" s="110">
        <f t="shared" si="69"/>
        <v>143954</v>
      </c>
      <c r="L116" s="110">
        <f t="shared" si="69"/>
        <v>143954</v>
      </c>
      <c r="M116" s="110">
        <f t="shared" si="69"/>
        <v>154591</v>
      </c>
      <c r="N116" s="110">
        <f t="shared" si="58"/>
        <v>1291260.3800000001</v>
      </c>
      <c r="O116" s="111" t="str">
        <f t="shared" si="59"/>
        <v/>
      </c>
      <c r="P116" s="84"/>
      <c r="Q116" s="84"/>
      <c r="R116" s="112"/>
      <c r="S116" s="112"/>
      <c r="T116" s="112"/>
      <c r="U116" s="110">
        <f t="shared" ref="U116:AF116" si="70">U73+SUM(U74:U80)+U87+SUM(U88:U115)</f>
        <v>100218.13819684784</v>
      </c>
      <c r="V116" s="110">
        <f t="shared" si="70"/>
        <v>100218.13819684784</v>
      </c>
      <c r="W116" s="110">
        <f t="shared" si="70"/>
        <v>100218.13819684784</v>
      </c>
      <c r="X116" s="110">
        <f t="shared" si="70"/>
        <v>100218.13819684784</v>
      </c>
      <c r="Y116" s="110">
        <f t="shared" si="70"/>
        <v>100218.13819684784</v>
      </c>
      <c r="Z116" s="110">
        <f t="shared" si="70"/>
        <v>100218.13819684784</v>
      </c>
      <c r="AA116" s="110">
        <f t="shared" si="70"/>
        <v>100218.13819684784</v>
      </c>
      <c r="AB116" s="110">
        <f t="shared" si="70"/>
        <v>100218.13819684784</v>
      </c>
      <c r="AC116" s="110">
        <f t="shared" si="70"/>
        <v>100218.13819684784</v>
      </c>
      <c r="AD116" s="110">
        <f t="shared" si="70"/>
        <v>103224.68234275328</v>
      </c>
      <c r="AE116" s="110">
        <f t="shared" si="70"/>
        <v>103224.68234275328</v>
      </c>
      <c r="AF116" s="110">
        <f t="shared" si="70"/>
        <v>103224.68234275328</v>
      </c>
      <c r="AG116" s="110">
        <f t="shared" si="61"/>
        <v>1211637.2907998906</v>
      </c>
      <c r="AH116" s="111" t="str">
        <f t="shared" si="62"/>
        <v/>
      </c>
      <c r="AJ116" s="110">
        <f t="shared" si="63"/>
        <v>79623.089200109476</v>
      </c>
    </row>
    <row r="117" spans="1:36" x14ac:dyDescent="0.3">
      <c r="A117" s="122" t="s">
        <v>203</v>
      </c>
      <c r="B117" s="110">
        <f t="shared" ref="B117:M117" si="71">B64-B116</f>
        <v>-86913.02</v>
      </c>
      <c r="C117" s="110">
        <f t="shared" si="71"/>
        <v>-49296.87</v>
      </c>
      <c r="D117" s="110">
        <f t="shared" si="71"/>
        <v>-108301.44</v>
      </c>
      <c r="E117" s="110">
        <f t="shared" si="71"/>
        <v>-45527.530000000006</v>
      </c>
      <c r="F117" s="110">
        <f t="shared" si="71"/>
        <v>-102509.57</v>
      </c>
      <c r="G117" s="110">
        <f t="shared" si="71"/>
        <v>-102060.61</v>
      </c>
      <c r="H117" s="110">
        <f t="shared" si="71"/>
        <v>-105782.9</v>
      </c>
      <c r="I117" s="110">
        <f t="shared" si="71"/>
        <v>-131520.22</v>
      </c>
      <c r="J117" s="110">
        <f t="shared" si="71"/>
        <v>-140963</v>
      </c>
      <c r="K117" s="110">
        <f t="shared" si="71"/>
        <v>-143954</v>
      </c>
      <c r="L117" s="110">
        <f t="shared" si="71"/>
        <v>-143954</v>
      </c>
      <c r="M117" s="110">
        <f t="shared" si="71"/>
        <v>-154591</v>
      </c>
      <c r="N117" s="110">
        <f t="shared" si="58"/>
        <v>-1315374.1600000001</v>
      </c>
      <c r="O117" s="111" t="str">
        <f>IFERROR(N117/N$16,"")</f>
        <v/>
      </c>
      <c r="P117" s="84"/>
      <c r="Q117" s="84"/>
      <c r="R117" s="112"/>
      <c r="S117" s="112"/>
      <c r="T117" s="112"/>
      <c r="U117" s="110">
        <f t="shared" ref="U117:AF117" si="72">U64-U116</f>
        <v>-100218.13819684784</v>
      </c>
      <c r="V117" s="110">
        <f t="shared" si="72"/>
        <v>-100218.13819684784</v>
      </c>
      <c r="W117" s="110">
        <f t="shared" si="72"/>
        <v>-100218.13819684784</v>
      </c>
      <c r="X117" s="110">
        <f t="shared" si="72"/>
        <v>-100218.13819684784</v>
      </c>
      <c r="Y117" s="110">
        <f t="shared" si="72"/>
        <v>-100218.13819684784</v>
      </c>
      <c r="Z117" s="110">
        <f t="shared" si="72"/>
        <v>-100218.13819684784</v>
      </c>
      <c r="AA117" s="110">
        <f t="shared" si="72"/>
        <v>-100218.13819684784</v>
      </c>
      <c r="AB117" s="110">
        <f t="shared" si="72"/>
        <v>-100218.13819684784</v>
      </c>
      <c r="AC117" s="110">
        <f t="shared" si="72"/>
        <v>-100218.13819684784</v>
      </c>
      <c r="AD117" s="110">
        <f t="shared" si="72"/>
        <v>-103224.68234275328</v>
      </c>
      <c r="AE117" s="110">
        <f t="shared" si="72"/>
        <v>-103224.68234275328</v>
      </c>
      <c r="AF117" s="110">
        <f t="shared" si="72"/>
        <v>-103224.68234275328</v>
      </c>
      <c r="AG117" s="110">
        <f t="shared" si="61"/>
        <v>-1211637.2907998906</v>
      </c>
      <c r="AH117" s="111" t="str">
        <f>IFERROR(AG117/AG$16,"")</f>
        <v/>
      </c>
      <c r="AJ117" s="110">
        <f>AG117-N117</f>
        <v>103736.8692001095</v>
      </c>
    </row>
    <row r="118" spans="1:36" x14ac:dyDescent="0.3">
      <c r="A118" s="100" t="s">
        <v>204</v>
      </c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105"/>
      <c r="P118" s="84"/>
      <c r="Q118" s="84"/>
      <c r="R118" s="112"/>
      <c r="S118" s="112"/>
      <c r="T118" s="112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105"/>
      <c r="AJ118" s="84"/>
    </row>
    <row r="119" spans="1:36" x14ac:dyDescent="0.3">
      <c r="A119" s="101" t="s">
        <v>205</v>
      </c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105"/>
      <c r="P119" s="84"/>
      <c r="Q119" s="84"/>
      <c r="R119" s="112"/>
      <c r="S119" s="112"/>
      <c r="T119" s="112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105"/>
      <c r="AJ119" s="84"/>
    </row>
    <row r="120" spans="1:36" x14ac:dyDescent="0.3">
      <c r="A120" s="113" t="s">
        <v>206</v>
      </c>
      <c r="B120" s="84">
        <f>IFERROR(SUMIF([2]Jan26A!$A:$A,$A120,INDEX([2]Jan26A!$A:$N,0,MATCH($A$1,[2]Jan26A!$A$7:$N$7,0))),0)</f>
        <v>0</v>
      </c>
      <c r="C120" s="84">
        <f>IFERROR(SUMIF([2]Feb26A!$A:$A,$A120,INDEX([2]Feb26A!$A:$N,0,MATCH($A$1,[2]Feb26A!$A$7:$N$7,0))),0)</f>
        <v>0</v>
      </c>
      <c r="D120" s="84">
        <f>IFERROR(SUMIF([2]Mar26A!$A:$A,$A120,INDEX([2]Mar26A!$A:$N,0,MATCH($A$1,[2]Mar26A!$A$7:$N$7,0))),0)</f>
        <v>0</v>
      </c>
      <c r="E120" s="84">
        <f>IFERROR(SUMIF([2]Apr26A!$A:$A,$A120,INDEX([2]Apr26A!$A:$N,0,MATCH($A$1,[2]Apr26A!$A$7:$N$7,0))),0)</f>
        <v>0</v>
      </c>
      <c r="F120" s="84">
        <f>IFERROR(SUMIF([2]May26A!$A:$A,$A120,INDEX([2]May26A!$A:$N,0,MATCH($A$1,[2]May26A!$A$7:$N$7,0))),0)</f>
        <v>0</v>
      </c>
      <c r="G120" s="84">
        <f>IFERROR(SUMIF([2]Jun26A!$A:$A,$A120,INDEX([2]Jun26A!$A:$N,0,MATCH($A$1,[2]Jun26A!$A$7:$N$7,0))),0)</f>
        <v>0</v>
      </c>
      <c r="H120" s="84">
        <f>IFERROR(SUMIF([2]Jul26A!$A:$A,$A120,INDEX([2]Jul26A!$A:$N,0,MATCH($A$1,[2]Jul26A!$A$7:$N$7,0))),0)</f>
        <v>0</v>
      </c>
      <c r="I120" s="84">
        <f>IFERROR(SUMIF([2]Aug26A!$A:$A,$A120,INDEX([2]Aug26A!$A:$N,0,MATCH($A$1,[2]Aug26A!$A$7:$N$7,0))),0)</f>
        <v>0</v>
      </c>
      <c r="J120" s="117">
        <v>0</v>
      </c>
      <c r="K120" s="117">
        <v>0</v>
      </c>
      <c r="L120" s="117">
        <v>0</v>
      </c>
      <c r="M120" s="117">
        <v>0</v>
      </c>
      <c r="N120" s="84">
        <f>SUM(B120:M120)</f>
        <v>0</v>
      </c>
      <c r="O120" s="105" t="str">
        <f>IFERROR(N120/N$16,"")</f>
        <v/>
      </c>
      <c r="P120" s="84"/>
      <c r="Q120" s="84"/>
      <c r="R120" s="106" t="s">
        <v>99</v>
      </c>
      <c r="S120" s="107">
        <v>0</v>
      </c>
      <c r="T120" s="108">
        <v>0.05</v>
      </c>
      <c r="U120" s="104">
        <f t="shared" ref="U120:AF121" si="73">IF($R120="Manual","",IFERROR(IF($R120="YOY Growth",$N120*(1+$T120)/12,$S120/12),""))</f>
        <v>0</v>
      </c>
      <c r="V120" s="104">
        <f t="shared" si="73"/>
        <v>0</v>
      </c>
      <c r="W120" s="104">
        <f t="shared" si="73"/>
        <v>0</v>
      </c>
      <c r="X120" s="104">
        <f t="shared" si="73"/>
        <v>0</v>
      </c>
      <c r="Y120" s="104">
        <f t="shared" si="73"/>
        <v>0</v>
      </c>
      <c r="Z120" s="104">
        <f t="shared" si="73"/>
        <v>0</v>
      </c>
      <c r="AA120" s="104">
        <f t="shared" si="73"/>
        <v>0</v>
      </c>
      <c r="AB120" s="104">
        <f t="shared" si="73"/>
        <v>0</v>
      </c>
      <c r="AC120" s="104">
        <f t="shared" si="73"/>
        <v>0</v>
      </c>
      <c r="AD120" s="104">
        <f t="shared" si="73"/>
        <v>0</v>
      </c>
      <c r="AE120" s="104">
        <f t="shared" si="73"/>
        <v>0</v>
      </c>
      <c r="AF120" s="104">
        <f t="shared" si="73"/>
        <v>0</v>
      </c>
      <c r="AG120" s="84">
        <f>SUM(U120:AF120)</f>
        <v>0</v>
      </c>
      <c r="AH120" s="105" t="str">
        <f>IFERROR(AG120/AG$16,"")</f>
        <v/>
      </c>
      <c r="AJ120" s="84">
        <f>AG120-N120</f>
        <v>0</v>
      </c>
    </row>
    <row r="121" spans="1:36" x14ac:dyDescent="0.3">
      <c r="A121" s="113" t="s">
        <v>207</v>
      </c>
      <c r="B121" s="84">
        <f>IFERROR(SUMIF([2]Jan26A!$A:$A,$A121,INDEX([2]Jan26A!$A:$N,0,MATCH($A$1,[2]Jan26A!$A$7:$N$7,0))),0)</f>
        <v>0</v>
      </c>
      <c r="C121" s="84">
        <f>IFERROR(SUMIF([2]Feb26A!$A:$A,$A121,INDEX([2]Feb26A!$A:$N,0,MATCH($A$1,[2]Feb26A!$A$7:$N$7,0))),0)</f>
        <v>0</v>
      </c>
      <c r="D121" s="84">
        <f>IFERROR(SUMIF([2]Mar26A!$A:$A,$A121,INDEX([2]Mar26A!$A:$N,0,MATCH($A$1,[2]Mar26A!$A$7:$N$7,0))),0)</f>
        <v>0</v>
      </c>
      <c r="E121" s="84">
        <f>IFERROR(SUMIF([2]Apr26A!$A:$A,$A121,INDEX([2]Apr26A!$A:$N,0,MATCH($A$1,[2]Apr26A!$A$7:$N$7,0))),0)</f>
        <v>0</v>
      </c>
      <c r="F121" s="84">
        <f>IFERROR(SUMIF([2]May26A!$A:$A,$A121,INDEX([2]May26A!$A:$N,0,MATCH($A$1,[2]May26A!$A$7:$N$7,0))),0)</f>
        <v>0</v>
      </c>
      <c r="G121" s="84">
        <f>IFERROR(SUMIF([2]Jun26A!$A:$A,$A121,INDEX([2]Jun26A!$A:$N,0,MATCH($A$1,[2]Jun26A!$A$7:$N$7,0))),0)</f>
        <v>0</v>
      </c>
      <c r="H121" s="84">
        <f>IFERROR(SUMIF([2]Jul26A!$A:$A,$A121,INDEX([2]Jul26A!$A:$N,0,MATCH($A$1,[2]Jul26A!$A$7:$N$7,0))),0)</f>
        <v>0</v>
      </c>
      <c r="I121" s="84">
        <f>IFERROR(SUMIF([2]Aug26A!$A:$A,$A121,INDEX([2]Aug26A!$A:$N,0,MATCH($A$1,[2]Aug26A!$A$7:$N$7,0))),0)</f>
        <v>0</v>
      </c>
      <c r="J121" s="117">
        <v>0</v>
      </c>
      <c r="K121" s="117">
        <v>0</v>
      </c>
      <c r="L121" s="117">
        <v>0</v>
      </c>
      <c r="M121" s="117">
        <v>0</v>
      </c>
      <c r="N121" s="84">
        <f>SUM(B121:M121)</f>
        <v>0</v>
      </c>
      <c r="O121" s="105" t="str">
        <f>IFERROR(N121/N$16,"")</f>
        <v/>
      </c>
      <c r="P121" s="84"/>
      <c r="Q121" s="84"/>
      <c r="R121" s="106" t="s">
        <v>99</v>
      </c>
      <c r="S121" s="107">
        <v>0</v>
      </c>
      <c r="T121" s="108">
        <v>0.05</v>
      </c>
      <c r="U121" s="104">
        <f t="shared" si="73"/>
        <v>0</v>
      </c>
      <c r="V121" s="104">
        <f t="shared" si="73"/>
        <v>0</v>
      </c>
      <c r="W121" s="104">
        <f t="shared" si="73"/>
        <v>0</v>
      </c>
      <c r="X121" s="104">
        <f t="shared" si="73"/>
        <v>0</v>
      </c>
      <c r="Y121" s="104">
        <f t="shared" si="73"/>
        <v>0</v>
      </c>
      <c r="Z121" s="104">
        <f t="shared" si="73"/>
        <v>0</v>
      </c>
      <c r="AA121" s="104">
        <f t="shared" si="73"/>
        <v>0</v>
      </c>
      <c r="AB121" s="104">
        <f t="shared" si="73"/>
        <v>0</v>
      </c>
      <c r="AC121" s="104">
        <f t="shared" si="73"/>
        <v>0</v>
      </c>
      <c r="AD121" s="104">
        <f t="shared" si="73"/>
        <v>0</v>
      </c>
      <c r="AE121" s="104">
        <f t="shared" si="73"/>
        <v>0</v>
      </c>
      <c r="AF121" s="104">
        <f t="shared" si="73"/>
        <v>0</v>
      </c>
      <c r="AG121" s="84">
        <f>SUM(U121:AF121)</f>
        <v>0</v>
      </c>
      <c r="AH121" s="105" t="str">
        <f>IFERROR(AG121/AG$16,"")</f>
        <v/>
      </c>
      <c r="AJ121" s="84">
        <f>AG121-N121</f>
        <v>0</v>
      </c>
    </row>
    <row r="122" spans="1:36" x14ac:dyDescent="0.3">
      <c r="A122" s="114" t="s">
        <v>208</v>
      </c>
      <c r="B122" s="110">
        <f t="shared" ref="B122:M122" si="74">SUM(B120:B121)</f>
        <v>0</v>
      </c>
      <c r="C122" s="110">
        <f t="shared" si="74"/>
        <v>0</v>
      </c>
      <c r="D122" s="110">
        <f t="shared" si="74"/>
        <v>0</v>
      </c>
      <c r="E122" s="110">
        <f t="shared" si="74"/>
        <v>0</v>
      </c>
      <c r="F122" s="110">
        <f t="shared" si="74"/>
        <v>0</v>
      </c>
      <c r="G122" s="110">
        <f t="shared" si="74"/>
        <v>0</v>
      </c>
      <c r="H122" s="110">
        <f t="shared" si="74"/>
        <v>0</v>
      </c>
      <c r="I122" s="110">
        <f t="shared" si="74"/>
        <v>0</v>
      </c>
      <c r="J122" s="110">
        <f t="shared" si="74"/>
        <v>0</v>
      </c>
      <c r="K122" s="110">
        <f t="shared" si="74"/>
        <v>0</v>
      </c>
      <c r="L122" s="110">
        <f t="shared" si="74"/>
        <v>0</v>
      </c>
      <c r="M122" s="110">
        <f t="shared" si="74"/>
        <v>0</v>
      </c>
      <c r="N122" s="110">
        <f>SUM(B122:M122)</f>
        <v>0</v>
      </c>
      <c r="O122" s="111" t="str">
        <f>IFERROR(N122/N$16,"")</f>
        <v/>
      </c>
      <c r="P122" s="84"/>
      <c r="Q122" s="84"/>
      <c r="R122" s="112"/>
      <c r="S122" s="112"/>
      <c r="T122" s="112"/>
      <c r="U122" s="110">
        <f t="shared" ref="U122:AF122" si="75">SUM(U120:U121)</f>
        <v>0</v>
      </c>
      <c r="V122" s="110">
        <f t="shared" si="75"/>
        <v>0</v>
      </c>
      <c r="W122" s="110">
        <f t="shared" si="75"/>
        <v>0</v>
      </c>
      <c r="X122" s="110">
        <f t="shared" si="75"/>
        <v>0</v>
      </c>
      <c r="Y122" s="110">
        <f t="shared" si="75"/>
        <v>0</v>
      </c>
      <c r="Z122" s="110">
        <f t="shared" si="75"/>
        <v>0</v>
      </c>
      <c r="AA122" s="110">
        <f t="shared" si="75"/>
        <v>0</v>
      </c>
      <c r="AB122" s="110">
        <f t="shared" si="75"/>
        <v>0</v>
      </c>
      <c r="AC122" s="110">
        <f t="shared" si="75"/>
        <v>0</v>
      </c>
      <c r="AD122" s="110">
        <f t="shared" si="75"/>
        <v>0</v>
      </c>
      <c r="AE122" s="110">
        <f t="shared" si="75"/>
        <v>0</v>
      </c>
      <c r="AF122" s="110">
        <f t="shared" si="75"/>
        <v>0</v>
      </c>
      <c r="AG122" s="110">
        <f>SUM(U122:AF122)</f>
        <v>0</v>
      </c>
      <c r="AH122" s="111" t="str">
        <f>IFERROR(AG122/AG$16,"")</f>
        <v/>
      </c>
      <c r="AJ122" s="110">
        <f>AG122-N122</f>
        <v>0</v>
      </c>
    </row>
    <row r="123" spans="1:36" x14ac:dyDescent="0.3">
      <c r="A123" s="101" t="s">
        <v>209</v>
      </c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105"/>
      <c r="P123" s="84"/>
      <c r="Q123" s="84"/>
      <c r="R123" s="112"/>
      <c r="S123" s="112"/>
      <c r="T123" s="112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105"/>
      <c r="AJ123" s="84"/>
    </row>
    <row r="124" spans="1:36" x14ac:dyDescent="0.3">
      <c r="A124" s="161" t="s">
        <v>210</v>
      </c>
      <c r="B124" s="84">
        <f>IFERROR(SUMIF([2]Jan26A!$A:$A,$A124,INDEX([2]Jan26A!$A:$N,0,MATCH($A$1,[2]Jan26A!$A$7:$N$7,0))),0)</f>
        <v>0</v>
      </c>
      <c r="C124" s="84">
        <f>IFERROR(SUMIF([2]Feb26A!$A:$A,$A124,INDEX([2]Feb26A!$A:$N,0,MATCH($A$1,[2]Feb26A!$A$7:$N$7,0))),0)</f>
        <v>0</v>
      </c>
      <c r="D124" s="84">
        <f>IFERROR(SUMIF([2]Mar26A!$A:$A,$A124,INDEX([2]Mar26A!$A:$N,0,MATCH($A$1,[2]Mar26A!$A$7:$N$7,0))),0)</f>
        <v>0</v>
      </c>
      <c r="E124" s="84">
        <f>IFERROR(SUMIF([2]Apr26A!$A:$A,$A124,INDEX([2]Apr26A!$A:$N,0,MATCH($A$1,[2]Apr26A!$A$7:$N$7,0))),0)</f>
        <v>0</v>
      </c>
      <c r="F124" s="84">
        <f>IFERROR(SUMIF([2]May26A!$A:$A,$A124,INDEX([2]May26A!$A:$N,0,MATCH($A$1,[2]May26A!$A$7:$N$7,0))),0)</f>
        <v>0</v>
      </c>
      <c r="G124" s="84">
        <f>IFERROR(SUMIF([2]Jun26A!$A:$A,$A124,INDEX([2]Jun26A!$A:$N,0,MATCH($A$1,[2]Jun26A!$A$7:$N$7,0))),0)</f>
        <v>0</v>
      </c>
      <c r="H124" s="84">
        <f>IFERROR(SUMIF([2]Jul26A!$A:$A,$A124,INDEX([2]Jul26A!$A:$N,0,MATCH($A$1,[2]Jul26A!$A$7:$N$7,0))),0)</f>
        <v>0</v>
      </c>
      <c r="I124" s="84">
        <f>IFERROR(SUMIF([2]Aug26A!$A:$A,$A124,INDEX([2]Aug26A!$A:$N,0,MATCH($A$1,[2]Aug26A!$A$7:$N$7,0))),0)</f>
        <v>0</v>
      </c>
      <c r="J124" s="117"/>
      <c r="K124" s="117"/>
      <c r="L124" s="117"/>
      <c r="M124" s="117"/>
      <c r="N124" s="84">
        <v>0</v>
      </c>
      <c r="O124" s="105" t="str">
        <f t="shared" ref="O124:O132" si="76">IFERROR(N124/N$16,"")</f>
        <v/>
      </c>
      <c r="P124" s="84"/>
      <c r="Q124" s="84"/>
      <c r="R124" s="106" t="s">
        <v>99</v>
      </c>
      <c r="S124" s="107">
        <v>0</v>
      </c>
      <c r="T124" s="108">
        <v>0.05</v>
      </c>
      <c r="U124" s="104">
        <f t="shared" ref="U124:AF129" si="77">IF($R124="Manual","",IFERROR(IF($R124="YOY Growth",$N124*(1+$T124)/12,$S124/12),""))</f>
        <v>0</v>
      </c>
      <c r="V124" s="104">
        <f t="shared" si="77"/>
        <v>0</v>
      </c>
      <c r="W124" s="104">
        <f t="shared" si="77"/>
        <v>0</v>
      </c>
      <c r="X124" s="104">
        <f t="shared" si="77"/>
        <v>0</v>
      </c>
      <c r="Y124" s="104">
        <f t="shared" si="77"/>
        <v>0</v>
      </c>
      <c r="Z124" s="104">
        <f t="shared" si="77"/>
        <v>0</v>
      </c>
      <c r="AA124" s="104">
        <f t="shared" si="77"/>
        <v>0</v>
      </c>
      <c r="AB124" s="104">
        <f t="shared" si="77"/>
        <v>0</v>
      </c>
      <c r="AC124" s="104">
        <f t="shared" si="77"/>
        <v>0</v>
      </c>
      <c r="AD124" s="104">
        <f t="shared" si="77"/>
        <v>0</v>
      </c>
      <c r="AE124" s="104">
        <f t="shared" si="77"/>
        <v>0</v>
      </c>
      <c r="AF124" s="104">
        <f t="shared" si="77"/>
        <v>0</v>
      </c>
      <c r="AG124" s="84">
        <f t="shared" ref="AG124:AG132" si="78">SUM(U124:AF124)</f>
        <v>0</v>
      </c>
      <c r="AH124" s="105" t="str">
        <f t="shared" ref="AH124:AH132" si="79">IFERROR(AG124/AG$16,"")</f>
        <v/>
      </c>
      <c r="AJ124" s="84">
        <f>N124-AG124</f>
        <v>0</v>
      </c>
    </row>
    <row r="125" spans="1:36" x14ac:dyDescent="0.3">
      <c r="A125" s="113" t="s">
        <v>211</v>
      </c>
      <c r="B125" s="84">
        <f>IFERROR(SUMIF([2]Jan26A!$A:$A,$A125,INDEX([2]Jan26A!$A:$N,0,MATCH($A$1,[2]Jan26A!$A$7:$N$7,0))),0)</f>
        <v>0</v>
      </c>
      <c r="C125" s="84">
        <f>IFERROR(SUMIF([2]Feb26A!$A:$A,$A125,INDEX([2]Feb26A!$A:$N,0,MATCH($A$1,[2]Feb26A!$A$7:$N$7,0))),0)</f>
        <v>0</v>
      </c>
      <c r="D125" s="84">
        <f>IFERROR(SUMIF([2]Mar26A!$A:$A,$A125,INDEX([2]Mar26A!$A:$N,0,MATCH($A$1,[2]Mar26A!$A$7:$N$7,0))),0)</f>
        <v>0</v>
      </c>
      <c r="E125" s="84">
        <f>IFERROR(SUMIF([2]Apr26A!$A:$A,$A125,INDEX([2]Apr26A!$A:$N,0,MATCH($A$1,[2]Apr26A!$A$7:$N$7,0))),0)</f>
        <v>0</v>
      </c>
      <c r="F125" s="84">
        <f>IFERROR(SUMIF([2]May26A!$A:$A,$A125,INDEX([2]May26A!$A:$N,0,MATCH($A$1,[2]May26A!$A$7:$N$7,0))),0)</f>
        <v>0</v>
      </c>
      <c r="G125" s="84">
        <f>IFERROR(SUMIF([2]Jun26A!$A:$A,$A125,INDEX([2]Jun26A!$A:$N,0,MATCH($A$1,[2]Jun26A!$A$7:$N$7,0))),0)</f>
        <v>0</v>
      </c>
      <c r="H125" s="84">
        <f>IFERROR(SUMIF([2]Jul26A!$A:$A,$A125,INDEX([2]Jul26A!$A:$N,0,MATCH($A$1,[2]Jul26A!$A$7:$N$7,0))),0)</f>
        <v>0</v>
      </c>
      <c r="I125" s="84">
        <f>IFERROR(SUMIF([2]Aug26A!$A:$A,$A125,INDEX([2]Aug26A!$A:$N,0,MATCH($A$1,[2]Aug26A!$A$7:$N$7,0))),0)</f>
        <v>0</v>
      </c>
      <c r="J125" s="117">
        <v>0</v>
      </c>
      <c r="K125" s="117">
        <v>0</v>
      </c>
      <c r="L125" s="117">
        <v>0</v>
      </c>
      <c r="M125" s="117">
        <v>0</v>
      </c>
      <c r="N125" s="84">
        <f t="shared" ref="N125:N132" si="80">SUM(B125:M125)</f>
        <v>0</v>
      </c>
      <c r="O125" s="105" t="str">
        <f t="shared" si="76"/>
        <v/>
      </c>
      <c r="P125" s="84"/>
      <c r="Q125" s="84"/>
      <c r="R125" s="106" t="s">
        <v>99</v>
      </c>
      <c r="S125" s="107">
        <v>0</v>
      </c>
      <c r="T125" s="108">
        <v>0.05</v>
      </c>
      <c r="U125" s="104">
        <f t="shared" si="77"/>
        <v>0</v>
      </c>
      <c r="V125" s="104">
        <f t="shared" si="77"/>
        <v>0</v>
      </c>
      <c r="W125" s="104">
        <f t="shared" si="77"/>
        <v>0</v>
      </c>
      <c r="X125" s="104">
        <f t="shared" si="77"/>
        <v>0</v>
      </c>
      <c r="Y125" s="104">
        <f t="shared" si="77"/>
        <v>0</v>
      </c>
      <c r="Z125" s="104">
        <f t="shared" si="77"/>
        <v>0</v>
      </c>
      <c r="AA125" s="104">
        <f t="shared" si="77"/>
        <v>0</v>
      </c>
      <c r="AB125" s="104">
        <f t="shared" si="77"/>
        <v>0</v>
      </c>
      <c r="AC125" s="104">
        <f t="shared" si="77"/>
        <v>0</v>
      </c>
      <c r="AD125" s="104">
        <f t="shared" si="77"/>
        <v>0</v>
      </c>
      <c r="AE125" s="104">
        <f t="shared" si="77"/>
        <v>0</v>
      </c>
      <c r="AF125" s="104">
        <f t="shared" si="77"/>
        <v>0</v>
      </c>
      <c r="AG125" s="84">
        <f t="shared" si="78"/>
        <v>0</v>
      </c>
      <c r="AH125" s="105" t="str">
        <f t="shared" si="79"/>
        <v/>
      </c>
      <c r="AJ125" s="84">
        <f>N125-AG125</f>
        <v>0</v>
      </c>
    </row>
    <row r="126" spans="1:36" x14ac:dyDescent="0.3">
      <c r="A126" s="113" t="s">
        <v>212</v>
      </c>
      <c r="B126" s="84">
        <f>IFERROR(SUMIF([2]Jan26A!$A:$A,$A126,INDEX([2]Jan26A!$A:$N,0,MATCH($A$1,[2]Jan26A!$A$7:$N$7,0))),0)</f>
        <v>0</v>
      </c>
      <c r="C126" s="84">
        <f>IFERROR(SUMIF([2]Feb26A!$A:$A,$A126,INDEX([2]Feb26A!$A:$N,0,MATCH($A$1,[2]Feb26A!$A$7:$N$7,0))),0)</f>
        <v>0</v>
      </c>
      <c r="D126" s="84">
        <f>IFERROR(SUMIF([2]Mar26A!$A:$A,$A126,INDEX([2]Mar26A!$A:$N,0,MATCH($A$1,[2]Mar26A!$A$7:$N$7,0))),0)</f>
        <v>0</v>
      </c>
      <c r="E126" s="84">
        <f>IFERROR(SUMIF([2]Apr26A!$A:$A,$A126,INDEX([2]Apr26A!$A:$N,0,MATCH($A$1,[2]Apr26A!$A$7:$N$7,0))),0)</f>
        <v>0</v>
      </c>
      <c r="F126" s="84">
        <f>IFERROR(SUMIF([2]May26A!$A:$A,$A126,INDEX([2]May26A!$A:$N,0,MATCH($A$1,[2]May26A!$A$7:$N$7,0))),0)</f>
        <v>0</v>
      </c>
      <c r="G126" s="84">
        <f>IFERROR(SUMIF([2]Jun26A!$A:$A,$A126,INDEX([2]Jun26A!$A:$N,0,MATCH($A$1,[2]Jun26A!$A$7:$N$7,0))),0)</f>
        <v>0</v>
      </c>
      <c r="H126" s="84">
        <f>IFERROR(SUMIF([2]Jul26A!$A:$A,$A126,INDEX([2]Jul26A!$A:$N,0,MATCH($A$1,[2]Jul26A!$A$7:$N$7,0))),0)</f>
        <v>0</v>
      </c>
      <c r="I126" s="84">
        <f>IFERROR(SUMIF([2]Aug26A!$A:$A,$A126,INDEX([2]Aug26A!$A:$N,0,MATCH($A$1,[2]Aug26A!$A$7:$N$7,0))),0)</f>
        <v>0</v>
      </c>
      <c r="J126" s="117">
        <v>0</v>
      </c>
      <c r="K126" s="117">
        <v>0</v>
      </c>
      <c r="L126" s="117">
        <v>0</v>
      </c>
      <c r="M126" s="117">
        <v>0</v>
      </c>
      <c r="N126" s="84">
        <f t="shared" si="80"/>
        <v>0</v>
      </c>
      <c r="O126" s="105" t="str">
        <f t="shared" si="76"/>
        <v/>
      </c>
      <c r="P126" s="84"/>
      <c r="Q126" s="84"/>
      <c r="R126" s="106" t="s">
        <v>99</v>
      </c>
      <c r="S126" s="107">
        <v>0</v>
      </c>
      <c r="T126" s="108">
        <v>0.05</v>
      </c>
      <c r="U126" s="104">
        <f t="shared" si="77"/>
        <v>0</v>
      </c>
      <c r="V126" s="104">
        <f t="shared" si="77"/>
        <v>0</v>
      </c>
      <c r="W126" s="104">
        <f t="shared" si="77"/>
        <v>0</v>
      </c>
      <c r="X126" s="104">
        <f t="shared" si="77"/>
        <v>0</v>
      </c>
      <c r="Y126" s="104">
        <f t="shared" si="77"/>
        <v>0</v>
      </c>
      <c r="Z126" s="104">
        <f t="shared" si="77"/>
        <v>0</v>
      </c>
      <c r="AA126" s="104">
        <f t="shared" si="77"/>
        <v>0</v>
      </c>
      <c r="AB126" s="104">
        <f t="shared" si="77"/>
        <v>0</v>
      </c>
      <c r="AC126" s="104">
        <f t="shared" si="77"/>
        <v>0</v>
      </c>
      <c r="AD126" s="104">
        <f t="shared" si="77"/>
        <v>0</v>
      </c>
      <c r="AE126" s="104">
        <f t="shared" si="77"/>
        <v>0</v>
      </c>
      <c r="AF126" s="104">
        <f t="shared" si="77"/>
        <v>0</v>
      </c>
      <c r="AG126" s="84">
        <f t="shared" si="78"/>
        <v>0</v>
      </c>
      <c r="AH126" s="105" t="str">
        <f t="shared" si="79"/>
        <v/>
      </c>
      <c r="AJ126" s="84">
        <f>N126-AG126</f>
        <v>0</v>
      </c>
    </row>
    <row r="127" spans="1:36" x14ac:dyDescent="0.3">
      <c r="A127" s="113" t="s">
        <v>213</v>
      </c>
      <c r="B127" s="84">
        <f>IFERROR(SUMIF([2]Jan26A!$A:$A,$A127,INDEX([2]Jan26A!$A:$N,0,MATCH($A$1,[2]Jan26A!$A$7:$N$7,0))),0)</f>
        <v>0</v>
      </c>
      <c r="C127" s="84">
        <f>IFERROR(SUMIF([2]Feb26A!$A:$A,$A127,INDEX([2]Feb26A!$A:$N,0,MATCH($A$1,[2]Feb26A!$A$7:$N$7,0))),0)</f>
        <v>0</v>
      </c>
      <c r="D127" s="84">
        <f>IFERROR(SUMIF([2]Mar26A!$A:$A,$A127,INDEX([2]Mar26A!$A:$N,0,MATCH($A$1,[2]Mar26A!$A$7:$N$7,0))),0)</f>
        <v>0</v>
      </c>
      <c r="E127" s="84">
        <f>IFERROR(SUMIF([2]Apr26A!$A:$A,$A127,INDEX([2]Apr26A!$A:$N,0,MATCH($A$1,[2]Apr26A!$A$7:$N$7,0))),0)</f>
        <v>0</v>
      </c>
      <c r="F127" s="84">
        <f>IFERROR(SUMIF([2]May26A!$A:$A,$A127,INDEX([2]May26A!$A:$N,0,MATCH($A$1,[2]May26A!$A$7:$N$7,0))),0)</f>
        <v>0</v>
      </c>
      <c r="G127" s="84">
        <f>IFERROR(SUMIF([2]Jun26A!$A:$A,$A127,INDEX([2]Jun26A!$A:$N,0,MATCH($A$1,[2]Jun26A!$A$7:$N$7,0))),0)</f>
        <v>0</v>
      </c>
      <c r="H127" s="84">
        <f>IFERROR(SUMIF([2]Jul26A!$A:$A,$A127,INDEX([2]Jul26A!$A:$N,0,MATCH($A$1,[2]Jul26A!$A$7:$N$7,0))),0)</f>
        <v>0</v>
      </c>
      <c r="I127" s="84">
        <f>IFERROR(SUMIF([2]Aug26A!$A:$A,$A127,INDEX([2]Aug26A!$A:$N,0,MATCH($A$1,[2]Aug26A!$A$7:$N$7,0))),0)</f>
        <v>0</v>
      </c>
      <c r="J127" s="117"/>
      <c r="K127" s="117"/>
      <c r="L127" s="117"/>
      <c r="M127" s="117"/>
      <c r="N127" s="84"/>
      <c r="O127" s="105"/>
      <c r="P127" s="84"/>
      <c r="Q127" s="84"/>
      <c r="R127" s="106" t="s">
        <v>99</v>
      </c>
      <c r="S127" s="107">
        <v>0</v>
      </c>
      <c r="T127" s="108">
        <v>0.05</v>
      </c>
      <c r="U127" s="104">
        <f t="shared" si="77"/>
        <v>0</v>
      </c>
      <c r="V127" s="104">
        <f t="shared" si="77"/>
        <v>0</v>
      </c>
      <c r="W127" s="104">
        <f t="shared" si="77"/>
        <v>0</v>
      </c>
      <c r="X127" s="104">
        <f t="shared" si="77"/>
        <v>0</v>
      </c>
      <c r="Y127" s="104">
        <f t="shared" si="77"/>
        <v>0</v>
      </c>
      <c r="Z127" s="104">
        <f t="shared" si="77"/>
        <v>0</v>
      </c>
      <c r="AA127" s="104">
        <f t="shared" si="77"/>
        <v>0</v>
      </c>
      <c r="AB127" s="104">
        <f t="shared" si="77"/>
        <v>0</v>
      </c>
      <c r="AC127" s="104">
        <f t="shared" si="77"/>
        <v>0</v>
      </c>
      <c r="AD127" s="104">
        <f t="shared" si="77"/>
        <v>0</v>
      </c>
      <c r="AE127" s="104">
        <f t="shared" si="77"/>
        <v>0</v>
      </c>
      <c r="AF127" s="104">
        <f t="shared" si="77"/>
        <v>0</v>
      </c>
      <c r="AG127" s="84"/>
      <c r="AH127" s="105"/>
      <c r="AJ127" s="84"/>
    </row>
    <row r="128" spans="1:36" x14ac:dyDescent="0.3">
      <c r="A128" s="113" t="s">
        <v>214</v>
      </c>
      <c r="B128" s="84">
        <f>IFERROR(SUMIF([2]Jan26A!$A:$A,$A128,INDEX([2]Jan26A!$A:$N,0,MATCH($A$1,[2]Jan26A!$A$7:$N$7,0))),0)</f>
        <v>0</v>
      </c>
      <c r="C128" s="84">
        <f>IFERROR(SUMIF([2]Feb26A!$A:$A,$A128,INDEX([2]Feb26A!$A:$N,0,MATCH($A$1,[2]Feb26A!$A$7:$N$7,0))),0)</f>
        <v>0</v>
      </c>
      <c r="D128" s="84">
        <f>IFERROR(SUMIF([2]Mar26A!$A:$A,$A128,INDEX([2]Mar26A!$A:$N,0,MATCH($A$1,[2]Mar26A!$A$7:$N$7,0))),0)</f>
        <v>0</v>
      </c>
      <c r="E128" s="84">
        <f>IFERROR(SUMIF([2]Apr26A!$A:$A,$A128,INDEX([2]Apr26A!$A:$N,0,MATCH($A$1,[2]Apr26A!$A$7:$N$7,0))),0)</f>
        <v>0</v>
      </c>
      <c r="F128" s="84">
        <f>IFERROR(SUMIF([2]May26A!$A:$A,$A128,INDEX([2]May26A!$A:$N,0,MATCH($A$1,[2]May26A!$A$7:$N$7,0))),0)</f>
        <v>0</v>
      </c>
      <c r="G128" s="84">
        <f>IFERROR(SUMIF([2]Jun26A!$A:$A,$A128,INDEX([2]Jun26A!$A:$N,0,MATCH($A$1,[2]Jun26A!$A$7:$N$7,0))),0)</f>
        <v>0</v>
      </c>
      <c r="H128" s="84">
        <f>IFERROR(SUMIF([2]Jul26A!$A:$A,$A128,INDEX([2]Jul26A!$A:$N,0,MATCH($A$1,[2]Jul26A!$A$7:$N$7,0))),0)</f>
        <v>0</v>
      </c>
      <c r="I128" s="84">
        <f>IFERROR(SUMIF([2]Aug26A!$A:$A,$A128,INDEX([2]Aug26A!$A:$N,0,MATCH($A$1,[2]Aug26A!$A$7:$N$7,0))),0)</f>
        <v>0</v>
      </c>
      <c r="J128" s="117">
        <v>0</v>
      </c>
      <c r="K128" s="117">
        <v>0</v>
      </c>
      <c r="L128" s="117">
        <v>0</v>
      </c>
      <c r="M128" s="117">
        <v>0</v>
      </c>
      <c r="N128" s="84">
        <f t="shared" si="80"/>
        <v>0</v>
      </c>
      <c r="O128" s="105" t="str">
        <f t="shared" si="76"/>
        <v/>
      </c>
      <c r="P128" s="84"/>
      <c r="Q128" s="84"/>
      <c r="R128" s="106" t="s">
        <v>99</v>
      </c>
      <c r="S128" s="107">
        <v>0</v>
      </c>
      <c r="T128" s="108">
        <v>0.05</v>
      </c>
      <c r="U128" s="104">
        <f t="shared" si="77"/>
        <v>0</v>
      </c>
      <c r="V128" s="104">
        <f t="shared" si="77"/>
        <v>0</v>
      </c>
      <c r="W128" s="104">
        <f t="shared" si="77"/>
        <v>0</v>
      </c>
      <c r="X128" s="104">
        <f t="shared" si="77"/>
        <v>0</v>
      </c>
      <c r="Y128" s="104">
        <f t="shared" si="77"/>
        <v>0</v>
      </c>
      <c r="Z128" s="104">
        <f t="shared" si="77"/>
        <v>0</v>
      </c>
      <c r="AA128" s="104">
        <f t="shared" si="77"/>
        <v>0</v>
      </c>
      <c r="AB128" s="104">
        <f t="shared" si="77"/>
        <v>0</v>
      </c>
      <c r="AC128" s="104">
        <f t="shared" si="77"/>
        <v>0</v>
      </c>
      <c r="AD128" s="104">
        <f t="shared" si="77"/>
        <v>0</v>
      </c>
      <c r="AE128" s="104">
        <f t="shared" si="77"/>
        <v>0</v>
      </c>
      <c r="AF128" s="104">
        <f t="shared" si="77"/>
        <v>0</v>
      </c>
      <c r="AG128" s="84">
        <f t="shared" si="78"/>
        <v>0</v>
      </c>
      <c r="AH128" s="105" t="str">
        <f t="shared" si="79"/>
        <v/>
      </c>
      <c r="AJ128" s="84">
        <f>N128-AG128</f>
        <v>0</v>
      </c>
    </row>
    <row r="129" spans="1:36" x14ac:dyDescent="0.3">
      <c r="A129" s="113" t="s">
        <v>215</v>
      </c>
      <c r="B129" s="84">
        <f>IFERROR(SUMIF([2]Jan26A!$A:$A,$A129,INDEX([2]Jan26A!$A:$N,0,MATCH($A$1,[2]Jan26A!$A$7:$N$7,0))),0)</f>
        <v>0</v>
      </c>
      <c r="C129" s="84">
        <f>IFERROR(SUMIF([2]Feb26A!$A:$A,$A129,INDEX([2]Feb26A!$A:$N,0,MATCH($A$1,[2]Feb26A!$A$7:$N$7,0))),0)</f>
        <v>0</v>
      </c>
      <c r="D129" s="84">
        <f>IFERROR(SUMIF([2]Mar26A!$A:$A,$A129,INDEX([2]Mar26A!$A:$N,0,MATCH($A$1,[2]Mar26A!$A$7:$N$7,0))),0)</f>
        <v>0</v>
      </c>
      <c r="E129" s="84">
        <f>IFERROR(SUMIF([2]Apr26A!$A:$A,$A129,INDEX([2]Apr26A!$A:$N,0,MATCH($A$1,[2]Apr26A!$A$7:$N$7,0))),0)</f>
        <v>0</v>
      </c>
      <c r="F129" s="84">
        <f>IFERROR(SUMIF([2]May26A!$A:$A,$A129,INDEX([2]May26A!$A:$N,0,MATCH($A$1,[2]May26A!$A$7:$N$7,0))),0)</f>
        <v>0</v>
      </c>
      <c r="G129" s="84">
        <f>IFERROR(SUMIF([2]Jun26A!$A:$A,$A129,INDEX([2]Jun26A!$A:$N,0,MATCH($A$1,[2]Jun26A!$A$7:$N$7,0))),0)</f>
        <v>0</v>
      </c>
      <c r="H129" s="84">
        <f>IFERROR(SUMIF([2]Jul26A!$A:$A,$A129,INDEX([2]Jul26A!$A:$N,0,MATCH($A$1,[2]Jul26A!$A$7:$N$7,0))),0)</f>
        <v>0</v>
      </c>
      <c r="I129" s="84">
        <f>IFERROR(SUMIF([2]Aug26A!$A:$A,$A129,INDEX([2]Aug26A!$A:$N,0,MATCH($A$1,[2]Aug26A!$A$7:$N$7,0))),0)</f>
        <v>0</v>
      </c>
      <c r="J129" s="117">
        <v>0</v>
      </c>
      <c r="K129" s="117">
        <v>0</v>
      </c>
      <c r="L129" s="117">
        <v>0</v>
      </c>
      <c r="M129" s="117">
        <v>0</v>
      </c>
      <c r="N129" s="84">
        <f t="shared" si="80"/>
        <v>0</v>
      </c>
      <c r="O129" s="105" t="str">
        <f t="shared" si="76"/>
        <v/>
      </c>
      <c r="P129" s="84"/>
      <c r="Q129" s="84"/>
      <c r="R129" s="106" t="s">
        <v>99</v>
      </c>
      <c r="S129" s="107">
        <v>0</v>
      </c>
      <c r="T129" s="108">
        <v>0.05</v>
      </c>
      <c r="U129" s="104">
        <f t="shared" si="77"/>
        <v>0</v>
      </c>
      <c r="V129" s="104">
        <f t="shared" si="77"/>
        <v>0</v>
      </c>
      <c r="W129" s="104">
        <f t="shared" si="77"/>
        <v>0</v>
      </c>
      <c r="X129" s="104">
        <f t="shared" si="77"/>
        <v>0</v>
      </c>
      <c r="Y129" s="104">
        <f t="shared" si="77"/>
        <v>0</v>
      </c>
      <c r="Z129" s="104">
        <f t="shared" si="77"/>
        <v>0</v>
      </c>
      <c r="AA129" s="104">
        <f t="shared" si="77"/>
        <v>0</v>
      </c>
      <c r="AB129" s="104">
        <f t="shared" si="77"/>
        <v>0</v>
      </c>
      <c r="AC129" s="104">
        <f t="shared" si="77"/>
        <v>0</v>
      </c>
      <c r="AD129" s="104">
        <f t="shared" si="77"/>
        <v>0</v>
      </c>
      <c r="AE129" s="104">
        <f t="shared" si="77"/>
        <v>0</v>
      </c>
      <c r="AF129" s="104">
        <f t="shared" si="77"/>
        <v>0</v>
      </c>
      <c r="AG129" s="84">
        <f t="shared" si="78"/>
        <v>0</v>
      </c>
      <c r="AH129" s="105" t="str">
        <f t="shared" si="79"/>
        <v/>
      </c>
      <c r="AJ129" s="84">
        <f>N129-AG129</f>
        <v>0</v>
      </c>
    </row>
    <row r="130" spans="1:36" x14ac:dyDescent="0.3">
      <c r="A130" s="114" t="s">
        <v>216</v>
      </c>
      <c r="B130" s="110">
        <f t="shared" ref="B130:M130" si="81">SUM(B124:B129)</f>
        <v>0</v>
      </c>
      <c r="C130" s="110">
        <f t="shared" si="81"/>
        <v>0</v>
      </c>
      <c r="D130" s="110">
        <f t="shared" si="81"/>
        <v>0</v>
      </c>
      <c r="E130" s="110">
        <f t="shared" si="81"/>
        <v>0</v>
      </c>
      <c r="F130" s="110">
        <f t="shared" si="81"/>
        <v>0</v>
      </c>
      <c r="G130" s="110">
        <f t="shared" si="81"/>
        <v>0</v>
      </c>
      <c r="H130" s="110">
        <f t="shared" si="81"/>
        <v>0</v>
      </c>
      <c r="I130" s="110">
        <f t="shared" si="81"/>
        <v>0</v>
      </c>
      <c r="J130" s="110">
        <f t="shared" si="81"/>
        <v>0</v>
      </c>
      <c r="K130" s="110">
        <f t="shared" si="81"/>
        <v>0</v>
      </c>
      <c r="L130" s="110">
        <f t="shared" si="81"/>
        <v>0</v>
      </c>
      <c r="M130" s="110">
        <f t="shared" si="81"/>
        <v>0</v>
      </c>
      <c r="N130" s="110">
        <f t="shared" si="80"/>
        <v>0</v>
      </c>
      <c r="O130" s="111" t="str">
        <f t="shared" si="76"/>
        <v/>
      </c>
      <c r="P130" s="84"/>
      <c r="Q130" s="84"/>
      <c r="R130" s="112"/>
      <c r="S130" s="112"/>
      <c r="T130" s="112"/>
      <c r="U130" s="110">
        <f t="shared" ref="U130:AF130" si="82">SUM(U124:U129)</f>
        <v>0</v>
      </c>
      <c r="V130" s="110">
        <f t="shared" si="82"/>
        <v>0</v>
      </c>
      <c r="W130" s="110">
        <f t="shared" si="82"/>
        <v>0</v>
      </c>
      <c r="X130" s="110">
        <f t="shared" si="82"/>
        <v>0</v>
      </c>
      <c r="Y130" s="110">
        <f t="shared" si="82"/>
        <v>0</v>
      </c>
      <c r="Z130" s="110">
        <f t="shared" si="82"/>
        <v>0</v>
      </c>
      <c r="AA130" s="110">
        <f t="shared" si="82"/>
        <v>0</v>
      </c>
      <c r="AB130" s="110">
        <f t="shared" si="82"/>
        <v>0</v>
      </c>
      <c r="AC130" s="110">
        <f t="shared" si="82"/>
        <v>0</v>
      </c>
      <c r="AD130" s="110">
        <f t="shared" si="82"/>
        <v>0</v>
      </c>
      <c r="AE130" s="110">
        <f t="shared" si="82"/>
        <v>0</v>
      </c>
      <c r="AF130" s="110">
        <f t="shared" si="82"/>
        <v>0</v>
      </c>
      <c r="AG130" s="110">
        <f t="shared" si="78"/>
        <v>0</v>
      </c>
      <c r="AH130" s="111" t="str">
        <f t="shared" si="79"/>
        <v/>
      </c>
      <c r="AJ130" s="110">
        <f>N130-AG130</f>
        <v>0</v>
      </c>
    </row>
    <row r="131" spans="1:36" x14ac:dyDescent="0.3">
      <c r="A131" s="122" t="s">
        <v>217</v>
      </c>
      <c r="B131" s="110">
        <f t="shared" ref="B131:M131" si="83">B122-B130</f>
        <v>0</v>
      </c>
      <c r="C131" s="110">
        <f t="shared" si="83"/>
        <v>0</v>
      </c>
      <c r="D131" s="110">
        <f t="shared" si="83"/>
        <v>0</v>
      </c>
      <c r="E131" s="110">
        <f t="shared" si="83"/>
        <v>0</v>
      </c>
      <c r="F131" s="110">
        <f t="shared" si="83"/>
        <v>0</v>
      </c>
      <c r="G131" s="110">
        <f t="shared" si="83"/>
        <v>0</v>
      </c>
      <c r="H131" s="110">
        <f t="shared" si="83"/>
        <v>0</v>
      </c>
      <c r="I131" s="110">
        <f t="shared" si="83"/>
        <v>0</v>
      </c>
      <c r="J131" s="110">
        <f t="shared" si="83"/>
        <v>0</v>
      </c>
      <c r="K131" s="110">
        <f t="shared" si="83"/>
        <v>0</v>
      </c>
      <c r="L131" s="110">
        <f t="shared" si="83"/>
        <v>0</v>
      </c>
      <c r="M131" s="110">
        <f t="shared" si="83"/>
        <v>0</v>
      </c>
      <c r="N131" s="110">
        <f t="shared" si="80"/>
        <v>0</v>
      </c>
      <c r="O131" s="111" t="str">
        <f t="shared" si="76"/>
        <v/>
      </c>
      <c r="P131" s="84"/>
      <c r="Q131" s="84"/>
      <c r="R131" s="112"/>
      <c r="S131" s="112"/>
      <c r="T131" s="112"/>
      <c r="U131" s="110">
        <f t="shared" ref="U131:AF131" si="84">U122-U130</f>
        <v>0</v>
      </c>
      <c r="V131" s="110">
        <f t="shared" si="84"/>
        <v>0</v>
      </c>
      <c r="W131" s="110">
        <f t="shared" si="84"/>
        <v>0</v>
      </c>
      <c r="X131" s="110">
        <f t="shared" si="84"/>
        <v>0</v>
      </c>
      <c r="Y131" s="110">
        <f t="shared" si="84"/>
        <v>0</v>
      </c>
      <c r="Z131" s="110">
        <f t="shared" si="84"/>
        <v>0</v>
      </c>
      <c r="AA131" s="110">
        <f t="shared" si="84"/>
        <v>0</v>
      </c>
      <c r="AB131" s="110">
        <f t="shared" si="84"/>
        <v>0</v>
      </c>
      <c r="AC131" s="110">
        <f t="shared" si="84"/>
        <v>0</v>
      </c>
      <c r="AD131" s="110">
        <f t="shared" si="84"/>
        <v>0</v>
      </c>
      <c r="AE131" s="110">
        <f t="shared" si="84"/>
        <v>0</v>
      </c>
      <c r="AF131" s="110">
        <f t="shared" si="84"/>
        <v>0</v>
      </c>
      <c r="AG131" s="110">
        <f t="shared" si="78"/>
        <v>0</v>
      </c>
      <c r="AH131" s="111" t="str">
        <f t="shared" si="79"/>
        <v/>
      </c>
      <c r="AJ131" s="110">
        <f>AG131-N131</f>
        <v>0</v>
      </c>
    </row>
    <row r="132" spans="1:36" ht="14.4" thickBot="1" x14ac:dyDescent="0.35">
      <c r="A132" s="122" t="s">
        <v>218</v>
      </c>
      <c r="B132" s="123">
        <f t="shared" ref="B132:M132" si="85">B117+B131</f>
        <v>-86913.02</v>
      </c>
      <c r="C132" s="123">
        <f t="shared" si="85"/>
        <v>-49296.87</v>
      </c>
      <c r="D132" s="123">
        <f t="shared" si="85"/>
        <v>-108301.44</v>
      </c>
      <c r="E132" s="123">
        <f t="shared" si="85"/>
        <v>-45527.530000000006</v>
      </c>
      <c r="F132" s="123">
        <f t="shared" si="85"/>
        <v>-102509.57</v>
      </c>
      <c r="G132" s="123">
        <f t="shared" si="85"/>
        <v>-102060.61</v>
      </c>
      <c r="H132" s="123">
        <f t="shared" si="85"/>
        <v>-105782.9</v>
      </c>
      <c r="I132" s="123">
        <f t="shared" si="85"/>
        <v>-131520.22</v>
      </c>
      <c r="J132" s="123">
        <f t="shared" si="85"/>
        <v>-140963</v>
      </c>
      <c r="K132" s="123">
        <f t="shared" si="85"/>
        <v>-143954</v>
      </c>
      <c r="L132" s="123">
        <f t="shared" si="85"/>
        <v>-143954</v>
      </c>
      <c r="M132" s="123">
        <f t="shared" si="85"/>
        <v>-154591</v>
      </c>
      <c r="N132" s="123">
        <f t="shared" si="80"/>
        <v>-1315374.1600000001</v>
      </c>
      <c r="O132" s="124" t="str">
        <f t="shared" si="76"/>
        <v/>
      </c>
      <c r="P132" s="84"/>
      <c r="Q132" s="84"/>
      <c r="R132" s="112"/>
      <c r="S132" s="112"/>
      <c r="T132" s="112"/>
      <c r="U132" s="123">
        <f t="shared" ref="U132:AF132" si="86">U117+U131</f>
        <v>-100218.13819684784</v>
      </c>
      <c r="V132" s="123">
        <f t="shared" si="86"/>
        <v>-100218.13819684784</v>
      </c>
      <c r="W132" s="123">
        <f t="shared" si="86"/>
        <v>-100218.13819684784</v>
      </c>
      <c r="X132" s="123">
        <f t="shared" si="86"/>
        <v>-100218.13819684784</v>
      </c>
      <c r="Y132" s="123">
        <f t="shared" si="86"/>
        <v>-100218.13819684784</v>
      </c>
      <c r="Z132" s="123">
        <f t="shared" si="86"/>
        <v>-100218.13819684784</v>
      </c>
      <c r="AA132" s="123">
        <f t="shared" si="86"/>
        <v>-100218.13819684784</v>
      </c>
      <c r="AB132" s="123">
        <f t="shared" si="86"/>
        <v>-100218.13819684784</v>
      </c>
      <c r="AC132" s="123">
        <f t="shared" si="86"/>
        <v>-100218.13819684784</v>
      </c>
      <c r="AD132" s="123">
        <f t="shared" si="86"/>
        <v>-103224.68234275328</v>
      </c>
      <c r="AE132" s="123">
        <f t="shared" si="86"/>
        <v>-103224.68234275328</v>
      </c>
      <c r="AF132" s="123">
        <f t="shared" si="86"/>
        <v>-103224.68234275328</v>
      </c>
      <c r="AG132" s="123">
        <f t="shared" si="78"/>
        <v>-1211637.2907998906</v>
      </c>
      <c r="AH132" s="124" t="str">
        <f t="shared" si="79"/>
        <v/>
      </c>
      <c r="AJ132" s="123">
        <f>AG132-N132</f>
        <v>103736.8692001095</v>
      </c>
    </row>
    <row r="133" spans="1:36" ht="14.4" thickTop="1" x14ac:dyDescent="0.3">
      <c r="B133" s="163"/>
      <c r="C133" s="163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4"/>
      <c r="P133" s="163"/>
      <c r="Q133" s="163"/>
      <c r="R133" s="112"/>
      <c r="S133" s="112"/>
      <c r="T133" s="112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2"/>
      <c r="AH133" s="84"/>
    </row>
    <row r="134" spans="1:36" x14ac:dyDescent="0.3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105"/>
      <c r="P134" s="84"/>
      <c r="Q134" s="84"/>
      <c r="R134" s="112"/>
      <c r="S134" s="112"/>
      <c r="T134" s="112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</row>
    <row r="135" spans="1:36" x14ac:dyDescent="0.3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105"/>
      <c r="P135" s="84"/>
      <c r="Q135" s="84"/>
      <c r="R135" s="112"/>
      <c r="S135" s="112"/>
      <c r="T135" s="112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</row>
    <row r="136" spans="1:36" x14ac:dyDescent="0.3">
      <c r="B136" s="150"/>
      <c r="C136" s="150"/>
      <c r="D136" s="150"/>
      <c r="E136" s="150"/>
      <c r="F136" s="150"/>
      <c r="G136" s="150"/>
      <c r="H136" s="150"/>
      <c r="I136" s="150"/>
      <c r="J136" s="150"/>
      <c r="K136" s="150"/>
      <c r="L136" s="150"/>
      <c r="M136" s="150"/>
      <c r="N136" s="150"/>
      <c r="O136" s="105"/>
      <c r="P136" s="84"/>
      <c r="Q136" s="84"/>
      <c r="R136" s="112"/>
      <c r="S136" s="112"/>
      <c r="T136" s="112"/>
      <c r="U136" s="150"/>
      <c r="V136" s="150"/>
      <c r="W136" s="150"/>
      <c r="X136" s="150"/>
      <c r="Y136" s="150"/>
      <c r="Z136" s="150"/>
      <c r="AA136" s="150"/>
      <c r="AB136" s="150"/>
      <c r="AC136" s="150"/>
      <c r="AD136" s="150"/>
      <c r="AE136" s="150"/>
      <c r="AF136" s="150"/>
      <c r="AG136" s="150"/>
      <c r="AH136" s="84"/>
    </row>
    <row r="137" spans="1:36" x14ac:dyDescent="0.3">
      <c r="A137" s="125" t="s">
        <v>219</v>
      </c>
      <c r="B137" s="84">
        <f t="shared" ref="B137:N140" si="87">SUMIF($A$9:$A$132,"*"&amp;$A137&amp;"*",B$9:B$132)</f>
        <v>73651.56</v>
      </c>
      <c r="C137" s="84">
        <f t="shared" si="87"/>
        <v>27724.99</v>
      </c>
      <c r="D137" s="84">
        <f t="shared" si="87"/>
        <v>93395.48</v>
      </c>
      <c r="E137" s="84">
        <f t="shared" si="87"/>
        <v>30558.3</v>
      </c>
      <c r="F137" s="84">
        <f t="shared" si="87"/>
        <v>91088.28</v>
      </c>
      <c r="G137" s="84">
        <f t="shared" si="87"/>
        <v>90396.46</v>
      </c>
      <c r="H137" s="84">
        <f t="shared" si="87"/>
        <v>94365.88</v>
      </c>
      <c r="I137" s="84">
        <f t="shared" si="87"/>
        <v>103467.64</v>
      </c>
      <c r="J137" s="84">
        <f t="shared" si="87"/>
        <v>122800</v>
      </c>
      <c r="K137" s="84">
        <f t="shared" si="87"/>
        <v>125500</v>
      </c>
      <c r="L137" s="84">
        <f t="shared" si="87"/>
        <v>125500</v>
      </c>
      <c r="M137" s="84">
        <f t="shared" si="87"/>
        <v>135100</v>
      </c>
      <c r="N137" s="84">
        <f t="shared" si="87"/>
        <v>1113548.5900000001</v>
      </c>
      <c r="O137" s="105"/>
      <c r="R137" s="112"/>
      <c r="S137" s="112"/>
      <c r="T137" s="112"/>
      <c r="U137" s="84">
        <f t="shared" ref="U137:AG140" si="88">SUMIF($A$9:$A$132,"*"&amp;$A137&amp;"*",U$9:U$132)</f>
        <v>89166.25</v>
      </c>
      <c r="V137" s="84">
        <f t="shared" si="88"/>
        <v>89166.25</v>
      </c>
      <c r="W137" s="84">
        <f t="shared" si="88"/>
        <v>89166.25</v>
      </c>
      <c r="X137" s="84">
        <f t="shared" si="88"/>
        <v>89166.25</v>
      </c>
      <c r="Y137" s="84">
        <f t="shared" si="88"/>
        <v>89166.25</v>
      </c>
      <c r="Z137" s="84">
        <f t="shared" si="88"/>
        <v>89166.25</v>
      </c>
      <c r="AA137" s="84">
        <f t="shared" si="88"/>
        <v>89166.25</v>
      </c>
      <c r="AB137" s="84">
        <f t="shared" si="88"/>
        <v>89166.25</v>
      </c>
      <c r="AC137" s="84">
        <f t="shared" si="88"/>
        <v>89166.25</v>
      </c>
      <c r="AD137" s="84">
        <f t="shared" si="88"/>
        <v>91841.237500000003</v>
      </c>
      <c r="AE137" s="84">
        <f t="shared" si="88"/>
        <v>91841.237500000003</v>
      </c>
      <c r="AF137" s="84">
        <f t="shared" si="88"/>
        <v>91841.237500000003</v>
      </c>
      <c r="AG137" s="84">
        <f t="shared" si="88"/>
        <v>1078019.9625000001</v>
      </c>
      <c r="AH137" s="162"/>
      <c r="AJ137" s="84"/>
    </row>
    <row r="138" spans="1:36" x14ac:dyDescent="0.3">
      <c r="A138" s="125" t="s">
        <v>220</v>
      </c>
      <c r="B138" s="84">
        <f t="shared" si="87"/>
        <v>0</v>
      </c>
      <c r="C138" s="84">
        <f t="shared" si="87"/>
        <v>0</v>
      </c>
      <c r="D138" s="84">
        <f t="shared" si="87"/>
        <v>0</v>
      </c>
      <c r="E138" s="84">
        <f t="shared" si="87"/>
        <v>0</v>
      </c>
      <c r="F138" s="84">
        <f t="shared" si="87"/>
        <v>0</v>
      </c>
      <c r="G138" s="84">
        <f t="shared" si="87"/>
        <v>0</v>
      </c>
      <c r="H138" s="84">
        <f t="shared" si="87"/>
        <v>0</v>
      </c>
      <c r="I138" s="84">
        <f t="shared" si="87"/>
        <v>0</v>
      </c>
      <c r="J138" s="84">
        <f t="shared" si="87"/>
        <v>0</v>
      </c>
      <c r="K138" s="84">
        <f t="shared" si="87"/>
        <v>0</v>
      </c>
      <c r="L138" s="84">
        <f t="shared" si="87"/>
        <v>0</v>
      </c>
      <c r="M138" s="84">
        <f t="shared" si="87"/>
        <v>0</v>
      </c>
      <c r="N138" s="84">
        <f t="shared" si="87"/>
        <v>0</v>
      </c>
      <c r="O138" s="150"/>
      <c r="P138" s="84"/>
      <c r="Q138" s="84"/>
      <c r="R138" s="112"/>
      <c r="S138" s="112"/>
      <c r="T138" s="112"/>
      <c r="U138" s="84">
        <f t="shared" si="88"/>
        <v>0</v>
      </c>
      <c r="V138" s="84">
        <f t="shared" si="88"/>
        <v>0</v>
      </c>
      <c r="W138" s="84">
        <f t="shared" si="88"/>
        <v>0</v>
      </c>
      <c r="X138" s="84">
        <f t="shared" si="88"/>
        <v>0</v>
      </c>
      <c r="Y138" s="84">
        <f t="shared" si="88"/>
        <v>0</v>
      </c>
      <c r="Z138" s="84">
        <f t="shared" si="88"/>
        <v>0</v>
      </c>
      <c r="AA138" s="84">
        <f t="shared" si="88"/>
        <v>0</v>
      </c>
      <c r="AB138" s="84">
        <f t="shared" si="88"/>
        <v>0</v>
      </c>
      <c r="AC138" s="84">
        <f t="shared" si="88"/>
        <v>0</v>
      </c>
      <c r="AD138" s="84">
        <f t="shared" si="88"/>
        <v>0</v>
      </c>
      <c r="AE138" s="84">
        <f t="shared" si="88"/>
        <v>0</v>
      </c>
      <c r="AF138" s="84">
        <f t="shared" si="88"/>
        <v>0</v>
      </c>
      <c r="AG138" s="84">
        <f t="shared" si="88"/>
        <v>0</v>
      </c>
      <c r="AH138" s="84"/>
    </row>
    <row r="139" spans="1:36" x14ac:dyDescent="0.3">
      <c r="A139" s="125" t="s">
        <v>21</v>
      </c>
      <c r="B139" s="84">
        <f t="shared" si="87"/>
        <v>3695.16</v>
      </c>
      <c r="C139" s="84">
        <f t="shared" si="87"/>
        <v>1055.23</v>
      </c>
      <c r="D139" s="84">
        <f t="shared" si="87"/>
        <v>3372.5</v>
      </c>
      <c r="E139" s="84">
        <f t="shared" si="87"/>
        <v>1042.8699999999999</v>
      </c>
      <c r="F139" s="84">
        <f t="shared" si="87"/>
        <v>3064.28</v>
      </c>
      <c r="G139" s="84">
        <f t="shared" si="87"/>
        <v>3071.67</v>
      </c>
      <c r="H139" s="84">
        <f t="shared" si="87"/>
        <v>3332.95</v>
      </c>
      <c r="I139" s="84">
        <f t="shared" si="87"/>
        <v>4964.72</v>
      </c>
      <c r="J139" s="84">
        <f t="shared" si="87"/>
        <v>4421</v>
      </c>
      <c r="K139" s="84">
        <f t="shared" si="87"/>
        <v>4518</v>
      </c>
      <c r="L139" s="84">
        <f t="shared" si="87"/>
        <v>4518</v>
      </c>
      <c r="M139" s="84">
        <f t="shared" si="87"/>
        <v>4864</v>
      </c>
      <c r="N139" s="84">
        <f t="shared" si="87"/>
        <v>41920.380000000005</v>
      </c>
      <c r="O139" s="150"/>
      <c r="P139" s="84"/>
      <c r="Q139" s="84"/>
      <c r="R139" s="112"/>
      <c r="S139" s="112"/>
      <c r="T139" s="112"/>
      <c r="U139" s="84">
        <f t="shared" si="88"/>
        <v>3184.5424875966064</v>
      </c>
      <c r="V139" s="84">
        <f t="shared" si="88"/>
        <v>3184.5424875966064</v>
      </c>
      <c r="W139" s="84">
        <f t="shared" si="88"/>
        <v>3184.5424875966064</v>
      </c>
      <c r="X139" s="84">
        <f t="shared" si="88"/>
        <v>3184.5424875966064</v>
      </c>
      <c r="Y139" s="84">
        <f t="shared" si="88"/>
        <v>3184.5424875966064</v>
      </c>
      <c r="Z139" s="84">
        <f t="shared" si="88"/>
        <v>3184.5424875966064</v>
      </c>
      <c r="AA139" s="84">
        <f t="shared" si="88"/>
        <v>3184.5424875966064</v>
      </c>
      <c r="AB139" s="84">
        <f t="shared" si="88"/>
        <v>3184.5424875966064</v>
      </c>
      <c r="AC139" s="84">
        <f t="shared" si="88"/>
        <v>3184.5424875966064</v>
      </c>
      <c r="AD139" s="84">
        <f t="shared" si="88"/>
        <v>3280.0787622245048</v>
      </c>
      <c r="AE139" s="84">
        <f t="shared" si="88"/>
        <v>3280.0787622245048</v>
      </c>
      <c r="AF139" s="84">
        <f t="shared" si="88"/>
        <v>3280.0787622245048</v>
      </c>
      <c r="AG139" s="84">
        <f t="shared" si="88"/>
        <v>38501.11867504297</v>
      </c>
      <c r="AH139" s="84"/>
      <c r="AJ139" s="84"/>
    </row>
    <row r="140" spans="1:36" x14ac:dyDescent="0.3">
      <c r="A140" s="125" t="s">
        <v>23</v>
      </c>
      <c r="B140" s="84">
        <f t="shared" si="87"/>
        <v>6488.6399999999994</v>
      </c>
      <c r="C140" s="84">
        <f t="shared" si="87"/>
        <v>17771.740000000002</v>
      </c>
      <c r="D140" s="84">
        <f t="shared" si="87"/>
        <v>9023.630000000001</v>
      </c>
      <c r="E140" s="84">
        <f t="shared" si="87"/>
        <v>10961.94</v>
      </c>
      <c r="F140" s="84">
        <f t="shared" si="87"/>
        <v>5752.25</v>
      </c>
      <c r="G140" s="84">
        <f t="shared" si="87"/>
        <v>7975.89</v>
      </c>
      <c r="H140" s="84">
        <f t="shared" si="87"/>
        <v>7066.98</v>
      </c>
      <c r="I140" s="84">
        <f t="shared" si="87"/>
        <v>11912.99</v>
      </c>
      <c r="J140" s="84">
        <f t="shared" si="87"/>
        <v>8842</v>
      </c>
      <c r="K140" s="84">
        <f t="shared" si="87"/>
        <v>9036</v>
      </c>
      <c r="L140" s="84">
        <f t="shared" si="87"/>
        <v>9036</v>
      </c>
      <c r="M140" s="84">
        <f t="shared" si="87"/>
        <v>9727</v>
      </c>
      <c r="N140" s="84">
        <f t="shared" si="87"/>
        <v>113595.05999999998</v>
      </c>
      <c r="O140" s="150"/>
      <c r="P140" s="84"/>
      <c r="Q140" s="84"/>
      <c r="R140" s="112"/>
      <c r="S140" s="112"/>
      <c r="T140" s="112"/>
      <c r="U140" s="84">
        <f t="shared" si="88"/>
        <v>7867.3457092512253</v>
      </c>
      <c r="V140" s="84">
        <f t="shared" si="88"/>
        <v>7867.3457092512253</v>
      </c>
      <c r="W140" s="84">
        <f t="shared" si="88"/>
        <v>7867.3457092512253</v>
      </c>
      <c r="X140" s="84">
        <f t="shared" si="88"/>
        <v>7867.3457092512253</v>
      </c>
      <c r="Y140" s="84">
        <f t="shared" si="88"/>
        <v>7867.3457092512253</v>
      </c>
      <c r="Z140" s="84">
        <f t="shared" si="88"/>
        <v>7867.3457092512253</v>
      </c>
      <c r="AA140" s="84">
        <f t="shared" si="88"/>
        <v>7867.3457092512253</v>
      </c>
      <c r="AB140" s="84">
        <f t="shared" si="88"/>
        <v>7867.3457092512253</v>
      </c>
      <c r="AC140" s="84">
        <f t="shared" si="88"/>
        <v>7867.3457092512253</v>
      </c>
      <c r="AD140" s="84">
        <f t="shared" si="88"/>
        <v>8103.3660805287627</v>
      </c>
      <c r="AE140" s="84">
        <f t="shared" si="88"/>
        <v>8103.3660805287627</v>
      </c>
      <c r="AF140" s="84">
        <f t="shared" si="88"/>
        <v>8103.3660805287627</v>
      </c>
      <c r="AG140" s="84">
        <f t="shared" si="88"/>
        <v>95116.209624847324</v>
      </c>
      <c r="AH140" s="84"/>
      <c r="AJ140" s="84"/>
    </row>
    <row r="141" spans="1:36" x14ac:dyDescent="0.3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150"/>
      <c r="P141" s="84"/>
      <c r="Q141" s="84"/>
      <c r="R141" s="112"/>
      <c r="S141" s="112"/>
      <c r="T141" s="112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J141" s="84"/>
    </row>
    <row r="142" spans="1:36" x14ac:dyDescent="0.3">
      <c r="A142" s="83" t="s">
        <v>221</v>
      </c>
      <c r="B142" s="105">
        <f>IFERROR(SUM(B139:B140)/SUM(B137:B138),"")</f>
        <v>0.13826998369077315</v>
      </c>
      <c r="C142" s="105">
        <f>IFERROR(SUM(C139:C140)/SUM(C137:C138),"")</f>
        <v>0.67906138108616088</v>
      </c>
      <c r="D142" s="105">
        <f>IFERROR(SUM(D139:D140)/SUM(D137:D138),"")</f>
        <v>0.13272730114990577</v>
      </c>
      <c r="E142" s="105">
        <f t="shared" ref="E142:N142" si="89">IFERROR(SUM(E139:E140)/SUM(E137:E138),"")</f>
        <v>0.39284940588972561</v>
      </c>
      <c r="F142" s="105">
        <f t="shared" si="89"/>
        <v>9.6791047102876476E-2</v>
      </c>
      <c r="G142" s="105">
        <f t="shared" si="89"/>
        <v>0.12221230787134807</v>
      </c>
      <c r="H142" s="105">
        <f t="shared" si="89"/>
        <v>0.11020858386526994</v>
      </c>
      <c r="I142" s="105">
        <f t="shared" si="89"/>
        <v>0.16312066265356009</v>
      </c>
      <c r="J142" s="105">
        <f t="shared" si="89"/>
        <v>0.10800488599348534</v>
      </c>
      <c r="K142" s="105">
        <f t="shared" si="89"/>
        <v>0.108</v>
      </c>
      <c r="L142" s="105">
        <f t="shared" si="89"/>
        <v>0.108</v>
      </c>
      <c r="M142" s="105">
        <f t="shared" si="89"/>
        <v>0.10800148038490007</v>
      </c>
      <c r="N142" s="105">
        <f t="shared" si="89"/>
        <v>0.13965752495811609</v>
      </c>
      <c r="O142" s="105"/>
      <c r="P142" s="162"/>
      <c r="Q142" s="162"/>
      <c r="R142" s="112"/>
      <c r="S142" s="112"/>
      <c r="T142" s="112"/>
      <c r="U142" s="105">
        <f t="shared" ref="U142:AG142" si="90">IFERROR(SUM(U139:U140)/SUM(U137:U138),"")</f>
        <v>0.12394698887581154</v>
      </c>
      <c r="V142" s="105">
        <f t="shared" si="90"/>
        <v>0.12394698887581154</v>
      </c>
      <c r="W142" s="105">
        <f t="shared" si="90"/>
        <v>0.12394698887581154</v>
      </c>
      <c r="X142" s="105">
        <f t="shared" si="90"/>
        <v>0.12394698887581154</v>
      </c>
      <c r="Y142" s="105">
        <f t="shared" si="90"/>
        <v>0.12394698887581154</v>
      </c>
      <c r="Z142" s="105">
        <f t="shared" si="90"/>
        <v>0.12394698887581154</v>
      </c>
      <c r="AA142" s="105">
        <f t="shared" si="90"/>
        <v>0.12394698887581154</v>
      </c>
      <c r="AB142" s="105">
        <f t="shared" si="90"/>
        <v>0.12394698887581154</v>
      </c>
      <c r="AC142" s="105">
        <f t="shared" si="90"/>
        <v>0.12394698887581154</v>
      </c>
      <c r="AD142" s="105">
        <f t="shared" si="90"/>
        <v>0.12394698887581156</v>
      </c>
      <c r="AE142" s="105">
        <f t="shared" si="90"/>
        <v>0.12394698887581156</v>
      </c>
      <c r="AF142" s="105">
        <f t="shared" si="90"/>
        <v>0.12394698887581156</v>
      </c>
      <c r="AG142" s="105">
        <f t="shared" si="90"/>
        <v>0.12394698887581156</v>
      </c>
      <c r="AH142" s="162"/>
      <c r="AI142" s="162"/>
      <c r="AJ142" s="162"/>
    </row>
    <row r="143" spans="1:36" x14ac:dyDescent="0.3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105"/>
      <c r="P143" s="84"/>
      <c r="Q143" s="84"/>
      <c r="R143" s="112"/>
      <c r="S143" s="112"/>
      <c r="T143" s="112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</row>
    <row r="144" spans="1:36" x14ac:dyDescent="0.3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105"/>
      <c r="P144" s="84"/>
      <c r="Q144" s="84"/>
      <c r="R144" s="112"/>
      <c r="S144" s="112"/>
      <c r="T144" s="112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</row>
    <row r="145" spans="15:20" x14ac:dyDescent="0.3">
      <c r="O145" s="105"/>
      <c r="R145" s="126"/>
      <c r="S145" s="126"/>
      <c r="T145" s="126"/>
    </row>
    <row r="146" spans="15:20" x14ac:dyDescent="0.3">
      <c r="O146" s="105"/>
      <c r="R146" s="126"/>
      <c r="S146" s="126"/>
      <c r="T146" s="126"/>
    </row>
    <row r="147" spans="15:20" x14ac:dyDescent="0.3">
      <c r="O147" s="105"/>
      <c r="R147" s="126"/>
      <c r="S147" s="126"/>
      <c r="T147" s="126"/>
    </row>
    <row r="148" spans="15:20" x14ac:dyDescent="0.3">
      <c r="O148" s="105"/>
      <c r="R148" s="126"/>
      <c r="S148" s="126"/>
      <c r="T148" s="126"/>
    </row>
    <row r="149" spans="15:20" x14ac:dyDescent="0.3">
      <c r="O149" s="105"/>
      <c r="R149" s="126"/>
      <c r="S149" s="126"/>
      <c r="T149" s="126"/>
    </row>
    <row r="150" spans="15:20" x14ac:dyDescent="0.3">
      <c r="O150" s="105"/>
      <c r="R150" s="126"/>
      <c r="S150" s="126"/>
      <c r="T150" s="126"/>
    </row>
    <row r="151" spans="15:20" x14ac:dyDescent="0.3">
      <c r="O151" s="105"/>
      <c r="R151" s="126"/>
      <c r="S151" s="126"/>
      <c r="T151" s="126"/>
    </row>
    <row r="152" spans="15:20" x14ac:dyDescent="0.3">
      <c r="O152" s="105"/>
      <c r="R152" s="126"/>
      <c r="S152" s="126"/>
      <c r="T152" s="126"/>
    </row>
    <row r="153" spans="15:20" x14ac:dyDescent="0.3">
      <c r="O153" s="105"/>
      <c r="R153" s="126"/>
      <c r="S153" s="126"/>
      <c r="T153" s="126"/>
    </row>
    <row r="154" spans="15:20" x14ac:dyDescent="0.3">
      <c r="O154" s="105"/>
      <c r="R154" s="126"/>
      <c r="S154" s="126"/>
      <c r="T154" s="126"/>
    </row>
    <row r="155" spans="15:20" x14ac:dyDescent="0.3">
      <c r="O155" s="105"/>
      <c r="R155" s="126"/>
      <c r="S155" s="126"/>
      <c r="T155" s="126"/>
    </row>
    <row r="156" spans="15:20" x14ac:dyDescent="0.3">
      <c r="O156" s="105"/>
      <c r="R156" s="126"/>
      <c r="S156" s="126"/>
      <c r="T156" s="126"/>
    </row>
    <row r="157" spans="15:20" x14ac:dyDescent="0.3">
      <c r="O157" s="105"/>
      <c r="R157" s="126"/>
      <c r="S157" s="126"/>
      <c r="T157" s="126"/>
    </row>
    <row r="158" spans="15:20" x14ac:dyDescent="0.3">
      <c r="O158" s="105"/>
      <c r="R158" s="126"/>
      <c r="S158" s="126"/>
      <c r="T158" s="126"/>
    </row>
    <row r="159" spans="15:20" x14ac:dyDescent="0.3">
      <c r="O159" s="105"/>
      <c r="R159" s="126"/>
      <c r="S159" s="126"/>
      <c r="T159" s="126"/>
    </row>
    <row r="160" spans="15:20" x14ac:dyDescent="0.3">
      <c r="O160" s="105"/>
      <c r="R160" s="126"/>
      <c r="S160" s="126"/>
      <c r="T160" s="126"/>
    </row>
    <row r="161" spans="15:20" x14ac:dyDescent="0.3">
      <c r="O161" s="105"/>
      <c r="R161" s="126"/>
      <c r="S161" s="126"/>
      <c r="T161" s="126"/>
    </row>
    <row r="162" spans="15:20" x14ac:dyDescent="0.3">
      <c r="O162" s="105"/>
      <c r="R162" s="126"/>
      <c r="S162" s="126"/>
      <c r="T162" s="126"/>
    </row>
    <row r="163" spans="15:20" x14ac:dyDescent="0.3">
      <c r="O163" s="105"/>
      <c r="R163" s="126"/>
      <c r="S163" s="126"/>
      <c r="T163" s="126"/>
    </row>
    <row r="164" spans="15:20" x14ac:dyDescent="0.3">
      <c r="O164" s="105"/>
      <c r="R164" s="126"/>
      <c r="S164" s="126"/>
      <c r="T164" s="126"/>
    </row>
    <row r="165" spans="15:20" x14ac:dyDescent="0.3">
      <c r="O165" s="105"/>
    </row>
    <row r="166" spans="15:20" x14ac:dyDescent="0.3">
      <c r="O166" s="105"/>
    </row>
    <row r="167" spans="15:20" x14ac:dyDescent="0.3">
      <c r="O167" s="105"/>
    </row>
    <row r="168" spans="15:20" x14ac:dyDescent="0.3">
      <c r="O168" s="105"/>
    </row>
    <row r="169" spans="15:20" x14ac:dyDescent="0.3">
      <c r="O169" s="105"/>
    </row>
    <row r="170" spans="15:20" x14ac:dyDescent="0.3">
      <c r="O170" s="105"/>
    </row>
    <row r="171" spans="15:20" x14ac:dyDescent="0.3">
      <c r="O171" s="105"/>
    </row>
    <row r="172" spans="15:20" x14ac:dyDescent="0.3">
      <c r="O172" s="105"/>
    </row>
    <row r="173" spans="15:20" x14ac:dyDescent="0.3">
      <c r="O173" s="105"/>
    </row>
    <row r="174" spans="15:20" x14ac:dyDescent="0.3">
      <c r="O174" s="105"/>
    </row>
    <row r="175" spans="15:20" x14ac:dyDescent="0.3">
      <c r="O175" s="105"/>
    </row>
    <row r="176" spans="15:20" x14ac:dyDescent="0.3">
      <c r="O176" s="105"/>
    </row>
    <row r="177" spans="15:15" x14ac:dyDescent="0.3">
      <c r="O177" s="105"/>
    </row>
    <row r="178" spans="15:15" x14ac:dyDescent="0.3">
      <c r="O178" s="105"/>
    </row>
    <row r="179" spans="15:15" x14ac:dyDescent="0.3">
      <c r="O179" s="105"/>
    </row>
    <row r="180" spans="15:15" x14ac:dyDescent="0.3">
      <c r="O180" s="105"/>
    </row>
    <row r="181" spans="15:15" x14ac:dyDescent="0.3">
      <c r="O181" s="105"/>
    </row>
    <row r="182" spans="15:15" x14ac:dyDescent="0.3">
      <c r="O182" s="105"/>
    </row>
    <row r="183" spans="15:15" x14ac:dyDescent="0.3">
      <c r="O183" s="105"/>
    </row>
    <row r="184" spans="15:15" x14ac:dyDescent="0.3">
      <c r="O184" s="105"/>
    </row>
    <row r="185" spans="15:15" x14ac:dyDescent="0.3">
      <c r="O185" s="105"/>
    </row>
    <row r="186" spans="15:15" x14ac:dyDescent="0.3">
      <c r="O186" s="105"/>
    </row>
    <row r="187" spans="15:15" x14ac:dyDescent="0.3">
      <c r="O187" s="105"/>
    </row>
    <row r="188" spans="15:15" x14ac:dyDescent="0.3">
      <c r="O188" s="105"/>
    </row>
    <row r="189" spans="15:15" x14ac:dyDescent="0.3">
      <c r="O189" s="105"/>
    </row>
    <row r="190" spans="15:15" x14ac:dyDescent="0.3">
      <c r="O190" s="105"/>
    </row>
    <row r="191" spans="15:15" x14ac:dyDescent="0.3">
      <c r="O191" s="105"/>
    </row>
    <row r="192" spans="15:15" x14ac:dyDescent="0.3">
      <c r="O192" s="105"/>
    </row>
    <row r="193" spans="15:15" x14ac:dyDescent="0.3">
      <c r="O193" s="105"/>
    </row>
    <row r="194" spans="15:15" x14ac:dyDescent="0.3">
      <c r="O194" s="105"/>
    </row>
    <row r="195" spans="15:15" x14ac:dyDescent="0.3">
      <c r="O195" s="105"/>
    </row>
    <row r="196" spans="15:15" x14ac:dyDescent="0.3">
      <c r="O196" s="105"/>
    </row>
    <row r="197" spans="15:15" x14ac:dyDescent="0.3">
      <c r="O197" s="105"/>
    </row>
    <row r="198" spans="15:15" x14ac:dyDescent="0.3">
      <c r="O198" s="105"/>
    </row>
    <row r="199" spans="15:15" x14ac:dyDescent="0.3">
      <c r="O199" s="105"/>
    </row>
    <row r="200" spans="15:15" x14ac:dyDescent="0.3">
      <c r="O200" s="105"/>
    </row>
  </sheetData>
  <conditionalFormatting sqref="S12:S13">
    <cfRule type="expression" dxfId="14" priority="38">
      <formula>AND(NOT(_xlfn.ISFORMULA(S12)),ISNUMBER(S12))</formula>
    </cfRule>
  </conditionalFormatting>
  <conditionalFormatting sqref="S15">
    <cfRule type="expression" dxfId="13" priority="37">
      <formula>AND(NOT(_xlfn.ISFORMULA(S15)),ISNUMBER(S15))</formula>
    </cfRule>
  </conditionalFormatting>
  <conditionalFormatting sqref="S19:S22">
    <cfRule type="expression" dxfId="12" priority="33">
      <formula>AND(NOT(_xlfn.ISFORMULA(S19)),ISNUMBER(S19))</formula>
    </cfRule>
  </conditionalFormatting>
  <conditionalFormatting sqref="S24:S26">
    <cfRule type="expression" dxfId="11" priority="30">
      <formula>AND(NOT(_xlfn.ISFORMULA(S24)),ISNUMBER(S24))</formula>
    </cfRule>
  </conditionalFormatting>
  <conditionalFormatting sqref="S28:S31">
    <cfRule type="expression" dxfId="10" priority="26">
      <formula>AND(NOT(_xlfn.ISFORMULA(S28)),ISNUMBER(S28))</formula>
    </cfRule>
  </conditionalFormatting>
  <conditionalFormatting sqref="S38:S42">
    <cfRule type="expression" dxfId="9" priority="21">
      <formula>AND(NOT(_xlfn.ISFORMULA(S38)),ISNUMBER(S38))</formula>
    </cfRule>
  </conditionalFormatting>
  <conditionalFormatting sqref="S44:S50">
    <cfRule type="expression" dxfId="8" priority="14">
      <formula>AND(NOT(_xlfn.ISFORMULA(S44)),ISNUMBER(S44))</formula>
    </cfRule>
  </conditionalFormatting>
  <conditionalFormatting sqref="S58:S60">
    <cfRule type="expression" dxfId="7" priority="11">
      <formula>AND(NOT(_xlfn.ISFORMULA(S58)),ISNUMBER(S58))</formula>
    </cfRule>
  </conditionalFormatting>
  <conditionalFormatting sqref="S62">
    <cfRule type="expression" dxfId="6" priority="10">
      <formula>AND(NOT(_xlfn.ISFORMULA(S62)),ISNUMBER(S62))</formula>
    </cfRule>
  </conditionalFormatting>
  <conditionalFormatting sqref="S70:S72">
    <cfRule type="expression" dxfId="5" priority="7">
      <formula>AND(NOT(_xlfn.ISFORMULA(S70)),ISNUMBER(S70))</formula>
    </cfRule>
  </conditionalFormatting>
  <conditionalFormatting sqref="S74:S80">
    <cfRule type="expression" dxfId="4" priority="5">
      <formula>AND(NOT(_xlfn.ISFORMULA(S74)),ISNUMBER(S74))</formula>
    </cfRule>
  </conditionalFormatting>
  <conditionalFormatting sqref="S82:S86">
    <cfRule type="expression" dxfId="3" priority="4">
      <formula>AND(NOT(_xlfn.ISFORMULA(S82)),ISNUMBER(S82))</formula>
    </cfRule>
  </conditionalFormatting>
  <conditionalFormatting sqref="S88:S115">
    <cfRule type="expression" dxfId="2" priority="3">
      <formula>AND(NOT(_xlfn.ISFORMULA(S88)),ISNUMBER(S88))</formula>
    </cfRule>
  </conditionalFormatting>
  <conditionalFormatting sqref="S120:S121">
    <cfRule type="expression" dxfId="1" priority="2">
      <formula>AND(NOT(_xlfn.ISFORMULA(S120)),ISNUMBER(S120))</formula>
    </cfRule>
  </conditionalFormatting>
  <conditionalFormatting sqref="S124:S129">
    <cfRule type="expression" dxfId="0" priority="1">
      <formula>AND(NOT(_xlfn.ISFORMULA(S124)),ISNUMBER(S124))</formula>
    </cfRule>
  </conditionalFormatting>
  <dataValidations count="2">
    <dataValidation type="decimal" allowBlank="1" showInputMessage="1" showErrorMessage="1" errorTitle="Numbers only" error="Please enter a number (no text)." sqref="S12:AF13 S15:AF15 S19:AF22 S24:AF26 S28:AF31 S38:AF42 S44:AF50 S58:AF60 S62:AF62 S70:AF72 S74:AF80 S82:AF86 S88:AF115 S120:AF121 S124:AF129" xr:uid="{66226534-5D84-46FD-B0FD-A92649ED1537}">
      <formula1>-1000000000000000</formula1>
      <formula2>1000000000000000</formula2>
    </dataValidation>
    <dataValidation type="list" allowBlank="1" showInputMessage="1" showErrorMessage="1" sqref="R12:R13 R15 R19:R22 R24:R26 R28:R31 R38:R42 R44:R50 R58:R60 R62 R70:R72 R74:R80 R82:R86 R88:R115 R120:R121 R124:R129" xr:uid="{465BE97B-CE92-4ACD-BBB7-5AEC90AE9B03}">
      <formula1>"Even,YOY Growth,Manual"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Claude Log</vt:lpstr>
      <vt:lpstr>Headcount --&gt;</vt:lpstr>
      <vt:lpstr>COO HC</vt:lpstr>
      <vt:lpstr>FO HC</vt:lpstr>
      <vt:lpstr>PO HC</vt:lpstr>
      <vt:lpstr>CO HC</vt:lpstr>
      <vt:lpstr>FE HC</vt:lpstr>
      <vt:lpstr>PE HC</vt:lpstr>
      <vt:lpstr>P&amp;L --&gt;</vt:lpstr>
      <vt:lpstr>COO P&amp;L</vt:lpstr>
      <vt:lpstr>FO</vt:lpstr>
      <vt:lpstr>PO</vt:lpstr>
      <vt:lpstr>CO</vt:lpstr>
      <vt:lpstr>FE</vt:lpstr>
      <vt:lpstr>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Turner</dc:creator>
  <cp:lastModifiedBy>Kent Turner</cp:lastModifiedBy>
  <dcterms:created xsi:type="dcterms:W3CDTF">2026-09-16T19:01:00Z</dcterms:created>
  <dcterms:modified xsi:type="dcterms:W3CDTF">2026-10-07T18:13:54Z</dcterms:modified>
</cp:coreProperties>
</file>