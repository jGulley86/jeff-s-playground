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SLIP Folders\Budget\2027\Sales Build\"/>
    </mc:Choice>
  </mc:AlternateContent>
  <xr:revisionPtr revIDLastSave="0" documentId="8_{56BB4D7C-6F74-4151-A8C2-139268A409E5}" xr6:coauthVersionLast="47" xr6:coauthVersionMax="47" xr10:uidLastSave="{00000000-0000-0000-0000-000000000000}"/>
  <bookViews>
    <workbookView xWindow="19110" yWindow="-13480" windowWidth="31450" windowHeight="20970" xr2:uid="{8A9260C6-8111-4E2F-B390-15AF14BF547B}"/>
  </bookViews>
  <sheets>
    <sheet name="DeploySum" sheetId="1" r:id="rId1"/>
  </sheets>
  <externalReferences>
    <externalReference r:id="rId2"/>
  </externalReferences>
  <definedNames>
    <definedName name="_xlnm.Print_Area" localSheetId="0">DeploySum!$A$1:$R$49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8" i="1" l="1"/>
  <c r="A47" i="1"/>
  <c r="A46" i="1"/>
  <c r="A45" i="1"/>
  <c r="A44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H35" i="1"/>
  <c r="Q34" i="1"/>
  <c r="P34" i="1"/>
  <c r="O34" i="1"/>
  <c r="N34" i="1"/>
  <c r="M34" i="1"/>
  <c r="H34" i="1"/>
  <c r="G34" i="1"/>
  <c r="F34" i="1"/>
  <c r="R34" i="1" s="1"/>
  <c r="E34" i="1"/>
  <c r="D34" i="1"/>
  <c r="C34" i="1"/>
  <c r="B34" i="1"/>
  <c r="H33" i="1"/>
  <c r="G33" i="1"/>
  <c r="G35" i="1" s="1"/>
  <c r="F33" i="1"/>
  <c r="F35" i="1" s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Q27" i="1"/>
  <c r="P27" i="1"/>
  <c r="F27" i="1"/>
  <c r="E27" i="1"/>
  <c r="D27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R25" i="1"/>
  <c r="R28" i="1" s="1" a="1"/>
  <c r="R28" i="1" s="1"/>
  <c r="Q25" i="1"/>
  <c r="Q28" i="1" s="1"/>
  <c r="P25" i="1"/>
  <c r="P28" i="1" s="1"/>
  <c r="O25" i="1"/>
  <c r="O28" i="1" s="1"/>
  <c r="N25" i="1"/>
  <c r="N28" i="1" s="1"/>
  <c r="M25" i="1"/>
  <c r="L25" i="1"/>
  <c r="K25" i="1"/>
  <c r="J25" i="1"/>
  <c r="I25" i="1"/>
  <c r="I28" i="1" s="1"/>
  <c r="H25" i="1"/>
  <c r="H28" i="1" s="1"/>
  <c r="G25" i="1"/>
  <c r="G28" i="1" s="1"/>
  <c r="F25" i="1"/>
  <c r="F28" i="1" s="1"/>
  <c r="E25" i="1"/>
  <c r="E28" i="1" s="1"/>
  <c r="D25" i="1"/>
  <c r="D28" i="1" s="1"/>
  <c r="C25" i="1"/>
  <c r="C28" i="1" s="1"/>
  <c r="B25" i="1"/>
  <c r="B28" i="1" s="1"/>
  <c r="R24" i="1"/>
  <c r="Q24" i="1"/>
  <c r="P24" i="1"/>
  <c r="O24" i="1"/>
  <c r="O27" i="1" s="1"/>
  <c r="N24" i="1"/>
  <c r="N27" i="1" s="1"/>
  <c r="M24" i="1"/>
  <c r="M27" i="1" s="1"/>
  <c r="L24" i="1"/>
  <c r="L27" i="1" s="1"/>
  <c r="K24" i="1"/>
  <c r="K27" i="1" s="1"/>
  <c r="J24" i="1"/>
  <c r="J27" i="1" s="1"/>
  <c r="I24" i="1"/>
  <c r="I27" i="1" s="1"/>
  <c r="H24" i="1"/>
  <c r="H27" i="1" s="1"/>
  <c r="G24" i="1"/>
  <c r="G27" i="1" s="1"/>
  <c r="F24" i="1"/>
  <c r="E24" i="1"/>
  <c r="D24" i="1"/>
  <c r="C24" i="1"/>
  <c r="C27" i="1" s="1"/>
  <c r="B24" i="1"/>
  <c r="B27" i="1" s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R18" i="1"/>
  <c r="F18" i="1"/>
  <c r="R17" i="1"/>
  <c r="H17" i="1"/>
  <c r="H18" i="1" s="1"/>
  <c r="F17" i="1"/>
  <c r="R16" i="1"/>
  <c r="Q16" i="1"/>
  <c r="P16" i="1"/>
  <c r="O16" i="1"/>
  <c r="N16" i="1"/>
  <c r="M16" i="1"/>
  <c r="H16" i="1"/>
  <c r="G16" i="1"/>
  <c r="F16" i="1"/>
  <c r="E16" i="1"/>
  <c r="D16" i="1"/>
  <c r="C16" i="1"/>
  <c r="B16" i="1"/>
  <c r="R13" i="1"/>
  <c r="K13" i="1"/>
  <c r="J13" i="1"/>
  <c r="I13" i="1"/>
  <c r="H13" i="1"/>
  <c r="G13" i="1"/>
  <c r="F13" i="1"/>
  <c r="P12" i="1"/>
  <c r="O12" i="1"/>
  <c r="N12" i="1"/>
  <c r="M12" i="1"/>
  <c r="L12" i="1"/>
  <c r="K12" i="1"/>
  <c r="D12" i="1"/>
  <c r="C12" i="1"/>
  <c r="B12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R10" i="1" s="1"/>
  <c r="E10" i="1"/>
  <c r="D10" i="1"/>
  <c r="C10" i="1"/>
  <c r="B10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R7" i="1"/>
  <c r="Q7" i="1"/>
  <c r="Q13" i="1" s="1"/>
  <c r="P7" i="1"/>
  <c r="P13" i="1" s="1"/>
  <c r="O7" i="1"/>
  <c r="O13" i="1" s="1"/>
  <c r="N7" i="1"/>
  <c r="N13" i="1" s="1"/>
  <c r="M7" i="1"/>
  <c r="M13" i="1" s="1"/>
  <c r="L7" i="1"/>
  <c r="L13" i="1" s="1"/>
  <c r="K7" i="1"/>
  <c r="J7" i="1"/>
  <c r="I7" i="1"/>
  <c r="H7" i="1"/>
  <c r="G7" i="1"/>
  <c r="F7" i="1"/>
  <c r="E7" i="1"/>
  <c r="E13" i="1" s="1"/>
  <c r="D7" i="1"/>
  <c r="D13" i="1" s="1"/>
  <c r="C7" i="1"/>
  <c r="C13" i="1" s="1"/>
  <c r="B7" i="1"/>
  <c r="B13" i="1" s="1"/>
  <c r="R6" i="1"/>
  <c r="Q6" i="1"/>
  <c r="Q12" i="1" s="1"/>
  <c r="P6" i="1"/>
  <c r="O6" i="1"/>
  <c r="N6" i="1"/>
  <c r="M6" i="1"/>
  <c r="L6" i="1"/>
  <c r="K6" i="1"/>
  <c r="J6" i="1"/>
  <c r="J12" i="1" s="1"/>
  <c r="I6" i="1"/>
  <c r="I12" i="1" s="1"/>
  <c r="H6" i="1"/>
  <c r="H12" i="1" s="1"/>
  <c r="G6" i="1"/>
  <c r="G12" i="1" s="1"/>
  <c r="F6" i="1"/>
  <c r="F12" i="1" s="1"/>
  <c r="E6" i="1"/>
  <c r="E12" i="1" s="1"/>
  <c r="D6" i="1"/>
  <c r="C6" i="1"/>
  <c r="B6" i="1"/>
  <c r="Q4" i="1"/>
  <c r="Q33" i="1" s="1"/>
  <c r="Q35" i="1" s="1"/>
  <c r="P4" i="1"/>
  <c r="P33" i="1" s="1"/>
  <c r="P35" i="1" s="1"/>
  <c r="O4" i="1"/>
  <c r="O33" i="1" s="1"/>
  <c r="O35" i="1" s="1"/>
  <c r="N4" i="1"/>
  <c r="N33" i="1" s="1"/>
  <c r="N35" i="1" s="1"/>
  <c r="M4" i="1"/>
  <c r="M33" i="1" s="1"/>
  <c r="M35" i="1" s="1"/>
  <c r="L4" i="1"/>
  <c r="L34" i="1" s="1"/>
  <c r="K4" i="1"/>
  <c r="K34" i="1" s="1"/>
  <c r="J4" i="1"/>
  <c r="J34" i="1" s="1"/>
  <c r="I4" i="1"/>
  <c r="I34" i="1" s="1"/>
  <c r="H4" i="1"/>
  <c r="G4" i="1"/>
  <c r="G17" i="1" s="1"/>
  <c r="G18" i="1" s="1"/>
  <c r="F4" i="1"/>
  <c r="E4" i="1"/>
  <c r="E33" i="1" s="1"/>
  <c r="E35" i="1" s="1"/>
  <c r="D4" i="1"/>
  <c r="D33" i="1" s="1"/>
  <c r="D35" i="1" s="1"/>
  <c r="C4" i="1"/>
  <c r="C33" i="1" s="1"/>
  <c r="C35" i="1" s="1"/>
  <c r="B4" i="1"/>
  <c r="B33" i="1" s="1"/>
  <c r="B35" i="1" s="1"/>
  <c r="R12" i="1" l="1"/>
  <c r="I17" i="1"/>
  <c r="J17" i="1"/>
  <c r="R27" i="1" a="1"/>
  <c r="R27" i="1" s="1"/>
  <c r="K17" i="1"/>
  <c r="I33" i="1"/>
  <c r="I35" i="1" s="1"/>
  <c r="J33" i="1"/>
  <c r="J35" i="1" s="1"/>
  <c r="M17" i="1"/>
  <c r="M18" i="1" s="1"/>
  <c r="K33" i="1"/>
  <c r="K35" i="1" s="1"/>
  <c r="B17" i="1"/>
  <c r="B18" i="1" s="1"/>
  <c r="N17" i="1"/>
  <c r="N18" i="1" s="1"/>
  <c r="L33" i="1"/>
  <c r="L35" i="1" s="1"/>
  <c r="C17" i="1"/>
  <c r="C18" i="1" s="1"/>
  <c r="O17" i="1"/>
  <c r="O18" i="1" s="1"/>
  <c r="I16" i="1"/>
  <c r="I18" i="1" s="1"/>
  <c r="D17" i="1"/>
  <c r="D18" i="1" s="1"/>
  <c r="P17" i="1"/>
  <c r="P18" i="1" s="1"/>
  <c r="J16" i="1"/>
  <c r="J18" i="1" s="1"/>
  <c r="E17" i="1"/>
  <c r="E18" i="1" s="1"/>
  <c r="Q17" i="1"/>
  <c r="Q18" i="1" s="1"/>
  <c r="L17" i="1"/>
  <c r="K16" i="1"/>
  <c r="K18" i="1" s="1"/>
  <c r="L16" i="1"/>
  <c r="R33" i="1" l="1"/>
  <c r="R35" i="1" s="1"/>
  <c r="L18" i="1"/>
  <c r="A3" i="1" s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<sst xmlns="http://schemas.openxmlformats.org/spreadsheetml/2006/main" count="38" uniqueCount="38">
  <si>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2027 Production &amp; Deployment Plan — Summary for COO</t>
  </si>
  <si>
    <t>Bookings, deployments and production by month (base case). Dollars in $000s. Sep–Dec 26 = remaining 2026 (existing + forecast contracts); FY2027 = Jan–Dec 27.</t>
  </si>
  <si>
    <t>FY2027</t>
  </si>
  <si>
    <t>BOOKINGS</t>
  </si>
  <si>
    <t>New logos – deals booked (#)</t>
  </si>
  <si>
    <t>New logos – bookings ($000s)</t>
  </si>
  <si>
    <t>Expansion – deals booked (#)</t>
  </si>
  <si>
    <t>Expansion – bookings ($000s)</t>
  </si>
  <si>
    <t>Existing &amp; forecast contracts – booked (#)</t>
  </si>
  <si>
    <t>Existing &amp; forecast contracts – bookings ($000s)</t>
  </si>
  <si>
    <t>Total bookings (#)</t>
  </si>
  <si>
    <t>Total bookings ($000s)</t>
  </si>
  <si>
    <t>DEPLOYMENTS (deals going live)</t>
  </si>
  <si>
    <t>SlipLift deployments (#)</t>
  </si>
  <si>
    <t>SlipBot deployments (#)</t>
  </si>
  <si>
    <t>Total deployments (#)</t>
  </si>
  <si>
    <t>SlipLifts going live (units)</t>
  </si>
  <si>
    <t>SlipTrays going live (units)</t>
  </si>
  <si>
    <t>SlipBots going live (units)</t>
  </si>
  <si>
    <t>PRODUCTION (units to build, by production month)</t>
  </si>
  <si>
    <t>SlipLifts to build</t>
  </si>
  <si>
    <t>SlipTrays to build</t>
  </si>
  <si>
    <t>SlipBots to build</t>
  </si>
  <si>
    <t>SlipLifts – avg per week (units ÷ weeks in month)</t>
  </si>
  <si>
    <t>SlipTrays – avg per week (units ÷ weeks in month)</t>
  </si>
  <si>
    <t>Production CapEx ($000s)</t>
  </si>
  <si>
    <t>Deployment freight – expensed ($000s)</t>
  </si>
  <si>
    <t>OF WHICH (already included in the production lines above): builds in Nov/Dec-27 for Q1-28 go-lives from Q4-27 bookings</t>
  </si>
  <si>
    <t>SlipLifts built for 2028 go-lives</t>
  </si>
  <si>
    <t>SlipTrays built for 2028 go-lives</t>
  </si>
  <si>
    <t>CapEx for 2028 go-lives – estimate ($000s)</t>
  </si>
  <si>
    <t>OTHER CONTEXT</t>
  </si>
  <si>
    <t>CARR – end of period ($000s)</t>
  </si>
  <si>
    <t>Recognized revenue ($000s)</t>
  </si>
  <si>
    <t>Billings ($000s)</t>
  </si>
  <si>
    <t>Deferred revenue – end of period ($000s)</t>
  </si>
  <si>
    <t>KEY ASSUMPTIONS &amp; NOTES</t>
  </si>
  <si>
    <t xml:space="preserve">6. Production includes Nov/Dec-27 builds for Jan–Feb 28 go-lives from Q4-27 bookings (the 'of which' lines).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</si>
</sst>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&quot;$&quot;#,##0,;\(&quot;$&quot;#,##0,\);\-"/>
    <numFmt numFmtId="166" formatCode="#,##0.0;\(#,##0.0\);\-"/>
  </numFmts>
  <fonts count="13" x14ac:knownFonts="1">
    <font>
      <sz val="11"/>
      <color theme="1"/>
      <name val="Aptos Narrow"/>
      <family val="2"/>
      <charset val="1"/>
    </font>
    <font>
      <b/>
      <sz val="16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i/>
      <sz val="11"/>
      <color rgb="FF595959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0"/>
      <color rgb="FFC00000"/>
      <name val="Calibri"/>
      <family val="2"/>
      <charset val="1"/>
    </font>
    <font>
      <sz val="9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7F7F7F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17" fontId="5" fillId="2" borderId="0" xfId="0" applyNumberFormat="1" applyFont="1" applyFill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0" fontId="6" fillId="3" borderId="0" xfId="0" applyFont="1" applyFill="1"/>
    <xf numFmtId="0" fontId="7" fillId="3" borderId="0" xfId="0" applyFont="1" applyFill="1"/>
    <xf numFmtId="0" fontId="7" fillId="3" borderId="1" xfId="0" applyFont="1" applyFill="1" applyBorder="1"/>
    <xf numFmtId="0" fontId="8" fillId="0" borderId="0" xfId="0" applyFont="1" applyAlignment="1">
      <alignment indent="1"/>
    </xf>
    <xf numFmtId="164" fontId="2" fillId="0" borderId="0" xfId="0" applyNumberFormat="1" applyFont="1"/>
    <xf numFmtId="164" fontId="2" fillId="0" borderId="1" xfId="0" applyNumberFormat="1" applyFont="1" applyBorder="1"/>
    <xf numFmtId="164" fontId="2" fillId="4" borderId="0" xfId="0" applyNumberFormat="1" applyFont="1" applyFill="1"/>
    <xf numFmtId="165" fontId="2" fillId="0" borderId="0" xfId="0" applyNumberFormat="1" applyFont="1"/>
    <xf numFmtId="165" fontId="2" fillId="0" borderId="1" xfId="0" applyNumberFormat="1" applyFont="1" applyBorder="1"/>
    <xf numFmtId="165" fontId="2" fillId="4" borderId="0" xfId="0" applyNumberFormat="1" applyFont="1" applyFill="1"/>
    <xf numFmtId="0" fontId="6" fillId="0" borderId="2" xfId="0" applyFont="1" applyBorder="1"/>
    <xf numFmtId="164" fontId="7" fillId="0" borderId="2" xfId="0" applyNumberFormat="1" applyFont="1" applyBorder="1"/>
    <xf numFmtId="164" fontId="7" fillId="0" borderId="3" xfId="0" applyNumberFormat="1" applyFont="1" applyBorder="1"/>
    <xf numFmtId="164" fontId="7" fillId="4" borderId="2" xfId="0" applyNumberFormat="1" applyFont="1" applyFill="1" applyBorder="1"/>
    <xf numFmtId="0" fontId="6" fillId="0" borderId="4" xfId="0" applyFont="1" applyBorder="1"/>
    <xf numFmtId="165" fontId="7" fillId="0" borderId="4" xfId="0" applyNumberFormat="1" applyFont="1" applyBorder="1"/>
    <xf numFmtId="165" fontId="7" fillId="0" borderId="5" xfId="0" applyNumberFormat="1" applyFont="1" applyBorder="1"/>
    <xf numFmtId="165" fontId="7" fillId="4" borderId="4" xfId="0" applyNumberFormat="1" applyFont="1" applyFill="1" applyBorder="1"/>
    <xf numFmtId="0" fontId="8" fillId="0" borderId="0" xfId="0" applyFont="1"/>
    <xf numFmtId="0" fontId="2" fillId="0" borderId="1" xfId="0" applyFont="1" applyBorder="1"/>
    <xf numFmtId="0" fontId="2" fillId="4" borderId="0" xfId="0" applyFont="1" applyFill="1"/>
    <xf numFmtId="0" fontId="6" fillId="5" borderId="0" xfId="0" applyFont="1" applyFill="1"/>
    <xf numFmtId="0" fontId="7" fillId="5" borderId="0" xfId="0" applyFont="1" applyFill="1"/>
    <xf numFmtId="0" fontId="7" fillId="5" borderId="1" xfId="0" applyFont="1" applyFill="1" applyBorder="1"/>
    <xf numFmtId="0" fontId="6" fillId="6" borderId="0" xfId="0" applyFont="1" applyFill="1"/>
    <xf numFmtId="0" fontId="7" fillId="6" borderId="0" xfId="0" applyFont="1" applyFill="1"/>
    <xf numFmtId="0" fontId="7" fillId="6" borderId="1" xfId="0" applyFont="1" applyFill="1" applyBorder="1"/>
    <xf numFmtId="0" fontId="9" fillId="0" borderId="0" xfId="0" applyFont="1" applyAlignment="1">
      <alignment indent="1"/>
    </xf>
    <xf numFmtId="166" fontId="10" fillId="0" borderId="0" xfId="0" applyNumberFormat="1" applyFont="1"/>
    <xf numFmtId="166" fontId="10" fillId="0" borderId="1" xfId="0" applyNumberFormat="1" applyFont="1" applyBorder="1"/>
    <xf numFmtId="166" fontId="10" fillId="4" borderId="0" xfId="0" applyNumberFormat="1" applyFont="1" applyFill="1"/>
    <xf numFmtId="0" fontId="8" fillId="0" borderId="2" xfId="0" applyFont="1" applyBorder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2" fillId="4" borderId="2" xfId="0" applyNumberFormat="1" applyFont="1" applyFill="1" applyBorder="1"/>
    <xf numFmtId="0" fontId="11" fillId="7" borderId="0" xfId="0" applyFont="1" applyFill="1"/>
    <xf numFmtId="0" fontId="7" fillId="7" borderId="0" xfId="0" applyFont="1" applyFill="1"/>
    <xf numFmtId="0" fontId="7" fillId="7" borderId="1" xfId="0" applyFont="1" applyFill="1" applyBorder="1"/>
    <xf numFmtId="164" fontId="10" fillId="0" borderId="0" xfId="0" applyNumberFormat="1" applyFont="1"/>
    <xf numFmtId="164" fontId="10" fillId="0" borderId="1" xfId="0" applyNumberFormat="1" applyFont="1" applyBorder="1"/>
    <xf numFmtId="164" fontId="10" fillId="4" borderId="0" xfId="0" applyNumberFormat="1" applyFont="1" applyFill="1"/>
    <xf numFmtId="0" fontId="9" fillId="0" borderId="0" xfId="0" applyFont="1"/>
    <xf numFmtId="165" fontId="10" fillId="0" borderId="0" xfId="0" applyNumberFormat="1" applyFont="1"/>
    <xf numFmtId="165" fontId="10" fillId="0" borderId="1" xfId="0" applyNumberFormat="1" applyFont="1" applyBorder="1"/>
    <xf numFmtId="165" fontId="10" fillId="4" borderId="0" xfId="0" applyNumberFormat="1" applyFont="1" applyFill="1"/>
    <xf numFmtId="0" fontId="6" fillId="8" borderId="0" xfId="0" applyFont="1" applyFill="1"/>
    <xf numFmtId="0" fontId="7" fillId="8" borderId="0" xfId="0" applyFont="1" applyFill="1"/>
    <xf numFmtId="0" fontId="7" fillId="8" borderId="1" xfId="0" applyFont="1" applyFill="1" applyBorder="1"/>
    <xf numFmtId="0" fontId="8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SLIP%20Folders\Budget\2027\Sales%20Build\Working%202027%20Sales%20Build%20AAT%20092326.xlsx" TargetMode="External"/><Relationship Id="rId1" Type="http://schemas.openxmlformats.org/officeDocument/2006/relationships/externalLinkPath" Target="Working%202027%20Sales%20Build%20AAT%20092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Roll-up"/>
      <sheetName val="2026 Exist New"/>
      <sheetName val="New Sales"/>
      <sheetName val="Expansion"/>
      <sheetName val="Sheet2"/>
      <sheetName val="Sensitivity"/>
      <sheetName val="Deal Economics"/>
      <sheetName val="Rev Bridge"/>
      <sheetName val="Policies &amp; Open Items"/>
      <sheetName val="Model Check"/>
      <sheetName val="COO--&gt;"/>
      <sheetName val="DeploySum"/>
      <sheetName val="Deploy"/>
      <sheetName val="Deploy Detail"/>
      <sheetName val="Exist CARR ARR"/>
      <sheetName val="Alex tabs --&gt;"/>
      <sheetName val="Board Summary"/>
      <sheetName val="Solutions"/>
      <sheetName val="Account Management"/>
      <sheetName val="Marketing"/>
      <sheetName val="Product"/>
      <sheetName val="Claude Log"/>
    </sheetNames>
    <sheetDataSet>
      <sheetData sheetId="0">
        <row r="17">
          <cell r="D17">
            <v>46295</v>
          </cell>
          <cell r="E17">
            <v>46326</v>
          </cell>
          <cell r="F17">
            <v>46356</v>
          </cell>
          <cell r="G17">
            <v>46387</v>
          </cell>
          <cell r="H17">
            <v>46418</v>
          </cell>
          <cell r="I17">
            <v>46446</v>
          </cell>
          <cell r="J17">
            <v>46477</v>
          </cell>
          <cell r="K17">
            <v>46507</v>
          </cell>
          <cell r="L17">
            <v>46538</v>
          </cell>
          <cell r="M17">
            <v>46568</v>
          </cell>
          <cell r="N17">
            <v>46599</v>
          </cell>
          <cell r="O17">
            <v>46630</v>
          </cell>
          <cell r="P17">
            <v>46660</v>
          </cell>
          <cell r="Q17">
            <v>46691</v>
          </cell>
          <cell r="R17">
            <v>46721</v>
          </cell>
          <cell r="S17">
            <v>46752</v>
          </cell>
        </row>
        <row r="24">
          <cell r="D24">
            <v>7941700</v>
          </cell>
          <cell r="E24">
            <v>7941700</v>
          </cell>
          <cell r="F24">
            <v>9573700</v>
          </cell>
          <cell r="G24">
            <v>10205700</v>
          </cell>
          <cell r="H24">
            <v>11238747.5</v>
          </cell>
          <cell r="I24">
            <v>12271795</v>
          </cell>
          <cell r="J24">
            <v>13620842.5</v>
          </cell>
          <cell r="K24">
            <v>14969890</v>
          </cell>
          <cell r="L24">
            <v>16701297.5</v>
          </cell>
          <cell r="M24">
            <v>18815065</v>
          </cell>
          <cell r="N24">
            <v>21017312.5</v>
          </cell>
          <cell r="O24">
            <v>23574744</v>
          </cell>
          <cell r="P24">
            <v>26509479.5</v>
          </cell>
          <cell r="Q24">
            <v>29827207</v>
          </cell>
          <cell r="R24">
            <v>33527926.5</v>
          </cell>
          <cell r="S24">
            <v>37617326</v>
          </cell>
        </row>
        <row r="38">
          <cell r="D38">
            <v>570291.5</v>
          </cell>
          <cell r="E38">
            <v>632828</v>
          </cell>
          <cell r="F38">
            <v>662103.00000000012</v>
          </cell>
          <cell r="G38">
            <v>662103.00000000012</v>
          </cell>
          <cell r="H38">
            <v>783428.41666666686</v>
          </cell>
          <cell r="I38">
            <v>821920.50000000035</v>
          </cell>
          <cell r="J38">
            <v>807745.91666666698</v>
          </cell>
          <cell r="K38">
            <v>907121.87500000035</v>
          </cell>
          <cell r="L38">
            <v>997375.83333333384</v>
          </cell>
          <cell r="M38">
            <v>1116046.4583333337</v>
          </cell>
          <cell r="N38">
            <v>1231592.0833333337</v>
          </cell>
          <cell r="O38">
            <v>1379626.041666667</v>
          </cell>
          <cell r="P38">
            <v>1561856.666666667</v>
          </cell>
          <cell r="Q38">
            <v>1751627.291666667</v>
          </cell>
          <cell r="R38">
            <v>1975163.2500000002</v>
          </cell>
          <cell r="S38">
            <v>2230141.2083333335</v>
          </cell>
          <cell r="U38">
            <v>15563645.54166667</v>
          </cell>
        </row>
        <row r="40">
          <cell r="D40">
            <v>421637</v>
          </cell>
          <cell r="E40">
            <v>753940.50000000012</v>
          </cell>
          <cell r="F40">
            <v>1076240.4999999998</v>
          </cell>
          <cell r="G40">
            <v>274101.5</v>
          </cell>
          <cell r="H40">
            <v>1898996.5</v>
          </cell>
          <cell r="I40">
            <v>1108006.5</v>
          </cell>
          <cell r="J40">
            <v>713306.50000000012</v>
          </cell>
          <cell r="K40">
            <v>1810671</v>
          </cell>
          <cell r="L40">
            <v>1916271</v>
          </cell>
          <cell r="M40">
            <v>2148309</v>
          </cell>
          <cell r="N40">
            <v>1857761</v>
          </cell>
          <cell r="O40">
            <v>2534631</v>
          </cell>
          <cell r="P40">
            <v>2595313</v>
          </cell>
          <cell r="Q40">
            <v>3040310</v>
          </cell>
          <cell r="R40">
            <v>3767794</v>
          </cell>
          <cell r="S40">
            <v>3342959</v>
          </cell>
          <cell r="U40">
            <v>26734328.5</v>
          </cell>
        </row>
        <row r="45">
          <cell r="D45">
            <v>1877250.6666666665</v>
          </cell>
          <cell r="E45">
            <v>1998363.166666667</v>
          </cell>
          <cell r="F45">
            <v>2412500.6666666665</v>
          </cell>
          <cell r="G45">
            <v>2024499.1666666665</v>
          </cell>
          <cell r="H45">
            <v>3140067.25</v>
          </cell>
          <cell r="I45">
            <v>3426153.25</v>
          </cell>
          <cell r="J45">
            <v>3331713.833333334</v>
          </cell>
          <cell r="K45">
            <v>4235262.958333334</v>
          </cell>
          <cell r="L45">
            <v>5154158.125</v>
          </cell>
          <cell r="M45">
            <v>6186420.666666667</v>
          </cell>
          <cell r="N45">
            <v>6812589.583333334</v>
          </cell>
          <cell r="O45">
            <v>7967594.541666666</v>
          </cell>
          <cell r="P45">
            <v>9001050.875</v>
          </cell>
          <cell r="Q45">
            <v>10289733.583333334</v>
          </cell>
          <cell r="R45">
            <v>12082364.333333332</v>
          </cell>
          <cell r="S45">
            <v>13195182.125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948000</v>
          </cell>
          <cell r="I50">
            <v>948000</v>
          </cell>
          <cell r="J50">
            <v>1264000</v>
          </cell>
          <cell r="K50">
            <v>1264000</v>
          </cell>
          <cell r="L50">
            <v>1580000</v>
          </cell>
          <cell r="M50">
            <v>1896000</v>
          </cell>
          <cell r="N50">
            <v>1896000</v>
          </cell>
          <cell r="O50">
            <v>2212000</v>
          </cell>
          <cell r="P50">
            <v>2528000</v>
          </cell>
          <cell r="Q50">
            <v>2844000</v>
          </cell>
          <cell r="R50">
            <v>3160000</v>
          </cell>
          <cell r="S50">
            <v>3476000</v>
          </cell>
          <cell r="U50">
            <v>24016000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3</v>
          </cell>
          <cell r="I51">
            <v>3</v>
          </cell>
          <cell r="J51">
            <v>4</v>
          </cell>
          <cell r="K51">
            <v>4</v>
          </cell>
          <cell r="L51">
            <v>5</v>
          </cell>
          <cell r="M51">
            <v>6</v>
          </cell>
          <cell r="N51">
            <v>6</v>
          </cell>
          <cell r="O51">
            <v>7</v>
          </cell>
          <cell r="P51">
            <v>8</v>
          </cell>
          <cell r="Q51">
            <v>9</v>
          </cell>
          <cell r="R51">
            <v>10</v>
          </cell>
          <cell r="S51">
            <v>11</v>
          </cell>
          <cell r="U51">
            <v>76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255142.5</v>
          </cell>
          <cell r="I64">
            <v>255142.5</v>
          </cell>
          <cell r="J64">
            <v>255142.5</v>
          </cell>
          <cell r="K64">
            <v>255142.5</v>
          </cell>
          <cell r="L64">
            <v>321502.5</v>
          </cell>
          <cell r="M64">
            <v>387862.5</v>
          </cell>
          <cell r="N64">
            <v>476342.5</v>
          </cell>
          <cell r="O64">
            <v>515526.5</v>
          </cell>
          <cell r="P64">
            <v>576830.5</v>
          </cell>
          <cell r="Q64">
            <v>643822.5</v>
          </cell>
          <cell r="R64">
            <v>710814.5</v>
          </cell>
          <cell r="S64">
            <v>783494.5</v>
          </cell>
          <cell r="U64">
            <v>5436766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1</v>
          </cell>
          <cell r="J65">
            <v>2</v>
          </cell>
          <cell r="K65">
            <v>1</v>
          </cell>
          <cell r="L65">
            <v>1</v>
          </cell>
          <cell r="M65">
            <v>2</v>
          </cell>
          <cell r="N65">
            <v>2</v>
          </cell>
          <cell r="O65">
            <v>3</v>
          </cell>
          <cell r="P65">
            <v>2</v>
          </cell>
          <cell r="Q65">
            <v>3</v>
          </cell>
          <cell r="R65">
            <v>4</v>
          </cell>
          <cell r="S65">
            <v>3</v>
          </cell>
          <cell r="U65">
            <v>25</v>
          </cell>
        </row>
      </sheetData>
      <sheetData sheetId="1">
        <row r="9">
          <cell r="D9" t="str">
            <v>New logo (signed 2026)</v>
          </cell>
          <cell r="E9" t="str">
            <v>SlipLift</v>
          </cell>
          <cell r="I9">
            <v>46347</v>
          </cell>
          <cell r="P9">
            <v>313800</v>
          </cell>
          <cell r="U9" t="str">
            <v>Yes</v>
          </cell>
        </row>
        <row r="10">
          <cell r="D10" t="str">
            <v>Existing – active</v>
          </cell>
          <cell r="E10" t="str">
            <v>SlipLift</v>
          </cell>
          <cell r="I10">
            <v>46266</v>
          </cell>
          <cell r="P10">
            <v>589932</v>
          </cell>
        </row>
        <row r="11">
          <cell r="D11" t="str">
            <v>Existing – ending (converted)</v>
          </cell>
          <cell r="E11" t="str">
            <v>SlipBot</v>
          </cell>
          <cell r="I11">
            <v>45905</v>
          </cell>
          <cell r="P11">
            <v>425000</v>
          </cell>
        </row>
        <row r="12">
          <cell r="D12" t="str">
            <v>Conversion / upsell</v>
          </cell>
          <cell r="E12" t="str">
            <v>SlipLift</v>
          </cell>
          <cell r="I12">
            <v>46341</v>
          </cell>
          <cell r="P12">
            <v>462500</v>
          </cell>
          <cell r="U12" t="str">
            <v>Yes</v>
          </cell>
        </row>
        <row r="13">
          <cell r="D13" t="str">
            <v>Existing – active</v>
          </cell>
          <cell r="E13" t="str">
            <v>SlipBot</v>
          </cell>
          <cell r="I13">
            <v>46235</v>
          </cell>
          <cell r="P13">
            <v>229000</v>
          </cell>
        </row>
        <row r="14">
          <cell r="D14" t="str">
            <v>Existing – ending (converted)</v>
          </cell>
          <cell r="E14" t="str">
            <v>SlipBot</v>
          </cell>
          <cell r="I14">
            <v>45931</v>
          </cell>
          <cell r="P14">
            <v>342000</v>
          </cell>
        </row>
        <row r="15">
          <cell r="D15" t="str">
            <v>Conversion / upsell</v>
          </cell>
          <cell r="E15" t="str">
            <v>SlipLift</v>
          </cell>
          <cell r="I15">
            <v>46296</v>
          </cell>
          <cell r="P15">
            <v>504000</v>
          </cell>
          <cell r="U15" t="str">
            <v>Yes</v>
          </cell>
        </row>
        <row r="16">
          <cell r="D16" t="str">
            <v>Existing – active</v>
          </cell>
          <cell r="E16" t="str">
            <v>SlipBot</v>
          </cell>
          <cell r="I16">
            <v>46035</v>
          </cell>
          <cell r="P16">
            <v>46500</v>
          </cell>
        </row>
        <row r="17">
          <cell r="D17" t="str">
            <v>Existing – active</v>
          </cell>
          <cell r="E17" t="str">
            <v>SlipBot</v>
          </cell>
          <cell r="I17">
            <v>45962</v>
          </cell>
          <cell r="P17">
            <v>75000</v>
          </cell>
        </row>
        <row r="18">
          <cell r="D18" t="str">
            <v>Existing – active</v>
          </cell>
          <cell r="E18" t="str">
            <v>SlipLift</v>
          </cell>
          <cell r="I18">
            <v>46139</v>
          </cell>
          <cell r="P18">
            <v>224400</v>
          </cell>
        </row>
        <row r="19">
          <cell r="D19" t="str">
            <v>New site (2nd location)</v>
          </cell>
          <cell r="E19" t="str">
            <v>SlipLift</v>
          </cell>
          <cell r="I19">
            <v>46235</v>
          </cell>
          <cell r="P19">
            <v>216000</v>
          </cell>
        </row>
        <row r="20">
          <cell r="D20" t="str">
            <v>Existing – active</v>
          </cell>
          <cell r="E20" t="str">
            <v>SlipBot</v>
          </cell>
          <cell r="I20">
            <v>46091</v>
          </cell>
          <cell r="P20">
            <v>609300</v>
          </cell>
        </row>
        <row r="21">
          <cell r="D21" t="str">
            <v>Existing – active</v>
          </cell>
          <cell r="E21" t="str">
            <v>SlipBot</v>
          </cell>
          <cell r="I21">
            <v>46189</v>
          </cell>
          <cell r="P21">
            <v>132000</v>
          </cell>
        </row>
        <row r="22">
          <cell r="D22" t="str">
            <v>Existing – active</v>
          </cell>
          <cell r="E22" t="str">
            <v>SlipBot</v>
          </cell>
          <cell r="I22">
            <v>46063</v>
          </cell>
          <cell r="P22">
            <v>372000</v>
          </cell>
        </row>
        <row r="23">
          <cell r="D23" t="str">
            <v>Existing – active</v>
          </cell>
          <cell r="E23" t="str">
            <v>SlipBot</v>
          </cell>
          <cell r="I23">
            <v>46249</v>
          </cell>
          <cell r="P23">
            <v>1633500</v>
          </cell>
        </row>
        <row r="24">
          <cell r="D24" t="str">
            <v>Existing – ending (bridged)</v>
          </cell>
          <cell r="E24" t="str">
            <v>SlipBot</v>
          </cell>
          <cell r="I24">
            <v>45931</v>
          </cell>
          <cell r="P24">
            <v>435848</v>
          </cell>
        </row>
        <row r="25">
          <cell r="D25" t="str">
            <v>Short-term extension (6 mo)</v>
          </cell>
          <cell r="E25" t="str">
            <v>SlipBot</v>
          </cell>
          <cell r="I25">
            <v>46296</v>
          </cell>
          <cell r="P25">
            <v>435848</v>
          </cell>
        </row>
        <row r="26">
          <cell r="D26" t="str">
            <v>Temporary expansion (6 mo)</v>
          </cell>
          <cell r="E26" t="str">
            <v>SlipBot</v>
          </cell>
          <cell r="I26">
            <v>46296</v>
          </cell>
          <cell r="P26">
            <v>314688</v>
          </cell>
          <cell r="U26" t="str">
            <v>No</v>
          </cell>
        </row>
        <row r="27">
          <cell r="D27" t="str">
            <v>Conversion / upsell</v>
          </cell>
          <cell r="E27" t="str">
            <v>SlipLift</v>
          </cell>
          <cell r="I27">
            <v>46478</v>
          </cell>
          <cell r="P27">
            <v>860000</v>
          </cell>
          <cell r="U27" t="str">
            <v>Yes</v>
          </cell>
        </row>
        <row r="28">
          <cell r="D28" t="str">
            <v>Existing – active</v>
          </cell>
          <cell r="E28" t="str">
            <v>SlipLift</v>
          </cell>
          <cell r="I28">
            <v>46227</v>
          </cell>
          <cell r="P28">
            <v>325980</v>
          </cell>
        </row>
        <row r="29">
          <cell r="D29" t="str">
            <v>Existing – active</v>
          </cell>
          <cell r="E29" t="str">
            <v>SlipBot</v>
          </cell>
          <cell r="I29">
            <v>46113</v>
          </cell>
          <cell r="P29">
            <v>220000</v>
          </cell>
        </row>
        <row r="30">
          <cell r="D30" t="str">
            <v>Existing – active</v>
          </cell>
          <cell r="E30" t="str">
            <v>SlipLift</v>
          </cell>
          <cell r="I30">
            <v>46197</v>
          </cell>
          <cell r="P30">
            <v>309038</v>
          </cell>
        </row>
        <row r="31">
          <cell r="D31" t="str">
            <v>New logo (signed 2026)</v>
          </cell>
          <cell r="E31" t="str">
            <v>SlipLift</v>
          </cell>
          <cell r="I31">
            <v>46314</v>
          </cell>
          <cell r="P31">
            <v>268750</v>
          </cell>
          <cell r="U31" t="str">
            <v>Yes</v>
          </cell>
        </row>
        <row r="32">
          <cell r="D32" t="str">
            <v>Churned</v>
          </cell>
          <cell r="E32" t="str">
            <v>SlipBot</v>
          </cell>
          <cell r="I32">
            <v>45901</v>
          </cell>
          <cell r="P32">
            <v>0</v>
          </cell>
        </row>
        <row r="33">
          <cell r="D33" t="str">
            <v>Churned</v>
          </cell>
          <cell r="E33" t="str">
            <v>SlipBot</v>
          </cell>
          <cell r="I33">
            <v>45901</v>
          </cell>
          <cell r="P33">
            <v>0</v>
          </cell>
        </row>
        <row r="34">
          <cell r="D34" t="str">
            <v>Churned</v>
          </cell>
          <cell r="E34" t="str">
            <v>SlipLift</v>
          </cell>
          <cell r="I34">
            <v>46076</v>
          </cell>
          <cell r="P34">
            <v>0</v>
          </cell>
        </row>
        <row r="35">
          <cell r="D35" t="str">
            <v>Existing – active</v>
          </cell>
          <cell r="E35" t="str">
            <v>Slipbot</v>
          </cell>
          <cell r="I35">
            <v>46162</v>
          </cell>
          <cell r="P35">
            <v>550000</v>
          </cell>
        </row>
        <row r="36">
          <cell r="D36" t="str">
            <v>Forecast (unsigned)</v>
          </cell>
          <cell r="E36" t="str">
            <v>SlipLift</v>
          </cell>
          <cell r="I36">
            <v>46388</v>
          </cell>
          <cell r="P36">
            <v>1000000</v>
          </cell>
          <cell r="U36" t="str">
            <v>Yes</v>
          </cell>
        </row>
        <row r="37">
          <cell r="D37" t="str">
            <v>Forecast (unsigned)</v>
          </cell>
          <cell r="E37" t="str">
            <v>SlipLift</v>
          </cell>
          <cell r="I37">
            <v>46388</v>
          </cell>
          <cell r="P37">
            <v>316000</v>
          </cell>
          <cell r="U37" t="str">
            <v>Yes</v>
          </cell>
        </row>
        <row r="38">
          <cell r="D38" t="str">
            <v>Forecast (unsigned)</v>
          </cell>
          <cell r="E38" t="str">
            <v>SlipLift</v>
          </cell>
          <cell r="I38">
            <v>46388</v>
          </cell>
          <cell r="P38">
            <v>316000</v>
          </cell>
          <cell r="U38" t="str">
            <v>Yes</v>
          </cell>
        </row>
        <row r="39">
          <cell r="D39" t="str">
            <v>Forecast (unsigned)</v>
          </cell>
          <cell r="E39" t="str">
            <v>SlipLift</v>
          </cell>
          <cell r="I39">
            <v>46419</v>
          </cell>
          <cell r="P39">
            <v>316000</v>
          </cell>
          <cell r="U39" t="str">
            <v>Yes</v>
          </cell>
        </row>
        <row r="40">
          <cell r="D40" t="str">
            <v>Forecast (unsigned)</v>
          </cell>
          <cell r="E40" t="str">
            <v>SlipLift</v>
          </cell>
          <cell r="I40">
            <v>46419</v>
          </cell>
          <cell r="P40">
            <v>316000</v>
          </cell>
          <cell r="U40" t="str">
            <v>Yes</v>
          </cell>
        </row>
      </sheetData>
      <sheetData sheetId="2">
        <row r="8">
          <cell r="B8">
            <v>316000</v>
          </cell>
        </row>
      </sheetData>
      <sheetData sheetId="3">
        <row r="11">
          <cell r="B11">
            <v>215000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>
            <v>36000</v>
          </cell>
        </row>
        <row r="7">
          <cell r="B7">
            <v>65000</v>
          </cell>
        </row>
        <row r="8">
          <cell r="B8">
            <v>8000</v>
          </cell>
        </row>
        <row r="14">
          <cell r="B14">
            <v>4137.5</v>
          </cell>
        </row>
        <row r="15">
          <cell r="B15">
            <v>5000</v>
          </cell>
        </row>
        <row r="16">
          <cell r="B16">
            <v>2</v>
          </cell>
        </row>
        <row r="17">
          <cell r="B17" t="str">
            <v>Y</v>
          </cell>
        </row>
        <row r="18">
          <cell r="B18">
            <v>4</v>
          </cell>
        </row>
        <row r="19">
          <cell r="B19">
            <v>12</v>
          </cell>
        </row>
        <row r="20">
          <cell r="B20">
            <v>2</v>
          </cell>
        </row>
        <row r="21">
          <cell r="B21">
            <v>25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3</v>
          </cell>
          <cell r="L36">
            <v>3</v>
          </cell>
          <cell r="M36">
            <v>4</v>
          </cell>
          <cell r="N36">
            <v>4</v>
          </cell>
          <cell r="O36">
            <v>5</v>
          </cell>
          <cell r="P36">
            <v>6</v>
          </cell>
          <cell r="Q36">
            <v>6</v>
          </cell>
          <cell r="R36">
            <v>7</v>
          </cell>
          <cell r="S36">
            <v>8</v>
          </cell>
          <cell r="U36">
            <v>46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</v>
          </cell>
          <cell r="L41">
            <v>1</v>
          </cell>
          <cell r="M41">
            <v>2</v>
          </cell>
          <cell r="N41">
            <v>1</v>
          </cell>
          <cell r="O41">
            <v>1</v>
          </cell>
          <cell r="P41">
            <v>2</v>
          </cell>
          <cell r="Q41">
            <v>2</v>
          </cell>
          <cell r="R41">
            <v>3</v>
          </cell>
          <cell r="S41">
            <v>2</v>
          </cell>
          <cell r="U41">
            <v>15</v>
          </cell>
        </row>
        <row r="47">
          <cell r="D47">
            <v>0</v>
          </cell>
          <cell r="E47">
            <v>9</v>
          </cell>
          <cell r="F47">
            <v>9</v>
          </cell>
          <cell r="G47">
            <v>0</v>
          </cell>
          <cell r="H47">
            <v>20</v>
          </cell>
          <cell r="I47">
            <v>8</v>
          </cell>
          <cell r="J47">
            <v>0</v>
          </cell>
          <cell r="K47">
            <v>22</v>
          </cell>
          <cell r="L47">
            <v>14</v>
          </cell>
          <cell r="M47">
            <v>20</v>
          </cell>
          <cell r="N47">
            <v>18</v>
          </cell>
          <cell r="O47">
            <v>22</v>
          </cell>
          <cell r="P47">
            <v>28</v>
          </cell>
          <cell r="Q47">
            <v>28</v>
          </cell>
          <cell r="R47">
            <v>34</v>
          </cell>
          <cell r="S47">
            <v>36</v>
          </cell>
          <cell r="U47">
            <v>250</v>
          </cell>
        </row>
        <row r="48">
          <cell r="D48">
            <v>0</v>
          </cell>
          <cell r="E48">
            <v>35</v>
          </cell>
          <cell r="F48">
            <v>32</v>
          </cell>
          <cell r="G48">
            <v>0</v>
          </cell>
          <cell r="H48">
            <v>60</v>
          </cell>
          <cell r="I48">
            <v>24</v>
          </cell>
          <cell r="J48">
            <v>0</v>
          </cell>
          <cell r="K48">
            <v>86</v>
          </cell>
          <cell r="L48">
            <v>61</v>
          </cell>
          <cell r="M48">
            <v>98</v>
          </cell>
          <cell r="N48">
            <v>73</v>
          </cell>
          <cell r="O48">
            <v>85</v>
          </cell>
          <cell r="P48">
            <v>122</v>
          </cell>
          <cell r="Q48">
            <v>122</v>
          </cell>
          <cell r="R48">
            <v>159</v>
          </cell>
          <cell r="S48">
            <v>146</v>
          </cell>
          <cell r="U48">
            <v>1036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</row>
        <row r="53">
          <cell r="D53">
            <v>9</v>
          </cell>
          <cell r="E53">
            <v>0</v>
          </cell>
          <cell r="F53">
            <v>20</v>
          </cell>
          <cell r="G53">
            <v>8</v>
          </cell>
          <cell r="H53">
            <v>0</v>
          </cell>
          <cell r="I53">
            <v>22</v>
          </cell>
          <cell r="J53">
            <v>14</v>
          </cell>
          <cell r="K53">
            <v>20</v>
          </cell>
          <cell r="L53">
            <v>18</v>
          </cell>
          <cell r="M53">
            <v>22</v>
          </cell>
          <cell r="N53">
            <v>28</v>
          </cell>
          <cell r="O53">
            <v>28</v>
          </cell>
          <cell r="P53">
            <v>34</v>
          </cell>
          <cell r="Q53">
            <v>36</v>
          </cell>
          <cell r="R53">
            <v>42</v>
          </cell>
          <cell r="S53">
            <v>48</v>
          </cell>
          <cell r="U53">
            <v>312</v>
          </cell>
        </row>
        <row r="54">
          <cell r="D54">
            <v>32</v>
          </cell>
          <cell r="E54">
            <v>0</v>
          </cell>
          <cell r="F54">
            <v>60</v>
          </cell>
          <cell r="G54">
            <v>24</v>
          </cell>
          <cell r="H54">
            <v>0</v>
          </cell>
          <cell r="I54">
            <v>86</v>
          </cell>
          <cell r="J54">
            <v>61</v>
          </cell>
          <cell r="K54">
            <v>98</v>
          </cell>
          <cell r="L54">
            <v>73</v>
          </cell>
          <cell r="M54">
            <v>85</v>
          </cell>
          <cell r="N54">
            <v>122</v>
          </cell>
          <cell r="O54">
            <v>122</v>
          </cell>
          <cell r="P54">
            <v>159</v>
          </cell>
          <cell r="Q54">
            <v>146</v>
          </cell>
          <cell r="R54">
            <v>183</v>
          </cell>
          <cell r="S54">
            <v>220</v>
          </cell>
          <cell r="U54">
            <v>1355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</row>
        <row r="68">
          <cell r="D68">
            <v>878237.5</v>
          </cell>
          <cell r="E68">
            <v>0</v>
          </cell>
          <cell r="F68">
            <v>1862750</v>
          </cell>
          <cell r="G68">
            <v>745100</v>
          </cell>
          <cell r="H68">
            <v>0</v>
          </cell>
          <cell r="I68">
            <v>2209025</v>
          </cell>
          <cell r="J68">
            <v>1455925</v>
          </cell>
          <cell r="K68">
            <v>2166750</v>
          </cell>
          <cell r="L68">
            <v>1828475</v>
          </cell>
          <cell r="M68">
            <v>2201025</v>
          </cell>
          <cell r="N68">
            <v>2911850</v>
          </cell>
          <cell r="O68">
            <v>2911850</v>
          </cell>
          <cell r="P68">
            <v>3622675</v>
          </cell>
          <cell r="Q68">
            <v>3656950</v>
          </cell>
          <cell r="R68">
            <v>4367775</v>
          </cell>
          <cell r="S68">
            <v>5078600</v>
          </cell>
          <cell r="U68">
            <v>32410900</v>
          </cell>
        </row>
        <row r="69">
          <cell r="D69">
            <v>0</v>
          </cell>
          <cell r="E69">
            <v>10000</v>
          </cell>
          <cell r="F69">
            <v>10000</v>
          </cell>
          <cell r="G69">
            <v>0</v>
          </cell>
          <cell r="H69">
            <v>15000</v>
          </cell>
          <cell r="I69">
            <v>10000</v>
          </cell>
          <cell r="J69">
            <v>0</v>
          </cell>
          <cell r="K69">
            <v>25000</v>
          </cell>
          <cell r="L69">
            <v>20000</v>
          </cell>
          <cell r="M69">
            <v>30000</v>
          </cell>
          <cell r="N69">
            <v>25000</v>
          </cell>
          <cell r="O69">
            <v>30000</v>
          </cell>
          <cell r="P69">
            <v>40000</v>
          </cell>
          <cell r="Q69">
            <v>40000</v>
          </cell>
          <cell r="R69">
            <v>50000</v>
          </cell>
          <cell r="S69">
            <v>50000</v>
          </cell>
          <cell r="U69">
            <v>335000</v>
          </cell>
        </row>
      </sheetData>
      <sheetData sheetId="13">
        <row r="8">
          <cell r="B8">
            <v>3</v>
          </cell>
        </row>
        <row r="13">
          <cell r="B13">
            <v>46752</v>
          </cell>
        </row>
        <row r="21">
          <cell r="K21">
            <v>313800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K24">
            <v>462500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K27">
            <v>504000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K48">
            <v>0</v>
          </cell>
          <cell r="L48">
            <v>0</v>
          </cell>
          <cell r="M48">
            <v>1000000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K49">
            <v>0</v>
          </cell>
          <cell r="L49">
            <v>0</v>
          </cell>
          <cell r="M49">
            <v>316000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K50">
            <v>0</v>
          </cell>
          <cell r="L50">
            <v>0</v>
          </cell>
          <cell r="M50">
            <v>316000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K51">
            <v>0</v>
          </cell>
          <cell r="L51">
            <v>0</v>
          </cell>
          <cell r="M51">
            <v>0</v>
          </cell>
          <cell r="N51">
            <v>316000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316000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</row>
        <row r="58"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</row>
        <row r="59"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</row>
        <row r="60"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K63">
            <v>1280300</v>
          </cell>
          <cell r="L63">
            <v>0</v>
          </cell>
          <cell r="M63">
            <v>1632000</v>
          </cell>
          <cell r="N63">
            <v>632000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</row>
        <row r="92">
          <cell r="K92">
            <v>1280300</v>
          </cell>
          <cell r="L92">
            <v>0</v>
          </cell>
          <cell r="M92">
            <v>1632000</v>
          </cell>
          <cell r="N92">
            <v>632000</v>
          </cell>
          <cell r="O92">
            <v>1203142.5</v>
          </cell>
          <cell r="P92">
            <v>1203142.5</v>
          </cell>
          <cell r="Q92">
            <v>1519142.5</v>
          </cell>
          <cell r="R92">
            <v>1519142.5</v>
          </cell>
          <cell r="S92">
            <v>1901502.5</v>
          </cell>
          <cell r="T92">
            <v>2283862.5</v>
          </cell>
          <cell r="U92">
            <v>2372342.5</v>
          </cell>
          <cell r="V92">
            <v>2727526.5</v>
          </cell>
          <cell r="W92">
            <v>3104830.5</v>
          </cell>
          <cell r="X92">
            <v>3487822.5</v>
          </cell>
          <cell r="Y92">
            <v>3870814.5</v>
          </cell>
          <cell r="Z92">
            <v>4259494.5</v>
          </cell>
          <cell r="AB92">
            <v>29452766</v>
          </cell>
        </row>
        <row r="172">
          <cell r="K172">
            <v>0</v>
          </cell>
          <cell r="L172">
            <v>2</v>
          </cell>
          <cell r="M172">
            <v>2</v>
          </cell>
          <cell r="N172">
            <v>0</v>
          </cell>
          <cell r="O172">
            <v>3</v>
          </cell>
          <cell r="P172">
            <v>2</v>
          </cell>
          <cell r="Q172">
            <v>0</v>
          </cell>
          <cell r="R172">
            <v>5</v>
          </cell>
          <cell r="S172">
            <v>4</v>
          </cell>
          <cell r="T172">
            <v>6</v>
          </cell>
          <cell r="U172">
            <v>5</v>
          </cell>
          <cell r="V172">
            <v>6</v>
          </cell>
          <cell r="W172">
            <v>8</v>
          </cell>
          <cell r="X172">
            <v>8</v>
          </cell>
          <cell r="Y172">
            <v>10</v>
          </cell>
          <cell r="Z172">
            <v>10</v>
          </cell>
          <cell r="AB172">
            <v>67</v>
          </cell>
        </row>
        <row r="225">
          <cell r="D225">
            <v>46507</v>
          </cell>
          <cell r="E225">
            <v>46446</v>
          </cell>
          <cell r="G225">
            <v>12</v>
          </cell>
          <cell r="H225">
            <v>36</v>
          </cell>
        </row>
        <row r="226">
          <cell r="D226">
            <v>46538</v>
          </cell>
          <cell r="E226">
            <v>46477</v>
          </cell>
          <cell r="G226">
            <v>12</v>
          </cell>
          <cell r="H226">
            <v>36</v>
          </cell>
        </row>
        <row r="227">
          <cell r="D227">
            <v>46568</v>
          </cell>
          <cell r="E227">
            <v>46507</v>
          </cell>
          <cell r="G227">
            <v>16</v>
          </cell>
          <cell r="H227">
            <v>48</v>
          </cell>
        </row>
        <row r="228">
          <cell r="D228">
            <v>46599</v>
          </cell>
          <cell r="E228">
            <v>46538</v>
          </cell>
          <cell r="G228">
            <v>16</v>
          </cell>
          <cell r="H228">
            <v>48</v>
          </cell>
        </row>
        <row r="229">
          <cell r="D229">
            <v>46630</v>
          </cell>
          <cell r="E229">
            <v>46568</v>
          </cell>
          <cell r="G229">
            <v>20</v>
          </cell>
          <cell r="H229">
            <v>60</v>
          </cell>
        </row>
        <row r="230">
          <cell r="D230">
            <v>46660</v>
          </cell>
          <cell r="E230">
            <v>46599</v>
          </cell>
          <cell r="G230">
            <v>24</v>
          </cell>
          <cell r="H230">
            <v>72</v>
          </cell>
        </row>
        <row r="231">
          <cell r="D231">
            <v>46691</v>
          </cell>
          <cell r="E231">
            <v>46630</v>
          </cell>
          <cell r="G231">
            <v>24</v>
          </cell>
          <cell r="H231">
            <v>72</v>
          </cell>
        </row>
        <row r="232">
          <cell r="D232">
            <v>46721</v>
          </cell>
          <cell r="E232">
            <v>46660</v>
          </cell>
          <cell r="G232">
            <v>28</v>
          </cell>
          <cell r="H232">
            <v>84</v>
          </cell>
        </row>
        <row r="233">
          <cell r="D233">
            <v>46752</v>
          </cell>
          <cell r="E233">
            <v>46691</v>
          </cell>
          <cell r="G233">
            <v>32</v>
          </cell>
          <cell r="H233">
            <v>96</v>
          </cell>
        </row>
        <row r="234">
          <cell r="D234">
            <v>46783</v>
          </cell>
          <cell r="E234">
            <v>46721</v>
          </cell>
          <cell r="G234">
            <v>36</v>
          </cell>
          <cell r="H234">
            <v>108</v>
          </cell>
        </row>
        <row r="235">
          <cell r="D235">
            <v>46812</v>
          </cell>
          <cell r="E235">
            <v>46752</v>
          </cell>
          <cell r="G235">
            <v>40</v>
          </cell>
          <cell r="H235">
            <v>120</v>
          </cell>
        </row>
        <row r="236">
          <cell r="D236">
            <v>46843</v>
          </cell>
          <cell r="E236">
            <v>46783</v>
          </cell>
          <cell r="G236">
            <v>44</v>
          </cell>
          <cell r="H236">
            <v>132</v>
          </cell>
        </row>
        <row r="239">
          <cell r="D239">
            <v>46507</v>
          </cell>
          <cell r="E239">
            <v>46446</v>
          </cell>
          <cell r="G239">
            <v>2</v>
          </cell>
          <cell r="H239">
            <v>25</v>
          </cell>
        </row>
        <row r="240">
          <cell r="D240">
            <v>46538</v>
          </cell>
          <cell r="E240">
            <v>46477</v>
          </cell>
          <cell r="G240">
            <v>2</v>
          </cell>
          <cell r="H240">
            <v>25</v>
          </cell>
        </row>
        <row r="241">
          <cell r="D241">
            <v>46568</v>
          </cell>
          <cell r="E241">
            <v>46507</v>
          </cell>
          <cell r="G241">
            <v>4</v>
          </cell>
          <cell r="H241">
            <v>50</v>
          </cell>
        </row>
        <row r="242">
          <cell r="D242">
            <v>46599</v>
          </cell>
          <cell r="E242">
            <v>46538</v>
          </cell>
          <cell r="G242">
            <v>2</v>
          </cell>
          <cell r="H242">
            <v>25</v>
          </cell>
        </row>
        <row r="243">
          <cell r="D243">
            <v>46630</v>
          </cell>
          <cell r="E243">
            <v>46568</v>
          </cell>
          <cell r="G243">
            <v>2</v>
          </cell>
          <cell r="H243">
            <v>25</v>
          </cell>
        </row>
        <row r="244">
          <cell r="D244">
            <v>46660</v>
          </cell>
          <cell r="E244">
            <v>46599</v>
          </cell>
          <cell r="G244">
            <v>4</v>
          </cell>
          <cell r="H244">
            <v>50</v>
          </cell>
        </row>
        <row r="245">
          <cell r="D245">
            <v>46691</v>
          </cell>
          <cell r="E245">
            <v>46630</v>
          </cell>
          <cell r="G245">
            <v>4</v>
          </cell>
          <cell r="H245">
            <v>50</v>
          </cell>
        </row>
        <row r="246">
          <cell r="D246">
            <v>46721</v>
          </cell>
          <cell r="E246">
            <v>46660</v>
          </cell>
          <cell r="G246">
            <v>6</v>
          </cell>
          <cell r="H246">
            <v>75</v>
          </cell>
        </row>
        <row r="247">
          <cell r="D247">
            <v>46752</v>
          </cell>
          <cell r="E247">
            <v>46691</v>
          </cell>
          <cell r="G247">
            <v>4</v>
          </cell>
          <cell r="H247">
            <v>50</v>
          </cell>
        </row>
        <row r="248">
          <cell r="D248">
            <v>46783</v>
          </cell>
          <cell r="E248">
            <v>46721</v>
          </cell>
          <cell r="G248">
            <v>6</v>
          </cell>
          <cell r="H248">
            <v>75</v>
          </cell>
        </row>
        <row r="249">
          <cell r="D249">
            <v>46812</v>
          </cell>
          <cell r="E249">
            <v>46752</v>
          </cell>
          <cell r="G249">
            <v>8</v>
          </cell>
          <cell r="H249">
            <v>100</v>
          </cell>
        </row>
        <row r="250">
          <cell r="D250">
            <v>46843</v>
          </cell>
          <cell r="E250">
            <v>46783</v>
          </cell>
          <cell r="G250">
            <v>6</v>
          </cell>
          <cell r="H250">
            <v>75</v>
          </cell>
        </row>
        <row r="252">
          <cell r="K252">
            <v>41</v>
          </cell>
          <cell r="L252">
            <v>0</v>
          </cell>
          <cell r="M252">
            <v>80</v>
          </cell>
          <cell r="N252">
            <v>32</v>
          </cell>
          <cell r="O252">
            <v>0</v>
          </cell>
          <cell r="P252">
            <v>108</v>
          </cell>
          <cell r="Q252">
            <v>75</v>
          </cell>
          <cell r="R252">
            <v>118</v>
          </cell>
          <cell r="S252">
            <v>91</v>
          </cell>
          <cell r="T252">
            <v>107</v>
          </cell>
          <cell r="U252">
            <v>150</v>
          </cell>
          <cell r="V252">
            <v>150</v>
          </cell>
          <cell r="W252">
            <v>193</v>
          </cell>
          <cell r="X252">
            <v>182</v>
          </cell>
          <cell r="Y252">
            <v>225</v>
          </cell>
          <cell r="Z252">
            <v>268</v>
          </cell>
          <cell r="AB252">
            <v>1667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09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C7036D-822A-1E44-9B56-38DADD08012E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cb34ed1-a5b0-4868-a079-6e07bca0fff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0905-D155-4EE0-986A-A5AF733C2E50}">
  <sheetPr>
    <tabColor theme="9" tint="0.39997558519241921"/>
    <pageSetUpPr fitToPage="1"/>
  </sheetPr>
  <dimension ref="A1:R49"/>
  <sheetViews>
    <sheetView showGridLines="0" tabSelected="1" zoomScaleNormal="100" workbookViewId="0">
      <selection activeCell="Q35" sqref="Q35"/>
    </sheetView>
  </sheetViews>
  <sheetFormatPr defaultRowHeight="14.4" outlineLevelRow="1" x14ac:dyDescent="0.3"/>
  <cols>
    <col min="1" max="1" width="49.6640625" style="2" customWidth="1"/>
    <col min="2" max="17" width="9.21875" style="2" customWidth="1"/>
    <col min="18" max="18" width="11.44140625" style="2" customWidth="1"/>
    <col min="19" max="19" width="2.33203125" style="2" customWidth="1"/>
    <col min="20" max="16384" width="8.88671875" style="2"/>
  </cols>
  <sheetData>
    <row r="1" spans="1:18" ht="21" x14ac:dyDescent="0.4">
      <c r="A1" s="1" t="s">
        <v>0</v>
      </c>
    </row>
    <row r="2" spans="1:18" x14ac:dyDescent="0.3">
      <c r="A2" s="3" t="s">
        <v>1</v>
      </c>
    </row>
    <row r="3" spans="1:18" x14ac:dyDescent="0.3">
      <c r="A3" s="4" t="str" cm="1">
        <f t="array" ref="A3">"Tie-out to Deploy Detail (bookings $, deployments, production): "&amp;IF(AND(SUMPRODUCT(ABS(B18:Q18-'[1]Deploy Detail'!K172:Z172))+ABS(R18-'[1]Deploy Detail'!AB172)&lt;0.01,SUMPRODUCT(ABS(B24:Q24+B25:Q25+B26:Q26-'[1]Deploy Detail'!K252:Z252))+ABS(SUM(R24:R26)-'[1]Deploy Detail'!AB252)&lt;0.01,SUMPRODUCT(ABS(B13:Q13-'[1]Deploy Detail'!K92:Z92))+ABS(R13-'[1]Deploy Detail'!AB92)&lt;0.5),"OK","CHECK")</f>
        <v>Tie-out to Deploy Detail (bookings $, deployments, production): OK</v>
      </c>
    </row>
    <row r="4" spans="1:18" x14ac:dyDescent="0.3">
      <c r="A4" s="5"/>
      <c r="B4" s="6">
        <f>'[1]Revenue Roll-up'!D17</f>
        <v>46295</v>
      </c>
      <c r="C4" s="6">
        <f>'[1]Revenue Roll-up'!E17</f>
        <v>46326</v>
      </c>
      <c r="D4" s="6">
        <f>'[1]Revenue Roll-up'!F17</f>
        <v>46356</v>
      </c>
      <c r="E4" s="7">
        <f>'[1]Revenue Roll-up'!G17</f>
        <v>46387</v>
      </c>
      <c r="F4" s="6">
        <f>'[1]Revenue Roll-up'!H17</f>
        <v>46418</v>
      </c>
      <c r="G4" s="6">
        <f>'[1]Revenue Roll-up'!I17</f>
        <v>46446</v>
      </c>
      <c r="H4" s="6">
        <f>'[1]Revenue Roll-up'!J17</f>
        <v>46477</v>
      </c>
      <c r="I4" s="6">
        <f>'[1]Revenue Roll-up'!K17</f>
        <v>46507</v>
      </c>
      <c r="J4" s="6">
        <f>'[1]Revenue Roll-up'!L17</f>
        <v>46538</v>
      </c>
      <c r="K4" s="6">
        <f>'[1]Revenue Roll-up'!M17</f>
        <v>46568</v>
      </c>
      <c r="L4" s="6">
        <f>'[1]Revenue Roll-up'!N17</f>
        <v>46599</v>
      </c>
      <c r="M4" s="6">
        <f>'[1]Revenue Roll-up'!O17</f>
        <v>46630</v>
      </c>
      <c r="N4" s="6">
        <f>'[1]Revenue Roll-up'!P17</f>
        <v>46660</v>
      </c>
      <c r="O4" s="6">
        <f>'[1]Revenue Roll-up'!Q17</f>
        <v>46691</v>
      </c>
      <c r="P4" s="6">
        <f>'[1]Revenue Roll-up'!R17</f>
        <v>46721</v>
      </c>
      <c r="Q4" s="6">
        <f>'[1]Revenue Roll-up'!S17</f>
        <v>46752</v>
      </c>
      <c r="R4" s="5" t="s">
        <v>2</v>
      </c>
    </row>
    <row r="5" spans="1:18" x14ac:dyDescent="0.3">
      <c r="A5" s="8" t="s">
        <v>3</v>
      </c>
      <c r="B5" s="9"/>
      <c r="C5" s="9"/>
      <c r="D5" s="9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3">
      <c r="A6" s="11" t="s">
        <v>4</v>
      </c>
      <c r="B6" s="12">
        <f>'[1]Revenue Roll-up'!D51</f>
        <v>0</v>
      </c>
      <c r="C6" s="12">
        <f>'[1]Revenue Roll-up'!E51</f>
        <v>0</v>
      </c>
      <c r="D6" s="12">
        <f>'[1]Revenue Roll-up'!F51</f>
        <v>0</v>
      </c>
      <c r="E6" s="13">
        <f>'[1]Revenue Roll-up'!G51</f>
        <v>0</v>
      </c>
      <c r="F6" s="12">
        <f>'[1]Revenue Roll-up'!H51</f>
        <v>3</v>
      </c>
      <c r="G6" s="12">
        <f>'[1]Revenue Roll-up'!I51</f>
        <v>3</v>
      </c>
      <c r="H6" s="12">
        <f>'[1]Revenue Roll-up'!J51</f>
        <v>4</v>
      </c>
      <c r="I6" s="12">
        <f>'[1]Revenue Roll-up'!K51</f>
        <v>4</v>
      </c>
      <c r="J6" s="12">
        <f>'[1]Revenue Roll-up'!L51</f>
        <v>5</v>
      </c>
      <c r="K6" s="12">
        <f>'[1]Revenue Roll-up'!M51</f>
        <v>6</v>
      </c>
      <c r="L6" s="12">
        <f>'[1]Revenue Roll-up'!N51</f>
        <v>6</v>
      </c>
      <c r="M6" s="12">
        <f>'[1]Revenue Roll-up'!O51</f>
        <v>7</v>
      </c>
      <c r="N6" s="12">
        <f>'[1]Revenue Roll-up'!P51</f>
        <v>8</v>
      </c>
      <c r="O6" s="12">
        <f>'[1]Revenue Roll-up'!Q51</f>
        <v>9</v>
      </c>
      <c r="P6" s="12">
        <f>'[1]Revenue Roll-up'!R51</f>
        <v>10</v>
      </c>
      <c r="Q6" s="12">
        <f>'[1]Revenue Roll-up'!S51</f>
        <v>11</v>
      </c>
      <c r="R6" s="14">
        <f>'[1]Revenue Roll-up'!U51</f>
        <v>76</v>
      </c>
    </row>
    <row r="7" spans="1:18" x14ac:dyDescent="0.3">
      <c r="A7" s="11" t="s">
        <v>5</v>
      </c>
      <c r="B7" s="15">
        <f>'[1]Revenue Roll-up'!D50</f>
        <v>0</v>
      </c>
      <c r="C7" s="15">
        <f>'[1]Revenue Roll-up'!E50</f>
        <v>0</v>
      </c>
      <c r="D7" s="15">
        <f>'[1]Revenue Roll-up'!F50</f>
        <v>0</v>
      </c>
      <c r="E7" s="16">
        <f>'[1]Revenue Roll-up'!G50</f>
        <v>0</v>
      </c>
      <c r="F7" s="15">
        <f>'[1]Revenue Roll-up'!H50</f>
        <v>948000</v>
      </c>
      <c r="G7" s="15">
        <f>'[1]Revenue Roll-up'!I50</f>
        <v>948000</v>
      </c>
      <c r="H7" s="15">
        <f>'[1]Revenue Roll-up'!J50</f>
        <v>1264000</v>
      </c>
      <c r="I7" s="15">
        <f>'[1]Revenue Roll-up'!K50</f>
        <v>1264000</v>
      </c>
      <c r="J7" s="15">
        <f>'[1]Revenue Roll-up'!L50</f>
        <v>1580000</v>
      </c>
      <c r="K7" s="15">
        <f>'[1]Revenue Roll-up'!M50</f>
        <v>1896000</v>
      </c>
      <c r="L7" s="15">
        <f>'[1]Revenue Roll-up'!N50</f>
        <v>1896000</v>
      </c>
      <c r="M7" s="15">
        <f>'[1]Revenue Roll-up'!O50</f>
        <v>2212000</v>
      </c>
      <c r="N7" s="15">
        <f>'[1]Revenue Roll-up'!P50</f>
        <v>2528000</v>
      </c>
      <c r="O7" s="15">
        <f>'[1]Revenue Roll-up'!Q50</f>
        <v>2844000</v>
      </c>
      <c r="P7" s="15">
        <f>'[1]Revenue Roll-up'!R50</f>
        <v>3160000</v>
      </c>
      <c r="Q7" s="15">
        <f>'[1]Revenue Roll-up'!S50</f>
        <v>3476000</v>
      </c>
      <c r="R7" s="17">
        <f>'[1]Revenue Roll-up'!U50</f>
        <v>24016000</v>
      </c>
    </row>
    <row r="8" spans="1:18" x14ac:dyDescent="0.3">
      <c r="A8" s="11" t="s">
        <v>6</v>
      </c>
      <c r="B8" s="12">
        <f>'[1]Revenue Roll-up'!D65</f>
        <v>0</v>
      </c>
      <c r="C8" s="12">
        <f>'[1]Revenue Roll-up'!E65</f>
        <v>0</v>
      </c>
      <c r="D8" s="12">
        <f>'[1]Revenue Roll-up'!F65</f>
        <v>0</v>
      </c>
      <c r="E8" s="13">
        <f>'[1]Revenue Roll-up'!G65</f>
        <v>0</v>
      </c>
      <c r="F8" s="12">
        <f>'[1]Revenue Roll-up'!H65</f>
        <v>1</v>
      </c>
      <c r="G8" s="12">
        <f>'[1]Revenue Roll-up'!I65</f>
        <v>1</v>
      </c>
      <c r="H8" s="12">
        <f>'[1]Revenue Roll-up'!J65</f>
        <v>2</v>
      </c>
      <c r="I8" s="12">
        <f>'[1]Revenue Roll-up'!K65</f>
        <v>1</v>
      </c>
      <c r="J8" s="12">
        <f>'[1]Revenue Roll-up'!L65</f>
        <v>1</v>
      </c>
      <c r="K8" s="12">
        <f>'[1]Revenue Roll-up'!M65</f>
        <v>2</v>
      </c>
      <c r="L8" s="12">
        <f>'[1]Revenue Roll-up'!N65</f>
        <v>2</v>
      </c>
      <c r="M8" s="12">
        <f>'[1]Revenue Roll-up'!O65</f>
        <v>3</v>
      </c>
      <c r="N8" s="12">
        <f>'[1]Revenue Roll-up'!P65</f>
        <v>2</v>
      </c>
      <c r="O8" s="12">
        <f>'[1]Revenue Roll-up'!Q65</f>
        <v>3</v>
      </c>
      <c r="P8" s="12">
        <f>'[1]Revenue Roll-up'!R65</f>
        <v>4</v>
      </c>
      <c r="Q8" s="12">
        <f>'[1]Revenue Roll-up'!S65</f>
        <v>3</v>
      </c>
      <c r="R8" s="14">
        <f>'[1]Revenue Roll-up'!U65</f>
        <v>25</v>
      </c>
    </row>
    <row r="9" spans="1:18" x14ac:dyDescent="0.3">
      <c r="A9" s="11" t="s">
        <v>7</v>
      </c>
      <c r="B9" s="15">
        <f>'[1]Revenue Roll-up'!D64</f>
        <v>0</v>
      </c>
      <c r="C9" s="15">
        <f>'[1]Revenue Roll-up'!E64</f>
        <v>0</v>
      </c>
      <c r="D9" s="15">
        <f>'[1]Revenue Roll-up'!F64</f>
        <v>0</v>
      </c>
      <c r="E9" s="16">
        <f>'[1]Revenue Roll-up'!G64</f>
        <v>0</v>
      </c>
      <c r="F9" s="15">
        <f>'[1]Revenue Roll-up'!H64</f>
        <v>255142.5</v>
      </c>
      <c r="G9" s="15">
        <f>'[1]Revenue Roll-up'!I64</f>
        <v>255142.5</v>
      </c>
      <c r="H9" s="15">
        <f>'[1]Revenue Roll-up'!J64</f>
        <v>255142.5</v>
      </c>
      <c r="I9" s="15">
        <f>'[1]Revenue Roll-up'!K64</f>
        <v>255142.5</v>
      </c>
      <c r="J9" s="15">
        <f>'[1]Revenue Roll-up'!L64</f>
        <v>321502.5</v>
      </c>
      <c r="K9" s="15">
        <f>'[1]Revenue Roll-up'!M64</f>
        <v>387862.5</v>
      </c>
      <c r="L9" s="15">
        <f>'[1]Revenue Roll-up'!N64</f>
        <v>476342.5</v>
      </c>
      <c r="M9" s="15">
        <f>'[1]Revenue Roll-up'!O64</f>
        <v>515526.5</v>
      </c>
      <c r="N9" s="15">
        <f>'[1]Revenue Roll-up'!P64</f>
        <v>576830.5</v>
      </c>
      <c r="O9" s="15">
        <f>'[1]Revenue Roll-up'!Q64</f>
        <v>643822.5</v>
      </c>
      <c r="P9" s="15">
        <f>'[1]Revenue Roll-up'!R64</f>
        <v>710814.5</v>
      </c>
      <c r="Q9" s="15">
        <f>'[1]Revenue Roll-up'!S64</f>
        <v>783494.5</v>
      </c>
      <c r="R9" s="17">
        <f>'[1]Revenue Roll-up'!U64</f>
        <v>5436766</v>
      </c>
    </row>
    <row r="10" spans="1:18" x14ac:dyDescent="0.3">
      <c r="A10" s="11" t="s">
        <v>8</v>
      </c>
      <c r="B10" s="12">
        <f>COUNTIF('[1]Deploy Detail'!K21:K62,"&gt;0")</f>
        <v>3</v>
      </c>
      <c r="C10" s="12">
        <f>COUNTIF('[1]Deploy Detail'!L21:L62,"&gt;0")</f>
        <v>0</v>
      </c>
      <c r="D10" s="12">
        <f>COUNTIF('[1]Deploy Detail'!M21:M62,"&gt;0")</f>
        <v>3</v>
      </c>
      <c r="E10" s="13">
        <f>COUNTIF('[1]Deploy Detail'!N21:N62,"&gt;0")</f>
        <v>2</v>
      </c>
      <c r="F10" s="12">
        <f>COUNTIF('[1]Deploy Detail'!O21:O62,"&gt;0")</f>
        <v>0</v>
      </c>
      <c r="G10" s="12">
        <f>COUNTIF('[1]Deploy Detail'!P21:P62,"&gt;0")</f>
        <v>0</v>
      </c>
      <c r="H10" s="12">
        <f>COUNTIF('[1]Deploy Detail'!Q21:Q62,"&gt;0")</f>
        <v>0</v>
      </c>
      <c r="I10" s="12">
        <f>COUNTIF('[1]Deploy Detail'!R21:R62,"&gt;0")</f>
        <v>0</v>
      </c>
      <c r="J10" s="12">
        <f>COUNTIF('[1]Deploy Detail'!S21:S62,"&gt;0")</f>
        <v>0</v>
      </c>
      <c r="K10" s="12">
        <f>COUNTIF('[1]Deploy Detail'!T21:T62,"&gt;0")</f>
        <v>0</v>
      </c>
      <c r="L10" s="12">
        <f>COUNTIF('[1]Deploy Detail'!U21:U62,"&gt;0")</f>
        <v>0</v>
      </c>
      <c r="M10" s="12">
        <f>COUNTIF('[1]Deploy Detail'!V21:V62,"&gt;0")</f>
        <v>0</v>
      </c>
      <c r="N10" s="12">
        <f>COUNTIF('[1]Deploy Detail'!W21:W62,"&gt;0")</f>
        <v>0</v>
      </c>
      <c r="O10" s="12">
        <f>COUNTIF('[1]Deploy Detail'!X21:X62,"&gt;0")</f>
        <v>0</v>
      </c>
      <c r="P10" s="12">
        <f>COUNTIF('[1]Deploy Detail'!Y21:Y62,"&gt;0")</f>
        <v>0</v>
      </c>
      <c r="Q10" s="12">
        <f>COUNTIF('[1]Deploy Detail'!Z21:Z62,"&gt;0")</f>
        <v>0</v>
      </c>
      <c r="R10" s="14">
        <f>SUM(F10:Q10)</f>
        <v>0</v>
      </c>
    </row>
    <row r="11" spans="1:18" x14ac:dyDescent="0.3">
      <c r="A11" s="11" t="s">
        <v>9</v>
      </c>
      <c r="B11" s="15">
        <f>'[1]Deploy Detail'!K63</f>
        <v>1280300</v>
      </c>
      <c r="C11" s="15">
        <f>'[1]Deploy Detail'!L63</f>
        <v>0</v>
      </c>
      <c r="D11" s="15">
        <f>'[1]Deploy Detail'!M63</f>
        <v>1632000</v>
      </c>
      <c r="E11" s="16">
        <f>'[1]Deploy Detail'!N63</f>
        <v>632000</v>
      </c>
      <c r="F11" s="15">
        <f>'[1]Deploy Detail'!O63</f>
        <v>0</v>
      </c>
      <c r="G11" s="15">
        <f>'[1]Deploy Detail'!P63</f>
        <v>0</v>
      </c>
      <c r="H11" s="15">
        <f>'[1]Deploy Detail'!Q63</f>
        <v>0</v>
      </c>
      <c r="I11" s="15">
        <f>'[1]Deploy Detail'!R63</f>
        <v>0</v>
      </c>
      <c r="J11" s="15">
        <f>'[1]Deploy Detail'!S63</f>
        <v>0</v>
      </c>
      <c r="K11" s="15">
        <f>'[1]Deploy Detail'!T63</f>
        <v>0</v>
      </c>
      <c r="L11" s="15">
        <f>'[1]Deploy Detail'!U63</f>
        <v>0</v>
      </c>
      <c r="M11" s="15">
        <f>'[1]Deploy Detail'!V63</f>
        <v>0</v>
      </c>
      <c r="N11" s="15">
        <f>'[1]Deploy Detail'!W63</f>
        <v>0</v>
      </c>
      <c r="O11" s="15">
        <f>'[1]Deploy Detail'!X63</f>
        <v>0</v>
      </c>
      <c r="P11" s="15">
        <f>'[1]Deploy Detail'!Y63</f>
        <v>0</v>
      </c>
      <c r="Q11" s="15">
        <f>'[1]Deploy Detail'!Z63</f>
        <v>0</v>
      </c>
      <c r="R11" s="17">
        <f>'[1]Deploy Detail'!AB63</f>
        <v>0</v>
      </c>
    </row>
    <row r="12" spans="1:18" x14ac:dyDescent="0.3">
      <c r="A12" s="18" t="s">
        <v>10</v>
      </c>
      <c r="B12" s="19">
        <f t="shared" ref="B12:R13" si="0">B6+B8+B10</f>
        <v>3</v>
      </c>
      <c r="C12" s="19">
        <f t="shared" si="0"/>
        <v>0</v>
      </c>
      <c r="D12" s="19">
        <f t="shared" si="0"/>
        <v>3</v>
      </c>
      <c r="E12" s="20">
        <f t="shared" si="0"/>
        <v>2</v>
      </c>
      <c r="F12" s="19">
        <f t="shared" si="0"/>
        <v>4</v>
      </c>
      <c r="G12" s="19">
        <f t="shared" si="0"/>
        <v>4</v>
      </c>
      <c r="H12" s="19">
        <f t="shared" si="0"/>
        <v>6</v>
      </c>
      <c r="I12" s="19">
        <f t="shared" si="0"/>
        <v>5</v>
      </c>
      <c r="J12" s="19">
        <f t="shared" si="0"/>
        <v>6</v>
      </c>
      <c r="K12" s="19">
        <f t="shared" si="0"/>
        <v>8</v>
      </c>
      <c r="L12" s="19">
        <f t="shared" si="0"/>
        <v>8</v>
      </c>
      <c r="M12" s="19">
        <f t="shared" si="0"/>
        <v>10</v>
      </c>
      <c r="N12" s="19">
        <f t="shared" si="0"/>
        <v>10</v>
      </c>
      <c r="O12" s="19">
        <f t="shared" si="0"/>
        <v>12</v>
      </c>
      <c r="P12" s="19">
        <f t="shared" si="0"/>
        <v>14</v>
      </c>
      <c r="Q12" s="19">
        <f t="shared" si="0"/>
        <v>14</v>
      </c>
      <c r="R12" s="21">
        <f t="shared" si="0"/>
        <v>101</v>
      </c>
    </row>
    <row r="13" spans="1:18" x14ac:dyDescent="0.3">
      <c r="A13" s="22" t="s">
        <v>11</v>
      </c>
      <c r="B13" s="23">
        <f t="shared" si="0"/>
        <v>1280300</v>
      </c>
      <c r="C13" s="23">
        <f t="shared" si="0"/>
        <v>0</v>
      </c>
      <c r="D13" s="23">
        <f t="shared" si="0"/>
        <v>1632000</v>
      </c>
      <c r="E13" s="24">
        <f t="shared" si="0"/>
        <v>632000</v>
      </c>
      <c r="F13" s="23">
        <f t="shared" si="0"/>
        <v>1203142.5</v>
      </c>
      <c r="G13" s="23">
        <f t="shared" si="0"/>
        <v>1203142.5</v>
      </c>
      <c r="H13" s="23">
        <f t="shared" si="0"/>
        <v>1519142.5</v>
      </c>
      <c r="I13" s="23">
        <f t="shared" si="0"/>
        <v>1519142.5</v>
      </c>
      <c r="J13" s="23">
        <f t="shared" si="0"/>
        <v>1901502.5</v>
      </c>
      <c r="K13" s="23">
        <f t="shared" si="0"/>
        <v>2283862.5</v>
      </c>
      <c r="L13" s="23">
        <f t="shared" si="0"/>
        <v>2372342.5</v>
      </c>
      <c r="M13" s="23">
        <f t="shared" si="0"/>
        <v>2727526.5</v>
      </c>
      <c r="N13" s="23">
        <f t="shared" si="0"/>
        <v>3104830.5</v>
      </c>
      <c r="O13" s="23">
        <f t="shared" si="0"/>
        <v>3487822.5</v>
      </c>
      <c r="P13" s="23">
        <f t="shared" si="0"/>
        <v>3870814.5</v>
      </c>
      <c r="Q13" s="23">
        <f t="shared" si="0"/>
        <v>4259494.5</v>
      </c>
      <c r="R13" s="25">
        <f t="shared" si="0"/>
        <v>29452766</v>
      </c>
    </row>
    <row r="14" spans="1:18" x14ac:dyDescent="0.3">
      <c r="A14" s="26"/>
      <c r="E14" s="27"/>
      <c r="R14" s="28"/>
    </row>
    <row r="15" spans="1:18" x14ac:dyDescent="0.3">
      <c r="A15" s="29" t="s">
        <v>12</v>
      </c>
      <c r="B15" s="30"/>
      <c r="C15" s="30"/>
      <c r="D15" s="30"/>
      <c r="E15" s="31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x14ac:dyDescent="0.3">
      <c r="A16" s="11" t="s">
        <v>13</v>
      </c>
      <c r="B16" s="12">
        <f>COUNTIFS('[1]2026 Exist New'!$U$9:$U$50,"Yes",'[1]2026 Exist New'!$E$9:$E$50,"SlipLift",'[1]2026 Exist New'!$I$9:$I$50,"&gt;"&amp;EOMONTH(B$4,-1),'[1]2026 Exist New'!$I$9:$I$50,"&lt;="&amp;B$4)+[1]Deploy!D36+[1]Deploy!D41</f>
        <v>0</v>
      </c>
      <c r="C16" s="12">
        <f>COUNTIFS('[1]2026 Exist New'!$U$9:$U$50,"Yes",'[1]2026 Exist New'!$E$9:$E$50,"SlipLift",'[1]2026 Exist New'!$I$9:$I$50,"&gt;"&amp;EOMONTH(C$4,-1),'[1]2026 Exist New'!$I$9:$I$50,"&lt;="&amp;C$4)+[1]Deploy!E36+[1]Deploy!E41</f>
        <v>2</v>
      </c>
      <c r="D16" s="12">
        <f>COUNTIFS('[1]2026 Exist New'!$U$9:$U$50,"Yes",'[1]2026 Exist New'!$E$9:$E$50,"SlipLift",'[1]2026 Exist New'!$I$9:$I$50,"&gt;"&amp;EOMONTH(D$4,-1),'[1]2026 Exist New'!$I$9:$I$50,"&lt;="&amp;D$4)+[1]Deploy!F36+[1]Deploy!F41</f>
        <v>2</v>
      </c>
      <c r="E16" s="13">
        <f>COUNTIFS('[1]2026 Exist New'!$U$9:$U$50,"Yes",'[1]2026 Exist New'!$E$9:$E$50,"SlipLift",'[1]2026 Exist New'!$I$9:$I$50,"&gt;"&amp;EOMONTH(E$4,-1),'[1]2026 Exist New'!$I$9:$I$50,"&lt;="&amp;E$4)+[1]Deploy!G36+[1]Deploy!G41</f>
        <v>0</v>
      </c>
      <c r="F16" s="12">
        <f>COUNTIFS('[1]2026 Exist New'!$U$9:$U$50,"Yes",'[1]2026 Exist New'!$E$9:$E$50,"SlipLift",'[1]2026 Exist New'!$I$9:$I$50,"&gt;"&amp;EOMONTH(F$4,-1),'[1]2026 Exist New'!$I$9:$I$50,"&lt;="&amp;F$4)+[1]Deploy!H36+[1]Deploy!H41</f>
        <v>3</v>
      </c>
      <c r="G16" s="12">
        <f>COUNTIFS('[1]2026 Exist New'!$U$9:$U$50,"Yes",'[1]2026 Exist New'!$E$9:$E$50,"SlipLift",'[1]2026 Exist New'!$I$9:$I$50,"&gt;"&amp;EOMONTH(G$4,-1),'[1]2026 Exist New'!$I$9:$I$50,"&lt;="&amp;G$4)+[1]Deploy!I36+[1]Deploy!I41</f>
        <v>2</v>
      </c>
      <c r="H16" s="12">
        <f>COUNTIFS('[1]2026 Exist New'!$U$9:$U$50,"Yes",'[1]2026 Exist New'!$E$9:$E$50,"SlipLift",'[1]2026 Exist New'!$I$9:$I$50,"&gt;"&amp;EOMONTH(H$4,-1),'[1]2026 Exist New'!$I$9:$I$50,"&lt;="&amp;H$4)+[1]Deploy!J36+[1]Deploy!J41</f>
        <v>0</v>
      </c>
      <c r="I16" s="12">
        <f>COUNTIFS('[1]2026 Exist New'!$U$9:$U$50,"Yes",'[1]2026 Exist New'!$E$9:$E$50,"SlipLift",'[1]2026 Exist New'!$I$9:$I$50,"&gt;"&amp;EOMONTH(I$4,-1),'[1]2026 Exist New'!$I$9:$I$50,"&lt;="&amp;I$4)+[1]Deploy!K36+[1]Deploy!K41</f>
        <v>5</v>
      </c>
      <c r="J16" s="12">
        <f>COUNTIFS('[1]2026 Exist New'!$U$9:$U$50,"Yes",'[1]2026 Exist New'!$E$9:$E$50,"SlipLift",'[1]2026 Exist New'!$I$9:$I$50,"&gt;"&amp;EOMONTH(J$4,-1),'[1]2026 Exist New'!$I$9:$I$50,"&lt;="&amp;J$4)+[1]Deploy!L36+[1]Deploy!L41</f>
        <v>4</v>
      </c>
      <c r="K16" s="12">
        <f>COUNTIFS('[1]2026 Exist New'!$U$9:$U$50,"Yes",'[1]2026 Exist New'!$E$9:$E$50,"SlipLift",'[1]2026 Exist New'!$I$9:$I$50,"&gt;"&amp;EOMONTH(K$4,-1),'[1]2026 Exist New'!$I$9:$I$50,"&lt;="&amp;K$4)+[1]Deploy!M36+[1]Deploy!M41</f>
        <v>6</v>
      </c>
      <c r="L16" s="12">
        <f>COUNTIFS('[1]2026 Exist New'!$U$9:$U$50,"Yes",'[1]2026 Exist New'!$E$9:$E$50,"SlipLift",'[1]2026 Exist New'!$I$9:$I$50,"&gt;"&amp;EOMONTH(L$4,-1),'[1]2026 Exist New'!$I$9:$I$50,"&lt;="&amp;L$4)+[1]Deploy!N36+[1]Deploy!N41</f>
        <v>5</v>
      </c>
      <c r="M16" s="12">
        <f>COUNTIFS('[1]2026 Exist New'!$U$9:$U$50,"Yes",'[1]2026 Exist New'!$E$9:$E$50,"SlipLift",'[1]2026 Exist New'!$I$9:$I$50,"&gt;"&amp;EOMONTH(M$4,-1),'[1]2026 Exist New'!$I$9:$I$50,"&lt;="&amp;M$4)+[1]Deploy!O36+[1]Deploy!O41</f>
        <v>6</v>
      </c>
      <c r="N16" s="12">
        <f>COUNTIFS('[1]2026 Exist New'!$U$9:$U$50,"Yes",'[1]2026 Exist New'!$E$9:$E$50,"SlipLift",'[1]2026 Exist New'!$I$9:$I$50,"&gt;"&amp;EOMONTH(N$4,-1),'[1]2026 Exist New'!$I$9:$I$50,"&lt;="&amp;N$4)+[1]Deploy!P36+[1]Deploy!P41</f>
        <v>8</v>
      </c>
      <c r="O16" s="12">
        <f>COUNTIFS('[1]2026 Exist New'!$U$9:$U$50,"Yes",'[1]2026 Exist New'!$E$9:$E$50,"SlipLift",'[1]2026 Exist New'!$I$9:$I$50,"&gt;"&amp;EOMONTH(O$4,-1),'[1]2026 Exist New'!$I$9:$I$50,"&lt;="&amp;O$4)+[1]Deploy!Q36+[1]Deploy!Q41</f>
        <v>8</v>
      </c>
      <c r="P16" s="12">
        <f>COUNTIFS('[1]2026 Exist New'!$U$9:$U$50,"Yes",'[1]2026 Exist New'!$E$9:$E$50,"SlipLift",'[1]2026 Exist New'!$I$9:$I$50,"&gt;"&amp;EOMONTH(P$4,-1),'[1]2026 Exist New'!$I$9:$I$50,"&lt;="&amp;P$4)+[1]Deploy!R36+[1]Deploy!R41</f>
        <v>10</v>
      </c>
      <c r="Q16" s="12">
        <f>COUNTIFS('[1]2026 Exist New'!$U$9:$U$50,"Yes",'[1]2026 Exist New'!$E$9:$E$50,"SlipLift",'[1]2026 Exist New'!$I$9:$I$50,"&gt;"&amp;EOMONTH(Q$4,-1),'[1]2026 Exist New'!$I$9:$I$50,"&lt;="&amp;Q$4)+[1]Deploy!S36+[1]Deploy!S41</f>
        <v>10</v>
      </c>
      <c r="R16" s="14">
        <f>COUNTIFS('[1]2026 Exist New'!$U$9:$U$50,"Yes",'[1]2026 Exist New'!$E$9:$E$50,"SlipLift",'[1]2026 Exist New'!$I$9:$I$50,"&gt;"&amp;EOMONTH($F$4,-1),'[1]2026 Exist New'!$I$9:$I$50,"&lt;="&amp;$Q$4)+[1]Deploy!U36+[1]Deploy!U41</f>
        <v>67</v>
      </c>
    </row>
    <row r="17" spans="1:18" x14ac:dyDescent="0.3">
      <c r="A17" s="11" t="s">
        <v>14</v>
      </c>
      <c r="B17" s="12">
        <f>COUNTIFS('[1]2026 Exist New'!$U$9:$U$50,"Yes",'[1]2026 Exist New'!$E$9:$E$50,"SlipBot",'[1]2026 Exist New'!$I$9:$I$50,"&gt;"&amp;EOMONTH(B$4,-1),'[1]2026 Exist New'!$I$9:$I$50,"&lt;="&amp;B$4)</f>
        <v>0</v>
      </c>
      <c r="C17" s="12">
        <f>COUNTIFS('[1]2026 Exist New'!$U$9:$U$50,"Yes",'[1]2026 Exist New'!$E$9:$E$50,"SlipBot",'[1]2026 Exist New'!$I$9:$I$50,"&gt;"&amp;EOMONTH(C$4,-1),'[1]2026 Exist New'!$I$9:$I$50,"&lt;="&amp;C$4)</f>
        <v>0</v>
      </c>
      <c r="D17" s="12">
        <f>COUNTIFS('[1]2026 Exist New'!$U$9:$U$50,"Yes",'[1]2026 Exist New'!$E$9:$E$50,"SlipBot",'[1]2026 Exist New'!$I$9:$I$50,"&gt;"&amp;EOMONTH(D$4,-1),'[1]2026 Exist New'!$I$9:$I$50,"&lt;="&amp;D$4)</f>
        <v>0</v>
      </c>
      <c r="E17" s="13">
        <f>COUNTIFS('[1]2026 Exist New'!$U$9:$U$50,"Yes",'[1]2026 Exist New'!$E$9:$E$50,"SlipBot",'[1]2026 Exist New'!$I$9:$I$50,"&gt;"&amp;EOMONTH(E$4,-1),'[1]2026 Exist New'!$I$9:$I$50,"&lt;="&amp;E$4)</f>
        <v>0</v>
      </c>
      <c r="F17" s="12">
        <f>COUNTIFS('[1]2026 Exist New'!$U$9:$U$50,"Yes",'[1]2026 Exist New'!$E$9:$E$50,"SlipBot",'[1]2026 Exist New'!$I$9:$I$50,"&gt;"&amp;EOMONTH(F$4,-1),'[1]2026 Exist New'!$I$9:$I$50,"&lt;="&amp;F$4)</f>
        <v>0</v>
      </c>
      <c r="G17" s="12">
        <f>COUNTIFS('[1]2026 Exist New'!$U$9:$U$50,"Yes",'[1]2026 Exist New'!$E$9:$E$50,"SlipBot",'[1]2026 Exist New'!$I$9:$I$50,"&gt;"&amp;EOMONTH(G$4,-1),'[1]2026 Exist New'!$I$9:$I$50,"&lt;="&amp;G$4)</f>
        <v>0</v>
      </c>
      <c r="H17" s="12">
        <f>COUNTIFS('[1]2026 Exist New'!$U$9:$U$50,"Yes",'[1]2026 Exist New'!$E$9:$E$50,"SlipBot",'[1]2026 Exist New'!$I$9:$I$50,"&gt;"&amp;EOMONTH(H$4,-1),'[1]2026 Exist New'!$I$9:$I$50,"&lt;="&amp;H$4)</f>
        <v>0</v>
      </c>
      <c r="I17" s="12">
        <f>COUNTIFS('[1]2026 Exist New'!$U$9:$U$50,"Yes",'[1]2026 Exist New'!$E$9:$E$50,"SlipBot",'[1]2026 Exist New'!$I$9:$I$50,"&gt;"&amp;EOMONTH(I$4,-1),'[1]2026 Exist New'!$I$9:$I$50,"&lt;="&amp;I$4)</f>
        <v>0</v>
      </c>
      <c r="J17" s="12">
        <f>COUNTIFS('[1]2026 Exist New'!$U$9:$U$50,"Yes",'[1]2026 Exist New'!$E$9:$E$50,"SlipBot",'[1]2026 Exist New'!$I$9:$I$50,"&gt;"&amp;EOMONTH(J$4,-1),'[1]2026 Exist New'!$I$9:$I$50,"&lt;="&amp;J$4)</f>
        <v>0</v>
      </c>
      <c r="K17" s="12">
        <f>COUNTIFS('[1]2026 Exist New'!$U$9:$U$50,"Yes",'[1]2026 Exist New'!$E$9:$E$50,"SlipBot",'[1]2026 Exist New'!$I$9:$I$50,"&gt;"&amp;EOMONTH(K$4,-1),'[1]2026 Exist New'!$I$9:$I$50,"&lt;="&amp;K$4)</f>
        <v>0</v>
      </c>
      <c r="L17" s="12">
        <f>COUNTIFS('[1]2026 Exist New'!$U$9:$U$50,"Yes",'[1]2026 Exist New'!$E$9:$E$50,"SlipBot",'[1]2026 Exist New'!$I$9:$I$50,"&gt;"&amp;EOMONTH(L$4,-1),'[1]2026 Exist New'!$I$9:$I$50,"&lt;="&amp;L$4)</f>
        <v>0</v>
      </c>
      <c r="M17" s="12">
        <f>COUNTIFS('[1]2026 Exist New'!$U$9:$U$50,"Yes",'[1]2026 Exist New'!$E$9:$E$50,"SlipBot",'[1]2026 Exist New'!$I$9:$I$50,"&gt;"&amp;EOMONTH(M$4,-1),'[1]2026 Exist New'!$I$9:$I$50,"&lt;="&amp;M$4)</f>
        <v>0</v>
      </c>
      <c r="N17" s="12">
        <f>COUNTIFS('[1]2026 Exist New'!$U$9:$U$50,"Yes",'[1]2026 Exist New'!$E$9:$E$50,"SlipBot",'[1]2026 Exist New'!$I$9:$I$50,"&gt;"&amp;EOMONTH(N$4,-1),'[1]2026 Exist New'!$I$9:$I$50,"&lt;="&amp;N$4)</f>
        <v>0</v>
      </c>
      <c r="O17" s="12">
        <f>COUNTIFS('[1]2026 Exist New'!$U$9:$U$50,"Yes",'[1]2026 Exist New'!$E$9:$E$50,"SlipBot",'[1]2026 Exist New'!$I$9:$I$50,"&gt;"&amp;EOMONTH(O$4,-1),'[1]2026 Exist New'!$I$9:$I$50,"&lt;="&amp;O$4)</f>
        <v>0</v>
      </c>
      <c r="P17" s="12">
        <f>COUNTIFS('[1]2026 Exist New'!$U$9:$U$50,"Yes",'[1]2026 Exist New'!$E$9:$E$50,"SlipBot",'[1]2026 Exist New'!$I$9:$I$50,"&gt;"&amp;EOMONTH(P$4,-1),'[1]2026 Exist New'!$I$9:$I$50,"&lt;="&amp;P$4)</f>
        <v>0</v>
      </c>
      <c r="Q17" s="12">
        <f>COUNTIFS('[1]2026 Exist New'!$U$9:$U$50,"Yes",'[1]2026 Exist New'!$E$9:$E$50,"SlipBot",'[1]2026 Exist New'!$I$9:$I$50,"&gt;"&amp;EOMONTH(Q$4,-1),'[1]2026 Exist New'!$I$9:$I$50,"&lt;="&amp;Q$4)</f>
        <v>0</v>
      </c>
      <c r="R17" s="14">
        <f>COUNTIFS('[1]2026 Exist New'!$U$9:$U$50,"Yes",'[1]2026 Exist New'!$E$9:$E$50,"SlipBot",'[1]2026 Exist New'!$I$9:$I$50,"&gt;"&amp;EOMONTH($F$4,-1),'[1]2026 Exist New'!$I$9:$I$50,"&lt;="&amp;$Q$4)</f>
        <v>0</v>
      </c>
    </row>
    <row r="18" spans="1:18" x14ac:dyDescent="0.3">
      <c r="A18" s="18" t="s">
        <v>15</v>
      </c>
      <c r="B18" s="19">
        <f t="shared" ref="B18:R18" si="1">B16+B17</f>
        <v>0</v>
      </c>
      <c r="C18" s="19">
        <f t="shared" si="1"/>
        <v>2</v>
      </c>
      <c r="D18" s="19">
        <f t="shared" si="1"/>
        <v>2</v>
      </c>
      <c r="E18" s="20">
        <f t="shared" si="1"/>
        <v>0</v>
      </c>
      <c r="F18" s="19">
        <f t="shared" si="1"/>
        <v>3</v>
      </c>
      <c r="G18" s="19">
        <f t="shared" si="1"/>
        <v>2</v>
      </c>
      <c r="H18" s="19">
        <f t="shared" si="1"/>
        <v>0</v>
      </c>
      <c r="I18" s="19">
        <f t="shared" si="1"/>
        <v>5</v>
      </c>
      <c r="J18" s="19">
        <f t="shared" si="1"/>
        <v>4</v>
      </c>
      <c r="K18" s="19">
        <f t="shared" si="1"/>
        <v>6</v>
      </c>
      <c r="L18" s="19">
        <f t="shared" si="1"/>
        <v>5</v>
      </c>
      <c r="M18" s="19">
        <f t="shared" si="1"/>
        <v>6</v>
      </c>
      <c r="N18" s="19">
        <f t="shared" si="1"/>
        <v>8</v>
      </c>
      <c r="O18" s="19">
        <f t="shared" si="1"/>
        <v>8</v>
      </c>
      <c r="P18" s="19">
        <f t="shared" si="1"/>
        <v>10</v>
      </c>
      <c r="Q18" s="19">
        <f t="shared" si="1"/>
        <v>10</v>
      </c>
      <c r="R18" s="21">
        <f t="shared" si="1"/>
        <v>67</v>
      </c>
    </row>
    <row r="19" spans="1:18" x14ac:dyDescent="0.3">
      <c r="A19" s="11" t="s">
        <v>16</v>
      </c>
      <c r="B19" s="12">
        <f>[1]Deploy!D47</f>
        <v>0</v>
      </c>
      <c r="C19" s="12">
        <f>[1]Deploy!E47</f>
        <v>9</v>
      </c>
      <c r="D19" s="12">
        <f>[1]Deploy!F47</f>
        <v>9</v>
      </c>
      <c r="E19" s="13">
        <f>[1]Deploy!G47</f>
        <v>0</v>
      </c>
      <c r="F19" s="12">
        <f>[1]Deploy!H47</f>
        <v>20</v>
      </c>
      <c r="G19" s="12">
        <f>[1]Deploy!I47</f>
        <v>8</v>
      </c>
      <c r="H19" s="12">
        <f>[1]Deploy!J47</f>
        <v>0</v>
      </c>
      <c r="I19" s="12">
        <f>[1]Deploy!K47</f>
        <v>22</v>
      </c>
      <c r="J19" s="12">
        <f>[1]Deploy!L47</f>
        <v>14</v>
      </c>
      <c r="K19" s="12">
        <f>[1]Deploy!M47</f>
        <v>20</v>
      </c>
      <c r="L19" s="12">
        <f>[1]Deploy!N47</f>
        <v>18</v>
      </c>
      <c r="M19" s="12">
        <f>[1]Deploy!O47</f>
        <v>22</v>
      </c>
      <c r="N19" s="12">
        <f>[1]Deploy!P47</f>
        <v>28</v>
      </c>
      <c r="O19" s="12">
        <f>[1]Deploy!Q47</f>
        <v>28</v>
      </c>
      <c r="P19" s="12">
        <f>[1]Deploy!R47</f>
        <v>34</v>
      </c>
      <c r="Q19" s="12">
        <f>[1]Deploy!S47</f>
        <v>36</v>
      </c>
      <c r="R19" s="14">
        <f>[1]Deploy!U47</f>
        <v>250</v>
      </c>
    </row>
    <row r="20" spans="1:18" x14ac:dyDescent="0.3">
      <c r="A20" s="11" t="s">
        <v>17</v>
      </c>
      <c r="B20" s="12">
        <f>[1]Deploy!D48</f>
        <v>0</v>
      </c>
      <c r="C20" s="12">
        <f>[1]Deploy!E48</f>
        <v>35</v>
      </c>
      <c r="D20" s="12">
        <f>[1]Deploy!F48</f>
        <v>32</v>
      </c>
      <c r="E20" s="13">
        <f>[1]Deploy!G48</f>
        <v>0</v>
      </c>
      <c r="F20" s="12">
        <f>[1]Deploy!H48</f>
        <v>60</v>
      </c>
      <c r="G20" s="12">
        <f>[1]Deploy!I48</f>
        <v>24</v>
      </c>
      <c r="H20" s="12">
        <f>[1]Deploy!J48</f>
        <v>0</v>
      </c>
      <c r="I20" s="12">
        <f>[1]Deploy!K48</f>
        <v>86</v>
      </c>
      <c r="J20" s="12">
        <f>[1]Deploy!L48</f>
        <v>61</v>
      </c>
      <c r="K20" s="12">
        <f>[1]Deploy!M48</f>
        <v>98</v>
      </c>
      <c r="L20" s="12">
        <f>[1]Deploy!N48</f>
        <v>73</v>
      </c>
      <c r="M20" s="12">
        <f>[1]Deploy!O48</f>
        <v>85</v>
      </c>
      <c r="N20" s="12">
        <f>[1]Deploy!P48</f>
        <v>122</v>
      </c>
      <c r="O20" s="12">
        <f>[1]Deploy!Q48</f>
        <v>122</v>
      </c>
      <c r="P20" s="12">
        <f>[1]Deploy!R48</f>
        <v>159</v>
      </c>
      <c r="Q20" s="12">
        <f>[1]Deploy!S48</f>
        <v>146</v>
      </c>
      <c r="R20" s="14">
        <f>[1]Deploy!U48</f>
        <v>1036</v>
      </c>
    </row>
    <row r="21" spans="1:18" x14ac:dyDescent="0.3">
      <c r="A21" s="11" t="s">
        <v>18</v>
      </c>
      <c r="B21" s="12">
        <f>[1]Deploy!D49</f>
        <v>0</v>
      </c>
      <c r="C21" s="12">
        <f>[1]Deploy!E49</f>
        <v>0</v>
      </c>
      <c r="D21" s="12">
        <f>[1]Deploy!F49</f>
        <v>0</v>
      </c>
      <c r="E21" s="13">
        <f>[1]Deploy!G49</f>
        <v>0</v>
      </c>
      <c r="F21" s="12">
        <f>[1]Deploy!H49</f>
        <v>0</v>
      </c>
      <c r="G21" s="12">
        <f>[1]Deploy!I49</f>
        <v>0</v>
      </c>
      <c r="H21" s="12">
        <f>[1]Deploy!J49</f>
        <v>0</v>
      </c>
      <c r="I21" s="12">
        <f>[1]Deploy!K49</f>
        <v>0</v>
      </c>
      <c r="J21" s="12">
        <f>[1]Deploy!L49</f>
        <v>0</v>
      </c>
      <c r="K21" s="12">
        <f>[1]Deploy!M49</f>
        <v>0</v>
      </c>
      <c r="L21" s="12">
        <f>[1]Deploy!N49</f>
        <v>0</v>
      </c>
      <c r="M21" s="12">
        <f>[1]Deploy!O49</f>
        <v>0</v>
      </c>
      <c r="N21" s="12">
        <f>[1]Deploy!P49</f>
        <v>0</v>
      </c>
      <c r="O21" s="12">
        <f>[1]Deploy!Q49</f>
        <v>0</v>
      </c>
      <c r="P21" s="12">
        <f>[1]Deploy!R49</f>
        <v>0</v>
      </c>
      <c r="Q21" s="12">
        <f>[1]Deploy!S49</f>
        <v>0</v>
      </c>
      <c r="R21" s="14">
        <f>[1]Deploy!U49</f>
        <v>0</v>
      </c>
    </row>
    <row r="22" spans="1:18" x14ac:dyDescent="0.3">
      <c r="A22" s="26"/>
      <c r="E22" s="27"/>
      <c r="R22" s="28"/>
    </row>
    <row r="23" spans="1:18" x14ac:dyDescent="0.3">
      <c r="A23" s="32" t="s">
        <v>19</v>
      </c>
      <c r="B23" s="33"/>
      <c r="C23" s="33"/>
      <c r="D23" s="33"/>
      <c r="E23" s="34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1:18" x14ac:dyDescent="0.3">
      <c r="A24" s="11" t="s">
        <v>20</v>
      </c>
      <c r="B24" s="12">
        <f>[1]Deploy!D53</f>
        <v>9</v>
      </c>
      <c r="C24" s="12">
        <f>[1]Deploy!E53</f>
        <v>0</v>
      </c>
      <c r="D24" s="12">
        <f>[1]Deploy!F53</f>
        <v>20</v>
      </c>
      <c r="E24" s="13">
        <f>[1]Deploy!G53</f>
        <v>8</v>
      </c>
      <c r="F24" s="12">
        <f>[1]Deploy!H53</f>
        <v>0</v>
      </c>
      <c r="G24" s="12">
        <f>[1]Deploy!I53</f>
        <v>22</v>
      </c>
      <c r="H24" s="12">
        <f>[1]Deploy!J53</f>
        <v>14</v>
      </c>
      <c r="I24" s="12">
        <f>[1]Deploy!K53</f>
        <v>20</v>
      </c>
      <c r="J24" s="12">
        <f>[1]Deploy!L53</f>
        <v>18</v>
      </c>
      <c r="K24" s="12">
        <f>[1]Deploy!M53</f>
        <v>22</v>
      </c>
      <c r="L24" s="12">
        <f>[1]Deploy!N53</f>
        <v>28</v>
      </c>
      <c r="M24" s="12">
        <f>[1]Deploy!O53</f>
        <v>28</v>
      </c>
      <c r="N24" s="12">
        <f>[1]Deploy!P53</f>
        <v>34</v>
      </c>
      <c r="O24" s="12">
        <f>[1]Deploy!Q53</f>
        <v>36</v>
      </c>
      <c r="P24" s="12">
        <f>[1]Deploy!R53</f>
        <v>42</v>
      </c>
      <c r="Q24" s="12">
        <f>[1]Deploy!S53</f>
        <v>48</v>
      </c>
      <c r="R24" s="14">
        <f>[1]Deploy!U53</f>
        <v>312</v>
      </c>
    </row>
    <row r="25" spans="1:18" x14ac:dyDescent="0.3">
      <c r="A25" s="11" t="s">
        <v>21</v>
      </c>
      <c r="B25" s="12">
        <f>[1]Deploy!D54</f>
        <v>32</v>
      </c>
      <c r="C25" s="12">
        <f>[1]Deploy!E54</f>
        <v>0</v>
      </c>
      <c r="D25" s="12">
        <f>[1]Deploy!F54</f>
        <v>60</v>
      </c>
      <c r="E25" s="13">
        <f>[1]Deploy!G54</f>
        <v>24</v>
      </c>
      <c r="F25" s="12">
        <f>[1]Deploy!H54</f>
        <v>0</v>
      </c>
      <c r="G25" s="12">
        <f>[1]Deploy!I54</f>
        <v>86</v>
      </c>
      <c r="H25" s="12">
        <f>[1]Deploy!J54</f>
        <v>61</v>
      </c>
      <c r="I25" s="12">
        <f>[1]Deploy!K54</f>
        <v>98</v>
      </c>
      <c r="J25" s="12">
        <f>[1]Deploy!L54</f>
        <v>73</v>
      </c>
      <c r="K25" s="12">
        <f>[1]Deploy!M54</f>
        <v>85</v>
      </c>
      <c r="L25" s="12">
        <f>[1]Deploy!N54</f>
        <v>122</v>
      </c>
      <c r="M25" s="12">
        <f>[1]Deploy!O54</f>
        <v>122</v>
      </c>
      <c r="N25" s="12">
        <f>[1]Deploy!P54</f>
        <v>159</v>
      </c>
      <c r="O25" s="12">
        <f>[1]Deploy!Q54</f>
        <v>146</v>
      </c>
      <c r="P25" s="12">
        <f>[1]Deploy!R54</f>
        <v>183</v>
      </c>
      <c r="Q25" s="12">
        <f>[1]Deploy!S54</f>
        <v>220</v>
      </c>
      <c r="R25" s="14">
        <f>[1]Deploy!U54</f>
        <v>1355</v>
      </c>
    </row>
    <row r="26" spans="1:18" x14ac:dyDescent="0.3">
      <c r="A26" s="11" t="s">
        <v>22</v>
      </c>
      <c r="B26" s="12">
        <f>[1]Deploy!D55</f>
        <v>0</v>
      </c>
      <c r="C26" s="12">
        <f>[1]Deploy!E55</f>
        <v>0</v>
      </c>
      <c r="D26" s="12">
        <f>[1]Deploy!F55</f>
        <v>0</v>
      </c>
      <c r="E26" s="13">
        <f>[1]Deploy!G55</f>
        <v>0</v>
      </c>
      <c r="F26" s="12">
        <f>[1]Deploy!H55</f>
        <v>0</v>
      </c>
      <c r="G26" s="12">
        <f>[1]Deploy!I55</f>
        <v>0</v>
      </c>
      <c r="H26" s="12">
        <f>[1]Deploy!J55</f>
        <v>0</v>
      </c>
      <c r="I26" s="12">
        <f>[1]Deploy!K55</f>
        <v>0</v>
      </c>
      <c r="J26" s="12">
        <f>[1]Deploy!L55</f>
        <v>0</v>
      </c>
      <c r="K26" s="12">
        <f>[1]Deploy!M55</f>
        <v>0</v>
      </c>
      <c r="L26" s="12">
        <f>[1]Deploy!N55</f>
        <v>0</v>
      </c>
      <c r="M26" s="12">
        <f>[1]Deploy!O55</f>
        <v>0</v>
      </c>
      <c r="N26" s="12">
        <f>[1]Deploy!P55</f>
        <v>0</v>
      </c>
      <c r="O26" s="12">
        <f>[1]Deploy!Q55</f>
        <v>0</v>
      </c>
      <c r="P26" s="12">
        <f>[1]Deploy!R55</f>
        <v>0</v>
      </c>
      <c r="Q26" s="12">
        <f>[1]Deploy!S55</f>
        <v>0</v>
      </c>
      <c r="R26" s="14">
        <f>[1]Deploy!U55</f>
        <v>0</v>
      </c>
    </row>
    <row r="27" spans="1:18" x14ac:dyDescent="0.3">
      <c r="A27" s="35" t="s">
        <v>23</v>
      </c>
      <c r="B27" s="36">
        <f t="shared" ref="B27:Q28" si="2">B24/(DAY(B$4)/7)</f>
        <v>2.1</v>
      </c>
      <c r="C27" s="36">
        <f t="shared" si="2"/>
        <v>0</v>
      </c>
      <c r="D27" s="36">
        <f t="shared" si="2"/>
        <v>4.666666666666667</v>
      </c>
      <c r="E27" s="37">
        <f t="shared" si="2"/>
        <v>1.8064516129032258</v>
      </c>
      <c r="F27" s="36">
        <f t="shared" si="2"/>
        <v>0</v>
      </c>
      <c r="G27" s="36">
        <f t="shared" si="2"/>
        <v>5.5</v>
      </c>
      <c r="H27" s="36">
        <f t="shared" si="2"/>
        <v>3.161290322580645</v>
      </c>
      <c r="I27" s="36">
        <f t="shared" si="2"/>
        <v>4.666666666666667</v>
      </c>
      <c r="J27" s="36">
        <f t="shared" si="2"/>
        <v>4.064516129032258</v>
      </c>
      <c r="K27" s="36">
        <f t="shared" si="2"/>
        <v>5.1333333333333337</v>
      </c>
      <c r="L27" s="36">
        <f t="shared" si="2"/>
        <v>6.32258064516129</v>
      </c>
      <c r="M27" s="36">
        <f t="shared" si="2"/>
        <v>6.32258064516129</v>
      </c>
      <c r="N27" s="36">
        <f t="shared" si="2"/>
        <v>7.9333333333333336</v>
      </c>
      <c r="O27" s="36">
        <f t="shared" si="2"/>
        <v>8.129032258064516</v>
      </c>
      <c r="P27" s="36">
        <f t="shared" si="2"/>
        <v>9.8000000000000007</v>
      </c>
      <c r="Q27" s="36">
        <f t="shared" si="2"/>
        <v>10.838709677419354</v>
      </c>
      <c r="R27" s="38" cm="1">
        <f t="array" ref="R27">R24/(SUMPRODUCT(DAY($F$4:$Q$4))/7)</f>
        <v>5.9835616438356158</v>
      </c>
    </row>
    <row r="28" spans="1:18" x14ac:dyDescent="0.3">
      <c r="A28" s="35" t="s">
        <v>24</v>
      </c>
      <c r="B28" s="36">
        <f t="shared" si="2"/>
        <v>7.4666666666666668</v>
      </c>
      <c r="C28" s="36">
        <f t="shared" si="2"/>
        <v>0</v>
      </c>
      <c r="D28" s="36">
        <f t="shared" si="2"/>
        <v>14</v>
      </c>
      <c r="E28" s="37">
        <f t="shared" si="2"/>
        <v>5.419354838709677</v>
      </c>
      <c r="F28" s="36">
        <f t="shared" si="2"/>
        <v>0</v>
      </c>
      <c r="G28" s="36">
        <f t="shared" si="2"/>
        <v>21.5</v>
      </c>
      <c r="H28" s="36">
        <f t="shared" si="2"/>
        <v>13.774193548387096</v>
      </c>
      <c r="I28" s="36">
        <f t="shared" si="2"/>
        <v>22.866666666666667</v>
      </c>
      <c r="J28" s="36">
        <f t="shared" si="2"/>
        <v>16.483870967741936</v>
      </c>
      <c r="K28" s="36">
        <f t="shared" si="2"/>
        <v>19.833333333333332</v>
      </c>
      <c r="L28" s="36">
        <f t="shared" si="2"/>
        <v>27.548387096774192</v>
      </c>
      <c r="M28" s="36">
        <f t="shared" si="2"/>
        <v>27.548387096774192</v>
      </c>
      <c r="N28" s="36">
        <f t="shared" si="2"/>
        <v>37.1</v>
      </c>
      <c r="O28" s="36">
        <f t="shared" si="2"/>
        <v>32.967741935483872</v>
      </c>
      <c r="P28" s="36">
        <f t="shared" si="2"/>
        <v>42.7</v>
      </c>
      <c r="Q28" s="36">
        <f t="shared" si="2"/>
        <v>49.677419354838705</v>
      </c>
      <c r="R28" s="38" cm="1">
        <f t="array" ref="R28">R25/(SUMPRODUCT(DAY($F$4:$Q$4))/7)</f>
        <v>25.986301369863011</v>
      </c>
    </row>
    <row r="29" spans="1:18" x14ac:dyDescent="0.3">
      <c r="A29" s="39" t="s">
        <v>25</v>
      </c>
      <c r="B29" s="40">
        <f>[1]Deploy!D68</f>
        <v>878237.5</v>
      </c>
      <c r="C29" s="40">
        <f>[1]Deploy!E68</f>
        <v>0</v>
      </c>
      <c r="D29" s="40">
        <f>[1]Deploy!F68</f>
        <v>1862750</v>
      </c>
      <c r="E29" s="41">
        <f>[1]Deploy!G68</f>
        <v>745100</v>
      </c>
      <c r="F29" s="40">
        <f>[1]Deploy!H68</f>
        <v>0</v>
      </c>
      <c r="G29" s="40">
        <f>[1]Deploy!I68</f>
        <v>2209025</v>
      </c>
      <c r="H29" s="40">
        <f>[1]Deploy!J68</f>
        <v>1455925</v>
      </c>
      <c r="I29" s="40">
        <f>[1]Deploy!K68</f>
        <v>2166750</v>
      </c>
      <c r="J29" s="40">
        <f>[1]Deploy!L68</f>
        <v>1828475</v>
      </c>
      <c r="K29" s="40">
        <f>[1]Deploy!M68</f>
        <v>2201025</v>
      </c>
      <c r="L29" s="40">
        <f>[1]Deploy!N68</f>
        <v>2911850</v>
      </c>
      <c r="M29" s="40">
        <f>[1]Deploy!O68</f>
        <v>2911850</v>
      </c>
      <c r="N29" s="40">
        <f>[1]Deploy!P68</f>
        <v>3622675</v>
      </c>
      <c r="O29" s="40">
        <f>[1]Deploy!Q68</f>
        <v>3656950</v>
      </c>
      <c r="P29" s="40">
        <f>[1]Deploy!R68</f>
        <v>4367775</v>
      </c>
      <c r="Q29" s="40">
        <f>[1]Deploy!S68</f>
        <v>5078600</v>
      </c>
      <c r="R29" s="42">
        <f>[1]Deploy!U68</f>
        <v>32410900</v>
      </c>
    </row>
    <row r="30" spans="1:18" x14ac:dyDescent="0.3">
      <c r="A30" s="26" t="s">
        <v>26</v>
      </c>
      <c r="B30" s="15">
        <f>[1]Deploy!D69</f>
        <v>0</v>
      </c>
      <c r="C30" s="15">
        <f>[1]Deploy!E69</f>
        <v>10000</v>
      </c>
      <c r="D30" s="15">
        <f>[1]Deploy!F69</f>
        <v>10000</v>
      </c>
      <c r="E30" s="16">
        <f>[1]Deploy!G69</f>
        <v>0</v>
      </c>
      <c r="F30" s="15">
        <f>[1]Deploy!H69</f>
        <v>15000</v>
      </c>
      <c r="G30" s="15">
        <f>[1]Deploy!I69</f>
        <v>10000</v>
      </c>
      <c r="H30" s="15">
        <f>[1]Deploy!J69</f>
        <v>0</v>
      </c>
      <c r="I30" s="15">
        <f>[1]Deploy!K69</f>
        <v>25000</v>
      </c>
      <c r="J30" s="15">
        <f>[1]Deploy!L69</f>
        <v>20000</v>
      </c>
      <c r="K30" s="15">
        <f>[1]Deploy!M69</f>
        <v>30000</v>
      </c>
      <c r="L30" s="15">
        <f>[1]Deploy!N69</f>
        <v>25000</v>
      </c>
      <c r="M30" s="15">
        <f>[1]Deploy!O69</f>
        <v>30000</v>
      </c>
      <c r="N30" s="15">
        <f>[1]Deploy!P69</f>
        <v>40000</v>
      </c>
      <c r="O30" s="15">
        <f>[1]Deploy!Q69</f>
        <v>40000</v>
      </c>
      <c r="P30" s="15">
        <f>[1]Deploy!R69</f>
        <v>50000</v>
      </c>
      <c r="Q30" s="15">
        <f>[1]Deploy!S69</f>
        <v>50000</v>
      </c>
      <c r="R30" s="17">
        <f>[1]Deploy!U69</f>
        <v>335000</v>
      </c>
    </row>
    <row r="31" spans="1:18" x14ac:dyDescent="0.3">
      <c r="A31" s="26"/>
      <c r="E31" s="27"/>
      <c r="R31" s="28"/>
    </row>
    <row r="32" spans="1:18" outlineLevel="1" x14ac:dyDescent="0.3">
      <c r="A32" s="43" t="s">
        <v>27</v>
      </c>
      <c r="B32" s="44"/>
      <c r="C32" s="44"/>
      <c r="D32" s="44"/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1:18" outlineLevel="1" x14ac:dyDescent="0.3">
      <c r="A33" s="35" t="s">
        <v>28</v>
      </c>
      <c r="B33" s="46">
        <f>SUMIFS('[1]Deploy Detail'!$G$225:$G$236,'[1]Deploy Detail'!$E$225:$E$236,B$4,'[1]Deploy Detail'!$D$225:$D$236,"&gt;"&amp;'[1]Deploy Detail'!$B$13)+SUMIFS('[1]Deploy Detail'!$G$239:$G$250,'[1]Deploy Detail'!$E$239:$E$250,B$4,'[1]Deploy Detail'!$D$239:$D$250,"&gt;"&amp;'[1]Deploy Detail'!$B$13)</f>
        <v>0</v>
      </c>
      <c r="C33" s="46">
        <f>SUMIFS('[1]Deploy Detail'!$G$225:$G$236,'[1]Deploy Detail'!$E$225:$E$236,C$4,'[1]Deploy Detail'!$D$225:$D$236,"&gt;"&amp;'[1]Deploy Detail'!$B$13)+SUMIFS('[1]Deploy Detail'!$G$239:$G$250,'[1]Deploy Detail'!$E$239:$E$250,C$4,'[1]Deploy Detail'!$D$239:$D$250,"&gt;"&amp;'[1]Deploy Detail'!$B$13)</f>
        <v>0</v>
      </c>
      <c r="D33" s="46">
        <f>SUMIFS('[1]Deploy Detail'!$G$225:$G$236,'[1]Deploy Detail'!$E$225:$E$236,D$4,'[1]Deploy Detail'!$D$225:$D$236,"&gt;"&amp;'[1]Deploy Detail'!$B$13)+SUMIFS('[1]Deploy Detail'!$G$239:$G$250,'[1]Deploy Detail'!$E$239:$E$250,D$4,'[1]Deploy Detail'!$D$239:$D$250,"&gt;"&amp;'[1]Deploy Detail'!$B$13)</f>
        <v>0</v>
      </c>
      <c r="E33" s="47">
        <f>SUMIFS('[1]Deploy Detail'!$G$225:$G$236,'[1]Deploy Detail'!$E$225:$E$236,E$4,'[1]Deploy Detail'!$D$225:$D$236,"&gt;"&amp;'[1]Deploy Detail'!$B$13)+SUMIFS('[1]Deploy Detail'!$G$239:$G$250,'[1]Deploy Detail'!$E$239:$E$250,E$4,'[1]Deploy Detail'!$D$239:$D$250,"&gt;"&amp;'[1]Deploy Detail'!$B$13)</f>
        <v>0</v>
      </c>
      <c r="F33" s="46">
        <f>SUMIFS('[1]Deploy Detail'!$G$225:$G$236,'[1]Deploy Detail'!$E$225:$E$236,F$4,'[1]Deploy Detail'!$D$225:$D$236,"&gt;"&amp;'[1]Deploy Detail'!$B$13)+SUMIFS('[1]Deploy Detail'!$G$239:$G$250,'[1]Deploy Detail'!$E$239:$E$250,F$4,'[1]Deploy Detail'!$D$239:$D$250,"&gt;"&amp;'[1]Deploy Detail'!$B$13)</f>
        <v>0</v>
      </c>
      <c r="G33" s="46">
        <f>SUMIFS('[1]Deploy Detail'!$G$225:$G$236,'[1]Deploy Detail'!$E$225:$E$236,G$4,'[1]Deploy Detail'!$D$225:$D$236,"&gt;"&amp;'[1]Deploy Detail'!$B$13)+SUMIFS('[1]Deploy Detail'!$G$239:$G$250,'[1]Deploy Detail'!$E$239:$E$250,G$4,'[1]Deploy Detail'!$D$239:$D$250,"&gt;"&amp;'[1]Deploy Detail'!$B$13)</f>
        <v>0</v>
      </c>
      <c r="H33" s="46">
        <f>SUMIFS('[1]Deploy Detail'!$G$225:$G$236,'[1]Deploy Detail'!$E$225:$E$236,H$4,'[1]Deploy Detail'!$D$225:$D$236,"&gt;"&amp;'[1]Deploy Detail'!$B$13)+SUMIFS('[1]Deploy Detail'!$G$239:$G$250,'[1]Deploy Detail'!$E$239:$E$250,H$4,'[1]Deploy Detail'!$D$239:$D$250,"&gt;"&amp;'[1]Deploy Detail'!$B$13)</f>
        <v>0</v>
      </c>
      <c r="I33" s="46">
        <f>SUMIFS('[1]Deploy Detail'!$G$225:$G$236,'[1]Deploy Detail'!$E$225:$E$236,I$4,'[1]Deploy Detail'!$D$225:$D$236,"&gt;"&amp;'[1]Deploy Detail'!$B$13)+SUMIFS('[1]Deploy Detail'!$G$239:$G$250,'[1]Deploy Detail'!$E$239:$E$250,I$4,'[1]Deploy Detail'!$D$239:$D$250,"&gt;"&amp;'[1]Deploy Detail'!$B$13)</f>
        <v>0</v>
      </c>
      <c r="J33" s="46">
        <f>SUMIFS('[1]Deploy Detail'!$G$225:$G$236,'[1]Deploy Detail'!$E$225:$E$236,J$4,'[1]Deploy Detail'!$D$225:$D$236,"&gt;"&amp;'[1]Deploy Detail'!$B$13)+SUMIFS('[1]Deploy Detail'!$G$239:$G$250,'[1]Deploy Detail'!$E$239:$E$250,J$4,'[1]Deploy Detail'!$D$239:$D$250,"&gt;"&amp;'[1]Deploy Detail'!$B$13)</f>
        <v>0</v>
      </c>
      <c r="K33" s="46">
        <f>SUMIFS('[1]Deploy Detail'!$G$225:$G$236,'[1]Deploy Detail'!$E$225:$E$236,K$4,'[1]Deploy Detail'!$D$225:$D$236,"&gt;"&amp;'[1]Deploy Detail'!$B$13)+SUMIFS('[1]Deploy Detail'!$G$239:$G$250,'[1]Deploy Detail'!$E$239:$E$250,K$4,'[1]Deploy Detail'!$D$239:$D$250,"&gt;"&amp;'[1]Deploy Detail'!$B$13)</f>
        <v>0</v>
      </c>
      <c r="L33" s="46">
        <f>SUMIFS('[1]Deploy Detail'!$G$225:$G$236,'[1]Deploy Detail'!$E$225:$E$236,L$4,'[1]Deploy Detail'!$D$225:$D$236,"&gt;"&amp;'[1]Deploy Detail'!$B$13)+SUMIFS('[1]Deploy Detail'!$G$239:$G$250,'[1]Deploy Detail'!$E$239:$E$250,L$4,'[1]Deploy Detail'!$D$239:$D$250,"&gt;"&amp;'[1]Deploy Detail'!$B$13)</f>
        <v>0</v>
      </c>
      <c r="M33" s="46">
        <f>SUMIFS('[1]Deploy Detail'!$G$225:$G$236,'[1]Deploy Detail'!$E$225:$E$236,M$4,'[1]Deploy Detail'!$D$225:$D$236,"&gt;"&amp;'[1]Deploy Detail'!$B$13)+SUMIFS('[1]Deploy Detail'!$G$239:$G$250,'[1]Deploy Detail'!$E$239:$E$250,M$4,'[1]Deploy Detail'!$D$239:$D$250,"&gt;"&amp;'[1]Deploy Detail'!$B$13)</f>
        <v>0</v>
      </c>
      <c r="N33" s="46">
        <f>SUMIFS('[1]Deploy Detail'!$G$225:$G$236,'[1]Deploy Detail'!$E$225:$E$236,N$4,'[1]Deploy Detail'!$D$225:$D$236,"&gt;"&amp;'[1]Deploy Detail'!$B$13)+SUMIFS('[1]Deploy Detail'!$G$239:$G$250,'[1]Deploy Detail'!$E$239:$E$250,N$4,'[1]Deploy Detail'!$D$239:$D$250,"&gt;"&amp;'[1]Deploy Detail'!$B$13)</f>
        <v>0</v>
      </c>
      <c r="O33" s="46">
        <f>SUMIFS('[1]Deploy Detail'!$G$225:$G$236,'[1]Deploy Detail'!$E$225:$E$236,O$4,'[1]Deploy Detail'!$D$225:$D$236,"&gt;"&amp;'[1]Deploy Detail'!$B$13)+SUMIFS('[1]Deploy Detail'!$G$239:$G$250,'[1]Deploy Detail'!$E$239:$E$250,O$4,'[1]Deploy Detail'!$D$239:$D$250,"&gt;"&amp;'[1]Deploy Detail'!$B$13)</f>
        <v>0</v>
      </c>
      <c r="P33" s="46">
        <f>SUMIFS('[1]Deploy Detail'!$G$225:$G$236,'[1]Deploy Detail'!$E$225:$E$236,P$4,'[1]Deploy Detail'!$D$225:$D$236,"&gt;"&amp;'[1]Deploy Detail'!$B$13)+SUMIFS('[1]Deploy Detail'!$G$239:$G$250,'[1]Deploy Detail'!$E$239:$E$250,P$4,'[1]Deploy Detail'!$D$239:$D$250,"&gt;"&amp;'[1]Deploy Detail'!$B$13)</f>
        <v>42</v>
      </c>
      <c r="Q33" s="46">
        <f>SUMIFS('[1]Deploy Detail'!$G$225:$G$236,'[1]Deploy Detail'!$E$225:$E$236,Q$4,'[1]Deploy Detail'!$D$225:$D$236,"&gt;"&amp;'[1]Deploy Detail'!$B$13)+SUMIFS('[1]Deploy Detail'!$G$239:$G$250,'[1]Deploy Detail'!$E$239:$E$250,Q$4,'[1]Deploy Detail'!$D$239:$D$250,"&gt;"&amp;'[1]Deploy Detail'!$B$13)</f>
        <v>48</v>
      </c>
      <c r="R33" s="48">
        <f>SUM(F33:Q33)</f>
        <v>90</v>
      </c>
    </row>
    <row r="34" spans="1:18" outlineLevel="1" x14ac:dyDescent="0.3">
      <c r="A34" s="35" t="s">
        <v>29</v>
      </c>
      <c r="B34" s="46">
        <f>SUMIFS('[1]Deploy Detail'!$H$225:$H$236,'[1]Deploy Detail'!$E$225:$E$236,B$4,'[1]Deploy Detail'!$D$225:$D$236,"&gt;"&amp;'[1]Deploy Detail'!$B$13)+SUMIFS('[1]Deploy Detail'!$H$239:$H$250,'[1]Deploy Detail'!$E$239:$E$250,B$4,'[1]Deploy Detail'!$D$239:$D$250,"&gt;"&amp;'[1]Deploy Detail'!$B$13)</f>
        <v>0</v>
      </c>
      <c r="C34" s="46">
        <f>SUMIFS('[1]Deploy Detail'!$H$225:$H$236,'[1]Deploy Detail'!$E$225:$E$236,C$4,'[1]Deploy Detail'!$D$225:$D$236,"&gt;"&amp;'[1]Deploy Detail'!$B$13)+SUMIFS('[1]Deploy Detail'!$H$239:$H$250,'[1]Deploy Detail'!$E$239:$E$250,C$4,'[1]Deploy Detail'!$D$239:$D$250,"&gt;"&amp;'[1]Deploy Detail'!$B$13)</f>
        <v>0</v>
      </c>
      <c r="D34" s="46">
        <f>SUMIFS('[1]Deploy Detail'!$H$225:$H$236,'[1]Deploy Detail'!$E$225:$E$236,D$4,'[1]Deploy Detail'!$D$225:$D$236,"&gt;"&amp;'[1]Deploy Detail'!$B$13)+SUMIFS('[1]Deploy Detail'!$H$239:$H$250,'[1]Deploy Detail'!$E$239:$E$250,D$4,'[1]Deploy Detail'!$D$239:$D$250,"&gt;"&amp;'[1]Deploy Detail'!$B$13)</f>
        <v>0</v>
      </c>
      <c r="E34" s="47">
        <f>SUMIFS('[1]Deploy Detail'!$H$225:$H$236,'[1]Deploy Detail'!$E$225:$E$236,E$4,'[1]Deploy Detail'!$D$225:$D$236,"&gt;"&amp;'[1]Deploy Detail'!$B$13)+SUMIFS('[1]Deploy Detail'!$H$239:$H$250,'[1]Deploy Detail'!$E$239:$E$250,E$4,'[1]Deploy Detail'!$D$239:$D$250,"&gt;"&amp;'[1]Deploy Detail'!$B$13)</f>
        <v>0</v>
      </c>
      <c r="F34" s="46">
        <f>SUMIFS('[1]Deploy Detail'!$H$225:$H$236,'[1]Deploy Detail'!$E$225:$E$236,F$4,'[1]Deploy Detail'!$D$225:$D$236,"&gt;"&amp;'[1]Deploy Detail'!$B$13)+SUMIFS('[1]Deploy Detail'!$H$239:$H$250,'[1]Deploy Detail'!$E$239:$E$250,F$4,'[1]Deploy Detail'!$D$239:$D$250,"&gt;"&amp;'[1]Deploy Detail'!$B$13)</f>
        <v>0</v>
      </c>
      <c r="G34" s="46">
        <f>SUMIFS('[1]Deploy Detail'!$H$225:$H$236,'[1]Deploy Detail'!$E$225:$E$236,G$4,'[1]Deploy Detail'!$D$225:$D$236,"&gt;"&amp;'[1]Deploy Detail'!$B$13)+SUMIFS('[1]Deploy Detail'!$H$239:$H$250,'[1]Deploy Detail'!$E$239:$E$250,G$4,'[1]Deploy Detail'!$D$239:$D$250,"&gt;"&amp;'[1]Deploy Detail'!$B$13)</f>
        <v>0</v>
      </c>
      <c r="H34" s="46">
        <f>SUMIFS('[1]Deploy Detail'!$H$225:$H$236,'[1]Deploy Detail'!$E$225:$E$236,H$4,'[1]Deploy Detail'!$D$225:$D$236,"&gt;"&amp;'[1]Deploy Detail'!$B$13)+SUMIFS('[1]Deploy Detail'!$H$239:$H$250,'[1]Deploy Detail'!$E$239:$E$250,H$4,'[1]Deploy Detail'!$D$239:$D$250,"&gt;"&amp;'[1]Deploy Detail'!$B$13)</f>
        <v>0</v>
      </c>
      <c r="I34" s="46">
        <f>SUMIFS('[1]Deploy Detail'!$H$225:$H$236,'[1]Deploy Detail'!$E$225:$E$236,I$4,'[1]Deploy Detail'!$D$225:$D$236,"&gt;"&amp;'[1]Deploy Detail'!$B$13)+SUMIFS('[1]Deploy Detail'!$H$239:$H$250,'[1]Deploy Detail'!$E$239:$E$250,I$4,'[1]Deploy Detail'!$D$239:$D$250,"&gt;"&amp;'[1]Deploy Detail'!$B$13)</f>
        <v>0</v>
      </c>
      <c r="J34" s="46">
        <f>SUMIFS('[1]Deploy Detail'!$H$225:$H$236,'[1]Deploy Detail'!$E$225:$E$236,J$4,'[1]Deploy Detail'!$D$225:$D$236,"&gt;"&amp;'[1]Deploy Detail'!$B$13)+SUMIFS('[1]Deploy Detail'!$H$239:$H$250,'[1]Deploy Detail'!$E$239:$E$250,J$4,'[1]Deploy Detail'!$D$239:$D$250,"&gt;"&amp;'[1]Deploy Detail'!$B$13)</f>
        <v>0</v>
      </c>
      <c r="K34" s="46">
        <f>SUMIFS('[1]Deploy Detail'!$H$225:$H$236,'[1]Deploy Detail'!$E$225:$E$236,K$4,'[1]Deploy Detail'!$D$225:$D$236,"&gt;"&amp;'[1]Deploy Detail'!$B$13)+SUMIFS('[1]Deploy Detail'!$H$239:$H$250,'[1]Deploy Detail'!$E$239:$E$250,K$4,'[1]Deploy Detail'!$D$239:$D$250,"&gt;"&amp;'[1]Deploy Detail'!$B$13)</f>
        <v>0</v>
      </c>
      <c r="L34" s="46">
        <f>SUMIFS('[1]Deploy Detail'!$H$225:$H$236,'[1]Deploy Detail'!$E$225:$E$236,L$4,'[1]Deploy Detail'!$D$225:$D$236,"&gt;"&amp;'[1]Deploy Detail'!$B$13)+SUMIFS('[1]Deploy Detail'!$H$239:$H$250,'[1]Deploy Detail'!$E$239:$E$250,L$4,'[1]Deploy Detail'!$D$239:$D$250,"&gt;"&amp;'[1]Deploy Detail'!$B$13)</f>
        <v>0</v>
      </c>
      <c r="M34" s="46">
        <f>SUMIFS('[1]Deploy Detail'!$H$225:$H$236,'[1]Deploy Detail'!$E$225:$E$236,M$4,'[1]Deploy Detail'!$D$225:$D$236,"&gt;"&amp;'[1]Deploy Detail'!$B$13)+SUMIFS('[1]Deploy Detail'!$H$239:$H$250,'[1]Deploy Detail'!$E$239:$E$250,M$4,'[1]Deploy Detail'!$D$239:$D$250,"&gt;"&amp;'[1]Deploy Detail'!$B$13)</f>
        <v>0</v>
      </c>
      <c r="N34" s="46">
        <f>SUMIFS('[1]Deploy Detail'!$H$225:$H$236,'[1]Deploy Detail'!$E$225:$E$236,N$4,'[1]Deploy Detail'!$D$225:$D$236,"&gt;"&amp;'[1]Deploy Detail'!$B$13)+SUMIFS('[1]Deploy Detail'!$H$239:$H$250,'[1]Deploy Detail'!$E$239:$E$250,N$4,'[1]Deploy Detail'!$D$239:$D$250,"&gt;"&amp;'[1]Deploy Detail'!$B$13)</f>
        <v>0</v>
      </c>
      <c r="O34" s="46">
        <f>SUMIFS('[1]Deploy Detail'!$H$225:$H$236,'[1]Deploy Detail'!$E$225:$E$236,O$4,'[1]Deploy Detail'!$D$225:$D$236,"&gt;"&amp;'[1]Deploy Detail'!$B$13)+SUMIFS('[1]Deploy Detail'!$H$239:$H$250,'[1]Deploy Detail'!$E$239:$E$250,O$4,'[1]Deploy Detail'!$D$239:$D$250,"&gt;"&amp;'[1]Deploy Detail'!$B$13)</f>
        <v>0</v>
      </c>
      <c r="P34" s="46">
        <f>SUMIFS('[1]Deploy Detail'!$H$225:$H$236,'[1]Deploy Detail'!$E$225:$E$236,P$4,'[1]Deploy Detail'!$D$225:$D$236,"&gt;"&amp;'[1]Deploy Detail'!$B$13)+SUMIFS('[1]Deploy Detail'!$H$239:$H$250,'[1]Deploy Detail'!$E$239:$E$250,P$4,'[1]Deploy Detail'!$D$239:$D$250,"&gt;"&amp;'[1]Deploy Detail'!$B$13)</f>
        <v>183</v>
      </c>
      <c r="Q34" s="46">
        <f>SUMIFS('[1]Deploy Detail'!$H$225:$H$236,'[1]Deploy Detail'!$E$225:$E$236,Q$4,'[1]Deploy Detail'!$D$225:$D$236,"&gt;"&amp;'[1]Deploy Detail'!$B$13)+SUMIFS('[1]Deploy Detail'!$H$239:$H$250,'[1]Deploy Detail'!$E$239:$E$250,Q$4,'[1]Deploy Detail'!$D$239:$D$250,"&gt;"&amp;'[1]Deploy Detail'!$B$13)</f>
        <v>220</v>
      </c>
      <c r="R34" s="48">
        <f>SUM(F34:Q34)</f>
        <v>403</v>
      </c>
    </row>
    <row r="35" spans="1:18" outlineLevel="1" x14ac:dyDescent="0.3">
      <c r="A35" s="49" t="s">
        <v>30</v>
      </c>
      <c r="B35" s="50">
        <f>B33*([1]Deploy!$B$7+[1]Deploy!$B$14)+B34*[1]Deploy!$B$8</f>
        <v>0</v>
      </c>
      <c r="C35" s="50">
        <f>C33*([1]Deploy!$B$7+[1]Deploy!$B$14)+C34*[1]Deploy!$B$8</f>
        <v>0</v>
      </c>
      <c r="D35" s="50">
        <f>D33*([1]Deploy!$B$7+[1]Deploy!$B$14)+D34*[1]Deploy!$B$8</f>
        <v>0</v>
      </c>
      <c r="E35" s="51">
        <f>E33*([1]Deploy!$B$7+[1]Deploy!$B$14)+E34*[1]Deploy!$B$8</f>
        <v>0</v>
      </c>
      <c r="F35" s="50">
        <f>F33*([1]Deploy!$B$7+[1]Deploy!$B$14)+F34*[1]Deploy!$B$8</f>
        <v>0</v>
      </c>
      <c r="G35" s="50">
        <f>G33*([1]Deploy!$B$7+[1]Deploy!$B$14)+G34*[1]Deploy!$B$8</f>
        <v>0</v>
      </c>
      <c r="H35" s="50">
        <f>H33*([1]Deploy!$B$7+[1]Deploy!$B$14)+H34*[1]Deploy!$B$8</f>
        <v>0</v>
      </c>
      <c r="I35" s="50">
        <f>I33*([1]Deploy!$B$7+[1]Deploy!$B$14)+I34*[1]Deploy!$B$8</f>
        <v>0</v>
      </c>
      <c r="J35" s="50">
        <f>J33*([1]Deploy!$B$7+[1]Deploy!$B$14)+J34*[1]Deploy!$B$8</f>
        <v>0</v>
      </c>
      <c r="K35" s="50">
        <f>K33*([1]Deploy!$B$7+[1]Deploy!$B$14)+K34*[1]Deploy!$B$8</f>
        <v>0</v>
      </c>
      <c r="L35" s="50">
        <f>L33*([1]Deploy!$B$7+[1]Deploy!$B$14)+L34*[1]Deploy!$B$8</f>
        <v>0</v>
      </c>
      <c r="M35" s="50">
        <f>M33*([1]Deploy!$B$7+[1]Deploy!$B$14)+M34*[1]Deploy!$B$8</f>
        <v>0</v>
      </c>
      <c r="N35" s="50">
        <f>N33*([1]Deploy!$B$7+[1]Deploy!$B$14)+N34*[1]Deploy!$B$8</f>
        <v>0</v>
      </c>
      <c r="O35" s="50">
        <f>O33*([1]Deploy!$B$7+[1]Deploy!$B$14)+O34*[1]Deploy!$B$8</f>
        <v>0</v>
      </c>
      <c r="P35" s="50">
        <f>P33*([1]Deploy!$B$7+[1]Deploy!$B$14)+P34*[1]Deploy!$B$8</f>
        <v>4367775</v>
      </c>
      <c r="Q35" s="50">
        <f>Q33*([1]Deploy!$B$7+[1]Deploy!$B$14)+Q34*[1]Deploy!$B$8</f>
        <v>5078600</v>
      </c>
      <c r="R35" s="52">
        <f>R33*([1]Deploy!$B$7+[1]Deploy!$B$14)+R34*[1]Deploy!$B$8</f>
        <v>9446375</v>
      </c>
    </row>
    <row r="36" spans="1:18" outlineLevel="1" x14ac:dyDescent="0.3">
      <c r="A36" s="26"/>
      <c r="E36" s="27"/>
      <c r="R36" s="28"/>
    </row>
    <row r="37" spans="1:18" x14ac:dyDescent="0.3">
      <c r="A37" s="53" t="s">
        <v>31</v>
      </c>
      <c r="B37" s="54"/>
      <c r="C37" s="54"/>
      <c r="D37" s="54"/>
      <c r="E37" s="55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</row>
    <row r="38" spans="1:18" x14ac:dyDescent="0.3">
      <c r="A38" s="26" t="s">
        <v>32</v>
      </c>
      <c r="B38" s="15">
        <f>'[1]Revenue Roll-up'!D24</f>
        <v>7941700</v>
      </c>
      <c r="C38" s="15">
        <f>'[1]Revenue Roll-up'!E24</f>
        <v>7941700</v>
      </c>
      <c r="D38" s="15">
        <f>'[1]Revenue Roll-up'!F24</f>
        <v>9573700</v>
      </c>
      <c r="E38" s="16">
        <f>'[1]Revenue Roll-up'!G24</f>
        <v>10205700</v>
      </c>
      <c r="F38" s="15">
        <f>'[1]Revenue Roll-up'!H24</f>
        <v>11238747.5</v>
      </c>
      <c r="G38" s="15">
        <f>'[1]Revenue Roll-up'!I24</f>
        <v>12271795</v>
      </c>
      <c r="H38" s="15">
        <f>'[1]Revenue Roll-up'!J24</f>
        <v>13620842.5</v>
      </c>
      <c r="I38" s="15">
        <f>'[1]Revenue Roll-up'!K24</f>
        <v>14969890</v>
      </c>
      <c r="J38" s="15">
        <f>'[1]Revenue Roll-up'!L24</f>
        <v>16701297.5</v>
      </c>
      <c r="K38" s="15">
        <f>'[1]Revenue Roll-up'!M24</f>
        <v>18815065</v>
      </c>
      <c r="L38" s="15">
        <f>'[1]Revenue Roll-up'!N24</f>
        <v>21017312.5</v>
      </c>
      <c r="M38" s="15">
        <f>'[1]Revenue Roll-up'!O24</f>
        <v>23574744</v>
      </c>
      <c r="N38" s="15">
        <f>'[1]Revenue Roll-up'!P24</f>
        <v>26509479.5</v>
      </c>
      <c r="O38" s="15">
        <f>'[1]Revenue Roll-up'!Q24</f>
        <v>29827207</v>
      </c>
      <c r="P38" s="15">
        <f>'[1]Revenue Roll-up'!R24</f>
        <v>33527926.5</v>
      </c>
      <c r="Q38" s="15">
        <f>'[1]Revenue Roll-up'!S24</f>
        <v>37617326</v>
      </c>
      <c r="R38" s="17">
        <f>'[1]Revenue Roll-up'!S24</f>
        <v>37617326</v>
      </c>
    </row>
    <row r="39" spans="1:18" x14ac:dyDescent="0.3">
      <c r="A39" s="26" t="s">
        <v>33</v>
      </c>
      <c r="B39" s="15">
        <f>'[1]Revenue Roll-up'!D38</f>
        <v>570291.5</v>
      </c>
      <c r="C39" s="15">
        <f>'[1]Revenue Roll-up'!E38</f>
        <v>632828</v>
      </c>
      <c r="D39" s="15">
        <f>'[1]Revenue Roll-up'!F38</f>
        <v>662103.00000000012</v>
      </c>
      <c r="E39" s="16">
        <f>'[1]Revenue Roll-up'!G38</f>
        <v>662103.00000000012</v>
      </c>
      <c r="F39" s="15">
        <f>'[1]Revenue Roll-up'!H38</f>
        <v>783428.41666666686</v>
      </c>
      <c r="G39" s="15">
        <f>'[1]Revenue Roll-up'!I38</f>
        <v>821920.50000000035</v>
      </c>
      <c r="H39" s="15">
        <f>'[1]Revenue Roll-up'!J38</f>
        <v>807745.91666666698</v>
      </c>
      <c r="I39" s="15">
        <f>'[1]Revenue Roll-up'!K38</f>
        <v>907121.87500000035</v>
      </c>
      <c r="J39" s="15">
        <f>'[1]Revenue Roll-up'!L38</f>
        <v>997375.83333333384</v>
      </c>
      <c r="K39" s="15">
        <f>'[1]Revenue Roll-up'!M38</f>
        <v>1116046.4583333337</v>
      </c>
      <c r="L39" s="15">
        <f>'[1]Revenue Roll-up'!N38</f>
        <v>1231592.0833333337</v>
      </c>
      <c r="M39" s="15">
        <f>'[1]Revenue Roll-up'!O38</f>
        <v>1379626.041666667</v>
      </c>
      <c r="N39" s="15">
        <f>'[1]Revenue Roll-up'!P38</f>
        <v>1561856.666666667</v>
      </c>
      <c r="O39" s="15">
        <f>'[1]Revenue Roll-up'!Q38</f>
        <v>1751627.291666667</v>
      </c>
      <c r="P39" s="15">
        <f>'[1]Revenue Roll-up'!R38</f>
        <v>1975163.2500000002</v>
      </c>
      <c r="Q39" s="15">
        <f>'[1]Revenue Roll-up'!S38</f>
        <v>2230141.2083333335</v>
      </c>
      <c r="R39" s="17">
        <f>'[1]Revenue Roll-up'!U38</f>
        <v>15563645.54166667</v>
      </c>
    </row>
    <row r="40" spans="1:18" hidden="1" outlineLevel="1" x14ac:dyDescent="0.3">
      <c r="A40" s="26" t="s">
        <v>34</v>
      </c>
      <c r="B40" s="15">
        <f>'[1]Revenue Roll-up'!D40</f>
        <v>421637</v>
      </c>
      <c r="C40" s="15">
        <f>'[1]Revenue Roll-up'!E40</f>
        <v>753940.50000000012</v>
      </c>
      <c r="D40" s="15">
        <f>'[1]Revenue Roll-up'!F40</f>
        <v>1076240.4999999998</v>
      </c>
      <c r="E40" s="16">
        <f>'[1]Revenue Roll-up'!G40</f>
        <v>274101.5</v>
      </c>
      <c r="F40" s="15">
        <f>'[1]Revenue Roll-up'!H40</f>
        <v>1898996.5</v>
      </c>
      <c r="G40" s="15">
        <f>'[1]Revenue Roll-up'!I40</f>
        <v>1108006.5</v>
      </c>
      <c r="H40" s="15">
        <f>'[1]Revenue Roll-up'!J40</f>
        <v>713306.50000000012</v>
      </c>
      <c r="I40" s="15">
        <f>'[1]Revenue Roll-up'!K40</f>
        <v>1810671</v>
      </c>
      <c r="J40" s="15">
        <f>'[1]Revenue Roll-up'!L40</f>
        <v>1916271</v>
      </c>
      <c r="K40" s="15">
        <f>'[1]Revenue Roll-up'!M40</f>
        <v>2148309</v>
      </c>
      <c r="L40" s="15">
        <f>'[1]Revenue Roll-up'!N40</f>
        <v>1857761</v>
      </c>
      <c r="M40" s="15">
        <f>'[1]Revenue Roll-up'!O40</f>
        <v>2534631</v>
      </c>
      <c r="N40" s="15">
        <f>'[1]Revenue Roll-up'!P40</f>
        <v>2595313</v>
      </c>
      <c r="O40" s="15">
        <f>'[1]Revenue Roll-up'!Q40</f>
        <v>3040310</v>
      </c>
      <c r="P40" s="15">
        <f>'[1]Revenue Roll-up'!R40</f>
        <v>3767794</v>
      </c>
      <c r="Q40" s="15">
        <f>'[1]Revenue Roll-up'!S40</f>
        <v>3342959</v>
      </c>
      <c r="R40" s="17">
        <f>'[1]Revenue Roll-up'!U40</f>
        <v>26734328.5</v>
      </c>
    </row>
    <row r="41" spans="1:18" hidden="1" outlineLevel="1" x14ac:dyDescent="0.3">
      <c r="A41" s="26" t="s">
        <v>35</v>
      </c>
      <c r="B41" s="15">
        <f>'[1]Revenue Roll-up'!D45</f>
        <v>1877250.6666666665</v>
      </c>
      <c r="C41" s="15">
        <f>'[1]Revenue Roll-up'!E45</f>
        <v>1998363.166666667</v>
      </c>
      <c r="D41" s="15">
        <f>'[1]Revenue Roll-up'!F45</f>
        <v>2412500.6666666665</v>
      </c>
      <c r="E41" s="16">
        <f>'[1]Revenue Roll-up'!G45</f>
        <v>2024499.1666666665</v>
      </c>
      <c r="F41" s="15">
        <f>'[1]Revenue Roll-up'!H45</f>
        <v>3140067.25</v>
      </c>
      <c r="G41" s="15">
        <f>'[1]Revenue Roll-up'!I45</f>
        <v>3426153.25</v>
      </c>
      <c r="H41" s="15">
        <f>'[1]Revenue Roll-up'!J45</f>
        <v>3331713.833333334</v>
      </c>
      <c r="I41" s="15">
        <f>'[1]Revenue Roll-up'!K45</f>
        <v>4235262.958333334</v>
      </c>
      <c r="J41" s="15">
        <f>'[1]Revenue Roll-up'!L45</f>
        <v>5154158.125</v>
      </c>
      <c r="K41" s="15">
        <f>'[1]Revenue Roll-up'!M45</f>
        <v>6186420.666666667</v>
      </c>
      <c r="L41" s="15">
        <f>'[1]Revenue Roll-up'!N45</f>
        <v>6812589.583333334</v>
      </c>
      <c r="M41" s="15">
        <f>'[1]Revenue Roll-up'!O45</f>
        <v>7967594.541666666</v>
      </c>
      <c r="N41" s="15">
        <f>'[1]Revenue Roll-up'!P45</f>
        <v>9001050.875</v>
      </c>
      <c r="O41" s="15">
        <f>'[1]Revenue Roll-up'!Q45</f>
        <v>10289733.583333334</v>
      </c>
      <c r="P41" s="15">
        <f>'[1]Revenue Roll-up'!R45</f>
        <v>12082364.333333332</v>
      </c>
      <c r="Q41" s="15">
        <f>'[1]Revenue Roll-up'!S45</f>
        <v>13195182.125</v>
      </c>
      <c r="R41" s="17">
        <f>'[1]Revenue Roll-up'!S45</f>
        <v>13195182.125</v>
      </c>
    </row>
    <row r="42" spans="1:18" collapsed="1" x14ac:dyDescent="0.3">
      <c r="A42" s="26"/>
    </row>
    <row r="43" spans="1:18" x14ac:dyDescent="0.3">
      <c r="A43" s="53" t="s">
        <v>36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</row>
    <row r="44" spans="1:18" ht="13.95" customHeight="1" x14ac:dyDescent="0.3">
      <c r="A44" s="56" t="str">
        <f>"1. Timing: bookings go live "&amp;'[1]Deploy Detail'!B8&amp;" months after booking (new logos &amp; expansion); units are built "&amp;[1]Deploy!B16&amp;" months before go-live."</f>
        <v>1. Timing: bookings go live 3 months after booking (new logos &amp; expansion); units are built 2 months before go-live.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</row>
    <row r="45" spans="1:18" ht="13.95" customHeight="1" x14ac:dyDescent="0.3">
      <c r="A45" s="56" t="str">
        <f>"2. Deal size: new-logo deal = "&amp;[1]Deploy!B18&amp;" SlipLifts + "&amp;[1]Deploy!B19&amp;" SlipTrays ("&amp;TEXT('[1]New Sales'!B8,"$#,##0")&amp;"); expansion deal = "&amp;[1]Deploy!B20&amp;" SlipLifts + "&amp;[1]Deploy!B21&amp;" SlipTrays ("&amp;TEXT([1]Expansion!B11,"$#,##0")&amp;"). Deal counts are whole numbers."</f>
        <v>2. Deal size: new-logo deal = 4 SlipLifts + 12 SlipTrays ($316,000); expansion deal = 2 SlipLifts + 25 SlipTrays ($215,000). Deal counts are whole numbers.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</row>
    <row r="46" spans="1:18" ht="13.95" customHeight="1" x14ac:dyDescent="0.3">
      <c r="A46" s="56" t="str">
        <f>"3. Unit cost (CapEx): SlipLift "&amp;TEXT([1]Deploy!B7,"$#,##0")&amp;" + "&amp;TEXT([1]Deploy!B14,"$#,##0")&amp;" peripherals, SlipTray "&amp;TEXT([1]Deploy!B8,"$#,##0")&amp;", SlipBot "&amp;TEXT([1]Deploy!B6,"$#,##0")&amp;". Freight "&amp;TEXT([1]Deploy!B15,"$#,##0")&amp;" per deployment (expensed)."</f>
        <v>3. Unit cost (CapEx): SlipLift $65,000 + $4,138 peripherals, SlipTray $8,000, SlipBot $36,000. Freight $5,000 per deployment (expensed).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</row>
    <row r="47" spans="1:18" ht="13.95" customHeight="1" x14ac:dyDescent="0.3">
      <c r="A47" s="56" t="str">
        <f>"4. SlipBots: "&amp;IF([1]Deploy!B17="Y","none are built – returned/existing bots are redeployed (incl. the Meli bridge bots).","built per deployments.")&amp;" Only contracts flagged 'New production = Yes' create deployments and production."</f>
        <v>4. SlipBots: none are built – returned/existing bots are redeployed (incl. the Meli bridge bots). Only contracts flagged 'New production = Yes' create deployments and production.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</row>
    <row r="48" spans="1:18" ht="13.95" customHeight="1" x14ac:dyDescent="0.3">
      <c r="A48" s="56" t="str">
        <f>"5. Sep–Dec 26 bookings include unsigned forecast of "&amp;TEXT(SUMIFS('[1]2026 Exist New'!$P$9:$P$50,'[1]2026 Exist New'!$D$9:$D$50,"Forecast (unsigned)"),"$#,##0")&amp;" (Arconic + placeholders) at 100%; bookings are gross ACV."</f>
        <v>5. Sep–Dec 26 bookings include unsigned forecast of $2,264,000 (Arconic + placeholders) at 100%; bookings are gross ACV.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</row>
    <row r="49" spans="1:18" ht="25.95" customHeight="1" x14ac:dyDescent="0.3">
      <c r="A49" s="56" t="s">
        <v>37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</row>
  </sheetData>
  <mergeCells count="6">
    <mergeCell ref="A44:R44"/>
    <mergeCell ref="A45:R45"/>
    <mergeCell ref="A46:R46"/>
    <mergeCell ref="A47:R47"/>
    <mergeCell ref="A48:R48"/>
    <mergeCell ref="A49:R49"/>
  </mergeCells>
  <printOptions horizontalCentered="1"/>
  <pageMargins left="0.3888888888888889" right="0.3888888888888889" top="0.5" bottom="0.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DeploySum</vt:lpstr>
      <vt:lpstr>DeploySum!Print_Area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Turner</dc:creator>
  <cp:lastModifiedBy>Kent Turner</cp:lastModifiedBy>
  <dcterms:created xsi:type="dcterms:W3CDTF">2026-09-30T12:28:14Z</dcterms:created>
  <dcterms:modified xsi:type="dcterms:W3CDTF">2026-09-30T12:29:42Z</dcterms:modified>
</cp:coreProperties>
</file>