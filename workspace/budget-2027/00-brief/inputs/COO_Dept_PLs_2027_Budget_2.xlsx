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O P&amp;L" sheetId="1" r:id="rId4"/>
    <sheet state="visible" name="FO" sheetId="2" r:id="rId5"/>
    <sheet state="visible" name="PO" sheetId="3" r:id="rId6"/>
    <sheet state="visible" name="CO" sheetId="4" r:id="rId7"/>
    <sheet state="visible" name="FE" sheetId="5" r:id="rId8"/>
    <sheet state="visible" name="PE" sheetId="6" r:id="rId9"/>
  </sheets>
  <definedNames>
    <definedName name="______key2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___I2">{"PVGraph2",#N/A,FALSE,"PV Data"}</definedName>
    <definedName name="_____I3">{"PVGraph2",#N/A,FALSE,"PV Data"}</definedName>
    <definedName name="_____key4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___w1">{"PVGraph2",#N/A,FALSE,"PV Data"}</definedName>
    <definedName name="_____w2">{"PVGraph2",#N/A,FALSE,"PV Data"}</definedName>
    <definedName name="_____w3">{"PVGraph2",#N/A,FALSE,"PV Data"}</definedName>
    <definedName name="_____y2">{"PVGraph2",#N/A,FALSE,"PV Data"}</definedName>
    <definedName name="____key2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_I2">{"PVGraph2",#N/A,FALSE,"PV Data"}</definedName>
    <definedName name="___I3">{"PVGraph2",#N/A,FALSE,"PV Data"}</definedName>
    <definedName name="___key4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_w1">{"PVGraph2",#N/A,FALSE,"PV Data"}</definedName>
    <definedName name="___w2">{"PVGraph2",#N/A,FALSE,"PV Data"}</definedName>
    <definedName name="___w3">{"PVGraph2",#N/A,FALSE,"PV Data"}</definedName>
    <definedName name="___y2">{"PVGraph2",#N/A,FALSE,"PV Data"}</definedName>
    <definedName name="__eds2">{"TOP",#N/A,TRUE,"TRIPLE OPTION EXPERIENCE";"actives",#N/A,TRUE,"TRIPLE OPTION EXPERIENCE";"experience",#N/A,TRUE,"TRIPLE OPTION EXPERIENCE";"Outacomp",#N/A,TRUE,"FEE FOR SERVICE EXPERIENCE ";"Outacomp",#N/A,TRUE,"FEE FOR SERVICE EXPERIENCE ";"Outret",#N/A,TRUE,"FEE FOR SERVICE EXPERIENCE ";"Outact",#N/A,TRUE,"FEE FOR SERVICE EXPERIENCE ";"OutRcomp",#N/A,TRUE,"FEE FOR SERVICE EXPERIENCE ";"Outact",#N/A,TRUE,"FEE FOR SERVICE EXPERIENCE ";"OutRcomp",#N/A,TRUE,"FEE FOR SERVICE EXPERIENCE ";"Outret",#N/A,TRUE,"FEE FOR SERVICE EXPERIENCE ";"actives",#N/A,TRUE,"TRIPLE OPTION EXPERIENCE";"TOP",#N/A,TRUE,"TRIPLE OPTION EXPERIENCE"}</definedName>
    <definedName name="__FDS_HYPERLINK_TOGGLE_STATE__">"ON"</definedName>
    <definedName name="__IntlFixup">TRUE</definedName>
    <definedName name="__key2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QTD1">{"Nil","Nil",FALSE,"Detail P&amp;L-M";"Nil","Nil",FALSE,"Dep &amp; Amort-M";"Nil","Nil",FALSE,"Equity-M";"Nil","Nil",FALSE,"Debt &amp; Cash Flow-M";"Nil","Nil",FALSE,"Interest-M"}</definedName>
    <definedName name="__t9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1__FDSAUDITLINK__">{"fdsup://directions/News HTML Viewer?action=OPEN&amp;on_error=off&amp;window=popup_no_button&amp;start_maximized=false&amp;creator=factset&amp;display_string=Click to view document&amp;width=640&amp;height=480&amp;address=ZQFNwiDmku6rD8XeJHel5%2BClsTh1%2BKQXZfkma2tpAQLiI8CyHvRjYyQDVL7t%2","FlfMpiTocNaw3Gpo8jIv6pGb2ENue6TMKIZPrs2228iDD%2FS879rurW4fhZH36nTEyl8j%2FJcd0ZhNwqu9MYltaV6nDlIUcUF2%2FoBeD4yU8zdaPJmMZgbGxOpsfCHY3s8J2LGk3sPgAzz3MjQvvOrEkaYDu03NUFj4FxpGksq3IjKjlNZJEQs8%2BBrc%2FAQTl%2F8yM7Od%2BoPj%2BkGyEsVVXRQInn3Dy4hc18keC6v%2FodsKUpIqg","81wmyzSUpR42%2FFYRsckFYW1L9MJttOEm7wi"}</definedName>
    <definedName name="_10__FDSAUDITLINK__">{"fdsup://directions/News HTML Viewer?action=OPEN&amp;on_error=off&amp;window=popup_no_button&amp;start_maximized=false&amp;creator=factset&amp;display_string=Click to view document&amp;width=640&amp;height=480&amp;address=ZQFNwqzDlZ6rDiV1JBTcRtiuYnkVWHRjDil6imjmqcrLCyXmF%2FTNn166X%2Fky9g","%2BRsaoXt7DmqKRZnq2X%2FxB009l0lyMR4nJRMuZ4Hb%2BR4f2kKDHMIidtMjbt%2BvLyWlaaB2egxe3ClTiPVcRGtwHXqe4T5zNClOJbZ81XZbYgSwxt6pAwRqyuCMPhsET1gMmj%2BlPQgW3DOl7uJuQ0%2FivNqNHBO4TFXsmDNbQmI8%2FvyniCRveypaBEmj6SmySB3CFsIFtpJhbquq40mQLNe4tOhyz67vRHTV83cHj7EvmsK3y2Ej7","JDhS6sikNrjbFEq0w0L4%3D"}</definedName>
    <definedName name="_11__FDSAUDITLINK__">{"fdsup://directions/News HTML Viewer?action=OPEN&amp;on_error=off&amp;window=popup_no_button&amp;start_maximized=false&amp;creator=factset&amp;display_string=Click to view document&amp;width=640&amp;height=480&amp;address=ZQFNwiDmku6rD8XeJHel5%2BClsTh1%2BKQXZfkma2tpAQLiI8CyHvRjYyQDVL7t%2","FlfMpiTocNaw3Gpo8jIv6pGb2ENue6TMKIZPrs2228iDD%2FS879rurW4fhZH36nTEyl8j%2FJcd0ZhNwqu9MYltaV6nDlIUcUF2%2FoBeD4yU8zdaPJmMZgbGxOpsfCHY3s8J2LGk3sPgAzz3MjQvvOrEkaYDu03NUFj4FxpGksq3IjKjlNZJEQs8%2BBrc%2FAQTl%2F8yM7Od%2BoPj%2BkGyEsVVXRQInn3Dy4hc18keC6v%2FodsKUpIqg","81wmyzSUpR42%2FFYRsckFYW1L9MJttOEm7wi"}</definedName>
    <definedName name="_12__FDSAUDITLINK__">{"fdsup://directions/News HTML Viewer?action=OPEN&amp;on_error=off&amp;window=popup_no_button&amp;start_maximized=false&amp;creator=factset&amp;display_string=Click to view document&amp;width=640&amp;height=480&amp;address=ZQFNAibmku6vdsALvQxFS8E8mqM5fpsEhW%2FVlrUZS8X3mXhPhwqEWlSPeKV%2FWO","c0nuspNnLpGeQAjctPFV5FC%2FMYUuTwne%2B0oFqOF9ZWxBFOI0aoy9DWjCAtikpaqJYi%2FRUAY23ZunIIO5JXI9vdv%2FD84elPHIf%2FQafK4OQFWXLyxNKBVFC9WjEnZcOiHiQO9ntr5Mh0DnhPaOFqYXKXETZDHHz%2FWgZPHcJDG%2B7UjaqkKYnqqjMXSWKr2rrV2URbwt%2FZZCeZfrTQ5DhWnci48CQW%2FTbFVq2Lo%2FeByDBfM","WJ17%2FKc%2BMuArTeRUT6kUsBevaaWfTkM"}</definedName>
    <definedName name="_13__FDSAUDITLINK__">{"fdsup://directions/News HTML Viewer?action=OPEN&amp;on_error=off&amp;window=popup_no_button&amp;start_maximized=false&amp;creator=factset&amp;display_string=Click to view document&amp;width=640&amp;height=480&amp;address=ZQFVwSbik%2F6rz%2BXeqnI%2F81B0czgc0dOpLXWcS%2FxBlCQXdv%2BhIf2GOYkG","eDY0SLVOuxPnpyH4RwQ9hENL3ybkIfLcp0jpLem904l83N6noWVMiDEe8%2BZe%2B71C9fbXIC57jsCTloy8n5Y88rgFOL5qduFbRb%2BGq7E5fErnZRNUVn6R%2Bdavo1ZRYVqFhqCpTR4lFx1ymGYwel8C6S2dpy2Zbws8jlM3Hr7cMYv0Hy9b%2F9HgQ2wJI%2BUG8TjBH8VqlZADDD8JHzJSJbCxV1H2PcPj3zTy1G7z2FCkCJFO7wVVGrd","6pFHQH1FCyavspqoau%2FjF6xVFQh5Mzg%2F0DBRHE7%2FcpqfyGpWeTcgpFiemvPECOvFgkA%3D%3D"}</definedName>
    <definedName name="_14__FDSAUDITLINK__">{"fdsup://directions/News HTML Viewer?action=OPEN&amp;on_error=off&amp;window=popup_no_button&amp;start_maximized=false&amp;creator=factset&amp;display_string=Click to view document&amp;width=640&amp;height=480&amp;address=ZQFNwqzjkp63DiU1IW%2B9wLSlWyN3Grmh0NwNbVuVyY3GFagfuF6QlzeU9yxBOqmJ","xtWY79x5tU%2BOOjNe1DFZK78AKG3t%2FMKWXeDOGIgJkr2AqEuSwwxJNBuNS3P08KPhHL%2FjXRZ0QF5wa8%2FuLA2j8g46A%2FZYxSfRr8BnxH1N7La0UrLiG8tXEqdVtpC0WPUEtkhSPpsJCtX%2B8mY%2BeXth27zFfQIVJiyqYpRxe0ZB3018kqrDY2U3QI7md0ZvOSIG%2BJehggMg7MUJHB%2BSBx0BbQWsTCEf3OXMJe%2BU%2BIOjA","L%2Fcq2Z3MsWUZPj7"}</definedName>
    <definedName name="_15__FDSAUDITLINK__">{"fdsup://directions/News HTML Viewer?action=OPEN&amp;on_error=off&amp;window=popup_no_button&amp;start_maximized=false&amp;creator=factset&amp;display_string=Click to view document&amp;width=640&amp;height=480&amp;address=ZQFVAaDnku6rdm9Tifph6TyHXgWlE8Fnjc3mzo0bhZswuhdjmDoxH2850q20sIzm8a","rbGzYTlpHnS2lNeG9VwRJwPSyhJ%2BH4isiEFmgAU7KD2aqOOipThK4nfz0b32jXkod6vHOb9hTcY%2BCD3%2F4sN6drPzzS3mKR6eXdIrs%2FySF0UFr%2BJip4fgDi6rR%2FOeRbmgl10YqyMIWMAjatKM%2FJ4OSPId97sUPVojv2VVMMmTpAUj4X7qcpUmw4Q1JLWwfmoJamQUJTk2WUg%2BoobJ9oJp5vNGelbcUXcnD%2B3wcEJrZPSgV","b77wxTDmkhfUOziEP9iI984wBg64KeQmjRak%3D"}</definedName>
    <definedName name="_16__FDSAUDITLINK__">{"fdsup://directions/News HTML Viewer?action=OPEN&amp;on_error=off&amp;window=popup_no_button&amp;start_maximized=false&amp;creator=factset&amp;display_string=Click to view document&amp;width=640&amp;height=480&amp;address=ZQFNApznkp6vdm%2BXDY8uLGSo63G8jW6zpPVbmrh81h9pc%2BY0VhNn7g2NlXSlDA","UFaoHQUtqq5OXwW8O3%2Bvz0WNoEGsVja85EpibsfvCUWMgJ9CXrA92V%2BNCO80lgOnKKmCSdQYZcsYsJYtXeKLUz%2B%2BG9FTmufS3liqQl55A%2FgRuVRVgIlkEOIpGCvRcBGVkm%2FMGIODk4BCcWfrzaL3DaVmc3DGSLwsBdD06jMAxZU1gpwNPGuftZCl7JKa4fd60g8i28ySWv4yvthitT0R0LelXb3vlaK2WfnruGuS10HAtxq%2Ff","yyjbmQExYa0Kz"}</definedName>
    <definedName name="_17__FDSAUDITLINK__">{"fdsup://directions/News HTML Viewer?action=OPEN&amp;on_error=off&amp;window=popup_no_button&amp;start_maximized=false&amp;creator=factset&amp;display_string=Click to view document&amp;width=640&amp;height=480&amp;address=ZQFNw6znkp6vDyV1HwIVJkLkw0AT5CW9f6elUXBrchfN6iLXcDASaNxFV4sRfg7mSA","ufCPezA6GyNk29NtKOe4y4pPzCy%2BrjfZKP8aKkCu0M64VCVkp7VCKEJI9AdUamWa8rn9WUpVNIPbTBLzgVSLitQjCNAR2quHLoJKO7DGKOUgj0LQCEoGxTvpqowD1le5I9skgjYRsyiuYpBwo%2BBVx4GTyIBhCIpm3DB4WWycZJf%2Bx5YnOXJSKDPKTJwQBvURhavGjCyzQXsFg5rtokl5KR8ieInoT2R3TMstTZv9p1h4nyT8eOKAhs"}</definedName>
    <definedName name="_18__FDSAUDITLINK__">{"fdsup://directions/News HTML Viewer?action=OPEN&amp;on_error=off&amp;window=popup_no_button&amp;start_maximized=false&amp;creator=factset&amp;display_string=Click to view document&amp;width=640&amp;height=480&amp;address=ZQErBNSiOJ4JWI13n%2FXVvpxiZzw3EoKhjhiJrbs%2Bj8yW%2BDlg1obm%2ByMq8y","hQTiN75LSnx8RKOyOOlBeLm5xkgVx40ZlWxX69X%2Fnx1bQrR86gldabkqYgYSiYAUaus8YsBHnJfkhnVZs8N2gqWzOr6Nd8Gg%3D%3D"}</definedName>
    <definedName name="_19__FDSAUDITLINK__">{"fdsup://directions/News HTML Viewer?action=OPEN&amp;on_error=off&amp;window=popup_no_button&amp;start_maximized=false&amp;creator=factset&amp;display_string=Click to view document&amp;width=640&amp;height=480&amp;address=ZQFNw6znkp6vDyV1HwLVKC6OP2t49SjmFMl9sfXFQtKIVGAzXYefrNnIT1XdSiEKqX","I4EWdFlVuNmWyORzxtYyzjHymjuAu0i1%2FkFHGNzoPJO2SuuqnegT3bJDTHQ7W1pEYXmT9tH%2BTRWM5VWdlc088rPZprSnlRyRRjKMeBK9ZpAWy3K9mJIyUkrcI5Q8JaQPAdv1ZJL53ZV0nZiFWNTy1e%2F42Rv6FMB33NXGBOV33QzS5GbH1qLwjRZ7SBNtxeuYCAPh2pNxkPyzVuwuzb4rlh0LpDiV0nfyrbXtmaEVYP5RhsDW%2Bxgw1ui","vLD4Q%3D%3D"}</definedName>
    <definedName name="_2__FDSAUDITLINK__">{"fdsup://directions/News HTML Viewer?action=OPEN&amp;on_error=off&amp;window=popup_no_button&amp;start_maximized=false&amp;creator=factset&amp;display_string=Click to view document&amp;width=640&amp;height=480&amp;address=ZQFNAibmku6vdsALvQxFS8E8mqM5fpsEhW%2FVlrUZS8X3mXhPhwqEWlSPeKV%2FWO","c0nuspNnLpGeQAjctPFV5FC%2FMYUuTwne%2B0oFqOF9ZWxBFOI0aoy9DWjCAtikpaqJYi%2FRUAY23ZunIIO5JXI9vdv%2FD84elPHIf%2FQafK4OQFWXLyxNKBVFC9WjEnZcOiHiQO9ntr5Mh0DnhPaOFqYXKXETZDHHz%2FWgZPHcJDG%2B7UjaqkKYnqqjMXSWKr2rrV2URbwt%2FZZCeZfrTQ5DhWnci48CQW%2FTbFVq2Lo%2FeByDBfM","WJ17%2FKc%2BMuArTeRUT6kUsBevaaWfTkM"}</definedName>
    <definedName name="_20__FDSAUDITLINK__">{"fdsup://directions/News HTML Viewer?action=OPEN&amp;on_error=off&amp;window=popup_no_button&amp;start_maximized=false&amp;creator=factset&amp;display_string=Click to view document&amp;width=640&amp;height=480&amp;address=ZQFNwqzDlZ6rDiV1JBTcRtiuYnkVWHRjDil6imjmqcrLCyXmF%2FTNn166X%2Fky9g","%2BRsaoXt7DmqKRZnq2X%2FxB009l0lyMR4nJRMuZ4Hb%2BR4f2kKDHMIidtMjbt%2BvLyWlaaB2egxe3ClTiPVcRGtwHXqe4T5zNClOJbZ81XZbYgSwxt6pAwRqyuCMPhsET1gMmj%2BlPQgW3DOl7uJuQ0%2FivNqNHBO4TFXsmDNbQmI8%2FvyniCRveypaBEmj6SmySB3CFsIFtpJhbquq40mQLNe4tOhyz67vRHTV83cHj7EvmsK3y2Ej7","JDhS6sikNrjbFEq0w0L4%3D"}</definedName>
    <definedName name="_3__FDSAUDITLINK__">{"fdsup://directions/News HTML Viewer?action=OPEN&amp;on_error=off&amp;window=popup_no_button&amp;start_maximized=false&amp;creator=factset&amp;display_string=Click to view document&amp;width=640&amp;height=480&amp;address=ZQFVwSbik%2F6rz%2BXeqnI%2F81B0czgc0dOpLXWcS%2FxBlCQXdv%2BhIf2GOYkG","eDY0SLVOuxPnpyH4RwQ9hENL3ybkIfLcp0jpLem904l83N6noWVMiDEe8%2BZe%2B71C9fbXIC57jsCTloy8n5Y88rgFOL5qduFbRb%2BGq7E5fErnZRNUVn6R%2Bdavo1ZRYVqFhqCpTR4lFx1ymGYwel8C6S2dpy2Zbws8jlM3Hr7cMYv0Hy9b%2F9HgQ2wJI%2BUG8TjBH8VqlZADDD8JHzJSJbCxV1H2PcPj3zTy1G7z2FCkCJFO7wVVGrd","6pFHQH1FCyavspqoau%2FjF6xVFQh5Mzg%2F0DBRHE7%2FcpqfyGpWeTcgpFiemvPECOvFgkA%3D%3D"}</definedName>
    <definedName name="_4__FDSAUDITLINK__">{"fdsup://directions/News HTML Viewer?action=OPEN&amp;on_error=off&amp;window=popup_no_button&amp;start_maximized=false&amp;creator=factset&amp;display_string=Click to view document&amp;width=640&amp;height=480&amp;address=ZQFNwqzjkp63DiU1IW%2B9wLSlWyN3Grmh0NwNbVuVyY3GFagfuF6QlzeU9yxBOqmJ","xtWY79x5tU%2BOOjNe1DFZK78AKG3t%2FMKWXeDOGIgJkr2AqEuSwwxJNBuNS3P08KPhHL%2FjXRZ0QF5wa8%2FuLA2j8g46A%2FZYxSfRr8BnxH1N7La0UrLiG8tXEqdVtpC0WPUEtkhSPpsJCtX%2B8mY%2BeXth27zFfQIVJiyqYpRxe0ZB3018kqrDY2U3QI7md0ZvOSIG%2BJehggMg7MUJHB%2BSBx0BbQWsTCEf3OXMJe%2BU%2BIOjA","L%2Fcq2Z3MsWUZPj7"}</definedName>
    <definedName name="_5__FDSAUDITLINK__">{"fdsup://directions/News HTML Viewer?action=OPEN&amp;on_error=off&amp;window=popup_no_button&amp;start_maximized=false&amp;creator=factset&amp;display_string=Click to view document&amp;width=640&amp;height=480&amp;address=ZQFVAaDnku6rdm9Tifph6TyHXgWlE8Fnjc3mzo0bhZswuhdjmDoxH2850q20sIzm8a","rbGzYTlpHnS2lNeG9VwRJwPSyhJ%2BH4isiEFmgAU7KD2aqOOipThK4nfz0b32jXkod6vHOb9hTcY%2BCD3%2F4sN6drPzzS3mKR6eXdIrs%2FySF0UFr%2BJip4fgDi6rR%2FOeRbmgl10YqyMIWMAjatKM%2FJ4OSPId97sUPVojv2VVMMmTpAUj4X7qcpUmw4Q1JLWwfmoJamQUJTk2WUg%2BoobJ9oJp5vNGelbcUXcnD%2B3wcEJrZPSgV","b77wxTDmkhfUOziEP9iI984wBg64KeQmjRak%3D"}</definedName>
    <definedName name="_6__FDSAUDITLINK__">{"fdsup://directions/News HTML Viewer?action=OPEN&amp;on_error=off&amp;window=popup_no_button&amp;start_maximized=false&amp;creator=factset&amp;display_string=Click to view document&amp;width=640&amp;height=480&amp;address=ZQFNApznkp6vdm%2BXDY8uLGSo63G8jW6zpPVbmrh81h9pc%2BY0VhNn7g2NlXSlDA","UFaoHQUtqq5OXwW8O3%2Bvz0WNoEGsVja85EpibsfvCUWMgJ9CXrA92V%2BNCO80lgOnKKmCSdQYZcsYsJYtXeKLUz%2B%2BG9FTmufS3liqQl55A%2FgRuVRVgIlkEOIpGCvRcBGVkm%2FMGIODk4BCcWfrzaL3DaVmc3DGSLwsBdD06jMAxZU1gpwNPGuftZCl7JKa4fd60g8i28ySWv4yvthitT0R0LelXb3vlaK2WfnruGuS10HAtxq%2Ff","yyjbmQExYa0Kz"}</definedName>
    <definedName name="_7__FDSAUDITLINK__">{"fdsup://directions/News HTML Viewer?action=OPEN&amp;on_error=off&amp;window=popup_no_button&amp;start_maximized=false&amp;creator=factset&amp;display_string=Click to view document&amp;width=640&amp;height=480&amp;address=ZQFNw6znkp6vDyV1HwIVJkLkw0AT5CW9f6elUXBrchfN6iLXcDASaNxFV4sRfg7mSA","ufCPezA6GyNk29NtKOe4y4pPzCy%2BrjfZKP8aKkCu0M64VCVkp7VCKEJI9AdUamWa8rn9WUpVNIPbTBLzgVSLitQjCNAR2quHLoJKO7DGKOUgj0LQCEoGxTvpqowD1le5I9skgjYRsyiuYpBwo%2BBVx4GTyIBhCIpm3DB4WWycZJf%2Bx5YnOXJSKDPKTJwQBvURhavGjCyzQXsFg5rtokl5KR8ieInoT2R3TMstTZv9p1h4nyT8eOKAhs"}</definedName>
    <definedName name="_8__FDSAUDITLINK__">{"fdsup://directions/News HTML Viewer?action=OPEN&amp;on_error=off&amp;window=popup_no_button&amp;start_maximized=false&amp;creator=factset&amp;display_string=Click to view document&amp;width=640&amp;height=480&amp;address=ZQErBNSiOJ4JWI13n%2FXVvpxiZzw3EoKhjhiJrbs%2Bj8yW%2BDlg1obm%2ByMq8y","hQTiN75LSnx8RKOyOOlBeLm5xkgVx40ZlWxX69X%2Fnx1bQrR86gldabkqYgYSiYAUaus8YsBHnJfkhnVZs8N2gqWzOr6Nd8Gg%3D%3D"}</definedName>
    <definedName name="_9__FDSAUDITLINK__">{"fdsup://directions/News HTML Viewer?action=OPEN&amp;on_error=off&amp;window=popup_no_button&amp;start_maximized=false&amp;creator=factset&amp;display_string=Click to view document&amp;width=640&amp;height=480&amp;address=ZQFNw6znkp6vDyV1HwLVKC6OP2t49SjmFMl9sfXFQtKIVGAzXYefrNnIT1XdSiEKqX","I4EWdFlVuNmWyORzxtYyzjHymjuAu0i1%2FkFHGNzoPJO2SuuqnegT3bJDTHQ7W1pEYXmT9tH%2BTRWM5VWdlc088rPZprSnlRyRRjKMeBK9ZpAWy3K9mJIyUkrcI5Q8JaQPAdv1ZJL53ZV0nZiFWNTy1e%2F42Rv6FMB33NXGBOV33QzS5GbH1qLwjRZ7SBNtxeuYCAPh2pNxkPyzVuwuzb4rlh0LpDiV0nfyrbXtmaEVYP5RhsDW%2Bxgw1ui","vLD4Q%3D%3D"}</definedName>
    <definedName name="_ass1">{#N/A,#N/A,FALSE,"Aging Summary";#N/A,#N/A,FALSE,"Ratio Analysis";#N/A,#N/A,FALSE,"Test 120 Day Accts";#N/A,#N/A,FALSE,"Tickmarks"}</definedName>
    <definedName name="_eds2">{"TOP",#N/A,TRUE,"TRIPLE OPTION EXPERIENCE";"actives",#N/A,TRUE,"TRIPLE OPTION EXPERIENCE";"experience",#N/A,TRUE,"TRIPLE OPTION EXPERIENCE";"Outacomp",#N/A,TRUE,"FEE FOR SERVICE EXPERIENCE ";"Outacomp",#N/A,TRUE,"FEE FOR SERVICE EXPERIENCE ";"Outret",#N/A,TRUE,"FEE FOR SERVICE EXPERIENCE ";"Outact",#N/A,TRUE,"FEE FOR SERVICE EXPERIENCE ";"OutRcomp",#N/A,TRUE,"FEE FOR SERVICE EXPERIENCE ";"Outact",#N/A,TRUE,"FEE FOR SERVICE EXPERIENCE ";"OutRcomp",#N/A,TRUE,"FEE FOR SERVICE EXPERIENCE ";"Outret",#N/A,TRUE,"FEE FOR SERVICE EXPERIENCE ";"actives",#N/A,TRUE,"TRIPLE OPTION EXPERIENCE";"TOP",#N/A,TRUE,"TRIPLE OPTION EXPERIENCE"}</definedName>
    <definedName name="_hod2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I2">{"PVGraph2",#N/A,FALSE,"PV Data"}</definedName>
    <definedName name="_I3">{"PVGraph2",#N/A,FALSE,"PV Data"}</definedName>
    <definedName name="_ibo2">{#N/A,#N/A,FALSE,"Summary";#N/A,#N/A,FALSE,"Projections";#N/A,#N/A,FALSE,"Mkt Mults";#N/A,#N/A,FALSE,"DCF";#N/A,#N/A,FALSE,"Accr Dil";#N/A,#N/A,FALSE,"PIC LBO";#N/A,#N/A,FALSE,"MULT10_4";#N/A,#N/A,FALSE,"CBI LBO"}</definedName>
    <definedName name="_key4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new2">{"COM1996",#N/A,FALSE,"ANNUAL COMMISSIONS";"COM1997",#N/A,FALSE,"ANNUAL COMMISSIONS"}</definedName>
    <definedName name="_new3">{"COM1996",#N/A,FALSE,"ANNUAL COMMISSIONS";"COM1997",#N/A,FALSE,"ANNUAL COMMISSIONS"}</definedName>
    <definedName name="_nv2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Order1">255</definedName>
    <definedName name="_Order1a">0</definedName>
    <definedName name="_Order2">255</definedName>
    <definedName name="_QTD1">{"Nil","Nil",FALSE,"Detail P&amp;L-M";"Nil","Nil",FALSE,"Dep &amp; Amort-M";"Nil","Nil",FALSE,"Equity-M";"Nil","Nil",FALSE,"Debt &amp; Cash Flow-M";"Nil","Nil",FALSE,"Interest-M"}</definedName>
    <definedName name="_Regression_Int">1</definedName>
    <definedName name="_rod1">{#N/A,#N/A,FALSE,"Projections";#N/A,#N/A,FALSE,"Multiples Valuation";#N/A,#N/A,FALSE,"LBO";#N/A,#N/A,FALSE,"Multiples_Sensitivity";#N/A,#N/A,FALSE,"Summary"}</definedName>
    <definedName name="_SDU2">{#N/A,#N/A,FALSE,"Aging Summary";#N/A,#N/A,FALSE,"Ratio Analysis";#N/A,#N/A,FALSE,"Test 120 Day Accts";#N/A,#N/A,FALSE,"Tickmarks"}</definedName>
    <definedName name="_t9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w1">{"PVGraph2",#N/A,FALSE,"PV Data"}</definedName>
    <definedName name="_w2">{"PVGraph2",#N/A,FALSE,"PV Data"}</definedName>
    <definedName name="_w3">{"PVGraph2",#N/A,FALSE,"PV Data"}</definedName>
    <definedName name="_wr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n2">{#N/A,#N/A,FALSE,"ASSUMPTIONS";#N/A,#N/A,FALSE,"Valuation Summary";"page1",#N/A,FALSE,"PRESENTATION";"page2",#N/A,FALSE,"PRESENTATION";#N/A,#N/A,FALSE,"ORIGINAL_ROLLBACK"}</definedName>
    <definedName name="_wrn3">{#N/A,#N/A,FALSE,"ASSUMPTIONS";#N/A,#N/A,FALSE,"Valuation Summary";"page1",#N/A,FALSE,"PRESENTATION";"page2",#N/A,FALSE,"PRESENTATION";#N/A,#N/A,FALSE,"ORIGINAL_ROLLBACK"}</definedName>
    <definedName name="_x1">{#N/A,#N/A,FALSE,"FY97";#N/A,#N/A,FALSE,"FY98";#N/A,#N/A,FALSE,"FY99";#N/A,#N/A,FALSE,"FY00";#N/A,#N/A,FALSE,"FY01"}</definedName>
    <definedName name="_y2">{"PVGraph2",#N/A,FALSE,"PV Data"}</definedName>
    <definedName name="_Zcomps2">{0,0,0,0,1,-4105,28.3464566929134,28.3464566929134,28.346456664,28.3464566929134,2,TRUE,TRUE,FALSE,FALSE,FALSE,#N/A,1,85,1,2,"","","","&amp;""Kennerly,Roman Bold""&amp;14L&amp;12EHMAN &amp;14 B&amp;12ROTHERS","","",FALSE}</definedName>
    <definedName name="a">{#N/A,#N/A,FALSE,"Projections";#N/A,#N/A,FALSE,"Multiples Valuation";#N/A,#N/A,FALSE,"LBO";#N/A,#N/A,FALSE,"Multiples_Sensitivity";#N/A,#N/A,FALSE,"Summary"}</definedName>
    <definedName name="aa">{#N/A,#N/A,FALSE,"Projections";#N/A,#N/A,FALSE,"Multiples Valuation";#N/A,#N/A,FALSE,"LBO";#N/A,#N/A,FALSE,"Multiples_Sensitivity";#N/A,#N/A,FALSE,"Summary"}</definedName>
    <definedName name="aaa">{#N/A,#N/A,FALSE,"Projections";#N/A,#N/A,FALSE,"Multiples Valuation";#N/A,#N/A,FALSE,"LBO";#N/A,#N/A,FALSE,"Multiples_Sensitivity";#N/A,#N/A,FALSE,"Summary"}</definedName>
    <definedName name="AAA_DOCTOPS">"AAA_SET"</definedName>
    <definedName name="AAA_duser">"OFF"</definedName>
    <definedName name="aaaa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aaaaaa">{"Outflow 1",#N/A,FALSE,"Outflows-Inflows";"Outflow 2",#N/A,FALSE,"Outflows-Inflows";"Inflow 1",#N/A,FALSE,"Outflows-Inflows";"Inflow 2",#N/A,FALSE,"Outflows-Inflows"}</definedName>
    <definedName name="AAB_Addin5">"AAB_Description for addin 5,Description for addin 5,Description for addin 5,Description for addin 5,Description for addin 5,Description for addin 5"</definedName>
    <definedName name="AAB_GSPPG">"AAB_Goldman Sachs PPG Chart Utilities 1.0g"</definedName>
    <definedName name="aabb">{#N/A,#N/A,FALSE,"Projections";#N/A,#N/A,FALSE,"Multiples Valuation";#N/A,#N/A,FALSE,"LBO";#N/A,#N/A,FALSE,"Multiples_Sensitivity";#N/A,#N/A,FALSE,"Summary"}</definedName>
    <definedName name="aas">"c4426"</definedName>
    <definedName name="aasd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aasdfa">{"rtn",#N/A,FALSE,"RTN";"tables",#N/A,FALSE,"RTN";"cf",#N/A,FALSE,"CF";"stats",#N/A,FALSE,"Stats";"prop",#N/A,FALSE,"Prop"}</definedName>
    <definedName name="abb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abc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abd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AccessDatabase">"C:\DATA\Kevin\Kevin's Model.mdb"</definedName>
    <definedName name="add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ads">{#N/A,#N/A,FALSE,"AD_Purch";#N/A,#N/A,FALSE,"Projections";#N/A,#N/A,FALSE,"DCF";#N/A,#N/A,FALSE,"Mkt Val"}</definedName>
    <definedName name="adsf">{#N/A,#N/A,FALSE,"AD_Purch";#N/A,#N/A,FALSE,"Projections";#N/A,#N/A,FALSE,"DCF";#N/A,#N/A,FALSE,"Mkt Val"}</definedName>
    <definedName name="aertqet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AetnaQuotes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Annual">{"Outflow 1",#N/A,FALSE,"Outflows-Inflows";"Outflow 2",#N/A,FALSE,"Outflows-Inflows";"Inflow 1",#N/A,FALSE,"Outflows-Inflows";"Inflow 2",#N/A,FALSE,"Outflows-Inflows"}</definedName>
    <definedName name="anscount">1</definedName>
    <definedName name="argqe">{#N/A,#N/A,FALSE,"puboff";#N/A,#N/A,FALSE,"financials";#N/A,#N/A,FALSE,"valuation";#N/A,#N/A,FALSE,"split"}</definedName>
    <definedName name="as">{"Outflow 1",#N/A,FALSE,"Outflows-Inflows";"Outflow 2",#N/A,FALSE,"Outflows-Inflows";"Inflow 1",#N/A,FALSE,"Outflows-Inflows";"Inflow 2",#N/A,FALSE,"Outflows-Inflows"}</definedName>
    <definedName name="AS2DocOpenMode">"AS2DocumentEdit"</definedName>
    <definedName name="AS2NamedRange">196</definedName>
    <definedName name="AS2ReportLS">1</definedName>
    <definedName name="AS2SyncStepLS">0</definedName>
    <definedName name="AS2VersionLS">300</definedName>
    <definedName name="asdf">40379.4506944444</definedName>
    <definedName name="asdfas">{"print 1.6",#N/A,FALSE,"Sheet1";"print 2.6",#N/A,FALSE,"Sheet1";"print 3.6",#N/A,FALSE,"Sheet1";"print 4.6",#N/A,FALSE,"Sheet1";"print 5.6",#N/A,FALSE,"Sheet1";"print 6.6",#N/A,FALSE,"Sheet1"}</definedName>
    <definedName name="asdfasaa">{"print 1.6",#N/A,FALSE,"Sheet1";"print 2.6",#N/A,FALSE,"Sheet1";"print 3.6",#N/A,FALSE,"Sheet1";"print 4.6",#N/A,FALSE,"Sheet1";"print 5.6",#N/A,FALSE,"Sheet1";"print 6.6",#N/A,FALSE,"Sheet1"}</definedName>
    <definedName name="asdfasdf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sdfg">{"rtn",#N/A,FALSE,"RTN";"tables",#N/A,FALSE,"RTN";"cf",#N/A,FALSE,"CF";"stats",#N/A,FALSE,"Stats";"prop",#N/A,FALSE,"Prop"}</definedName>
    <definedName name="asgg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ass">{"print 1.6",#N/A,FALSE,"Sheet1";"print 2.6",#N/A,FALSE,"Sheet1";"print 3.6",#N/A,FALSE,"Sheet1";"print 4.6",#N/A,FALSE,"Sheet1";"print 5.6",#N/A,FALSE,"Sheet1";"print 6.6",#N/A,FALSE,"Sheet1"}</definedName>
    <definedName name="ass.all">{#N/A,#N/A,FALSE,"cpt"}</definedName>
    <definedName name="ass2.all">{#N/A,#N/A,FALSE,"cpt"}</definedName>
    <definedName name="asss">{"rtn",#N/A,FALSE,"RTN";"tables",#N/A,FALSE,"RTN";"cf",#N/A,FALSE,"CF";"stats",#N/A,FALSE,"Stats";"prop",#N/A,FALSE,"Prop"}</definedName>
    <definedName name="Assumptios2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udit_Recon">{"fdsup://directions/News HTML Viewer?action=OPEN&amp;on_error=off&amp;window=popup_no_button&amp;start_maximized=false&amp;creator=factset&amp;display_string=Click to view document&amp;width=640&amp;height=480&amp;address=ZQFNwiDmku6rD8XeJHel5%2BClsTh1%2BKQXZfkma2tpAQLiI8CyHvRjYyQDVL7t%2","FlfMpiTocNaw3Gpo8jIv6pGb2ENue6TMKIZPrs2228iDD%2FS879rurW4fhZH36nTEyl8j%2FJcd0ZhNwqu9MYltaV6nDlIUcUF2%2FoBeD4yU8zdaPJmMZgbGxOpsfCHY3s8J2LGk3sPgAzz3MjQvvOrEkaYDu03NUFj4FxpGksq3IjKjlNZJEQs8%2BBrc%2FAQTl%2F8yM7Od%2BoPj%2BkGyEsVVXRQInn3Dy4hc18keC6v%2FodsKUpIqg","81wmyzSUpR42%2FFYRsckFYW1L9MJttOEm7wi"}</definedName>
    <definedName name="AUto1">{#N/A,#N/A,FALSE,"Sheet1"}</definedName>
    <definedName name="AUto2">{#N/A,#N/A,FALSE,"Sheet1"}</definedName>
    <definedName name="axe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bb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bbb">{#N/A,#N/A,FALSE,"ExitStratigy"}</definedName>
    <definedName name="bbbbbb">{#N/A,#N/A,FALSE,"Inc. Statement";#N/A,#N/A,FALSE,"Balance Sheet";#N/A,#N/A,FALSE,"Cash Flow";#N/A,#N/A,FALSE,"Manufacturing";#N/A,#N/A,FALSE,"Quality";#N/A,#N/A,FALSE,"Sales";#N/A,#N/A,FALSE,"Marketing";#N/A,#N/A,FALSE,"R &amp; D";#N/A,#N/A,FALSE,"G &amp; A";#N/A,#N/A,FALSE,"Prof. Fees";#N/A,#N/A,FALSE,"Mfg. Wages";#N/A,#N/A,FALSE,"Mfg. Salaries";#N/A,#N/A,FALSE,"Quality Salaries";#N/A,#N/A,FALSE,"Sales Salaries";#N/A,#N/A,FALSE,"Mktg. Salaries";#N/A,#N/A,FALSE,"R &amp; D Salaries";#N/A,#N/A,FALSE,"G &amp; A Salaries"}</definedName>
    <definedName name="Bear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2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r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G_Del">15</definedName>
    <definedName name="BG_Ins">4</definedName>
    <definedName name="BG_Mod">6</definedName>
    <definedName name="BLANK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vwrg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cap.pos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wc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cb_Add_CalloutChart_24_opts">"1, 9, 1, False, 2, False, False, , 0, False, False, 1, 1"</definedName>
    <definedName name="cb_Add_CalloutChart_25_opts">"1, 10, 1, False, 2, False, False, , 0, False, True, 1, 1"</definedName>
    <definedName name="cb_Add_CalloutChart_26_opts">"1, 9, 1, False, 2, False, False, , 0, False, True, 1, 1"</definedName>
    <definedName name="cb_ALT_STACKED_COLUMNChart_22_opts">"1, 3, 1, False, 2, True, False, , 0, False, True, 1, 2"</definedName>
    <definedName name="cb_ALT_STACKED_COLUMNChart_23_opts">"1, 3, 1, False, 2, True, False, , 0, False, True, 1, 2"</definedName>
    <definedName name="cb_Chart_1_opts">"1, 6, 1, False, 2, False, False, , 0, False, True, 1, 2"</definedName>
    <definedName name="cb_Chart_10_opts">"1, 8, 1, False, 2, False, False, , 0, False, False, 1, 1"</definedName>
    <definedName name="cb_Chart_100032_opts">"1, 10, 1, False, 2, True, False, , 0, False, False, 2, 2"</definedName>
    <definedName name="cb_Chart_10104_opts">"1, 5, 1, False, 2, True, False, , 0, True, False, 2, 1"</definedName>
    <definedName name="cb_Chart_10401_opts">"1, 5, 1, False, 2, False, False, , 0, True, False, 2, 1"</definedName>
    <definedName name="cb_Chart_10736_opts">"1, 10, 1, False, 2, False, False, , 0, False, False, 2, 2"</definedName>
    <definedName name="cb_Chart_11_opts">"1, 5, 1, False, 2, False, False, , 0, False, False, 1, 2"</definedName>
    <definedName name="cb_Chart_12_opts">"1, 5, 1, False, 2, True, False, , 0, True, False, 1, 2"</definedName>
    <definedName name="cb_Chart_13_opts">"1, 5, 1, False, 2, True, False, , 0, True, False, 1, 2"</definedName>
    <definedName name="cb_Chart_14_opts">"2, 2, 2, True, 2, False, False, , 0, False, True, 1, 2"</definedName>
    <definedName name="cb_Chart_15_opts">"2, 1, 2, True, 2, False, False, , 0, False, True, 1, 2"</definedName>
    <definedName name="cb_Chart_1501_opts">"1, 10, 1, False, 2, True, False, , 0, False, False, 2, 2"</definedName>
    <definedName name="cb_Chart_16_opts">"2, 1, 2, True, 2, False, False, , 0, False, True, 1, 2"</definedName>
    <definedName name="cb_Chart_1670_opts">"1, 5, 1, False, 2, True, False, , 0, False, False, 2, 1"</definedName>
    <definedName name="cb_Chart_17_opts">"1, 9, 1, False, 2, False, False, , 0, False, False, 1, 1"</definedName>
    <definedName name="cb_Chart_18_opts">"1, 9, 1, False, 2, False, False, , 0, False, False, 1, 1"</definedName>
    <definedName name="cb_Chart_19_opts">"1, 2, 1, False, 2, True, False, , 0, True, False, 2, 1"</definedName>
    <definedName name="cb_Chart_2_opts">"1, 6, 1, False, 2, False, False, , 0, False, False, 1, 2"</definedName>
    <definedName name="cb_Chart_20_opts">"1, 9, 1, False, 2, False, False, , 0, False, False, 1, 1"</definedName>
    <definedName name="cb_Chart_21_opts">"1, 2, 1, False, 2, False, False, , 0, False, False, 2, 1"</definedName>
    <definedName name="cb_Chart_22_opts">"1, 2, 1, False, 2, True, False, , 0, False, False, 2, 1"</definedName>
    <definedName name="cb_Chart_22784_opts">"1, 9, 1, False, 2, False, False, , 0, False, True, 1, 2"</definedName>
    <definedName name="cb_Chart_23_opts">"1, 9, 1, False, 2, False, False, , 0, False, False, 1, 1"</definedName>
    <definedName name="cb_Chart_24_opts">"1, 2, 1, False, 2, False, False, , 0, False, False, 2, 1"</definedName>
    <definedName name="cb_Chart_24490_opts">"1, 10, 1, False, 2, True, False, , 0, False, False, 2, 2"</definedName>
    <definedName name="cb_Chart_25_opts">"1, 3, 1, False, 2, False, False, , 0, True, True, 1, 2"</definedName>
    <definedName name="cb_Chart_26_opts">"1, 2, 1, False, 2, False, False, , 0, False, False, 2, 1"</definedName>
    <definedName name="cb_Chart_26476_opts">"1, 1, 1, False, 2, True, False, , 0, False, False, 1, 2"</definedName>
    <definedName name="cb_Chart_27_opts">"1, 1, 1, False, 2, True, False, , 0, False, True, 1, 2"</definedName>
    <definedName name="cb_Chart_28_opts">"1, 3, 1, False, 2, True, False, , 0, False, True, 1, 2"</definedName>
    <definedName name="cb_Chart_28031_opts">"1, 1, 1, False, 2, True, False, , 0, False, False, 1, 2"</definedName>
    <definedName name="cb_Chart_28545_opts">"1, 5, 1, False, 2, True, False, , 0, False, True, 2, 1"</definedName>
    <definedName name="cb_Chart_29_opts">"1, 3, 1, False, 2, False, False, , 0, False, False, 1, 1"</definedName>
    <definedName name="cb_Chart_29053_opts">"1, 10, 1, False, 2, True, False, , 0, False, False, 2, 2"</definedName>
    <definedName name="cb_Chart_29913_opts">"1, 1, 1, False, 2, False, False, , 0, False, False, 1, 1"</definedName>
    <definedName name="cb_Chart_3_opts">"1, 1, 1, False, 2, True, False, , 0, False, False, 2, 2"</definedName>
    <definedName name="cb_Chart_30_opts">"1, 3, 1, False, 2, True, False, , 0, False, True, 1, 2"</definedName>
    <definedName name="cb_Chart_30292_opts">"1, 1, 1, False, 2, False, False, , 0, False, False, 1, 2"</definedName>
    <definedName name="cb_Chart_31_opts">"1, 1, 1, False, 2, True, False, , 0, True, True, 2, 2"</definedName>
    <definedName name="cb_Chart_32_opts">"1, 1, 1, False, 2, True, False, , 0, False, False, 2, 2"</definedName>
    <definedName name="cb_Chart_33_opts">"1, 1, 1, False, 2, True, False, , 0, False, True, 3, 2"</definedName>
    <definedName name="cb_Chart_34_opts">"1, 10, 1, False, 2, True, False, , 0, False, False, 2, 2"</definedName>
    <definedName name="cb_Chart_36498_opts">"1, 1, 1, False, 2, True, False, , 0, False, False, 1, 2"</definedName>
    <definedName name="cb_Chart_37450_opts">"1, 10, 1, False, 2, True, False, , 0, False, False, 2, 2"</definedName>
    <definedName name="cb_Chart_4_opts">"1, 7, 1, False, 2, False, False, , 0, False, True, 1, 2"</definedName>
    <definedName name="cb_Chart_41_opts">"1, 10, 1, False, 2, True, False, , 0, False, False, 2, 1"</definedName>
    <definedName name="cb_Chart_41499_opts">"1, 10, 1, False, 2, True, False, , 0, False, False, 2, 2"</definedName>
    <definedName name="cb_Chart_42_opts">"1, 10, 1, False, 2, True, False, , 0, False, False, 2, 1"</definedName>
    <definedName name="cb_Chart_43_opts">"1, 10, 1, False, 2, True, False, , 0, False, False, 2, 1"</definedName>
    <definedName name="cb_Chart_4634_opts">"1, 10, 1, False, 2, True, False, , 0, False, False, 2, 2"</definedName>
    <definedName name="cb_Chart_4664_opts">"1, 5, 1, False, 2, True, False, , 0, False, True, 1, 2"</definedName>
    <definedName name="cb_Chart_46965_opts">"1, 1, 1, False, 2, False, False, , 0, False, False, 1, 1"</definedName>
    <definedName name="cb_Chart_5_opts">"1, 8, 1, False, 2, False, False, , 0, False, False, 1, 2"</definedName>
    <definedName name="cb_Chart_52582_opts">"1, 1, 1, False, 2, False, False, , 0, False, False, 1, 2"</definedName>
    <definedName name="cb_Chart_53437_opts">"1, 10, 1, False, 2, True, False, , 0, False, False, 2, 2"</definedName>
    <definedName name="cb_Chart_53482_opts">"1, 10, 1, False, 2, True, False, , 0, False, False, 2, 2"</definedName>
    <definedName name="cb_Chart_54_opts">"1, 3, 1, False, 2, False, False, , 0, False, True, 2, 2"</definedName>
    <definedName name="cb_Chart_5449_opts">"1, 1, 1, False, 2, False, False, , 0, False, False, 1, 1"</definedName>
    <definedName name="cb_Chart_5723_opts">"1, 1, 1, False, 2, True, False, , 0, False, True, 1, 2"</definedName>
    <definedName name="cb_Chart_57613_opts">"1, 5, 1, False, 2, True, False, , 0, False, True, 2, 1"</definedName>
    <definedName name="cb_Chart_58046_opts">"1, 10, 1, False, 2, True, False, , 0, False, False, 2, 2"</definedName>
    <definedName name="cb_Chart_59010_opts">"1, 2, 1, False, 2, False, False, , 0, False, False, 2, 1"</definedName>
    <definedName name="cb_Chart_59340_opts">"1, 1, 1, False, 2, False, False, , 0, False, False, 1, 1"</definedName>
    <definedName name="cb_Chart_6_opts">"1, 10, 1, False, 2, True, False, , 0, False, False, 2, 2"</definedName>
    <definedName name="cb_Chart_62364_opts">"1, 1, 1, False, 2, True, False, , 0, False, False, 1, 2"</definedName>
    <definedName name="cb_Chart_64876_opts">"1, 1, 1, False, 2, True, False, , 0, False, False, 1, 2"</definedName>
    <definedName name="cb_Chart_67711_opts">"1, 10, 1, False, 2, True, False, , 0, False, False, 2, 2"</definedName>
    <definedName name="cb_Chart_69605_opts">"1, 2, 1, False, 2, False, False, , 0, False, False, 2, 1"</definedName>
    <definedName name="cb_Chart_7_opts">"2, 1, 2, True, 2, False, False, , 0, False, True, 1, 2"</definedName>
    <definedName name="cb_Chart_70_opts">"1, 10, 1, False, 2, True, False, , 0, False, False, 1, 1"</definedName>
    <definedName name="cb_Chart_70648_opts">"1, 1, 1, False, 2, True, False, , 0, False, False, 2, 2"</definedName>
    <definedName name="cb_Chart_70997_opts">"1, 10, 1, False, 2, False, False, , 0, False, False, 1, 1"</definedName>
    <definedName name="cb_Chart_71_opts">"1, 10, 1, False, 2, False, False, , 0, False, False, 1, 1"</definedName>
    <definedName name="cb_Chart_72_opts">"1, 10, 1, False, 2, True, False, , 0, False, False, 1, 1"</definedName>
    <definedName name="cb_Chart_73_opts">"1, 10, 1, False, 2, False, False, , 0, False, False, 1, 1"</definedName>
    <definedName name="cb_Chart_76165_opts">"1, 10, 1, False, 2, True, False, , 0, False, False, 2, 2"</definedName>
    <definedName name="cb_Chart_76804_opts">"1, 1, 1, False, 2, False, False, , 0, False, False, 1, 1"</definedName>
    <definedName name="cb_Chart_77567_opts">"1, 10, 1, False, 2, False, False, , 0, False, False, 1, 1"</definedName>
    <definedName name="cb_Chart_79140_opts">"1, 10, 1, False, 2, True, False, , 0, False, False, 2, 2"</definedName>
    <definedName name="cb_Chart_79981_opts">"1, 5, 1, False, 2, True, False, , 0, True, False, 2, 1"</definedName>
    <definedName name="cb_Chart_8_opts">"2, 1, 2, True, 2, False, False, , 0, False, True, 1, 2"</definedName>
    <definedName name="cb_Chart_81541_opts">"1, 10, 1, False, 2, True, False, , 0, False, False, 2, 2"</definedName>
    <definedName name="cb_Chart_82552_opts">"1, 1, 1, False, 2, True, False, , 0, False, False, 1, 2"</definedName>
    <definedName name="cb_Chart_83072_opts">"1, 1, 1, False, 2, True, False, , 0, False, False, 1, 2"</definedName>
    <definedName name="cb_Chart_86354_opts">"1, 10, 1, False, 2, False, False, , 0, False, False, 1, 1"</definedName>
    <definedName name="cb_Chart_87236_opts">"1, 1, 1, False, 2, True, False, , 0, False, False, 1, 2"</definedName>
    <definedName name="cb_Chart_9_opts">"1, 8, 1, False, 2, False, False, , 0, False, False, 1, 1"</definedName>
    <definedName name="cb_Chart_91188_opts">"1, 8, 1, False, 2, False, False, , 0, False, False, 1, 2"</definedName>
    <definedName name="cb_Chart_95047_opts">"1, 1, 1, False, 2, False, False, , 0, False, False, 1, 2"</definedName>
    <definedName name="cb_Chart_96286_opts">"1, 10, 1, False, 2, True, False, , 0, False, False, 2, 2"</definedName>
    <definedName name="cb_Chart_98091_opts">"1, 2, 1, False, 2, False, False, , 0, False, False, 2, 1"</definedName>
    <definedName name="cb_Chart_98700_opts">"1, 8, 1, False, 2, False, False, , 0, False, False, 1, 2"</definedName>
    <definedName name="cb_Copy_Chart_w_New_DataChart_10_opts">"2, 1, 1, True, 4, False, False, , 0, False, False, 2, 2"</definedName>
    <definedName name="cb_Copy_Chart_w_New_DataChart_7_opts">"2, 1, 1, True, 4, False, False, , 0, False, False, 2, 2"</definedName>
    <definedName name="cb_Copy_Chart_w_New_DataChart_8_opts">"2, 1, 1, True, 4, False, False, , 0, False, False, 2, 2"</definedName>
    <definedName name="cb_Copy_Chart_w_New_DataChart_9_opts">"2, 1, 1, True, 4, False, False, , 0, False, False, 2, 2"</definedName>
    <definedName name="cb_Dimension_Pie_ChartsChart_1_opts">"1, 1, 1, False, 2, True, False, , 0, False, False, 2, 2"</definedName>
    <definedName name="cb_Dimension_Pie_ChartsChart_2_opts">"1, 10, 1, False, 2, True, False, , 0, False, False, 2, 2"</definedName>
    <definedName name="cb_Export_LegendChart_14_opts">"1, 10, 1, False, 2, True, False, , 0, False, False, 2, 2"</definedName>
    <definedName name="cb_Export_LegendChart_15_opts">"1, 10, 1, False, 2, True, False, , 0, False, False, 2, 2"</definedName>
    <definedName name="cb_PieChart_16_opts">"1, 10, 1, False, 2, True, False, , 0, False, False, 2, 2"</definedName>
    <definedName name="cb_sChart_1501_opts">"1, 2, 1, False, 2, False, False, , 0, False, False, 2, 1"</definedName>
    <definedName name="cb_sChart_26476_opts">"1, 4, 1, False, 2, True, False, , 0, False, False, 1, 2"</definedName>
    <definedName name="cb_sChart_28031_opts">"1, 4, 1, False, 2, True, False, , 0, False, False, 1, 1"</definedName>
    <definedName name="cb_sChart_29053_opts">"1, 2, 1, False, 2, False, False, , 0, False, False, 2, 1"</definedName>
    <definedName name="cb_sChart_29913_opts">"1, 3, 1, False, 2, False, False, , 0, False, True, 2, 2"</definedName>
    <definedName name="cb_sChart_30292_opts">"1, 2, 1, False, 2, False, False, , 0, False, False, 2, 1"</definedName>
    <definedName name="cb_sChart_36498_opts">"1, 3, 1, False, 2, False, False, , 0, False, False, 1, 2"</definedName>
    <definedName name="cb_sChart_37450_opts">"1, 1, 1, False, 2, True, False, , 0, False, False, 1, 2"</definedName>
    <definedName name="cb_sChart_41499_opts">"1, 2, 1, False, 2, False, False, , 0, False, False, 2, 1"</definedName>
    <definedName name="cb_sChart_4634_opts">"1, 2, 1, False, 2, False, False, , 0, False, False, 2, 1"</definedName>
    <definedName name="cb_sChart_46965_opts">"1, 1, 1, False, 2, False, False, , 0, False, False, 1, 1"</definedName>
    <definedName name="cb_sChart_52582_opts">"1, 5, 1, False, 2, False, False, , 0, False, True, 1, 2"</definedName>
    <definedName name="cb_sChart_53437_opts">"1, 1, 1, False, 2, True, False, , 0, False, False, 1, 2"</definedName>
    <definedName name="cb_sChart_5449_opts">"1, 3, 1, False, 2, False, False, , 0, False, True, 2, 2"</definedName>
    <definedName name="cb_sChart_5723_opts">"1, 1, 1, False, 2, True, False, , 0, False, False, 2, 1"</definedName>
    <definedName name="cb_sChart_58046_opts">"1, 1, 1, False, 2, True, False, , 0, False, False, 1, 2"</definedName>
    <definedName name="cb_sChart_59010_opts">"1, 5, 1, False, 2, True, False, , 0, False, False, 2, 1"</definedName>
    <definedName name="cb_sChart_59340_opts">"1, 3, 1, False, 2, False, False, , 0, False, True, 2, 2"</definedName>
    <definedName name="cb_sChart_62364_opts">"1, 3, 1, False, 2, False, False, , 0, False, True, 2, 2"</definedName>
    <definedName name="cb_sChart_64876_opts">"1, 5, 1, False, 2, True, False, , 0, False, False, 2, 2"</definedName>
    <definedName name="cb_sChart_70648_opts">"1, 1, 1, False, 2, False, False, , 0, False, False, 1, 1"</definedName>
    <definedName name="cb_sChart_70997_opts">"1, 2, 1, False, 2, False, False, , 0, False, False, 2, 1"</definedName>
    <definedName name="cb_sChart_76165_opts">"1, 2, 1, False, 2, False, False, , 0, False, False, 2, 1"</definedName>
    <definedName name="cb_sChart_76804_opts">"1, 3, 1, False, 2, False, False, , 0, False, True, 2, 2"</definedName>
    <definedName name="cb_sChart_77567_opts">"1, 2, 1, False, 2, False, False, , 0, False, False, 2, 1"</definedName>
    <definedName name="cb_sChart_79140_opts">"1, 1, 1, False, 2, True, False, , 0, False, False, 1, 2"</definedName>
    <definedName name="cb_sChart_81541_opts">"1, 2, 1, False, 2, False, False, , 0, False, False, 2, 1"</definedName>
    <definedName name="cb_sChart_82552_opts">"1, 4, 1, False, 2, True, False, , 0, False, False, 2, 1"</definedName>
    <definedName name="cb_sChart_83072_opts">"1, 4, 1, False, 2, True, False, , 0, False, False, 2, 1"</definedName>
    <definedName name="cb_sChart_86354_opts">"1, 1, 1, False, 2, True, False, , 0, False, False, 1, 2"</definedName>
    <definedName name="cb_sChart_87236_opts">"1, 2, 1, False, 2, False, False, , 0, False, False, 2, 1"</definedName>
    <definedName name="cb_sChart_95047_opts">"1, 3, 1, False, 2, False, False, , 0, False, False, 1, 2"</definedName>
    <definedName name="cb_sChart_96286_opts">"1, 2, 1, False, 2, False, False, , 0, False, False, 2, 1"</definedName>
    <definedName name="cb_sChart11DCFB24_opts">"1, 9, 1, False, 2, False, False, , 0, False, True, 1, 1"</definedName>
    <definedName name="cb_sChart11EADA92_opts">"1, 1, 1, False, 2, False, False, , 0, False, True, 2, 2"</definedName>
    <definedName name="cb_sChart11EAED4A_opts">"1, 1, 1, False, 2, False, False, , 0, False, True, 2, 2"</definedName>
    <definedName name="cb_sChart11EB049E_opts">"1, 1, 1, False, 2, False, False, , 0, False, True, 2, 2"</definedName>
    <definedName name="cb_sChart11FB1BDC_opts">"1, 1, 1, False, 2, True, False, , 0, False, True, 2, 2"</definedName>
    <definedName name="cb_sChart11FB2467_opts">"1, 1, 1, False, 2, True, False, , 0, False, True, 2, 2"</definedName>
    <definedName name="cb_sChart11FB271E_opts">"1, 1, 1, False, 2, True, False, , 0, False, True, 2, 2"</definedName>
    <definedName name="cb_sChart11FB296C_opts">"1, 1, 1, False, 2, True, False, , 0, False, True, 2, 2"</definedName>
    <definedName name="cb_sChart11FB4DE8_opts">"1, 9, 1, False, 2, False, False, , 0, False, True, 1, 2"</definedName>
    <definedName name="cb_sChart11FCA363_opts">"2, 1, 2, True, 2, False, False, , 0, False, True, 2, 2"</definedName>
    <definedName name="cb_sChart11FCA851_opts">"2, 1, 2, True, 2, False, False, , 0, False, True, 2, 2"</definedName>
    <definedName name="cb_sChart11FCE81C_opts">"1, 9, 1, False, 2, False, False, , 0, False, True, 2, 2"</definedName>
    <definedName name="cb_sChart12073B79_opts">"1, 9, 1, False, 2, False, False, , 0, False, True, 2, 2"</definedName>
    <definedName name="cb_sChart12074F69_opts">"1, 9, 1, False, 2, False, False, , 0, False, True, 2, 2"</definedName>
    <definedName name="cb_sChart1216F828_opts">"2, 1, 1, False, 2, False, False, , 0, False, True, 2, 2"</definedName>
    <definedName name="cb_sChart122574E1_opts">"1, 1, 1, False, 2, False, False, , 0, False, True, 2, 2"</definedName>
    <definedName name="cb_sChart12285211_opts">"1, 9, 1, False, 2, False, False, , 0, False, False, 1, 2"</definedName>
    <definedName name="cb_sChart12291B1F_opts">"2, 1, 1, True, 3, False, False, , 0, False, False, 1, 2"</definedName>
    <definedName name="cb_sChart1248DE96_opts">"1, 9, 1, False, 2, False, False, , 0, False, False, 1, 2"</definedName>
    <definedName name="cb_sChart1248E206_opts">"1, 9, 1, False, 2, False, False, , 0, False, False, 1, 2"</definedName>
    <definedName name="cb_sChart15CA0E0A_opts">"1, 9, 1, False, 2, False, False, , 0, False, False, 1, 2"</definedName>
    <definedName name="cb_sChart15CA1FFD_opts">"1, 10, 1, False, 2, False, False, , 0, False, False, 1, 1"</definedName>
    <definedName name="cb_sChart15CA20AB_opts">"1, 9, 1, False, 2, False, False, , 0, False, False, 1, 1"</definedName>
    <definedName name="cb_sChart15CA2F5C_opts">"1, 9, 1, False, 2, False, False, , 0, False, False, 1, 1"</definedName>
    <definedName name="cb_sChart15CA30C3_opts">"1, 9, 1, False, 2, False, False, , 0, False, True, 1, 1"</definedName>
    <definedName name="cb_sChart1A3873A1_opts">"1, 1, 1, False, 2, True, False, , 0, False, True, 1, 1"</definedName>
    <definedName name="cb_sChart1A3875D8_opts">"1, 1, 1, False, 2, False, False, , 0, False, False, 1, 1"</definedName>
    <definedName name="cb_sChart1A3877BF_opts">"1, 1, 1, False, 2, True, False, , 0, False, True, 1, 1"</definedName>
    <definedName name="cb_sChart1A387878_opts">"1, 1, 1, False, 2, True, False, , 0, False, True, 1, 1"</definedName>
    <definedName name="cb_sChart1A387AF4_opts">"1, 3, 1, False, 2, False, False, , 0, False, False, 1, 1"</definedName>
    <definedName name="cb_sChart1A38BEAE_opts">"1, 10, 1, False, 2, True, False, , 0, False, False, 1, 1"</definedName>
    <definedName name="cb_sChart1A43A019_opts">"1, 1, 1, False, 2, True, False, , 0, False, False, 1, 1"</definedName>
    <definedName name="cb_sChart1A4414D6_opts">"1, 1, 1, False, 2, True, False, , 0, False, False, 1, 1"</definedName>
    <definedName name="cb_sChart1A4416BC_opts">"1, 1, 1, False, 2, True, False, , 0, False, False, 1, 1"</definedName>
    <definedName name="cb_sChart1A4418D0_opts">"1, 1, 1, False, 2, True, False, , 0, False, False, 1, 1"</definedName>
    <definedName name="cb_sChart1A4419DA_opts">"1, 1, 1, False, 2, True, False, , 0, False, False, 1, 1"</definedName>
    <definedName name="cb_sChart7F59C8D_opts">"1, 4, 1, False, 2, False, False, , 0, False, False, 1, 1"</definedName>
    <definedName name="cb_sChart7F59D80_opts">"1, 1, 1, False, 2, True, False, , 0, False, False, 1, 1"</definedName>
    <definedName name="cb_sChart7F5A913_opts">"1, 1, 1, False, 2, True, False, , 0, False, False, 3, 1"</definedName>
    <definedName name="cb_sChart7F5AA63_opts">"1, 1, 1, False, 2, False, False, , 0, False, False, 3, 1"</definedName>
    <definedName name="cb_sChart7F5AB6D_opts">"1, 1, 1, False, 2, False, False, , 0, False, False, 3, 1"</definedName>
    <definedName name="cb_sChart7F5AED1_opts">"1, 1, 1, False, 2, False, False, , 0, False, False, 3, 1"</definedName>
    <definedName name="cb_sChartD68BCC9_opts">"1, 1, 1, False, 2, True, False, , 0, False, True, 1, 1"</definedName>
    <definedName name="cb_sChartD6B06A2_opts">"1, 1, 1, False, 2, False, False, , 0, False, False, 2, 2"</definedName>
    <definedName name="cb_sChartD6B1FA3_opts">"1, 1, 1, False, 2, False, False, , 0, False, False, 2, 2"</definedName>
    <definedName name="cb_sChartD6B69B1_opts">"1, 1, 1, False, 2, False, False, , 0, False, False, 1, 2"</definedName>
    <definedName name="cb_sChartD6B76F0_opts">"2, 1, 1, False, 2, False, False, , 0, False, False, 1, 2"</definedName>
    <definedName name="cb_sChartD6B943C_opts">"2, 1, 1, False, 3, False, False, , 0, False, False, 1, 2"</definedName>
    <definedName name="cb_sChartD6C1C01_opts">"2, 1, 1, True, 2, False, False, , 0, False, False, 1, 2"</definedName>
    <definedName name="cb_sChartD6FD60D_opts">"1, 1, 1, False, 2, False, False, , 0, False, False, 1, 1"</definedName>
    <definedName name="cb_sChartD78B484_opts">"2, 1, 1, False, 2, True, False, , 0, False, False, 1, 2"</definedName>
    <definedName name="cb_sChartD78C2AA_opts">"2, 1, 1, True, 2, True, False, , 0, False, False, 1, 2"</definedName>
    <definedName name="cb_sChartD78C76A_opts">"2, 1, 1, True, 2, True, False, , 0, False, False, 1, 1"</definedName>
    <definedName name="cb_sChartD78CF99_opts">"2, 1, 3, True, 2, False, False, , 0, False, False, 1, 1"</definedName>
    <definedName name="cb_sChartD78D2CE_opts">"1, 1, 1, False, 2, False, False, , 0, False, False, 1, 2"</definedName>
    <definedName name="cb_sChartD78D365_opts">"1, 1, 1, False, 2, False, False, , 0, False, False, 1, 2"</definedName>
    <definedName name="cb_sChartD78D5B3_opts">"1, 1, 1, False, 2, False, False, , 0, False, False, 1, 2"</definedName>
    <definedName name="cb_sChartD78D655_opts">"1, 1, 1, False, 2, True, False, , 0, False, False, 1, 2"</definedName>
    <definedName name="cb_sChartD78DFD4_opts">"2, 1, 1, True, 2, False, False, , 0, False, False, 1, 2"</definedName>
    <definedName name="cb_sChartD78E27F_opts">"2, 1, 1, True, 2, False, False, , 0, False, False, 1, 2"</definedName>
    <definedName name="cb_sChartD78E924_opts">"2, 1, 1, True, 3, False, False, , 0, False, False, 1, 2"</definedName>
    <definedName name="cb_sChartD7A9852_opts">"2, 1, 1, True, 3, False, False, , 0, False, False, 1, 2"</definedName>
    <definedName name="cb_Size_by_height_and_widthChart_16_opts">"1, 4, 1, False, 2, False, False, , 0, False, False, 1, 1"</definedName>
    <definedName name="cb_Size_by_height_and_widthChart_7_opts">"1, 4, 1, False, 2, False, False, , 0, False, False, 1, 1"</definedName>
    <definedName name="cb_Size_by_height_and_widthChart_8_opts">"1, 4, 1, False, 2, False, False, , 0, False, False, 1, 1"</definedName>
    <definedName name="CBWorkbookPriority">-31260691</definedName>
    <definedName name="cc">{#N/A,#N/A,FALSE,"LoanAssumptions"}</definedName>
    <definedName name="ccc">{#N/A,#N/A,FALSE,"LoanAssumptions"}</definedName>
    <definedName name="CIGNA12.15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CIQWBGuid">"Project Radar - Operating Model_v1.xlsx"</definedName>
    <definedName name="ComparatEU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Corporate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Corporate2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cost.xls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coun">{#N/A,#N/A,FALSE,"Assessment";#N/A,#N/A,FALSE,"Staffing";#N/A,#N/A,FALSE,"Hires";#N/A,#N/A,FALSE,"Assumptions"}</definedName>
    <definedName name="COUNTRY">{#N/A,#N/A,FALSE,"Assessment";#N/A,#N/A,FALSE,"Staffing";#N/A,#N/A,FALSE,"Hires";#N/A,#N/A,FALSE,"Assumptions"}</definedName>
    <definedName name="cpvs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sdfsa">"c4427"</definedName>
    <definedName name="cxaa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D">{#N/A,#N/A,FALSE,"AD_Purch";#N/A,#N/A,FALSE,"Projections";#N/A,#N/A,FALSE,"DCF";#N/A,#N/A,FALSE,"Mkt Val"}</definedName>
    <definedName name="dbf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dd">{#N/A,#N/A,FALSE,"AD_Purch";#N/A,#N/A,FALSE,"Projections";#N/A,#N/A,FALSE,"DCF";#N/A,#N/A,FALSE,"Mkt Val"}</definedName>
    <definedName name="ddd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dddd">{#N/A,#N/A,FALSE,"AD_Purchase";#N/A,#N/A,FALSE,"Credit";#N/A,#N/A,FALSE,"PF Acquisition";#N/A,#N/A,FALSE,"PF Offering"}</definedName>
    <definedName name="ddddddddd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ddsfdf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ebtService1">{"Outflow 1",#N/A,FALSE,"Outflows-Inflows";"Outflow 2",#N/A,FALSE,"Outflows-Inflows";"Inflow 1",#N/A,FALSE,"Outflows-Inflows";"Inflow 2",#N/A,FALSE,"Outflows-Inflows"}</definedName>
    <definedName name="dfdfdfd">{#N/A,#N/A,FALSE,"AD_Purchase";#N/A,#N/A,FALSE,"Credit";#N/A,#N/A,FALSE,"PF Acquisition";#N/A,#N/A,FALSE,"PF Offering"}</definedName>
    <definedName name="dfdfdfldsjfd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dfds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fdsfds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fdsfsf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fg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dfgdfg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dfgdfgdfg">{#N/A,#N/A,FALSE,"Assump";#N/A,#N/A,FALSE,"Income";#N/A,#N/A,FALSE,"Balance";#N/A,#N/A,FALSE,"DCF Pump";#N/A,#N/A,FALSE,"Trans Assump";#N/A,#N/A,FALSE,"Combined Income";#N/A,#N/A,FALSE,"Combined Balance"}</definedName>
    <definedName name="dfssdf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ME_Dirty">"False"</definedName>
    <definedName name="DME_LocalFile">"True"</definedName>
    <definedName name="DME_ODMALinks1">"::ODMA\DME-MSE\London-44590=C:\TEMP\Dme\London-44590.xls"</definedName>
    <definedName name="DME_ODMALinksCount">"1"</definedName>
    <definedName name="doh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dsf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sfd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sfds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sfdsf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vfdsf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wcwc">{#N/A,#N/A,FALSE,"Assump";#N/A,#N/A,FALSE,"Income";#N/A,#N/A,FALSE,"Balance";#N/A,#N/A,FALSE,"DCF Pump";#N/A,#N/A,FALSE,"Trans Assump";#N/A,#N/A,FALSE,"Combined Income";#N/A,#N/A,FALSE,"Combined Balance"}</definedName>
    <definedName name="e">{"MonthlyRentRoll",#N/A,FALSE,"RentRoll"}</definedName>
    <definedName name="e5yy25y">{#N/A,#N/A,FALSE,"Projections";#N/A,#N/A,FALSE,"Contribution_Stock";#N/A,#N/A,FALSE,"PF_Combo_Stock";#N/A,#N/A,FALSE,"Projections";#N/A,#N/A,FALSE,"Contribution_Cash";#N/A,#N/A,FALSE,"PF_Combo_Cash";#N/A,#N/A,FALSE,"IPO_Cash"}</definedName>
    <definedName name="eds">{"TOP",#N/A,TRUE,"TRIPLE OPTION EXPERIENCE";"actives",#N/A,TRUE,"TRIPLE OPTION EXPERIENCE";"experience",#N/A,TRUE,"TRIPLE OPTION EXPERIENCE";"Outacomp",#N/A,TRUE,"FEE FOR SERVICE EXPERIENCE ";"Outacomp",#N/A,TRUE,"FEE FOR SERVICE EXPERIENCE ";"Outret",#N/A,TRUE,"FEE FOR SERVICE EXPERIENCE ";"Outact",#N/A,TRUE,"FEE FOR SERVICE EXPERIENCE ";"OutRcomp",#N/A,TRUE,"FEE FOR SERVICE EXPERIENCE ";"Outact",#N/A,TRUE,"FEE FOR SERVICE EXPERIENCE ";"OutRcomp",#N/A,TRUE,"FEE FOR SERVICE EXPERIENCE ";"Outret",#N/A,TRUE,"FEE FOR SERVICE EXPERIENCE ";"actives",#N/A,TRUE,"TRIPLE OPTION EXPERIENCE";"TOP",#N/A,TRUE,"TRIPLE OPTION EXPERIENCE"}</definedName>
    <definedName name="ee">{#N/A,#N/A,FALSE,"OperatingAssumptions"}</definedName>
    <definedName name="eee">{#N/A,#N/A,FALSE,"OperatingAssumptions"}</definedName>
    <definedName name="ert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erwer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etr">{#N/A,#N/A,FALSE,"FACTSHEETS";#N/A,#N/A,FALSE,"pump";#N/A,#N/A,FALSE,"filter"}</definedName>
    <definedName name="ev.Calculation">-4105</definedName>
    <definedName name="ev.Initialized">FALSE</definedName>
    <definedName name="EV__EVCOM_OPTIONS__">8</definedName>
    <definedName name="EV__EXPOPTIONS__">0</definedName>
    <definedName name="EV__LASTREFTIME__">40931.7958912037</definedName>
    <definedName name="EV__MAXEXPCOLS__">100</definedName>
    <definedName name="EV__MAXEXPROWS__">1000</definedName>
    <definedName name="EV__MEMORYCVW__">0</definedName>
    <definedName name="EV__WBEVMODE__">0</definedName>
    <definedName name="EV__WBREFOPTIONS__">134217783</definedName>
    <definedName name="EV__WBVERSION__">0</definedName>
    <definedName name="EV__WSINFO__">"gjdr09"</definedName>
    <definedName name="ewrew">{#N/A,#N/A,FALSE,"Projections";#N/A,#N/A,FALSE,"Multiples Valuation";#N/A,#N/A,FALSE,"LBO";#N/A,#N/A,FALSE,"Multiples_Sensitivity";#N/A,#N/A,FALSE,"Summary"}</definedName>
    <definedName name="f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fd">{"cvr",#N/A,FALSE,"CVR";"sum",#N/A,FALSE,"SUM";"obal",#N/A,FALSE,"OBAL";#N/A,#N/A,FALSE,"INC1";#N/A,#N/A,FALSE,"INC2";"bal1",#N/A,FALSE,"BAL1";"inc",#N/A,FALSE,"INC";"bal",#N/A,FALSE,"BAL";"cash",#N/A,FALSE,"CASH";"debt",#N/A,FALSE,"DEBT";"eqty",#N/A,FALSE,"EQTY";"tax",#N/A,FALSE,"TAX";"depr",#N/A,FALSE,"DEPR";#N/A,#N/A,FALSE,"IRR";"strip1",#N/A,FALSE,"STRP";"fee",#N/A,FALSE,"FEE"}</definedName>
    <definedName name="FDD_0_0">"A30681"</definedName>
    <definedName name="FDD_0_1">"A31047"</definedName>
    <definedName name="FDD_0_10">"A34334"</definedName>
    <definedName name="FDD_0_11">"A34699"</definedName>
    <definedName name="FDD_0_12">"A35064"</definedName>
    <definedName name="FDD_0_13">"A35430"</definedName>
    <definedName name="FDD_0_14">"A35795"</definedName>
    <definedName name="FDD_0_2">"A31412"</definedName>
    <definedName name="FDD_0_3">"A31777"</definedName>
    <definedName name="FDD_0_4">"A32142"</definedName>
    <definedName name="FDD_0_5">"A32508"</definedName>
    <definedName name="FDD_0_6">"A32873"</definedName>
    <definedName name="FDD_0_7">"A33238"</definedName>
    <definedName name="FDD_0_8">"A33603"</definedName>
    <definedName name="FDD_0_9">"A33969"</definedName>
    <definedName name="FDD_1_0">"U25569"</definedName>
    <definedName name="FDD_10_0">"A25569"</definedName>
    <definedName name="FDD_100_0">"A25569"</definedName>
    <definedName name="FDD_101_0">"A25569"</definedName>
    <definedName name="FDD_102_0">"A25569"</definedName>
    <definedName name="FDD_103_0">"A25569"</definedName>
    <definedName name="FDD_104_0">"A25569"</definedName>
    <definedName name="FDD_105_0">"A25569"</definedName>
    <definedName name="FDD_106_0">"A25569"</definedName>
    <definedName name="FDD_107_0">"A25569"</definedName>
    <definedName name="FDD_108_0">"A25569"</definedName>
    <definedName name="FDD_109_0">"A25569"</definedName>
    <definedName name="FDD_11_0">"A25569"</definedName>
    <definedName name="FDD_110_0">"A25569"</definedName>
    <definedName name="FDD_111_0">"A25569"</definedName>
    <definedName name="FDD_112_0">"A25569"</definedName>
    <definedName name="FDD_113_0">"A25569"</definedName>
    <definedName name="FDD_114_0">"A25569"</definedName>
    <definedName name="FDD_115_0">"A25569"</definedName>
    <definedName name="FDD_116_0">"A25569"</definedName>
    <definedName name="FDD_117_0">"A30681"</definedName>
    <definedName name="FDD_117_1">"A31047"</definedName>
    <definedName name="FDD_117_10">"A34334"</definedName>
    <definedName name="FDD_117_11">"A34699"</definedName>
    <definedName name="FDD_117_12">"A35064"</definedName>
    <definedName name="FDD_117_13">"A35430"</definedName>
    <definedName name="FDD_117_14">"A35795"</definedName>
    <definedName name="FDD_117_2">"A31412"</definedName>
    <definedName name="FDD_117_3">"A31777"</definedName>
    <definedName name="FDD_117_4">"A32142"</definedName>
    <definedName name="FDD_117_5">"A32508"</definedName>
    <definedName name="FDD_117_6">"A32873"</definedName>
    <definedName name="FDD_117_7">"A33238"</definedName>
    <definedName name="FDD_117_8">"A33603"</definedName>
    <definedName name="FDD_117_9">"A33969"</definedName>
    <definedName name="FDD_118_0">"A30681"</definedName>
    <definedName name="FDD_118_1">"A31047"</definedName>
    <definedName name="FDD_118_10">"A34334"</definedName>
    <definedName name="FDD_118_11">"A34699"</definedName>
    <definedName name="FDD_118_12">"A35064"</definedName>
    <definedName name="FDD_118_13">"A35430"</definedName>
    <definedName name="FDD_118_14">"A35795"</definedName>
    <definedName name="FDD_118_2">"A31412"</definedName>
    <definedName name="FDD_118_3">"A31777"</definedName>
    <definedName name="FDD_118_4">"A32142"</definedName>
    <definedName name="FDD_118_5">"A32508"</definedName>
    <definedName name="FDD_118_6">"A32873"</definedName>
    <definedName name="FDD_118_7">"A33238"</definedName>
    <definedName name="FDD_118_8">"A33603"</definedName>
    <definedName name="FDD_118_9">"A33969"</definedName>
    <definedName name="FDD_119_0">"A30681"</definedName>
    <definedName name="FDD_119_1">"A31047"</definedName>
    <definedName name="FDD_119_10">"A34334"</definedName>
    <definedName name="FDD_119_11">"A34699"</definedName>
    <definedName name="FDD_119_12">"A35064"</definedName>
    <definedName name="FDD_119_13">"A35430"</definedName>
    <definedName name="FDD_119_14">"A35795"</definedName>
    <definedName name="FDD_119_2">"A31412"</definedName>
    <definedName name="FDD_119_3">"A31777"</definedName>
    <definedName name="FDD_119_4">"A32142"</definedName>
    <definedName name="FDD_119_5">"A32508"</definedName>
    <definedName name="FDD_119_6">"A32873"</definedName>
    <definedName name="FDD_119_7">"A33238"</definedName>
    <definedName name="FDD_119_8">"A33603"</definedName>
    <definedName name="FDD_119_9">"A33969"</definedName>
    <definedName name="FDD_12_0">"A25569"</definedName>
    <definedName name="FDD_120_0">"A30681"</definedName>
    <definedName name="FDD_120_1">"A31047"</definedName>
    <definedName name="FDD_120_10">"A34334"</definedName>
    <definedName name="FDD_120_11">"A34699"</definedName>
    <definedName name="FDD_120_12">"A35064"</definedName>
    <definedName name="FDD_120_13">"A35430"</definedName>
    <definedName name="FDD_120_14">"A35795"</definedName>
    <definedName name="FDD_120_2">"A31412"</definedName>
    <definedName name="FDD_120_3">"A31777"</definedName>
    <definedName name="FDD_120_4">"A32142"</definedName>
    <definedName name="FDD_120_5">"A32508"</definedName>
    <definedName name="FDD_120_6">"A32873"</definedName>
    <definedName name="FDD_120_7">"A33238"</definedName>
    <definedName name="FDD_120_8">"A33603"</definedName>
    <definedName name="FDD_120_9">"A33969"</definedName>
    <definedName name="FDD_121_0">"A30681"</definedName>
    <definedName name="FDD_121_1">"A31047"</definedName>
    <definedName name="FDD_121_10">"A34334"</definedName>
    <definedName name="FDD_121_11">"A34699"</definedName>
    <definedName name="FDD_121_12">"A35064"</definedName>
    <definedName name="FDD_121_13">"A35430"</definedName>
    <definedName name="FDD_121_14">"A35795"</definedName>
    <definedName name="FDD_121_2">"A31412"</definedName>
    <definedName name="FDD_121_3">"A31777"</definedName>
    <definedName name="FDD_121_4">"A32142"</definedName>
    <definedName name="FDD_121_5">"A32508"</definedName>
    <definedName name="FDD_121_6">"A32873"</definedName>
    <definedName name="FDD_121_7">"A33238"</definedName>
    <definedName name="FDD_121_8">"A33603"</definedName>
    <definedName name="FDD_121_9">"A33969"</definedName>
    <definedName name="FDD_122_0">"A30681"</definedName>
    <definedName name="FDD_122_1">"A31047"</definedName>
    <definedName name="FDD_122_10">"A34334"</definedName>
    <definedName name="FDD_122_11">"A34699"</definedName>
    <definedName name="FDD_122_12">"A35064"</definedName>
    <definedName name="FDD_122_13">"A35430"</definedName>
    <definedName name="FDD_122_14">"A35795"</definedName>
    <definedName name="FDD_122_2">"A31412"</definedName>
    <definedName name="FDD_122_3">"A31777"</definedName>
    <definedName name="FDD_122_4">"A32142"</definedName>
    <definedName name="FDD_122_5">"A32508"</definedName>
    <definedName name="FDD_122_6">"A32873"</definedName>
    <definedName name="FDD_122_7">"A33238"</definedName>
    <definedName name="FDD_122_8">"A33603"</definedName>
    <definedName name="FDD_122_9">"A33969"</definedName>
    <definedName name="FDD_123_0">"A30681"</definedName>
    <definedName name="FDD_123_1">"A31047"</definedName>
    <definedName name="FDD_123_10">"A34334"</definedName>
    <definedName name="FDD_123_11">"A34699"</definedName>
    <definedName name="FDD_123_12">"A35064"</definedName>
    <definedName name="FDD_123_13">"A35430"</definedName>
    <definedName name="FDD_123_14">"A35795"</definedName>
    <definedName name="FDD_123_2">"A31412"</definedName>
    <definedName name="FDD_123_3">"A31777"</definedName>
    <definedName name="FDD_123_4">"A32142"</definedName>
    <definedName name="FDD_123_5">"A32508"</definedName>
    <definedName name="FDD_123_6">"A32873"</definedName>
    <definedName name="FDD_123_7">"A33238"</definedName>
    <definedName name="FDD_123_8">"A33603"</definedName>
    <definedName name="FDD_123_9">"A33969"</definedName>
    <definedName name="FDD_124_0">"A30681"</definedName>
    <definedName name="FDD_124_1">"A31047"</definedName>
    <definedName name="FDD_124_10">"A34334"</definedName>
    <definedName name="FDD_124_11">"A34699"</definedName>
    <definedName name="FDD_124_12">"A35064"</definedName>
    <definedName name="FDD_124_13">"A35430"</definedName>
    <definedName name="FDD_124_14">"A35795"</definedName>
    <definedName name="FDD_124_2">"A31412"</definedName>
    <definedName name="FDD_124_3">"A31777"</definedName>
    <definedName name="FDD_124_4">"A32142"</definedName>
    <definedName name="FDD_124_5">"A32508"</definedName>
    <definedName name="FDD_124_6">"A32873"</definedName>
    <definedName name="FDD_124_7">"A33238"</definedName>
    <definedName name="FDD_124_8">"A33603"</definedName>
    <definedName name="FDD_124_9">"A33969"</definedName>
    <definedName name="FDD_125_0">"A30681"</definedName>
    <definedName name="FDD_125_1">"A31047"</definedName>
    <definedName name="FDD_125_10">"A34334"</definedName>
    <definedName name="FDD_125_11">"A34699"</definedName>
    <definedName name="FDD_125_12">"A35064"</definedName>
    <definedName name="FDD_125_13">"A35430"</definedName>
    <definedName name="FDD_125_14">"A35795"</definedName>
    <definedName name="FDD_125_2">"A31412"</definedName>
    <definedName name="FDD_125_3">"A31777"</definedName>
    <definedName name="FDD_125_4">"A32142"</definedName>
    <definedName name="FDD_125_5">"A32508"</definedName>
    <definedName name="FDD_125_6">"A32873"</definedName>
    <definedName name="FDD_125_7">"A33238"</definedName>
    <definedName name="FDD_125_8">"A33603"</definedName>
    <definedName name="FDD_125_9">"A33969"</definedName>
    <definedName name="FDD_126_0">"A30681"</definedName>
    <definedName name="FDD_126_1">"A31047"</definedName>
    <definedName name="FDD_126_10">"A34334"</definedName>
    <definedName name="FDD_126_11">"A34699"</definedName>
    <definedName name="FDD_126_12">"A35064"</definedName>
    <definedName name="FDD_126_13">"A35430"</definedName>
    <definedName name="FDD_126_14">"A35795"</definedName>
    <definedName name="FDD_126_2">"A31412"</definedName>
    <definedName name="FDD_126_3">"A31777"</definedName>
    <definedName name="FDD_126_4">"A32142"</definedName>
    <definedName name="FDD_126_5">"A32508"</definedName>
    <definedName name="FDD_126_6">"A32873"</definedName>
    <definedName name="FDD_126_7">"A33238"</definedName>
    <definedName name="FDD_126_8">"A33603"</definedName>
    <definedName name="FDD_126_9">"A33969"</definedName>
    <definedName name="FDD_127_0">"A30681"</definedName>
    <definedName name="FDD_127_1">"A31047"</definedName>
    <definedName name="FDD_127_10">"A34334"</definedName>
    <definedName name="FDD_127_11">"A34699"</definedName>
    <definedName name="FDD_127_12">"A35064"</definedName>
    <definedName name="FDD_127_13">"A35430"</definedName>
    <definedName name="FDD_127_14">"A35795"</definedName>
    <definedName name="FDD_127_2">"A31412"</definedName>
    <definedName name="FDD_127_3">"A31777"</definedName>
    <definedName name="FDD_127_4">"A32142"</definedName>
    <definedName name="FDD_127_5">"A32508"</definedName>
    <definedName name="FDD_127_6">"A32873"</definedName>
    <definedName name="FDD_127_7">"A33238"</definedName>
    <definedName name="FDD_127_8">"A33603"</definedName>
    <definedName name="FDD_127_9">"A33969"</definedName>
    <definedName name="FDD_128_0">"A30681"</definedName>
    <definedName name="FDD_128_1">"A31047"</definedName>
    <definedName name="FDD_128_10">"A34334"</definedName>
    <definedName name="FDD_128_11">"A34699"</definedName>
    <definedName name="FDD_128_12">"A35064"</definedName>
    <definedName name="FDD_128_13">"A35430"</definedName>
    <definedName name="FDD_128_14">"A35795"</definedName>
    <definedName name="FDD_128_2">"A31412"</definedName>
    <definedName name="FDD_128_3">"A31777"</definedName>
    <definedName name="FDD_128_4">"A32142"</definedName>
    <definedName name="FDD_128_5">"A32508"</definedName>
    <definedName name="FDD_128_6">"A32873"</definedName>
    <definedName name="FDD_128_7">"A33238"</definedName>
    <definedName name="FDD_128_8">"A33603"</definedName>
    <definedName name="FDD_128_9">"A33969"</definedName>
    <definedName name="FDD_129_0">"A30681"</definedName>
    <definedName name="FDD_129_1">"A31047"</definedName>
    <definedName name="FDD_129_10">"A34334"</definedName>
    <definedName name="FDD_129_11">"A34699"</definedName>
    <definedName name="FDD_129_12">"A35064"</definedName>
    <definedName name="FDD_129_13">"A35430"</definedName>
    <definedName name="FDD_129_14">"A35795"</definedName>
    <definedName name="FDD_129_2">"A31412"</definedName>
    <definedName name="FDD_129_3">"A31777"</definedName>
    <definedName name="FDD_129_4">"A32142"</definedName>
    <definedName name="FDD_129_5">"A32508"</definedName>
    <definedName name="FDD_129_6">"A32873"</definedName>
    <definedName name="FDD_129_7">"A33238"</definedName>
    <definedName name="FDD_129_8">"A33603"</definedName>
    <definedName name="FDD_129_9">"A33969"</definedName>
    <definedName name="FDD_13_0">"A25569"</definedName>
    <definedName name="FDD_130_0">"A30681"</definedName>
    <definedName name="FDD_130_1">"A31047"</definedName>
    <definedName name="FDD_130_10">"A34334"</definedName>
    <definedName name="FDD_130_11">"A34699"</definedName>
    <definedName name="FDD_130_12">"A35064"</definedName>
    <definedName name="FDD_130_13">"A35430"</definedName>
    <definedName name="FDD_130_14">"A35795"</definedName>
    <definedName name="FDD_130_2">"A31412"</definedName>
    <definedName name="FDD_130_3">"A31777"</definedName>
    <definedName name="FDD_130_4">"A32142"</definedName>
    <definedName name="FDD_130_5">"A32508"</definedName>
    <definedName name="FDD_130_6">"A32873"</definedName>
    <definedName name="FDD_130_7">"A33238"</definedName>
    <definedName name="FDD_130_8">"A33603"</definedName>
    <definedName name="FDD_130_9">"A33969"</definedName>
    <definedName name="FDD_131_0">"A30681"</definedName>
    <definedName name="FDD_131_1">"A31047"</definedName>
    <definedName name="FDD_131_10">"A34334"</definedName>
    <definedName name="FDD_131_11">"A34699"</definedName>
    <definedName name="FDD_131_12">"A35064"</definedName>
    <definedName name="FDD_131_13">"A35430"</definedName>
    <definedName name="FDD_131_14">"A35795"</definedName>
    <definedName name="FDD_131_2">"A31412"</definedName>
    <definedName name="FDD_131_3">"A31777"</definedName>
    <definedName name="FDD_131_4">"A32142"</definedName>
    <definedName name="FDD_131_5">"A32508"</definedName>
    <definedName name="FDD_131_6">"A32873"</definedName>
    <definedName name="FDD_131_7">"A33238"</definedName>
    <definedName name="FDD_131_8">"A33603"</definedName>
    <definedName name="FDD_131_9">"A33969"</definedName>
    <definedName name="FDD_132_0">"U30681"</definedName>
    <definedName name="FDD_132_1">"U31047"</definedName>
    <definedName name="FDD_132_10">"U34334"</definedName>
    <definedName name="FDD_132_11">"U34699"</definedName>
    <definedName name="FDD_132_12">"U35064"</definedName>
    <definedName name="FDD_132_13">"U35430"</definedName>
    <definedName name="FDD_132_14">"U35795"</definedName>
    <definedName name="FDD_132_2">"U31412"</definedName>
    <definedName name="FDD_132_3">"U31777"</definedName>
    <definedName name="FDD_132_4">"U32142"</definedName>
    <definedName name="FDD_132_5">"U32508"</definedName>
    <definedName name="FDD_132_6">"U32873"</definedName>
    <definedName name="FDD_132_7">"U33238"</definedName>
    <definedName name="FDD_132_8">"U33603"</definedName>
    <definedName name="FDD_132_9">"U33969"</definedName>
    <definedName name="FDD_133_0">"A30681"</definedName>
    <definedName name="FDD_133_1">"A31047"</definedName>
    <definedName name="FDD_133_10">"A34334"</definedName>
    <definedName name="FDD_133_11">"A34699"</definedName>
    <definedName name="FDD_133_12">"A35064"</definedName>
    <definedName name="FDD_133_13">"A35430"</definedName>
    <definedName name="FDD_133_14">"A35795"</definedName>
    <definedName name="FDD_133_2">"A31412"</definedName>
    <definedName name="FDD_133_3">"A31777"</definedName>
    <definedName name="FDD_133_4">"A32142"</definedName>
    <definedName name="FDD_133_5">"A32508"</definedName>
    <definedName name="FDD_133_6">"A32873"</definedName>
    <definedName name="FDD_133_7">"A33238"</definedName>
    <definedName name="FDD_133_8">"A33603"</definedName>
    <definedName name="FDD_133_9">"A33969"</definedName>
    <definedName name="FDD_134_0">"A30681"</definedName>
    <definedName name="FDD_134_1">"A31047"</definedName>
    <definedName name="FDD_134_10">"A34334"</definedName>
    <definedName name="FDD_134_11">"A34699"</definedName>
    <definedName name="FDD_134_12">"A35064"</definedName>
    <definedName name="FDD_134_13">"A35430"</definedName>
    <definedName name="FDD_134_14">"A35795"</definedName>
    <definedName name="FDD_134_2">"A31412"</definedName>
    <definedName name="FDD_134_3">"A31777"</definedName>
    <definedName name="FDD_134_4">"A32142"</definedName>
    <definedName name="FDD_134_5">"A32508"</definedName>
    <definedName name="FDD_134_6">"A32873"</definedName>
    <definedName name="FDD_134_7">"A33238"</definedName>
    <definedName name="FDD_134_8">"A33603"</definedName>
    <definedName name="FDD_134_9">"A33969"</definedName>
    <definedName name="FDD_135_0">"A30681"</definedName>
    <definedName name="FDD_135_1">"A31047"</definedName>
    <definedName name="FDD_135_10">"A34334"</definedName>
    <definedName name="FDD_135_11">"A34699"</definedName>
    <definedName name="FDD_135_12">"A35064"</definedName>
    <definedName name="FDD_135_13">"A35430"</definedName>
    <definedName name="FDD_135_14">"A35795"</definedName>
    <definedName name="FDD_135_2">"A31412"</definedName>
    <definedName name="FDD_135_3">"A31777"</definedName>
    <definedName name="FDD_135_4">"A32142"</definedName>
    <definedName name="FDD_135_5">"A32508"</definedName>
    <definedName name="FDD_135_6">"A32873"</definedName>
    <definedName name="FDD_135_7">"A33238"</definedName>
    <definedName name="FDD_135_8">"A33603"</definedName>
    <definedName name="FDD_135_9">"A33969"</definedName>
    <definedName name="FDD_136_0">"A30681"</definedName>
    <definedName name="FDD_136_1">"A31047"</definedName>
    <definedName name="FDD_136_10">"A34334"</definedName>
    <definedName name="FDD_136_11">"A34699"</definedName>
    <definedName name="FDD_136_12">"A35064"</definedName>
    <definedName name="FDD_136_13">"A35430"</definedName>
    <definedName name="FDD_136_14">"A35795"</definedName>
    <definedName name="FDD_136_2">"A31412"</definedName>
    <definedName name="FDD_136_3">"A31777"</definedName>
    <definedName name="FDD_136_4">"A32142"</definedName>
    <definedName name="FDD_136_5">"A32508"</definedName>
    <definedName name="FDD_136_6">"A32873"</definedName>
    <definedName name="FDD_136_7">"A33238"</definedName>
    <definedName name="FDD_136_8">"A33603"</definedName>
    <definedName name="FDD_136_9">"A33969"</definedName>
    <definedName name="FDD_137_0">"A30681"</definedName>
    <definedName name="FDD_137_1">"A31047"</definedName>
    <definedName name="FDD_137_10">"A34334"</definedName>
    <definedName name="FDD_137_11">"A34699"</definedName>
    <definedName name="FDD_137_12">"A35064"</definedName>
    <definedName name="FDD_137_13">"A35430"</definedName>
    <definedName name="FDD_137_14">"A35795"</definedName>
    <definedName name="FDD_137_2">"A31412"</definedName>
    <definedName name="FDD_137_3">"A31777"</definedName>
    <definedName name="FDD_137_4">"A32142"</definedName>
    <definedName name="FDD_137_5">"A32508"</definedName>
    <definedName name="FDD_137_6">"A32873"</definedName>
    <definedName name="FDD_137_7">"A33238"</definedName>
    <definedName name="FDD_137_8">"A33603"</definedName>
    <definedName name="FDD_137_9">"A33969"</definedName>
    <definedName name="FDD_138_0">"A30681"</definedName>
    <definedName name="FDD_138_1">"A31047"</definedName>
    <definedName name="FDD_138_10">"A34334"</definedName>
    <definedName name="FDD_138_11">"A34699"</definedName>
    <definedName name="FDD_138_12">"A35064"</definedName>
    <definedName name="FDD_138_13">"A35430"</definedName>
    <definedName name="FDD_138_14">"A35795"</definedName>
    <definedName name="FDD_138_2">"A31412"</definedName>
    <definedName name="FDD_138_3">"A31777"</definedName>
    <definedName name="FDD_138_4">"A32142"</definedName>
    <definedName name="FDD_138_5">"A32508"</definedName>
    <definedName name="FDD_138_6">"A32873"</definedName>
    <definedName name="FDD_138_7">"A33238"</definedName>
    <definedName name="FDD_138_8">"A33603"</definedName>
    <definedName name="FDD_138_9">"A33969"</definedName>
    <definedName name="FDD_139_0">"A30681"</definedName>
    <definedName name="FDD_139_1">"A31047"</definedName>
    <definedName name="FDD_139_10">"U34334"</definedName>
    <definedName name="FDD_139_11">"U34699"</definedName>
    <definedName name="FDD_139_12">"U35064"</definedName>
    <definedName name="FDD_139_13">"U35430"</definedName>
    <definedName name="FDD_139_14">"U35795"</definedName>
    <definedName name="FDD_139_2">"A31412"</definedName>
    <definedName name="FDD_139_3">"U31777"</definedName>
    <definedName name="FDD_139_4">"U32142"</definedName>
    <definedName name="FDD_139_5">"U32508"</definedName>
    <definedName name="FDD_139_6">"U32873"</definedName>
    <definedName name="FDD_139_7">"U33238"</definedName>
    <definedName name="FDD_139_8">"U33603"</definedName>
    <definedName name="FDD_139_9">"U33969"</definedName>
    <definedName name="FDD_14_0">"A25569"</definedName>
    <definedName name="FDD_140_0">"A25569"</definedName>
    <definedName name="FDD_141_0">"A30681"</definedName>
    <definedName name="FDD_141_1">"A31047"</definedName>
    <definedName name="FDD_141_10">"A34334"</definedName>
    <definedName name="FDD_141_11">"A34699"</definedName>
    <definedName name="FDD_141_12">"A35064"</definedName>
    <definedName name="FDD_141_13">"A35430"</definedName>
    <definedName name="FDD_141_14">"A35795"</definedName>
    <definedName name="FDD_141_2">"A31412"</definedName>
    <definedName name="FDD_141_3">"A31777"</definedName>
    <definedName name="FDD_141_4">"A32142"</definedName>
    <definedName name="FDD_141_5">"A32508"</definedName>
    <definedName name="FDD_141_6">"A32873"</definedName>
    <definedName name="FDD_141_7">"A33238"</definedName>
    <definedName name="FDD_141_8">"A33603"</definedName>
    <definedName name="FDD_141_9">"A33969"</definedName>
    <definedName name="FDD_142_0">"A30681"</definedName>
    <definedName name="FDD_142_1">"A31047"</definedName>
    <definedName name="FDD_142_10">"A34334"</definedName>
    <definedName name="FDD_142_11">"A34699"</definedName>
    <definedName name="FDD_142_12">"A35064"</definedName>
    <definedName name="FDD_142_13">"A35430"</definedName>
    <definedName name="FDD_142_14">"A35795"</definedName>
    <definedName name="FDD_142_2">"A31412"</definedName>
    <definedName name="FDD_142_3">"A31777"</definedName>
    <definedName name="FDD_142_4">"A32142"</definedName>
    <definedName name="FDD_142_5">"A32508"</definedName>
    <definedName name="FDD_142_6">"A32873"</definedName>
    <definedName name="FDD_142_7">"A33238"</definedName>
    <definedName name="FDD_142_8">"A33603"</definedName>
    <definedName name="FDD_142_9">"A33969"</definedName>
    <definedName name="FDD_143_0">"A30681"</definedName>
    <definedName name="FDD_143_1">"A31047"</definedName>
    <definedName name="FDD_143_10">"A34334"</definedName>
    <definedName name="FDD_143_11">"A34699"</definedName>
    <definedName name="FDD_143_12">"A35064"</definedName>
    <definedName name="FDD_143_13">"A35430"</definedName>
    <definedName name="FDD_143_14">"A35795"</definedName>
    <definedName name="FDD_143_2">"A31412"</definedName>
    <definedName name="FDD_143_3">"A31777"</definedName>
    <definedName name="FDD_143_4">"A32142"</definedName>
    <definedName name="FDD_143_5">"A32508"</definedName>
    <definedName name="FDD_143_6">"A32873"</definedName>
    <definedName name="FDD_143_7">"A33238"</definedName>
    <definedName name="FDD_143_8">"A33603"</definedName>
    <definedName name="FDD_143_9">"A33969"</definedName>
    <definedName name="FDD_144_0">"A30681"</definedName>
    <definedName name="FDD_144_1">"A31047"</definedName>
    <definedName name="FDD_144_10">"A34334"</definedName>
    <definedName name="FDD_144_11">"A34699"</definedName>
    <definedName name="FDD_144_12">"A35064"</definedName>
    <definedName name="FDD_144_13">"A35430"</definedName>
    <definedName name="FDD_144_14">"A35795"</definedName>
    <definedName name="FDD_144_2">"A31412"</definedName>
    <definedName name="FDD_144_3">"A31777"</definedName>
    <definedName name="FDD_144_4">"A32142"</definedName>
    <definedName name="FDD_144_5">"A32508"</definedName>
    <definedName name="FDD_144_6">"A32873"</definedName>
    <definedName name="FDD_144_7">"A33238"</definedName>
    <definedName name="FDD_144_8">"A33603"</definedName>
    <definedName name="FDD_144_9">"A33969"</definedName>
    <definedName name="FDD_145_0">"A30681"</definedName>
    <definedName name="FDD_145_1">"A31047"</definedName>
    <definedName name="FDD_145_10">"A34334"</definedName>
    <definedName name="FDD_145_11">"A34699"</definedName>
    <definedName name="FDD_145_12">"A35064"</definedName>
    <definedName name="FDD_145_13">"A35430"</definedName>
    <definedName name="FDD_145_14">"A35795"</definedName>
    <definedName name="FDD_145_2">"A31412"</definedName>
    <definedName name="FDD_145_3">"A31777"</definedName>
    <definedName name="FDD_145_4">"A32142"</definedName>
    <definedName name="FDD_145_5">"A32508"</definedName>
    <definedName name="FDD_145_6">"A32873"</definedName>
    <definedName name="FDD_145_7">"A33238"</definedName>
    <definedName name="FDD_145_8">"A33603"</definedName>
    <definedName name="FDD_145_9">"A33969"</definedName>
    <definedName name="FDD_146_0">"A30681"</definedName>
    <definedName name="FDD_146_1">"A31047"</definedName>
    <definedName name="FDD_146_10">"A34334"</definedName>
    <definedName name="FDD_146_11">"A34699"</definedName>
    <definedName name="FDD_146_12">"A35064"</definedName>
    <definedName name="FDD_146_13">"A35430"</definedName>
    <definedName name="FDD_146_14">"A35795"</definedName>
    <definedName name="FDD_146_2">"A31412"</definedName>
    <definedName name="FDD_146_3">"A31777"</definedName>
    <definedName name="FDD_146_4">"A32142"</definedName>
    <definedName name="FDD_146_5">"A32508"</definedName>
    <definedName name="FDD_146_6">"A32873"</definedName>
    <definedName name="FDD_146_7">"A33238"</definedName>
    <definedName name="FDD_146_8">"A33603"</definedName>
    <definedName name="FDD_146_9">"A33969"</definedName>
    <definedName name="FDD_147_0">"U30681"</definedName>
    <definedName name="FDD_147_1">"U31047"</definedName>
    <definedName name="FDD_147_10">"U34334"</definedName>
    <definedName name="FDD_147_11">"U34699"</definedName>
    <definedName name="FDD_147_12">"U35064"</definedName>
    <definedName name="FDD_147_13">"U35430"</definedName>
    <definedName name="FDD_147_14">"U35795"</definedName>
    <definedName name="FDD_147_2">"U31412"</definedName>
    <definedName name="FDD_147_3">"U31777"</definedName>
    <definedName name="FDD_147_4">"U32142"</definedName>
    <definedName name="FDD_147_5">"U32508"</definedName>
    <definedName name="FDD_147_6">"U32873"</definedName>
    <definedName name="FDD_147_7">"U33238"</definedName>
    <definedName name="FDD_147_8">"U33603"</definedName>
    <definedName name="FDD_147_9">"U33969"</definedName>
    <definedName name="FDD_148_0">"A30681"</definedName>
    <definedName name="FDD_148_1">"A31047"</definedName>
    <definedName name="FDD_148_10">"A34334"</definedName>
    <definedName name="FDD_148_11">"A34699"</definedName>
    <definedName name="FDD_148_12">"A35064"</definedName>
    <definedName name="FDD_148_13">"A35430"</definedName>
    <definedName name="FDD_148_14">"A35795"</definedName>
    <definedName name="FDD_148_2">"A31412"</definedName>
    <definedName name="FDD_148_3">"A31777"</definedName>
    <definedName name="FDD_148_4">"A32142"</definedName>
    <definedName name="FDD_148_5">"A32508"</definedName>
    <definedName name="FDD_148_6">"A32873"</definedName>
    <definedName name="FDD_148_7">"A33238"</definedName>
    <definedName name="FDD_148_8">"A33603"</definedName>
    <definedName name="FDD_148_9">"A33969"</definedName>
    <definedName name="FDD_149_0">"U30681"</definedName>
    <definedName name="FDD_149_1">"U31047"</definedName>
    <definedName name="FDD_149_10">"U34334"</definedName>
    <definedName name="FDD_149_11">"U34699"</definedName>
    <definedName name="FDD_149_12">"U35064"</definedName>
    <definedName name="FDD_149_13">"U35430"</definedName>
    <definedName name="FDD_149_14">"A35795"</definedName>
    <definedName name="FDD_149_2">"U31412"</definedName>
    <definedName name="FDD_149_3">"U31777"</definedName>
    <definedName name="FDD_149_4">"U32142"</definedName>
    <definedName name="FDD_149_5">"U32508"</definedName>
    <definedName name="FDD_149_6">"U32873"</definedName>
    <definedName name="FDD_149_7">"U33238"</definedName>
    <definedName name="FDD_149_8">"U33603"</definedName>
    <definedName name="FDD_149_9">"U33969"</definedName>
    <definedName name="FDD_15_0">"A25569"</definedName>
    <definedName name="FDD_151_0">"A30681"</definedName>
    <definedName name="FDD_151_1">"A31047"</definedName>
    <definedName name="FDD_151_10">"A34334"</definedName>
    <definedName name="FDD_151_11">"A34699"</definedName>
    <definedName name="FDD_151_12">"A35064"</definedName>
    <definedName name="FDD_151_13">"A35430"</definedName>
    <definedName name="FDD_151_14">"A35795"</definedName>
    <definedName name="FDD_151_2">"A31412"</definedName>
    <definedName name="FDD_151_3">"A31777"</definedName>
    <definedName name="FDD_151_4">"A32142"</definedName>
    <definedName name="FDD_151_5">"A32508"</definedName>
    <definedName name="FDD_151_6">"A32873"</definedName>
    <definedName name="FDD_151_7">"A33238"</definedName>
    <definedName name="FDD_151_8">"A33603"</definedName>
    <definedName name="FDD_151_9">"A33969"</definedName>
    <definedName name="FDD_152_0">"A30681"</definedName>
    <definedName name="FDD_152_1">"A31047"</definedName>
    <definedName name="FDD_152_10">"A34334"</definedName>
    <definedName name="FDD_152_11">"A34699"</definedName>
    <definedName name="FDD_152_12">"A35064"</definedName>
    <definedName name="FDD_152_13">"A35430"</definedName>
    <definedName name="FDD_152_14">"A35795"</definedName>
    <definedName name="FDD_152_15">"E36160"</definedName>
    <definedName name="FDD_152_2">"A31412"</definedName>
    <definedName name="FDD_152_3">"A31777"</definedName>
    <definedName name="FDD_152_4">"A32142"</definedName>
    <definedName name="FDD_152_5">"A32508"</definedName>
    <definedName name="FDD_152_6">"A32873"</definedName>
    <definedName name="FDD_152_7">"A33238"</definedName>
    <definedName name="FDD_152_8">"A33603"</definedName>
    <definedName name="FDD_152_9">"A33969"</definedName>
    <definedName name="FDD_153_0">"A30681"</definedName>
    <definedName name="FDD_153_1">"A31047"</definedName>
    <definedName name="FDD_153_10">"A34334"</definedName>
    <definedName name="FDD_153_11">"A34699"</definedName>
    <definedName name="FDD_153_12">"A35064"</definedName>
    <definedName name="FDD_153_13">"A35430"</definedName>
    <definedName name="FDD_153_14">"A35795"</definedName>
    <definedName name="FDD_153_2">"A31412"</definedName>
    <definedName name="FDD_153_3">"A31777"</definedName>
    <definedName name="FDD_153_4">"A32142"</definedName>
    <definedName name="FDD_153_5">"A32508"</definedName>
    <definedName name="FDD_153_6">"A32873"</definedName>
    <definedName name="FDD_153_7">"A33238"</definedName>
    <definedName name="FDD_153_8">"A33603"</definedName>
    <definedName name="FDD_153_9">"A33969"</definedName>
    <definedName name="FDD_154_0">"A30681"</definedName>
    <definedName name="FDD_154_1">"A31047"</definedName>
    <definedName name="FDD_154_10">"A34334"</definedName>
    <definedName name="FDD_154_11">"A34699"</definedName>
    <definedName name="FDD_154_12">"A35064"</definedName>
    <definedName name="FDD_154_13">"A35430"</definedName>
    <definedName name="FDD_154_14">"A35795"</definedName>
    <definedName name="FDD_154_2">"A31412"</definedName>
    <definedName name="FDD_154_3">"A31777"</definedName>
    <definedName name="FDD_154_4">"A32142"</definedName>
    <definedName name="FDD_154_5">"A32508"</definedName>
    <definedName name="FDD_154_6">"A32873"</definedName>
    <definedName name="FDD_154_7">"A33238"</definedName>
    <definedName name="FDD_154_8">"A33603"</definedName>
    <definedName name="FDD_154_9">"A33969"</definedName>
    <definedName name="FDD_155_0">"A25569"</definedName>
    <definedName name="FDD_156_0">"A30681"</definedName>
    <definedName name="FDD_156_1">"A31047"</definedName>
    <definedName name="FDD_156_10">"A34334"</definedName>
    <definedName name="FDD_156_11">"A34699"</definedName>
    <definedName name="FDD_156_12">"A35064"</definedName>
    <definedName name="FDD_156_13">"A35430"</definedName>
    <definedName name="FDD_156_14">"A35795"</definedName>
    <definedName name="FDD_156_15">"E36160"</definedName>
    <definedName name="FDD_156_2">"A31412"</definedName>
    <definedName name="FDD_156_3">"A31777"</definedName>
    <definedName name="FDD_156_4">"A32142"</definedName>
    <definedName name="FDD_156_5">"A32508"</definedName>
    <definedName name="FDD_156_6">"A32873"</definedName>
    <definedName name="FDD_156_7">"A33238"</definedName>
    <definedName name="FDD_156_8">"A33603"</definedName>
    <definedName name="FDD_156_9">"A33969"</definedName>
    <definedName name="FDD_157_0">"A30681"</definedName>
    <definedName name="FDD_157_1">"A31047"</definedName>
    <definedName name="FDD_157_10">"A34334"</definedName>
    <definedName name="FDD_157_11">"A34699"</definedName>
    <definedName name="FDD_157_12">"A35064"</definedName>
    <definedName name="FDD_157_13">"A35430"</definedName>
    <definedName name="FDD_157_14">"A35795"</definedName>
    <definedName name="FDD_157_2">"A31412"</definedName>
    <definedName name="FDD_157_3">"A31777"</definedName>
    <definedName name="FDD_157_4">"A32142"</definedName>
    <definedName name="FDD_157_5">"A32508"</definedName>
    <definedName name="FDD_157_6">"A32873"</definedName>
    <definedName name="FDD_157_7">"A33238"</definedName>
    <definedName name="FDD_157_8">"A33603"</definedName>
    <definedName name="FDD_157_9">"A33969"</definedName>
    <definedName name="FDD_158_0">"A30681"</definedName>
    <definedName name="FDD_158_1">"A31047"</definedName>
    <definedName name="FDD_158_10">"A34334"</definedName>
    <definedName name="FDD_158_11">"A34699"</definedName>
    <definedName name="FDD_158_12">"A35064"</definedName>
    <definedName name="FDD_158_13">"A35430"</definedName>
    <definedName name="FDD_158_14">"A35795"</definedName>
    <definedName name="FDD_158_15">"E36160"</definedName>
    <definedName name="FDD_158_2">"A31412"</definedName>
    <definedName name="FDD_158_3">"A31777"</definedName>
    <definedName name="FDD_158_4">"A32142"</definedName>
    <definedName name="FDD_158_5">"A32508"</definedName>
    <definedName name="FDD_158_6">"A32873"</definedName>
    <definedName name="FDD_158_7">"A33238"</definedName>
    <definedName name="FDD_158_8">"A33603"</definedName>
    <definedName name="FDD_158_9">"A33969"</definedName>
    <definedName name="FDD_159_0">"A30681"</definedName>
    <definedName name="FDD_159_1">"A31047"</definedName>
    <definedName name="FDD_159_10">"A34334"</definedName>
    <definedName name="FDD_159_11">"A34699"</definedName>
    <definedName name="FDD_159_12">"A35064"</definedName>
    <definedName name="FDD_159_13">"A35430"</definedName>
    <definedName name="FDD_159_14">"A35795"</definedName>
    <definedName name="FDD_159_2">"A31412"</definedName>
    <definedName name="FDD_159_3">"A31777"</definedName>
    <definedName name="FDD_159_4">"A32142"</definedName>
    <definedName name="FDD_159_5">"A32508"</definedName>
    <definedName name="FDD_159_6">"A32873"</definedName>
    <definedName name="FDD_159_7">"A33238"</definedName>
    <definedName name="FDD_159_8">"A33603"</definedName>
    <definedName name="FDD_159_9">"A33969"</definedName>
    <definedName name="FDD_16_0">"A25569"</definedName>
    <definedName name="FDD_160_0">"A30681"</definedName>
    <definedName name="FDD_160_1">"A31047"</definedName>
    <definedName name="FDD_160_10">"A34334"</definedName>
    <definedName name="FDD_160_11">"A34699"</definedName>
    <definedName name="FDD_160_12">"A35064"</definedName>
    <definedName name="FDD_160_13">"A35430"</definedName>
    <definedName name="FDD_160_14">"A35795"</definedName>
    <definedName name="FDD_160_15">"E36160"</definedName>
    <definedName name="FDD_160_2">"A31412"</definedName>
    <definedName name="FDD_160_3">"A31777"</definedName>
    <definedName name="FDD_160_4">"A32142"</definedName>
    <definedName name="FDD_160_5">"A32508"</definedName>
    <definedName name="FDD_160_6">"A32873"</definedName>
    <definedName name="FDD_160_7">"A33238"</definedName>
    <definedName name="FDD_160_8">"A33603"</definedName>
    <definedName name="FDD_160_9">"A33969"</definedName>
    <definedName name="FDD_161_0">"A30681"</definedName>
    <definedName name="FDD_161_1">"A31047"</definedName>
    <definedName name="FDD_161_10">"A34334"</definedName>
    <definedName name="FDD_161_11">"A34699"</definedName>
    <definedName name="FDD_161_12">"A35064"</definedName>
    <definedName name="FDD_161_13">"A35430"</definedName>
    <definedName name="FDD_161_14">"A35795"</definedName>
    <definedName name="FDD_161_2">"A31412"</definedName>
    <definedName name="FDD_161_3">"A31777"</definedName>
    <definedName name="FDD_161_4">"A32142"</definedName>
    <definedName name="FDD_161_5">"A32508"</definedName>
    <definedName name="FDD_161_6">"A32873"</definedName>
    <definedName name="FDD_161_7">"A33238"</definedName>
    <definedName name="FDD_161_8">"A33603"</definedName>
    <definedName name="FDD_161_9">"A33969"</definedName>
    <definedName name="FDD_162_0">"A30681"</definedName>
    <definedName name="FDD_162_1">"A31047"</definedName>
    <definedName name="FDD_162_10">"A34334"</definedName>
    <definedName name="FDD_162_11">"A34699"</definedName>
    <definedName name="FDD_162_12">"A35064"</definedName>
    <definedName name="FDD_162_13">"A35430"</definedName>
    <definedName name="FDD_162_14">"A35795"</definedName>
    <definedName name="FDD_162_2">"A31412"</definedName>
    <definedName name="FDD_162_3">"A31777"</definedName>
    <definedName name="FDD_162_4">"A32142"</definedName>
    <definedName name="FDD_162_5">"A32508"</definedName>
    <definedName name="FDD_162_6">"A32873"</definedName>
    <definedName name="FDD_162_7">"A33238"</definedName>
    <definedName name="FDD_162_8">"A33603"</definedName>
    <definedName name="FDD_162_9">"A33969"</definedName>
    <definedName name="FDD_163_0">"A30681"</definedName>
    <definedName name="FDD_163_1">"A31047"</definedName>
    <definedName name="FDD_163_10">"A34334"</definedName>
    <definedName name="FDD_163_11">"A34699"</definedName>
    <definedName name="FDD_163_12">"A35064"</definedName>
    <definedName name="FDD_163_13">"A35430"</definedName>
    <definedName name="FDD_163_14">"A35795"</definedName>
    <definedName name="FDD_163_2">"A31412"</definedName>
    <definedName name="FDD_163_3">"A31777"</definedName>
    <definedName name="FDD_163_4">"A32142"</definedName>
    <definedName name="FDD_163_5">"A32508"</definedName>
    <definedName name="FDD_163_6">"A32873"</definedName>
    <definedName name="FDD_163_7">"A33238"</definedName>
    <definedName name="FDD_163_8">"A33603"</definedName>
    <definedName name="FDD_163_9">"A33969"</definedName>
    <definedName name="FDD_164_0">"A25569"</definedName>
    <definedName name="FDD_165_0">"A30681"</definedName>
    <definedName name="FDD_165_1">"A31047"</definedName>
    <definedName name="FDD_165_10">"A34334"</definedName>
    <definedName name="FDD_165_11">"A34699"</definedName>
    <definedName name="FDD_165_12">"A35064"</definedName>
    <definedName name="FDD_165_13">"A35430"</definedName>
    <definedName name="FDD_165_14">"A35795"</definedName>
    <definedName name="FDD_165_2">"A31412"</definedName>
    <definedName name="FDD_165_3">"A31777"</definedName>
    <definedName name="FDD_165_4">"A32142"</definedName>
    <definedName name="FDD_165_5">"A32508"</definedName>
    <definedName name="FDD_165_6">"A32873"</definedName>
    <definedName name="FDD_165_7">"A33238"</definedName>
    <definedName name="FDD_165_8">"A33603"</definedName>
    <definedName name="FDD_165_9">"A33969"</definedName>
    <definedName name="FDD_166_0">"A30681"</definedName>
    <definedName name="FDD_166_1">"A31047"</definedName>
    <definedName name="FDD_166_10">"A34334"</definedName>
    <definedName name="FDD_166_11">"A34699"</definedName>
    <definedName name="FDD_166_12">"A35064"</definedName>
    <definedName name="FDD_166_13">"A35430"</definedName>
    <definedName name="FDD_166_14">"A35795"</definedName>
    <definedName name="FDD_166_2">"A31412"</definedName>
    <definedName name="FDD_166_3">"A31777"</definedName>
    <definedName name="FDD_166_4">"A32142"</definedName>
    <definedName name="FDD_166_5">"A32508"</definedName>
    <definedName name="FDD_166_6">"A32873"</definedName>
    <definedName name="FDD_166_7">"A33238"</definedName>
    <definedName name="FDD_166_8">"A33603"</definedName>
    <definedName name="FDD_166_9">"A33969"</definedName>
    <definedName name="FDD_167_0">"A30681"</definedName>
    <definedName name="FDD_167_1">"A31047"</definedName>
    <definedName name="FDD_167_10">"A34334"</definedName>
    <definedName name="FDD_167_11">"A34699"</definedName>
    <definedName name="FDD_167_12">"A35064"</definedName>
    <definedName name="FDD_167_13">"A35430"</definedName>
    <definedName name="FDD_167_14">"A35795"</definedName>
    <definedName name="FDD_167_2">"A31412"</definedName>
    <definedName name="FDD_167_3">"A31777"</definedName>
    <definedName name="FDD_167_4">"A32142"</definedName>
    <definedName name="FDD_167_5">"A32508"</definedName>
    <definedName name="FDD_167_6">"A32873"</definedName>
    <definedName name="FDD_167_7">"A33238"</definedName>
    <definedName name="FDD_167_8">"A33603"</definedName>
    <definedName name="FDD_167_9">"A33969"</definedName>
    <definedName name="FDD_168_0">"E36160"</definedName>
    <definedName name="FDD_168_1">"E36525"</definedName>
    <definedName name="FDD_168_2">"E36891"</definedName>
    <definedName name="FDD_169_0">"A30681"</definedName>
    <definedName name="FDD_169_1">"A31047"</definedName>
    <definedName name="FDD_169_10">"A34334"</definedName>
    <definedName name="FDD_169_11">"A34699"</definedName>
    <definedName name="FDD_169_12">"A35064"</definedName>
    <definedName name="FDD_169_13">"A35430"</definedName>
    <definedName name="FDD_169_14">"A35795"</definedName>
    <definedName name="FDD_169_2">"A31412"</definedName>
    <definedName name="FDD_169_3">"A31777"</definedName>
    <definedName name="FDD_169_4">"A32142"</definedName>
    <definedName name="FDD_169_5">"A32508"</definedName>
    <definedName name="FDD_169_6">"A32873"</definedName>
    <definedName name="FDD_169_7">"A33238"</definedName>
    <definedName name="FDD_169_8">"A33603"</definedName>
    <definedName name="FDD_169_9">"A33969"</definedName>
    <definedName name="FDD_17_0">"A25569"</definedName>
    <definedName name="FDD_170_0">"A30681"</definedName>
    <definedName name="FDD_170_1">"A31047"</definedName>
    <definedName name="FDD_170_10">"A34334"</definedName>
    <definedName name="FDD_170_11">"A34699"</definedName>
    <definedName name="FDD_170_12">"A35064"</definedName>
    <definedName name="FDD_170_13">"A35430"</definedName>
    <definedName name="FDD_170_14">"A35795"</definedName>
    <definedName name="FDD_170_2">"A31412"</definedName>
    <definedName name="FDD_170_3">"A31777"</definedName>
    <definedName name="FDD_170_4">"A32142"</definedName>
    <definedName name="FDD_170_5">"A32508"</definedName>
    <definedName name="FDD_170_6">"A32873"</definedName>
    <definedName name="FDD_170_7">"A33238"</definedName>
    <definedName name="FDD_170_8">"A33603"</definedName>
    <definedName name="FDD_170_9">"A33969"</definedName>
    <definedName name="FDD_171_0">"A30681"</definedName>
    <definedName name="FDD_171_1">"A31047"</definedName>
    <definedName name="FDD_171_10">"A34334"</definedName>
    <definedName name="FDD_171_11">"A34699"</definedName>
    <definedName name="FDD_171_12">"A35064"</definedName>
    <definedName name="FDD_171_13">"A35430"</definedName>
    <definedName name="FDD_171_14">"A35795"</definedName>
    <definedName name="FDD_171_2">"A31412"</definedName>
    <definedName name="FDD_171_3">"A31777"</definedName>
    <definedName name="FDD_171_4">"A32142"</definedName>
    <definedName name="FDD_171_5">"A32508"</definedName>
    <definedName name="FDD_171_6">"A32873"</definedName>
    <definedName name="FDD_171_7">"A33238"</definedName>
    <definedName name="FDD_171_8">"A33603"</definedName>
    <definedName name="FDD_171_9">"A33969"</definedName>
    <definedName name="FDD_172_0">"A30681"</definedName>
    <definedName name="FDD_172_1">"A31047"</definedName>
    <definedName name="FDD_172_10">"A34334"</definedName>
    <definedName name="FDD_172_11">"A34699"</definedName>
    <definedName name="FDD_172_12">"A35064"</definedName>
    <definedName name="FDD_172_13">"A35430"</definedName>
    <definedName name="FDD_172_14">"A35795"</definedName>
    <definedName name="FDD_172_2">"A31412"</definedName>
    <definedName name="FDD_172_3">"A31777"</definedName>
    <definedName name="FDD_172_4">"A32142"</definedName>
    <definedName name="FDD_172_5">"A32508"</definedName>
    <definedName name="FDD_172_6">"A32873"</definedName>
    <definedName name="FDD_172_7">"A33238"</definedName>
    <definedName name="FDD_172_8">"A33603"</definedName>
    <definedName name="FDD_172_9">"A33969"</definedName>
    <definedName name="FDD_173_0">"A30681"</definedName>
    <definedName name="FDD_173_1">"A31047"</definedName>
    <definedName name="FDD_173_10">"A34334"</definedName>
    <definedName name="FDD_173_11">"A34699"</definedName>
    <definedName name="FDD_173_12">"A35064"</definedName>
    <definedName name="FDD_173_13">"A35430"</definedName>
    <definedName name="FDD_173_14">"A35795"</definedName>
    <definedName name="FDD_173_2">"A31412"</definedName>
    <definedName name="FDD_173_3">"A31777"</definedName>
    <definedName name="FDD_173_4">"A32142"</definedName>
    <definedName name="FDD_173_5">"A32508"</definedName>
    <definedName name="FDD_173_6">"A32873"</definedName>
    <definedName name="FDD_173_7">"A33238"</definedName>
    <definedName name="FDD_173_8">"A33603"</definedName>
    <definedName name="FDD_173_9">"A33969"</definedName>
    <definedName name="FDD_174_0">"A30681"</definedName>
    <definedName name="FDD_174_1">"A31047"</definedName>
    <definedName name="FDD_174_10">"A34334"</definedName>
    <definedName name="FDD_174_11">"A34699"</definedName>
    <definedName name="FDD_174_12">"A35064"</definedName>
    <definedName name="FDD_174_13">"A35430"</definedName>
    <definedName name="FDD_174_14">"A35795"</definedName>
    <definedName name="FDD_174_2">"A31412"</definedName>
    <definedName name="FDD_174_3">"A31777"</definedName>
    <definedName name="FDD_174_4">"A32142"</definedName>
    <definedName name="FDD_174_5">"A32508"</definedName>
    <definedName name="FDD_174_6">"A32873"</definedName>
    <definedName name="FDD_174_7">"A33238"</definedName>
    <definedName name="FDD_174_8">"A33603"</definedName>
    <definedName name="FDD_174_9">"A33969"</definedName>
    <definedName name="FDD_175_0">"E36160"</definedName>
    <definedName name="FDD_175_1">"E36525"</definedName>
    <definedName name="FDD_175_2">"E36891"</definedName>
    <definedName name="FDD_176_0">"E36160"</definedName>
    <definedName name="FDD_176_1">"E36525"</definedName>
    <definedName name="FDD_176_2">"E36891"</definedName>
    <definedName name="FDD_177_0">"E36160"</definedName>
    <definedName name="FDD_177_1">"E36525"</definedName>
    <definedName name="FDD_177_2">"E36891"</definedName>
    <definedName name="FDD_178_0">"E36160"</definedName>
    <definedName name="FDD_178_1">"E36525"</definedName>
    <definedName name="FDD_178_2">"E36891"</definedName>
    <definedName name="FDD_179_0">"E36160"</definedName>
    <definedName name="FDD_179_1">"E36525"</definedName>
    <definedName name="FDD_179_2">"E36891"</definedName>
    <definedName name="FDD_18_0">"A25569"</definedName>
    <definedName name="FDD_180_0">"E36160"</definedName>
    <definedName name="FDD_180_1">"E36525"</definedName>
    <definedName name="FDD_180_2">"E36891"</definedName>
    <definedName name="FDD_181_0">"E36160"</definedName>
    <definedName name="FDD_181_1">"E36525"</definedName>
    <definedName name="FDD_181_2">"E36891"</definedName>
    <definedName name="FDD_182_0">"E36160"</definedName>
    <definedName name="FDD_182_1">"E36525"</definedName>
    <definedName name="FDD_182_2">"E36891"</definedName>
    <definedName name="FDD_183_0">"E36160"</definedName>
    <definedName name="FDD_183_1">"E36525"</definedName>
    <definedName name="FDD_183_2">"E36891"</definedName>
    <definedName name="FDD_184_0">"E36160"</definedName>
    <definedName name="FDD_184_1">"E36525"</definedName>
    <definedName name="FDD_184_2">"E36891"</definedName>
    <definedName name="FDD_185_0">"E36160"</definedName>
    <definedName name="FDD_185_1">"E36525"</definedName>
    <definedName name="FDD_185_2">"E36891"</definedName>
    <definedName name="FDD_186_0">"E36160"</definedName>
    <definedName name="FDD_186_1">"E36525"</definedName>
    <definedName name="FDD_186_2">"E36891"</definedName>
    <definedName name="FDD_187_0">"E36160"</definedName>
    <definedName name="FDD_187_1">"E36525"</definedName>
    <definedName name="FDD_187_2">"E36891"</definedName>
    <definedName name="FDD_188_0">"A30681"</definedName>
    <definedName name="FDD_188_1">"A31047"</definedName>
    <definedName name="FDD_188_10">"A34334"</definedName>
    <definedName name="FDD_188_11">"A34699"</definedName>
    <definedName name="FDD_188_12">"A35064"</definedName>
    <definedName name="FDD_188_13">"A35430"</definedName>
    <definedName name="FDD_188_14">"A35795"</definedName>
    <definedName name="FDD_188_2">"A31412"</definedName>
    <definedName name="FDD_188_3">"A31777"</definedName>
    <definedName name="FDD_188_4">"A32142"</definedName>
    <definedName name="FDD_188_5">"A32508"</definedName>
    <definedName name="FDD_188_6">"A32873"</definedName>
    <definedName name="FDD_188_7">"A33238"</definedName>
    <definedName name="FDD_188_8">"A33603"</definedName>
    <definedName name="FDD_188_9">"A33969"</definedName>
    <definedName name="FDD_189_0">"A30681"</definedName>
    <definedName name="FDD_189_1">"A31047"</definedName>
    <definedName name="FDD_189_10">"A34334"</definedName>
    <definedName name="FDD_189_11">"A34699"</definedName>
    <definedName name="FDD_189_12">"A35064"</definedName>
    <definedName name="FDD_189_13">"A35430"</definedName>
    <definedName name="FDD_189_14">"A35795"</definedName>
    <definedName name="FDD_189_2">"A31412"</definedName>
    <definedName name="FDD_189_3">"A31777"</definedName>
    <definedName name="FDD_189_4">"A32142"</definedName>
    <definedName name="FDD_189_5">"A32508"</definedName>
    <definedName name="FDD_189_6">"A32873"</definedName>
    <definedName name="FDD_189_7">"A33238"</definedName>
    <definedName name="FDD_189_8">"A33603"</definedName>
    <definedName name="FDD_189_9">"A33969"</definedName>
    <definedName name="FDD_19_0">"A25569"</definedName>
    <definedName name="FDD_190_0">"A30681"</definedName>
    <definedName name="FDD_190_1">"A31047"</definedName>
    <definedName name="FDD_190_10">"A34334"</definedName>
    <definedName name="FDD_190_11">"A34699"</definedName>
    <definedName name="FDD_190_12">"A35064"</definedName>
    <definedName name="FDD_190_13">"A35430"</definedName>
    <definedName name="FDD_190_14">"A35795"</definedName>
    <definedName name="FDD_190_2">"A31412"</definedName>
    <definedName name="FDD_190_3">"A31777"</definedName>
    <definedName name="FDD_190_4">"A32142"</definedName>
    <definedName name="FDD_190_5">"A32508"</definedName>
    <definedName name="FDD_190_6">"A32873"</definedName>
    <definedName name="FDD_190_7">"A33238"</definedName>
    <definedName name="FDD_190_8">"A33603"</definedName>
    <definedName name="FDD_190_9">"A33969"</definedName>
    <definedName name="FDD_191_0">"A30681"</definedName>
    <definedName name="FDD_191_1">"A31047"</definedName>
    <definedName name="FDD_191_10">"A34334"</definedName>
    <definedName name="FDD_191_11">"A34699"</definedName>
    <definedName name="FDD_191_12">"A35064"</definedName>
    <definedName name="FDD_191_13">"A35430"</definedName>
    <definedName name="FDD_191_14">"A35795"</definedName>
    <definedName name="FDD_191_2">"A31412"</definedName>
    <definedName name="FDD_191_3">"A31777"</definedName>
    <definedName name="FDD_191_4">"A32142"</definedName>
    <definedName name="FDD_191_5">"A32508"</definedName>
    <definedName name="FDD_191_6">"A32873"</definedName>
    <definedName name="FDD_191_7">"A33238"</definedName>
    <definedName name="FDD_191_8">"A33603"</definedName>
    <definedName name="FDD_191_9">"A33969"</definedName>
    <definedName name="FDD_192_0">"E36160"</definedName>
    <definedName name="FDD_192_1">"E36525"</definedName>
    <definedName name="FDD_192_2">"E36891"</definedName>
    <definedName name="FDD_193_0">"A30681"</definedName>
    <definedName name="FDD_193_1">"A31047"</definedName>
    <definedName name="FDD_193_10">"A34334"</definedName>
    <definedName name="FDD_193_11">"A34699"</definedName>
    <definedName name="FDD_193_12">"A35064"</definedName>
    <definedName name="FDD_193_13">"A35430"</definedName>
    <definedName name="FDD_193_14">"A35795"</definedName>
    <definedName name="FDD_193_2">"A31412"</definedName>
    <definedName name="FDD_193_3">"A31777"</definedName>
    <definedName name="FDD_193_4">"A32142"</definedName>
    <definedName name="FDD_193_5">"A32508"</definedName>
    <definedName name="FDD_193_6">"A32873"</definedName>
    <definedName name="FDD_193_7">"A33238"</definedName>
    <definedName name="FDD_193_8">"A33603"</definedName>
    <definedName name="FDD_193_9">"A33969"</definedName>
    <definedName name="FDD_194_0">"A30681"</definedName>
    <definedName name="FDD_194_1">"A31047"</definedName>
    <definedName name="FDD_194_10">"A34334"</definedName>
    <definedName name="FDD_194_11">"A34699"</definedName>
    <definedName name="FDD_194_12">"A35064"</definedName>
    <definedName name="FDD_194_13">"A35430"</definedName>
    <definedName name="FDD_194_14">"A35795"</definedName>
    <definedName name="FDD_194_2">"A31412"</definedName>
    <definedName name="FDD_194_3">"A31777"</definedName>
    <definedName name="FDD_194_4">"A32142"</definedName>
    <definedName name="FDD_194_5">"A32508"</definedName>
    <definedName name="FDD_194_6">"A32873"</definedName>
    <definedName name="FDD_194_7">"A33238"</definedName>
    <definedName name="FDD_194_8">"A33603"</definedName>
    <definedName name="FDD_194_9">"A33969"</definedName>
    <definedName name="FDD_195_0">"A30681"</definedName>
    <definedName name="FDD_195_1">"A31047"</definedName>
    <definedName name="FDD_195_10">"A34334"</definedName>
    <definedName name="FDD_195_11">"A34699"</definedName>
    <definedName name="FDD_195_12">"A35064"</definedName>
    <definedName name="FDD_195_13">"A35430"</definedName>
    <definedName name="FDD_195_14">"A35795"</definedName>
    <definedName name="FDD_195_2">"A31412"</definedName>
    <definedName name="FDD_195_3">"A31777"</definedName>
    <definedName name="FDD_195_4">"A32142"</definedName>
    <definedName name="FDD_195_5">"A32508"</definedName>
    <definedName name="FDD_195_6">"A32873"</definedName>
    <definedName name="FDD_195_7">"A33238"</definedName>
    <definedName name="FDD_195_8">"A33603"</definedName>
    <definedName name="FDD_195_9">"A33969"</definedName>
    <definedName name="FDD_196_0">"E36160"</definedName>
    <definedName name="FDD_196_1">"E36525"</definedName>
    <definedName name="FDD_196_2">"E36891"</definedName>
    <definedName name="FDD_197_0">"A30681"</definedName>
    <definedName name="FDD_197_1">"A31047"</definedName>
    <definedName name="FDD_197_10">"A34334"</definedName>
    <definedName name="FDD_197_11">"A34699"</definedName>
    <definedName name="FDD_197_12">"A35064"</definedName>
    <definedName name="FDD_197_13">"A35430"</definedName>
    <definedName name="FDD_197_14">"A35795"</definedName>
    <definedName name="FDD_197_2">"A31412"</definedName>
    <definedName name="FDD_197_3">"A31777"</definedName>
    <definedName name="FDD_197_4">"A32142"</definedName>
    <definedName name="FDD_197_5">"A32508"</definedName>
    <definedName name="FDD_197_6">"A32873"</definedName>
    <definedName name="FDD_197_7">"A33238"</definedName>
    <definedName name="FDD_197_8">"A33603"</definedName>
    <definedName name="FDD_197_9">"A33969"</definedName>
    <definedName name="FDD_198_0">"A30681"</definedName>
    <definedName name="FDD_198_1">"A31047"</definedName>
    <definedName name="FDD_198_10">"U34334"</definedName>
    <definedName name="FDD_198_11">"U34699"</definedName>
    <definedName name="FDD_198_12">"U35064"</definedName>
    <definedName name="FDD_198_13">"U35430"</definedName>
    <definedName name="FDD_198_14">"U35795"</definedName>
    <definedName name="FDD_198_2">"A31412"</definedName>
    <definedName name="FDD_198_3">"U31777"</definedName>
    <definedName name="FDD_198_4">"U32142"</definedName>
    <definedName name="FDD_198_5">"U32508"</definedName>
    <definedName name="FDD_198_6">"U32873"</definedName>
    <definedName name="FDD_198_7">"U33238"</definedName>
    <definedName name="FDD_198_8">"U33603"</definedName>
    <definedName name="FDD_198_9">"U33969"</definedName>
    <definedName name="FDD_199_0">"E36160"</definedName>
    <definedName name="FDD_199_1">"E36525"</definedName>
    <definedName name="FDD_199_2">"E36891"</definedName>
    <definedName name="FDD_2_0">"A25569"</definedName>
    <definedName name="FDD_20_0">"A25569"</definedName>
    <definedName name="FDD_200_0">"E36160"</definedName>
    <definedName name="FDD_200_1">"E36525"</definedName>
    <definedName name="FDD_200_2">"E36891"</definedName>
    <definedName name="FDD_201_0">"A30681"</definedName>
    <definedName name="FDD_201_1">"A31047"</definedName>
    <definedName name="FDD_201_10">"A34334"</definedName>
    <definedName name="FDD_201_11">"A34699"</definedName>
    <definedName name="FDD_201_12">"A35064"</definedName>
    <definedName name="FDD_201_13">"A35430"</definedName>
    <definedName name="FDD_201_14">"A35795"</definedName>
    <definedName name="FDD_201_2">"A31412"</definedName>
    <definedName name="FDD_201_3">"A31777"</definedName>
    <definedName name="FDD_201_4">"A32142"</definedName>
    <definedName name="FDD_201_5">"A32508"</definedName>
    <definedName name="FDD_201_6">"A32873"</definedName>
    <definedName name="FDD_201_7">"A33238"</definedName>
    <definedName name="FDD_201_8">"A33603"</definedName>
    <definedName name="FDD_201_9">"A33969"</definedName>
    <definedName name="FDD_202_0">"A30681"</definedName>
    <definedName name="FDD_202_1">"A31047"</definedName>
    <definedName name="FDD_202_10">"A34334"</definedName>
    <definedName name="FDD_202_11">"A34699"</definedName>
    <definedName name="FDD_202_12">"A35064"</definedName>
    <definedName name="FDD_202_13">"A35430"</definedName>
    <definedName name="FDD_202_14">"A35795"</definedName>
    <definedName name="FDD_202_2">"A31412"</definedName>
    <definedName name="FDD_202_3">"A31777"</definedName>
    <definedName name="FDD_202_4">"A32142"</definedName>
    <definedName name="FDD_202_5">"A32508"</definedName>
    <definedName name="FDD_202_6">"A32873"</definedName>
    <definedName name="FDD_202_7">"A33238"</definedName>
    <definedName name="FDD_202_8">"A33603"</definedName>
    <definedName name="FDD_202_9">"A33969"</definedName>
    <definedName name="FDD_203_0">"E36160"</definedName>
    <definedName name="FDD_203_1">"E36525"</definedName>
    <definedName name="FDD_203_2">"E36891"</definedName>
    <definedName name="FDD_204_0">"A25569"</definedName>
    <definedName name="FDD_205_0">"A25569"</definedName>
    <definedName name="FDD_206_0">"A25569"</definedName>
    <definedName name="FDD_207_0">"A25569"</definedName>
    <definedName name="FDD_208_0">"E36160"</definedName>
    <definedName name="FDD_208_1">"E36525"</definedName>
    <definedName name="FDD_208_2">"E36891"</definedName>
    <definedName name="FDD_209_0">"A25569"</definedName>
    <definedName name="FDD_21_0">"A25569"</definedName>
    <definedName name="FDD_210_0">"A25569"</definedName>
    <definedName name="FDD_211_0">"A25569"</definedName>
    <definedName name="FDD_212_0">"A25569"</definedName>
    <definedName name="FDD_213_0">"E36160"</definedName>
    <definedName name="FDD_213_1">"E36525"</definedName>
    <definedName name="FDD_213_2">"E36891"</definedName>
    <definedName name="FDD_214_0">"A25569"</definedName>
    <definedName name="FDD_215_0">"A25569"</definedName>
    <definedName name="FDD_216_0">"A25569"</definedName>
    <definedName name="FDD_217_0">"A25569"</definedName>
    <definedName name="FDD_218_0">"E36160"</definedName>
    <definedName name="FDD_218_1">"E36525"</definedName>
    <definedName name="FDD_218_2">"E36891"</definedName>
    <definedName name="FDD_219_0">"U25569"</definedName>
    <definedName name="FDD_22_0">"A25569"</definedName>
    <definedName name="FDD_220_0">"U25569"</definedName>
    <definedName name="FDD_221_0">"U25569"</definedName>
    <definedName name="FDD_222_0">"U25569"</definedName>
    <definedName name="FDD_223_0">"E36160"</definedName>
    <definedName name="FDD_223_1">"E36525"</definedName>
    <definedName name="FDD_223_2">"E36891"</definedName>
    <definedName name="FDD_224_0">"A25569"</definedName>
    <definedName name="FDD_225_0">"A25569"</definedName>
    <definedName name="FDD_226_0">"A25569"</definedName>
    <definedName name="FDD_227_0">"A25569"</definedName>
    <definedName name="FDD_228_0">"E36160"</definedName>
    <definedName name="FDD_228_1">"E36525"</definedName>
    <definedName name="FDD_228_2">"E36891"</definedName>
    <definedName name="FDD_229_0">"A25569"</definedName>
    <definedName name="FDD_23_0">"A25569"</definedName>
    <definedName name="FDD_230_0">"A25569"</definedName>
    <definedName name="FDD_231_0">"A25569"</definedName>
    <definedName name="FDD_232_0">"A25569"</definedName>
    <definedName name="FDD_233_0">"A25569"</definedName>
    <definedName name="FDD_234_0">"A25569"</definedName>
    <definedName name="FDD_235_0">"A25569"</definedName>
    <definedName name="FDD_236_0">"A25569"</definedName>
    <definedName name="FDD_237_0">"A25569"</definedName>
    <definedName name="FDD_238_0">"A30681"</definedName>
    <definedName name="FDD_238_1">"A31047"</definedName>
    <definedName name="FDD_238_10">"A34334"</definedName>
    <definedName name="FDD_238_11">"A34699"</definedName>
    <definedName name="FDD_238_12">"A35064"</definedName>
    <definedName name="FDD_238_13">"A35430"</definedName>
    <definedName name="FDD_238_14">"A35795"</definedName>
    <definedName name="FDD_238_2">"A31412"</definedName>
    <definedName name="FDD_238_3">"A31777"</definedName>
    <definedName name="FDD_238_4">"A32142"</definedName>
    <definedName name="FDD_238_5">"A32508"</definedName>
    <definedName name="FDD_238_6">"A32873"</definedName>
    <definedName name="FDD_238_7">"A33238"</definedName>
    <definedName name="FDD_238_8">"A33603"</definedName>
    <definedName name="FDD_238_9">"A33969"</definedName>
    <definedName name="FDD_24_0">"A25569"</definedName>
    <definedName name="FDD_243_0">"E36160"</definedName>
    <definedName name="FDD_243_1">"E36525"</definedName>
    <definedName name="FDD_243_2">"E36891"</definedName>
    <definedName name="FDD_244_0">"A25569"</definedName>
    <definedName name="FDD_245_0">"A25569"</definedName>
    <definedName name="FDD_246_0">"A25569"</definedName>
    <definedName name="FDD_247_0">"A25569"</definedName>
    <definedName name="FDD_248_0">"E36160"</definedName>
    <definedName name="FDD_248_1">"E36525"</definedName>
    <definedName name="FDD_248_2">"E36891"</definedName>
    <definedName name="FDD_249_0">"A25569"</definedName>
    <definedName name="FDD_25_0">"A25569"</definedName>
    <definedName name="FDD_250_0">"A25569"</definedName>
    <definedName name="FDD_251_0">"A25569"</definedName>
    <definedName name="FDD_252_0">"A25569"</definedName>
    <definedName name="FDD_253_0">"E36160"</definedName>
    <definedName name="FDD_253_1">"E36525"</definedName>
    <definedName name="FDD_253_2">"E36891"</definedName>
    <definedName name="FDD_254_0">"E36160"</definedName>
    <definedName name="FDD_254_1">"E36525"</definedName>
    <definedName name="FDD_254_2">"E36891"</definedName>
    <definedName name="FDD_255_0">"E36160"</definedName>
    <definedName name="FDD_255_1">"E36525"</definedName>
    <definedName name="FDD_255_2">"E36891"</definedName>
    <definedName name="FDD_256_0">"U36160"</definedName>
    <definedName name="FDD_256_1">"U36525"</definedName>
    <definedName name="FDD_256_2">"U36891"</definedName>
    <definedName name="FDD_257_0">"E36160"</definedName>
    <definedName name="FDD_257_1">"E36525"</definedName>
    <definedName name="FDD_257_2">"E36891"</definedName>
    <definedName name="FDD_258_0">"E36160"</definedName>
    <definedName name="FDD_258_1">"E36525"</definedName>
    <definedName name="FDD_258_2">"E36891"</definedName>
    <definedName name="FDD_259_0">"E36160"</definedName>
    <definedName name="FDD_259_1">"E36525"</definedName>
    <definedName name="FDD_259_2">"E36891"</definedName>
    <definedName name="FDD_26_0">"A25569"</definedName>
    <definedName name="FDD_260_0">"E36160"</definedName>
    <definedName name="FDD_260_1">"E36525"</definedName>
    <definedName name="FDD_260_2">"E36891"</definedName>
    <definedName name="FDD_261_0">"E36160"</definedName>
    <definedName name="FDD_261_1">"E36525"</definedName>
    <definedName name="FDD_261_2">"E36891"</definedName>
    <definedName name="FDD_264_0">"E36160"</definedName>
    <definedName name="FDD_264_1">"E36525"</definedName>
    <definedName name="FDD_264_2">"E36891"</definedName>
    <definedName name="FDD_265_0">"A25569"</definedName>
    <definedName name="FDD_266_0">"A25569"</definedName>
    <definedName name="FDD_267_0">"A25569"</definedName>
    <definedName name="FDD_268_0">"A25569"</definedName>
    <definedName name="FDD_269_0">"E36160"</definedName>
    <definedName name="FDD_269_1">"E36525"</definedName>
    <definedName name="FDD_269_2">"E36891"</definedName>
    <definedName name="FDD_27_0">"A25569"</definedName>
    <definedName name="FDD_270_0">"A25569"</definedName>
    <definedName name="FDD_271_0">"A25569"</definedName>
    <definedName name="FDD_272_0">"A25569"</definedName>
    <definedName name="FDD_273_0">"A25569"</definedName>
    <definedName name="FDD_274_0">"E36160"</definedName>
    <definedName name="FDD_274_1">"E36525"</definedName>
    <definedName name="FDD_274_2">"E36891"</definedName>
    <definedName name="FDD_275_0">"A25569"</definedName>
    <definedName name="FDD_276_0">"A25569"</definedName>
    <definedName name="FDD_277_0">"A25569"</definedName>
    <definedName name="FDD_278_0">"A25569"</definedName>
    <definedName name="FDD_279_0">"E36160"</definedName>
    <definedName name="FDD_279_1">"E36525"</definedName>
    <definedName name="FDD_279_2">"E36891"</definedName>
    <definedName name="FDD_28_0">"A25569"</definedName>
    <definedName name="FDD_280_0">"E36160"</definedName>
    <definedName name="FDD_280_1">"E36525"</definedName>
    <definedName name="FDD_280_2">"E36891"</definedName>
    <definedName name="FDD_281_0">"E36160"</definedName>
    <definedName name="FDD_281_1">"E36525"</definedName>
    <definedName name="FDD_281_2">"E36891"</definedName>
    <definedName name="FDD_282_0">"E36160"</definedName>
    <definedName name="FDD_282_1">"E36525"</definedName>
    <definedName name="FDD_282_2">"E36891"</definedName>
    <definedName name="FDD_283_0">"E36160"</definedName>
    <definedName name="FDD_283_1">"E36525"</definedName>
    <definedName name="FDD_283_2">"E36891"</definedName>
    <definedName name="FDD_284_0">"A30681"</definedName>
    <definedName name="FDD_284_1">"A31047"</definedName>
    <definedName name="FDD_284_10">"A34334"</definedName>
    <definedName name="FDD_284_11">"A34699"</definedName>
    <definedName name="FDD_284_12">"A35064"</definedName>
    <definedName name="FDD_284_13">"A35430"</definedName>
    <definedName name="FDD_284_14">"A35795"</definedName>
    <definedName name="FDD_284_2">"A31412"</definedName>
    <definedName name="FDD_284_3">"A31777"</definedName>
    <definedName name="FDD_284_4">"A32142"</definedName>
    <definedName name="FDD_284_5">"A32508"</definedName>
    <definedName name="FDD_284_6">"A32873"</definedName>
    <definedName name="FDD_284_7">"A33238"</definedName>
    <definedName name="FDD_284_8">"A33603"</definedName>
    <definedName name="FDD_284_9">"A33969"</definedName>
    <definedName name="FDD_285_0">"A35795"</definedName>
    <definedName name="FDD_285_1">"E36160"</definedName>
    <definedName name="FDD_285_10">"E39447"</definedName>
    <definedName name="FDD_285_11">"E39813"</definedName>
    <definedName name="FDD_285_12">"E40178"</definedName>
    <definedName name="FDD_285_13">"E40543"</definedName>
    <definedName name="FDD_285_14">"E40908"</definedName>
    <definedName name="FDD_285_15">"E41274"</definedName>
    <definedName name="FDD_285_16">"E41639"</definedName>
    <definedName name="FDD_285_17">"E42004"</definedName>
    <definedName name="FDD_285_18">"E42369"</definedName>
    <definedName name="FDD_285_19">"E42735"</definedName>
    <definedName name="FDD_285_2">"E36525"</definedName>
    <definedName name="FDD_285_20">"E43100"</definedName>
    <definedName name="FDD_285_21">"E43465"</definedName>
    <definedName name="FDD_285_22">"E43830"</definedName>
    <definedName name="FDD_285_23">"E44196"</definedName>
    <definedName name="FDD_285_24">"E44561"</definedName>
    <definedName name="FDD_285_25">"E44926"</definedName>
    <definedName name="FDD_285_3">"E36891"</definedName>
    <definedName name="FDD_285_4">"E37256"</definedName>
    <definedName name="FDD_285_5">"E37621"</definedName>
    <definedName name="FDD_285_6">"E37986"</definedName>
    <definedName name="FDD_285_7">"E38352"</definedName>
    <definedName name="FDD_285_8">"E38717"</definedName>
    <definedName name="FDD_285_9">"E39082"</definedName>
    <definedName name="FDD_286_0">"E36160"</definedName>
    <definedName name="FDD_286_1">"E36525"</definedName>
    <definedName name="FDD_286_10">"E39813"</definedName>
    <definedName name="FDD_286_11">"E40178"</definedName>
    <definedName name="FDD_286_12">"E40543"</definedName>
    <definedName name="FDD_286_13">"E40908"</definedName>
    <definedName name="FDD_286_14">"E41274"</definedName>
    <definedName name="FDD_286_15">"E41639"</definedName>
    <definedName name="FDD_286_16">"E42004"</definedName>
    <definedName name="FDD_286_17">"E42369"</definedName>
    <definedName name="FDD_286_18">"E42735"</definedName>
    <definedName name="FDD_286_19">"E43100"</definedName>
    <definedName name="FDD_286_2">"E36891"</definedName>
    <definedName name="FDD_286_20">"E43465"</definedName>
    <definedName name="FDD_286_21">"E43830"</definedName>
    <definedName name="FDD_286_22">"E44196"</definedName>
    <definedName name="FDD_286_23">"E44561"</definedName>
    <definedName name="FDD_286_24">"E44926"</definedName>
    <definedName name="FDD_286_3">"E37256"</definedName>
    <definedName name="FDD_286_4">"E37621"</definedName>
    <definedName name="FDD_286_5">"E37986"</definedName>
    <definedName name="FDD_286_6">"E38352"</definedName>
    <definedName name="FDD_286_7">"E38717"</definedName>
    <definedName name="FDD_286_8">"E39082"</definedName>
    <definedName name="FDD_286_9">"E39447"</definedName>
    <definedName name="FDD_287_0">"A25569"</definedName>
    <definedName name="FDD_288_0">"A25569"</definedName>
    <definedName name="FDD_289_0">"A36890"</definedName>
    <definedName name="FDD_29_0">"A25569"</definedName>
    <definedName name="FDD_290_0">"A36890"</definedName>
    <definedName name="FDD_291_0">"A25569"</definedName>
    <definedName name="FDD_295_0">"U25569"</definedName>
    <definedName name="FDD_296_0">"A25569"</definedName>
    <definedName name="FDD_297_0">"A25569"</definedName>
    <definedName name="FDD_298_0">"A25569"</definedName>
    <definedName name="FDD_299_0">"A25569"</definedName>
    <definedName name="FDD_3_0">"A25569"</definedName>
    <definedName name="FDD_30_0">"A25569"</definedName>
    <definedName name="FDD_300_0">"U25569"</definedName>
    <definedName name="FDD_301_0">"U35795"</definedName>
    <definedName name="FDD_301_1">"U36160"</definedName>
    <definedName name="FDD_301_2">"U36525"</definedName>
    <definedName name="FDD_302_0">"U35795"</definedName>
    <definedName name="FDD_302_1">"U36160"</definedName>
    <definedName name="FDD_302_2">"U36525"</definedName>
    <definedName name="FDD_303_0">"U35795"</definedName>
    <definedName name="FDD_303_1">"U36160"</definedName>
    <definedName name="FDD_303_2">"U36525"</definedName>
    <definedName name="FDD_304_0">"U35795"</definedName>
    <definedName name="FDD_304_1">"U36160"</definedName>
    <definedName name="FDD_304_2">"U36525"</definedName>
    <definedName name="FDD_305_0">"A30681"</definedName>
    <definedName name="FDD_305_1">"A31047"</definedName>
    <definedName name="FDD_305_10">"U34334"</definedName>
    <definedName name="FDD_305_11">"U34699"</definedName>
    <definedName name="FDD_305_12">"U35064"</definedName>
    <definedName name="FDD_305_13">"U35430"</definedName>
    <definedName name="FDD_305_14">"U35795"</definedName>
    <definedName name="FDD_305_2">"A31412"</definedName>
    <definedName name="FDD_305_3">"U31777"</definedName>
    <definedName name="FDD_305_4">"U32142"</definedName>
    <definedName name="FDD_305_5">"U32508"</definedName>
    <definedName name="FDD_305_6">"U32873"</definedName>
    <definedName name="FDD_305_7">"U33238"</definedName>
    <definedName name="FDD_305_8">"U33603"</definedName>
    <definedName name="FDD_305_9">"U33969"</definedName>
    <definedName name="FDD_306_0">"U35795"</definedName>
    <definedName name="FDD_306_1">"E36160"</definedName>
    <definedName name="FDD_306_2">"U36525"</definedName>
    <definedName name="FDD_307_0">"A35795"</definedName>
    <definedName name="FDD_307_1">"U36160"</definedName>
    <definedName name="FDD_307_2">"U36525"</definedName>
    <definedName name="FDD_31_0">"A25569"</definedName>
    <definedName name="FDD_32_0">"A25569"</definedName>
    <definedName name="FDD_33_0">"A25569"</definedName>
    <definedName name="FDD_34_0">"A25569"</definedName>
    <definedName name="FDD_35_0">"A25569"</definedName>
    <definedName name="FDD_36_0">"A25569"</definedName>
    <definedName name="FDD_37_0">"A25569"</definedName>
    <definedName name="FDD_38_0">"A25569"</definedName>
    <definedName name="FDD_39_0">"A25569"</definedName>
    <definedName name="FDD_4_0">"A25569"</definedName>
    <definedName name="FDD_40_0">"A25569"</definedName>
    <definedName name="FDD_41_0">"U25569"</definedName>
    <definedName name="FDD_42_0">"U25569"</definedName>
    <definedName name="FDD_43_0">"A25569"</definedName>
    <definedName name="FDD_44_0">"A30681"</definedName>
    <definedName name="FDD_44_1">"A31047"</definedName>
    <definedName name="FDD_44_10">"A34334"</definedName>
    <definedName name="FDD_44_11">"A34699"</definedName>
    <definedName name="FDD_44_12">"A35064"</definedName>
    <definedName name="FDD_44_13">"A35430"</definedName>
    <definedName name="FDD_44_14">"A35795"</definedName>
    <definedName name="FDD_44_2">"A31412"</definedName>
    <definedName name="FDD_44_3">"A31777"</definedName>
    <definedName name="FDD_44_4">"A32142"</definedName>
    <definedName name="FDD_44_5">"A32508"</definedName>
    <definedName name="FDD_44_6">"A32873"</definedName>
    <definedName name="FDD_44_7">"A33238"</definedName>
    <definedName name="FDD_44_8">"A33603"</definedName>
    <definedName name="FDD_44_9">"A33969"</definedName>
    <definedName name="FDD_45_0">"A30681"</definedName>
    <definedName name="FDD_45_1">"A31047"</definedName>
    <definedName name="FDD_45_10">"A34334"</definedName>
    <definedName name="FDD_45_11">"A34699"</definedName>
    <definedName name="FDD_45_12">"A35064"</definedName>
    <definedName name="FDD_45_13">"A35430"</definedName>
    <definedName name="FDD_45_14">"A35795"</definedName>
    <definedName name="FDD_45_2">"A31412"</definedName>
    <definedName name="FDD_45_3">"A31777"</definedName>
    <definedName name="FDD_45_4">"A32142"</definedName>
    <definedName name="FDD_45_5">"A32508"</definedName>
    <definedName name="FDD_45_6">"A32873"</definedName>
    <definedName name="FDD_45_7">"A33238"</definedName>
    <definedName name="FDD_45_8">"A33603"</definedName>
    <definedName name="FDD_45_9">"A33969"</definedName>
    <definedName name="FDD_46_0">"A30681"</definedName>
    <definedName name="FDD_46_1">"A31047"</definedName>
    <definedName name="FDD_46_10">"A34334"</definedName>
    <definedName name="FDD_46_11">"A34699"</definedName>
    <definedName name="FDD_46_12">"A35064"</definedName>
    <definedName name="FDD_46_13">"A35430"</definedName>
    <definedName name="FDD_46_14">"A35795"</definedName>
    <definedName name="FDD_46_2">"A31412"</definedName>
    <definedName name="FDD_46_3">"A31777"</definedName>
    <definedName name="FDD_46_4">"A32142"</definedName>
    <definedName name="FDD_46_5">"A32508"</definedName>
    <definedName name="FDD_46_6">"A32873"</definedName>
    <definedName name="FDD_46_7">"A33238"</definedName>
    <definedName name="FDD_46_8">"A33603"</definedName>
    <definedName name="FDD_46_9">"A33969"</definedName>
    <definedName name="FDD_47_0">"A30681"</definedName>
    <definedName name="FDD_47_1">"A31047"</definedName>
    <definedName name="FDD_47_10">"A34334"</definedName>
    <definedName name="FDD_47_11">"A34699"</definedName>
    <definedName name="FDD_47_12">"A35064"</definedName>
    <definedName name="FDD_47_13">"A35430"</definedName>
    <definedName name="FDD_47_14">"A35795"</definedName>
    <definedName name="FDD_47_2">"A31412"</definedName>
    <definedName name="FDD_47_3">"A31777"</definedName>
    <definedName name="FDD_47_4">"A32142"</definedName>
    <definedName name="FDD_47_5">"A32508"</definedName>
    <definedName name="FDD_47_6">"A32873"</definedName>
    <definedName name="FDD_47_7">"A33238"</definedName>
    <definedName name="FDD_47_8">"A33603"</definedName>
    <definedName name="FDD_47_9">"A33969"</definedName>
    <definedName name="FDD_48_0">"A30681"</definedName>
    <definedName name="FDD_48_1">"A31047"</definedName>
    <definedName name="FDD_48_10">"A34334"</definedName>
    <definedName name="FDD_48_11">"A34699"</definedName>
    <definedName name="FDD_48_12">"A35064"</definedName>
    <definedName name="FDD_48_13">"A35430"</definedName>
    <definedName name="FDD_48_14">"A35795"</definedName>
    <definedName name="FDD_48_2">"A31412"</definedName>
    <definedName name="FDD_48_3">"A31777"</definedName>
    <definedName name="FDD_48_4">"A32142"</definedName>
    <definedName name="FDD_48_5">"A32508"</definedName>
    <definedName name="FDD_48_6">"A32873"</definedName>
    <definedName name="FDD_48_7">"A33238"</definedName>
    <definedName name="FDD_48_8">"A33603"</definedName>
    <definedName name="FDD_48_9">"A33969"</definedName>
    <definedName name="FDD_49_0">"A30681"</definedName>
    <definedName name="FDD_49_1">"A31047"</definedName>
    <definedName name="FDD_49_10">"A34334"</definedName>
    <definedName name="FDD_49_11">"A34699"</definedName>
    <definedName name="FDD_49_12">"A35064"</definedName>
    <definedName name="FDD_49_13">"A35430"</definedName>
    <definedName name="FDD_49_14">"A35795"</definedName>
    <definedName name="FDD_49_2">"A31412"</definedName>
    <definedName name="FDD_49_3">"A31777"</definedName>
    <definedName name="FDD_49_4">"A32142"</definedName>
    <definedName name="FDD_49_5">"A32508"</definedName>
    <definedName name="FDD_49_6">"A32873"</definedName>
    <definedName name="FDD_49_7">"A33238"</definedName>
    <definedName name="FDD_49_8">"A33603"</definedName>
    <definedName name="FDD_49_9">"A33969"</definedName>
    <definedName name="FDD_5_0">"A25569"</definedName>
    <definedName name="FDD_50_0">"A30681"</definedName>
    <definedName name="FDD_50_1">"A31047"</definedName>
    <definedName name="FDD_50_10">"A34334"</definedName>
    <definedName name="FDD_50_11">"A34699"</definedName>
    <definedName name="FDD_50_12">"A35064"</definedName>
    <definedName name="FDD_50_13">"A35430"</definedName>
    <definedName name="FDD_50_14">"A35795"</definedName>
    <definedName name="FDD_50_2">"A31412"</definedName>
    <definedName name="FDD_50_3">"A31777"</definedName>
    <definedName name="FDD_50_4">"A32142"</definedName>
    <definedName name="FDD_50_5">"A32508"</definedName>
    <definedName name="FDD_50_6">"A32873"</definedName>
    <definedName name="FDD_50_7">"A33238"</definedName>
    <definedName name="FDD_50_8">"A33603"</definedName>
    <definedName name="FDD_50_9">"A33969"</definedName>
    <definedName name="FDD_51_0">"A30681"</definedName>
    <definedName name="FDD_51_1">"A31047"</definedName>
    <definedName name="FDD_51_10">"A34334"</definedName>
    <definedName name="FDD_51_11">"A34699"</definedName>
    <definedName name="FDD_51_12">"A35064"</definedName>
    <definedName name="FDD_51_13">"A35430"</definedName>
    <definedName name="FDD_51_14">"A35795"</definedName>
    <definedName name="FDD_51_2">"A31412"</definedName>
    <definedName name="FDD_51_3">"A31777"</definedName>
    <definedName name="FDD_51_4">"A32142"</definedName>
    <definedName name="FDD_51_5">"A32508"</definedName>
    <definedName name="FDD_51_6">"A32873"</definedName>
    <definedName name="FDD_51_7">"A33238"</definedName>
    <definedName name="FDD_51_8">"A33603"</definedName>
    <definedName name="FDD_51_9">"A33969"</definedName>
    <definedName name="FDD_52_0">"A30681"</definedName>
    <definedName name="FDD_52_1">"A31047"</definedName>
    <definedName name="FDD_52_10">"A34334"</definedName>
    <definedName name="FDD_52_11">"A34699"</definedName>
    <definedName name="FDD_52_12">"A35064"</definedName>
    <definedName name="FDD_52_13">"A35430"</definedName>
    <definedName name="FDD_52_14">"A35795"</definedName>
    <definedName name="FDD_52_2">"A31412"</definedName>
    <definedName name="FDD_52_3">"A31777"</definedName>
    <definedName name="FDD_52_4">"A32142"</definedName>
    <definedName name="FDD_52_5">"A32508"</definedName>
    <definedName name="FDD_52_6">"A32873"</definedName>
    <definedName name="FDD_52_7">"A33238"</definedName>
    <definedName name="FDD_52_8">"A33603"</definedName>
    <definedName name="FDD_52_9">"A33969"</definedName>
    <definedName name="FDD_53_0">"U30681"</definedName>
    <definedName name="FDD_53_1">"A31047"</definedName>
    <definedName name="FDD_53_10">"A34334"</definedName>
    <definedName name="FDD_53_11">"A34699"</definedName>
    <definedName name="FDD_53_12">"A35064"</definedName>
    <definedName name="FDD_53_13">"A35430"</definedName>
    <definedName name="FDD_53_14">"A35795"</definedName>
    <definedName name="FDD_53_2">"A31412"</definedName>
    <definedName name="FDD_53_3">"A31777"</definedName>
    <definedName name="FDD_53_4">"A32142"</definedName>
    <definedName name="FDD_53_5">"A32508"</definedName>
    <definedName name="FDD_53_6">"A32873"</definedName>
    <definedName name="FDD_53_7">"A33238"</definedName>
    <definedName name="FDD_53_8">"A33603"</definedName>
    <definedName name="FDD_53_9">"A33969"</definedName>
    <definedName name="FDD_54_0">"A30681"</definedName>
    <definedName name="FDD_54_1">"A31047"</definedName>
    <definedName name="FDD_54_10">"A34334"</definedName>
    <definedName name="FDD_54_11">"A34699"</definedName>
    <definedName name="FDD_54_12">"A35064"</definedName>
    <definedName name="FDD_54_13">"A35430"</definedName>
    <definedName name="FDD_54_14">"A35795"</definedName>
    <definedName name="FDD_54_2">"A31412"</definedName>
    <definedName name="FDD_54_3">"A31777"</definedName>
    <definedName name="FDD_54_4">"A32142"</definedName>
    <definedName name="FDD_54_5">"A32508"</definedName>
    <definedName name="FDD_54_6">"A32873"</definedName>
    <definedName name="FDD_54_7">"A33238"</definedName>
    <definedName name="FDD_54_8">"A33603"</definedName>
    <definedName name="FDD_54_9">"A33969"</definedName>
    <definedName name="FDD_55_0">"A30681"</definedName>
    <definedName name="FDD_55_1">"A31047"</definedName>
    <definedName name="FDD_55_10">"A34334"</definedName>
    <definedName name="FDD_55_11">"A34699"</definedName>
    <definedName name="FDD_55_12">"A35064"</definedName>
    <definedName name="FDD_55_13">"A35430"</definedName>
    <definedName name="FDD_55_14">"A35795"</definedName>
    <definedName name="FDD_55_2">"A31412"</definedName>
    <definedName name="FDD_55_3">"A31777"</definedName>
    <definedName name="FDD_55_4">"A32142"</definedName>
    <definedName name="FDD_55_5">"A32508"</definedName>
    <definedName name="FDD_55_6">"A32873"</definedName>
    <definedName name="FDD_55_7">"A33238"</definedName>
    <definedName name="FDD_55_8">"A33603"</definedName>
    <definedName name="FDD_55_9">"A33969"</definedName>
    <definedName name="FDD_56_0">"A30681"</definedName>
    <definedName name="FDD_56_1">"A31047"</definedName>
    <definedName name="FDD_56_10">"A34334"</definedName>
    <definedName name="FDD_56_11">"A34699"</definedName>
    <definedName name="FDD_56_12">"A35064"</definedName>
    <definedName name="FDD_56_13">"A35430"</definedName>
    <definedName name="FDD_56_14">"A35795"</definedName>
    <definedName name="FDD_56_2">"A31412"</definedName>
    <definedName name="FDD_56_3">"A31777"</definedName>
    <definedName name="FDD_56_4">"A32142"</definedName>
    <definedName name="FDD_56_5">"A32508"</definedName>
    <definedName name="FDD_56_6">"A32873"</definedName>
    <definedName name="FDD_56_7">"A33238"</definedName>
    <definedName name="FDD_56_8">"A33603"</definedName>
    <definedName name="FDD_56_9">"A33969"</definedName>
    <definedName name="FDD_57_0">"A30681"</definedName>
    <definedName name="FDD_57_1">"A31047"</definedName>
    <definedName name="FDD_57_10">"A34334"</definedName>
    <definedName name="FDD_57_11">"A34699"</definedName>
    <definedName name="FDD_57_12">"A35064"</definedName>
    <definedName name="FDD_57_13">"A35430"</definedName>
    <definedName name="FDD_57_14">"A35795"</definedName>
    <definedName name="FDD_57_2">"A31412"</definedName>
    <definedName name="FDD_57_3">"A31777"</definedName>
    <definedName name="FDD_57_4">"A32142"</definedName>
    <definedName name="FDD_57_5">"A32508"</definedName>
    <definedName name="FDD_57_6">"A32873"</definedName>
    <definedName name="FDD_57_7">"A33238"</definedName>
    <definedName name="FDD_57_8">"A33603"</definedName>
    <definedName name="FDD_57_9">"A33969"</definedName>
    <definedName name="FDD_58_0">"A30681"</definedName>
    <definedName name="FDD_58_1">"A31047"</definedName>
    <definedName name="FDD_58_10">"A34334"</definedName>
    <definedName name="FDD_58_11">"A34699"</definedName>
    <definedName name="FDD_58_12">"A35064"</definedName>
    <definedName name="FDD_58_13">"A35430"</definedName>
    <definedName name="FDD_58_14">"A35795"</definedName>
    <definedName name="FDD_58_2">"A31412"</definedName>
    <definedName name="FDD_58_3">"A31777"</definedName>
    <definedName name="FDD_58_4">"A32142"</definedName>
    <definedName name="FDD_58_5">"A32508"</definedName>
    <definedName name="FDD_58_6">"A32873"</definedName>
    <definedName name="FDD_58_7">"A33238"</definedName>
    <definedName name="FDD_58_8">"A33603"</definedName>
    <definedName name="FDD_58_9">"A33969"</definedName>
    <definedName name="FDD_59_0">"A30681"</definedName>
    <definedName name="FDD_59_1">"A31047"</definedName>
    <definedName name="FDD_59_10">"A34334"</definedName>
    <definedName name="FDD_59_11">"A34699"</definedName>
    <definedName name="FDD_59_12">"A35064"</definedName>
    <definedName name="FDD_59_13">"A35430"</definedName>
    <definedName name="FDD_59_14">"A35795"</definedName>
    <definedName name="FDD_59_2">"A31412"</definedName>
    <definedName name="FDD_59_3">"A31777"</definedName>
    <definedName name="FDD_59_4">"A32142"</definedName>
    <definedName name="FDD_59_5">"A32508"</definedName>
    <definedName name="FDD_59_6">"A32873"</definedName>
    <definedName name="FDD_59_7">"A33238"</definedName>
    <definedName name="FDD_59_8">"A33603"</definedName>
    <definedName name="FDD_59_9">"A33969"</definedName>
    <definedName name="FDD_6_0">"A25569"</definedName>
    <definedName name="FDD_60_0">"A30681"</definedName>
    <definedName name="FDD_60_1">"A31047"</definedName>
    <definedName name="FDD_60_10">"A34334"</definedName>
    <definedName name="FDD_60_11">"A34699"</definedName>
    <definedName name="FDD_60_12">"A35064"</definedName>
    <definedName name="FDD_60_13">"A35430"</definedName>
    <definedName name="FDD_60_14">"A35795"</definedName>
    <definedName name="FDD_60_2">"A31412"</definedName>
    <definedName name="FDD_60_3">"A31777"</definedName>
    <definedName name="FDD_60_4">"A32142"</definedName>
    <definedName name="FDD_60_5">"A32508"</definedName>
    <definedName name="FDD_60_6">"A32873"</definedName>
    <definedName name="FDD_60_7">"A33238"</definedName>
    <definedName name="FDD_60_8">"A33603"</definedName>
    <definedName name="FDD_60_9">"A33969"</definedName>
    <definedName name="FDD_61_0">"A30681"</definedName>
    <definedName name="FDD_61_1">"A31047"</definedName>
    <definedName name="FDD_61_10">"A34334"</definedName>
    <definedName name="FDD_61_11">"A34699"</definedName>
    <definedName name="FDD_61_12">"A35064"</definedName>
    <definedName name="FDD_61_13">"A35430"</definedName>
    <definedName name="FDD_61_14">"A35795"</definedName>
    <definedName name="FDD_61_2">"A31412"</definedName>
    <definedName name="FDD_61_3">"A31777"</definedName>
    <definedName name="FDD_61_4">"A32142"</definedName>
    <definedName name="FDD_61_5">"A32508"</definedName>
    <definedName name="FDD_61_6">"A32873"</definedName>
    <definedName name="FDD_61_7">"A33238"</definedName>
    <definedName name="FDD_61_8">"A33603"</definedName>
    <definedName name="FDD_61_9">"A33969"</definedName>
    <definedName name="FDD_62_0">"A30681"</definedName>
    <definedName name="FDD_62_1">"A31047"</definedName>
    <definedName name="FDD_62_10">"A34334"</definedName>
    <definedName name="FDD_62_11">"A34699"</definedName>
    <definedName name="FDD_62_12">"A35064"</definedName>
    <definedName name="FDD_62_13">"A35430"</definedName>
    <definedName name="FDD_62_14">"A35795"</definedName>
    <definedName name="FDD_62_2">"A31412"</definedName>
    <definedName name="FDD_62_3">"A31777"</definedName>
    <definedName name="FDD_62_4">"A32142"</definedName>
    <definedName name="FDD_62_5">"A32508"</definedName>
    <definedName name="FDD_62_6">"A32873"</definedName>
    <definedName name="FDD_62_7">"A33238"</definedName>
    <definedName name="FDD_62_8">"A33603"</definedName>
    <definedName name="FDD_62_9">"A33969"</definedName>
    <definedName name="FDD_63_0">"A30681"</definedName>
    <definedName name="FDD_63_1">"A31047"</definedName>
    <definedName name="FDD_63_10">"A34334"</definedName>
    <definedName name="FDD_63_11">"A34699"</definedName>
    <definedName name="FDD_63_12">"A35064"</definedName>
    <definedName name="FDD_63_13">"A35430"</definedName>
    <definedName name="FDD_63_14">"A35795"</definedName>
    <definedName name="FDD_63_2">"A31412"</definedName>
    <definedName name="FDD_63_3">"A31777"</definedName>
    <definedName name="FDD_63_4">"A32142"</definedName>
    <definedName name="FDD_63_5">"A32508"</definedName>
    <definedName name="FDD_63_6">"A32873"</definedName>
    <definedName name="FDD_63_7">"A33238"</definedName>
    <definedName name="FDD_63_8">"A33603"</definedName>
    <definedName name="FDD_63_9">"A33969"</definedName>
    <definedName name="FDD_64_0">"A30681"</definedName>
    <definedName name="FDD_64_1">"A31047"</definedName>
    <definedName name="FDD_64_10">"A34334"</definedName>
    <definedName name="FDD_64_11">"A34699"</definedName>
    <definedName name="FDD_64_12">"A35064"</definedName>
    <definedName name="FDD_64_13">"A35430"</definedName>
    <definedName name="FDD_64_14">"A35795"</definedName>
    <definedName name="FDD_64_2">"A31412"</definedName>
    <definedName name="FDD_64_3">"A31777"</definedName>
    <definedName name="FDD_64_4">"A32142"</definedName>
    <definedName name="FDD_64_5">"A32508"</definedName>
    <definedName name="FDD_64_6">"A32873"</definedName>
    <definedName name="FDD_64_7">"A33238"</definedName>
    <definedName name="FDD_64_8">"A33603"</definedName>
    <definedName name="FDD_64_9">"A33969"</definedName>
    <definedName name="FDD_65_0">"A30681"</definedName>
    <definedName name="FDD_65_1">"A31047"</definedName>
    <definedName name="FDD_65_10">"A34334"</definedName>
    <definedName name="FDD_65_11">"A34699"</definedName>
    <definedName name="FDD_65_12">"A35064"</definedName>
    <definedName name="FDD_65_13">"A35430"</definedName>
    <definedName name="FDD_65_14">"A35795"</definedName>
    <definedName name="FDD_65_2">"A31412"</definedName>
    <definedName name="FDD_65_3">"A31777"</definedName>
    <definedName name="FDD_65_4">"A32142"</definedName>
    <definedName name="FDD_65_5">"A32508"</definedName>
    <definedName name="FDD_65_6">"A32873"</definedName>
    <definedName name="FDD_65_7">"A33238"</definedName>
    <definedName name="FDD_65_8">"A33603"</definedName>
    <definedName name="FDD_65_9">"A33969"</definedName>
    <definedName name="FDD_66_0">"A30681"</definedName>
    <definedName name="FDD_66_1">"A31047"</definedName>
    <definedName name="FDD_66_10">"A34334"</definedName>
    <definedName name="FDD_66_11">"A34699"</definedName>
    <definedName name="FDD_66_12">"A35064"</definedName>
    <definedName name="FDD_66_13">"A35430"</definedName>
    <definedName name="FDD_66_14">"A35795"</definedName>
    <definedName name="FDD_66_2">"A31412"</definedName>
    <definedName name="FDD_66_3">"A31777"</definedName>
    <definedName name="FDD_66_4">"A32142"</definedName>
    <definedName name="FDD_66_5">"A32508"</definedName>
    <definedName name="FDD_66_6">"A32873"</definedName>
    <definedName name="FDD_66_7">"A33238"</definedName>
    <definedName name="FDD_66_8">"A33603"</definedName>
    <definedName name="FDD_66_9">"A33969"</definedName>
    <definedName name="FDD_67_0">"A30681"</definedName>
    <definedName name="FDD_67_1">"A31047"</definedName>
    <definedName name="FDD_67_10">"A34334"</definedName>
    <definedName name="FDD_67_11">"A34699"</definedName>
    <definedName name="FDD_67_12">"A35064"</definedName>
    <definedName name="FDD_67_13">"A35430"</definedName>
    <definedName name="FDD_67_14">"A35795"</definedName>
    <definedName name="FDD_67_2">"A31412"</definedName>
    <definedName name="FDD_67_3">"A31777"</definedName>
    <definedName name="FDD_67_4">"A32142"</definedName>
    <definedName name="FDD_67_5">"A32508"</definedName>
    <definedName name="FDD_67_6">"A32873"</definedName>
    <definedName name="FDD_67_7">"A33238"</definedName>
    <definedName name="FDD_67_8">"A33603"</definedName>
    <definedName name="FDD_67_9">"A33969"</definedName>
    <definedName name="FDD_68_0">"A30681"</definedName>
    <definedName name="FDD_68_1">"A31047"</definedName>
    <definedName name="FDD_68_10">"A34334"</definedName>
    <definedName name="FDD_68_11">"A34699"</definedName>
    <definedName name="FDD_68_12">"A35064"</definedName>
    <definedName name="FDD_68_13">"A35430"</definedName>
    <definedName name="FDD_68_14">"A35795"</definedName>
    <definedName name="FDD_68_2">"A31412"</definedName>
    <definedName name="FDD_68_3">"A31777"</definedName>
    <definedName name="FDD_68_4">"A32142"</definedName>
    <definedName name="FDD_68_5">"A32508"</definedName>
    <definedName name="FDD_68_6">"A32873"</definedName>
    <definedName name="FDD_68_7">"A33238"</definedName>
    <definedName name="FDD_68_8">"A33603"</definedName>
    <definedName name="FDD_68_9">"A33969"</definedName>
    <definedName name="FDD_69_0">"U30681"</definedName>
    <definedName name="FDD_69_1">"A31047"</definedName>
    <definedName name="FDD_69_10">"A34334"</definedName>
    <definedName name="FDD_69_11">"A34699"</definedName>
    <definedName name="FDD_69_12">"A35064"</definedName>
    <definedName name="FDD_69_13">"A35430"</definedName>
    <definedName name="FDD_69_14">"A35795"</definedName>
    <definedName name="FDD_69_2">"A31412"</definedName>
    <definedName name="FDD_69_3">"A31777"</definedName>
    <definedName name="FDD_69_4">"A32142"</definedName>
    <definedName name="FDD_69_5">"A32508"</definedName>
    <definedName name="FDD_69_6">"A32873"</definedName>
    <definedName name="FDD_69_7">"A33238"</definedName>
    <definedName name="FDD_69_8">"A33603"</definedName>
    <definedName name="FDD_69_9">"A33969"</definedName>
    <definedName name="FDD_7_0">"A25569"</definedName>
    <definedName name="FDD_70_0">"A30681"</definedName>
    <definedName name="FDD_70_1">"A31047"</definedName>
    <definedName name="FDD_70_10">"A34334"</definedName>
    <definedName name="FDD_70_11">"A34699"</definedName>
    <definedName name="FDD_70_12">"A35064"</definedName>
    <definedName name="FDD_70_13">"A35430"</definedName>
    <definedName name="FDD_70_14">"A35795"</definedName>
    <definedName name="FDD_70_2">"A31412"</definedName>
    <definedName name="FDD_70_3">"A31777"</definedName>
    <definedName name="FDD_70_4">"A32142"</definedName>
    <definedName name="FDD_70_5">"A32508"</definedName>
    <definedName name="FDD_70_6">"A32873"</definedName>
    <definedName name="FDD_70_7">"A33238"</definedName>
    <definedName name="FDD_70_8">"A33603"</definedName>
    <definedName name="FDD_70_9">"A33969"</definedName>
    <definedName name="FDD_71_0">"A30681"</definedName>
    <definedName name="FDD_71_1">"A31047"</definedName>
    <definedName name="FDD_71_10">"A34334"</definedName>
    <definedName name="FDD_71_11">"A34699"</definedName>
    <definedName name="FDD_71_12">"A35064"</definedName>
    <definedName name="FDD_71_13">"A35430"</definedName>
    <definedName name="FDD_71_14">"A35795"</definedName>
    <definedName name="FDD_71_2">"A31412"</definedName>
    <definedName name="FDD_71_3">"A31777"</definedName>
    <definedName name="FDD_71_4">"A32142"</definedName>
    <definedName name="FDD_71_5">"A32508"</definedName>
    <definedName name="FDD_71_6">"A32873"</definedName>
    <definedName name="FDD_71_7">"A33238"</definedName>
    <definedName name="FDD_71_8">"A33603"</definedName>
    <definedName name="FDD_71_9">"A33969"</definedName>
    <definedName name="FDD_72_0">"A30681"</definedName>
    <definedName name="FDD_72_1">"A31047"</definedName>
    <definedName name="FDD_72_10">"A34334"</definedName>
    <definedName name="FDD_72_11">"A34699"</definedName>
    <definedName name="FDD_72_12">"A35064"</definedName>
    <definedName name="FDD_72_13">"A35430"</definedName>
    <definedName name="FDD_72_14">"A35795"</definedName>
    <definedName name="FDD_72_2">"A31412"</definedName>
    <definedName name="FDD_72_3">"A31777"</definedName>
    <definedName name="FDD_72_4">"A32142"</definedName>
    <definedName name="FDD_72_5">"A32508"</definedName>
    <definedName name="FDD_72_6">"A32873"</definedName>
    <definedName name="FDD_72_7">"A33238"</definedName>
    <definedName name="FDD_72_8">"A33603"</definedName>
    <definedName name="FDD_72_9">"A33969"</definedName>
    <definedName name="FDD_73_0">"A30681"</definedName>
    <definedName name="FDD_73_1">"A31047"</definedName>
    <definedName name="FDD_73_10">"A34334"</definedName>
    <definedName name="FDD_73_11">"A34699"</definedName>
    <definedName name="FDD_73_12">"A35064"</definedName>
    <definedName name="FDD_73_13">"A35430"</definedName>
    <definedName name="FDD_73_14">"A35795"</definedName>
    <definedName name="FDD_73_2">"A31412"</definedName>
    <definedName name="FDD_73_3">"A31777"</definedName>
    <definedName name="FDD_73_4">"A32142"</definedName>
    <definedName name="FDD_73_5">"A32508"</definedName>
    <definedName name="FDD_73_6">"A32873"</definedName>
    <definedName name="FDD_73_7">"A33238"</definedName>
    <definedName name="FDD_73_8">"A33603"</definedName>
    <definedName name="FDD_73_9">"A33969"</definedName>
    <definedName name="FDD_74_0">"A30681"</definedName>
    <definedName name="FDD_74_1">"A31047"</definedName>
    <definedName name="FDD_74_10">"A34334"</definedName>
    <definedName name="FDD_74_11">"A34699"</definedName>
    <definedName name="FDD_74_12">"A35064"</definedName>
    <definedName name="FDD_74_13">"A35430"</definedName>
    <definedName name="FDD_74_14">"A35795"</definedName>
    <definedName name="FDD_74_2">"A31412"</definedName>
    <definedName name="FDD_74_3">"A31777"</definedName>
    <definedName name="FDD_74_4">"A32142"</definedName>
    <definedName name="FDD_74_5">"A32508"</definedName>
    <definedName name="FDD_74_6">"A32873"</definedName>
    <definedName name="FDD_74_7">"A33238"</definedName>
    <definedName name="FDD_74_8">"A33603"</definedName>
    <definedName name="FDD_74_9">"A33969"</definedName>
    <definedName name="FDD_75_0">"A30681"</definedName>
    <definedName name="FDD_75_1">"A31047"</definedName>
    <definedName name="FDD_75_10">"A34334"</definedName>
    <definedName name="FDD_75_11">"A34699"</definedName>
    <definedName name="FDD_75_12">"A35064"</definedName>
    <definedName name="FDD_75_13">"A35430"</definedName>
    <definedName name="FDD_75_14">"A35795"</definedName>
    <definedName name="FDD_75_2">"A31412"</definedName>
    <definedName name="FDD_75_3">"A31777"</definedName>
    <definedName name="FDD_75_4">"A32142"</definedName>
    <definedName name="FDD_75_5">"A32508"</definedName>
    <definedName name="FDD_75_6">"A32873"</definedName>
    <definedName name="FDD_75_7">"A33238"</definedName>
    <definedName name="FDD_75_8">"A33603"</definedName>
    <definedName name="FDD_75_9">"A33969"</definedName>
    <definedName name="FDD_76_0">"A30681"</definedName>
    <definedName name="FDD_76_1">"A31047"</definedName>
    <definedName name="FDD_76_10">"A34334"</definedName>
    <definedName name="FDD_76_11">"A34699"</definedName>
    <definedName name="FDD_76_12">"A35064"</definedName>
    <definedName name="FDD_76_13">"A35430"</definedName>
    <definedName name="FDD_76_14">"A35795"</definedName>
    <definedName name="FDD_76_2">"A31412"</definedName>
    <definedName name="FDD_76_3">"A31777"</definedName>
    <definedName name="FDD_76_4">"A32142"</definedName>
    <definedName name="FDD_76_5">"A32508"</definedName>
    <definedName name="FDD_76_6">"A32873"</definedName>
    <definedName name="FDD_76_7">"A33238"</definedName>
    <definedName name="FDD_76_8">"A33603"</definedName>
    <definedName name="FDD_76_9">"A33969"</definedName>
    <definedName name="FDD_77_0">"A30681"</definedName>
    <definedName name="FDD_77_1">"A31047"</definedName>
    <definedName name="FDD_77_10">"A34334"</definedName>
    <definedName name="FDD_77_11">"A34699"</definedName>
    <definedName name="FDD_77_12">"A35064"</definedName>
    <definedName name="FDD_77_13">"A35430"</definedName>
    <definedName name="FDD_77_14">"A35795"</definedName>
    <definedName name="FDD_77_2">"A31412"</definedName>
    <definedName name="FDD_77_3">"A31777"</definedName>
    <definedName name="FDD_77_4">"A32142"</definedName>
    <definedName name="FDD_77_5">"A32508"</definedName>
    <definedName name="FDD_77_6">"A32873"</definedName>
    <definedName name="FDD_77_7">"A33238"</definedName>
    <definedName name="FDD_77_8">"A33603"</definedName>
    <definedName name="FDD_77_9">"A33969"</definedName>
    <definedName name="FDD_78_0">"A30681"</definedName>
    <definedName name="FDD_78_1">"A31047"</definedName>
    <definedName name="FDD_78_10">"A34334"</definedName>
    <definedName name="FDD_78_11">"A34699"</definedName>
    <definedName name="FDD_78_12">"A35064"</definedName>
    <definedName name="FDD_78_13">"A35430"</definedName>
    <definedName name="FDD_78_14">"A35795"</definedName>
    <definedName name="FDD_78_2">"A31412"</definedName>
    <definedName name="FDD_78_3">"A31777"</definedName>
    <definedName name="FDD_78_4">"A32142"</definedName>
    <definedName name="FDD_78_5">"A32508"</definedName>
    <definedName name="FDD_78_6">"A32873"</definedName>
    <definedName name="FDD_78_7">"A33238"</definedName>
    <definedName name="FDD_78_8">"A33603"</definedName>
    <definedName name="FDD_78_9">"A33969"</definedName>
    <definedName name="FDD_79_0">"A30681"</definedName>
    <definedName name="FDD_79_1">"A31047"</definedName>
    <definedName name="FDD_79_10">"A34334"</definedName>
    <definedName name="FDD_79_11">"A34699"</definedName>
    <definedName name="FDD_79_12">"A35064"</definedName>
    <definedName name="FDD_79_13">"A35430"</definedName>
    <definedName name="FDD_79_14">"A35795"</definedName>
    <definedName name="FDD_79_2">"A31412"</definedName>
    <definedName name="FDD_79_3">"A31777"</definedName>
    <definedName name="FDD_79_4">"A32142"</definedName>
    <definedName name="FDD_79_5">"A32508"</definedName>
    <definedName name="FDD_79_6">"A32873"</definedName>
    <definedName name="FDD_79_7">"A33238"</definedName>
    <definedName name="FDD_79_8">"A33603"</definedName>
    <definedName name="FDD_79_9">"A33969"</definedName>
    <definedName name="FDD_8_0">"A25569"</definedName>
    <definedName name="FDD_80_0">"A30681"</definedName>
    <definedName name="FDD_80_1">"A31047"</definedName>
    <definedName name="FDD_80_10">"A34334"</definedName>
    <definedName name="FDD_80_11">"A34699"</definedName>
    <definedName name="FDD_80_12">"A35064"</definedName>
    <definedName name="FDD_80_13">"A35430"</definedName>
    <definedName name="FDD_80_14">"A35795"</definedName>
    <definedName name="FDD_80_2">"A31412"</definedName>
    <definedName name="FDD_80_3">"A31777"</definedName>
    <definedName name="FDD_80_4">"A32142"</definedName>
    <definedName name="FDD_80_5">"A32508"</definedName>
    <definedName name="FDD_80_6">"A32873"</definedName>
    <definedName name="FDD_80_7">"A33238"</definedName>
    <definedName name="FDD_80_8">"A33603"</definedName>
    <definedName name="FDD_80_9">"A33969"</definedName>
    <definedName name="FDD_81_0">"A30681"</definedName>
    <definedName name="FDD_81_1">"A31047"</definedName>
    <definedName name="FDD_81_10">"A34334"</definedName>
    <definedName name="FDD_81_11">"A34699"</definedName>
    <definedName name="FDD_81_12">"A35064"</definedName>
    <definedName name="FDD_81_13">"A35430"</definedName>
    <definedName name="FDD_81_14">"A35795"</definedName>
    <definedName name="FDD_81_2">"A31412"</definedName>
    <definedName name="FDD_81_3">"A31777"</definedName>
    <definedName name="FDD_81_4">"A32142"</definedName>
    <definedName name="FDD_81_5">"A32508"</definedName>
    <definedName name="FDD_81_6">"A32873"</definedName>
    <definedName name="FDD_81_7">"A33238"</definedName>
    <definedName name="FDD_81_8">"A33603"</definedName>
    <definedName name="FDD_81_9">"A33969"</definedName>
    <definedName name="FDD_82_0">"A30681"</definedName>
    <definedName name="FDD_82_1">"A31047"</definedName>
    <definedName name="FDD_82_10">"A34334"</definedName>
    <definedName name="FDD_82_11">"A34699"</definedName>
    <definedName name="FDD_82_12">"A35064"</definedName>
    <definedName name="FDD_82_13">"A35430"</definedName>
    <definedName name="FDD_82_14">"A35795"</definedName>
    <definedName name="FDD_82_2">"A31412"</definedName>
    <definedName name="FDD_82_3">"A31777"</definedName>
    <definedName name="FDD_82_4">"A32142"</definedName>
    <definedName name="FDD_82_5">"A32508"</definedName>
    <definedName name="FDD_82_6">"A32873"</definedName>
    <definedName name="FDD_82_7">"A33238"</definedName>
    <definedName name="FDD_82_8">"A33603"</definedName>
    <definedName name="FDD_82_9">"A33969"</definedName>
    <definedName name="FDD_83_0">"A30681"</definedName>
    <definedName name="FDD_83_1">"A31047"</definedName>
    <definedName name="FDD_83_10">"A34334"</definedName>
    <definedName name="FDD_83_11">"A34699"</definedName>
    <definedName name="FDD_83_12">"A35064"</definedName>
    <definedName name="FDD_83_13">"A35430"</definedName>
    <definedName name="FDD_83_14">"A35795"</definedName>
    <definedName name="FDD_83_2">"A31412"</definedName>
    <definedName name="FDD_83_3">"A31777"</definedName>
    <definedName name="FDD_83_4">"A32142"</definedName>
    <definedName name="FDD_83_5">"A32508"</definedName>
    <definedName name="FDD_83_6">"A32873"</definedName>
    <definedName name="FDD_83_7">"A33238"</definedName>
    <definedName name="FDD_83_8">"A33603"</definedName>
    <definedName name="FDD_83_9">"A33969"</definedName>
    <definedName name="FDD_84_0">"A30681"</definedName>
    <definedName name="FDD_84_1">"A31047"</definedName>
    <definedName name="FDD_84_10">"A34334"</definedName>
    <definedName name="FDD_84_11">"A34699"</definedName>
    <definedName name="FDD_84_12">"A35064"</definedName>
    <definedName name="FDD_84_13">"A35430"</definedName>
    <definedName name="FDD_84_14">"A35795"</definedName>
    <definedName name="FDD_84_2">"A31412"</definedName>
    <definedName name="FDD_84_3">"A31777"</definedName>
    <definedName name="FDD_84_4">"A32142"</definedName>
    <definedName name="FDD_84_5">"A32508"</definedName>
    <definedName name="FDD_84_6">"A32873"</definedName>
    <definedName name="FDD_84_7">"A33238"</definedName>
    <definedName name="FDD_84_8">"A33603"</definedName>
    <definedName name="FDD_84_9">"A33969"</definedName>
    <definedName name="FDD_85_0">"A30681"</definedName>
    <definedName name="FDD_85_1">"A31047"</definedName>
    <definedName name="FDD_85_10">"A34334"</definedName>
    <definedName name="FDD_85_11">"A34699"</definedName>
    <definedName name="FDD_85_12">"A35064"</definedName>
    <definedName name="FDD_85_13">"A35430"</definedName>
    <definedName name="FDD_85_14">"A35795"</definedName>
    <definedName name="FDD_85_2">"A31412"</definedName>
    <definedName name="FDD_85_3">"A31777"</definedName>
    <definedName name="FDD_85_4">"A32142"</definedName>
    <definedName name="FDD_85_5">"A32508"</definedName>
    <definedName name="FDD_85_6">"A32873"</definedName>
    <definedName name="FDD_85_7">"A33238"</definedName>
    <definedName name="FDD_85_8">"A33603"</definedName>
    <definedName name="FDD_85_9">"A33969"</definedName>
    <definedName name="FDD_86_0">"A30681"</definedName>
    <definedName name="FDD_86_1">"A31047"</definedName>
    <definedName name="FDD_86_10">"A34334"</definedName>
    <definedName name="FDD_86_11">"A34699"</definedName>
    <definedName name="FDD_86_12">"A35064"</definedName>
    <definedName name="FDD_86_13">"A35430"</definedName>
    <definedName name="FDD_86_14">"A35795"</definedName>
    <definedName name="FDD_86_2">"A31412"</definedName>
    <definedName name="FDD_86_3">"A31777"</definedName>
    <definedName name="FDD_86_4">"A32142"</definedName>
    <definedName name="FDD_86_5">"A32508"</definedName>
    <definedName name="FDD_86_6">"A32873"</definedName>
    <definedName name="FDD_86_7">"A33238"</definedName>
    <definedName name="FDD_86_8">"A33603"</definedName>
    <definedName name="FDD_86_9">"A33969"</definedName>
    <definedName name="FDD_87_0">"A30681"</definedName>
    <definedName name="FDD_87_1">"A31047"</definedName>
    <definedName name="FDD_87_10">"A34334"</definedName>
    <definedName name="FDD_87_11">"A34699"</definedName>
    <definedName name="FDD_87_12">"A35064"</definedName>
    <definedName name="FDD_87_13">"A35430"</definedName>
    <definedName name="FDD_87_14">"A35795"</definedName>
    <definedName name="FDD_87_2">"A31412"</definedName>
    <definedName name="FDD_87_3">"A31777"</definedName>
    <definedName name="FDD_87_4">"A32142"</definedName>
    <definedName name="FDD_87_5">"A32508"</definedName>
    <definedName name="FDD_87_6">"A32873"</definedName>
    <definedName name="FDD_87_7">"A33238"</definedName>
    <definedName name="FDD_87_8">"A33603"</definedName>
    <definedName name="FDD_87_9">"A33969"</definedName>
    <definedName name="FDD_88_0">"A30681"</definedName>
    <definedName name="FDD_88_1">"A31047"</definedName>
    <definedName name="FDD_88_10">"A34334"</definedName>
    <definedName name="FDD_88_11">"A34699"</definedName>
    <definedName name="FDD_88_12">"A35064"</definedName>
    <definedName name="FDD_88_13">"A35430"</definedName>
    <definedName name="FDD_88_14">"A35795"</definedName>
    <definedName name="FDD_88_2">"A31412"</definedName>
    <definedName name="FDD_88_3">"A31777"</definedName>
    <definedName name="FDD_88_4">"A32142"</definedName>
    <definedName name="FDD_88_5">"A32508"</definedName>
    <definedName name="FDD_88_6">"A32873"</definedName>
    <definedName name="FDD_88_7">"A33238"</definedName>
    <definedName name="FDD_88_8">"A33603"</definedName>
    <definedName name="FDD_88_9">"A33969"</definedName>
    <definedName name="FDD_89_0">"A30681"</definedName>
    <definedName name="FDD_89_1">"A31047"</definedName>
    <definedName name="FDD_89_10">"A34334"</definedName>
    <definedName name="FDD_89_11">"A34699"</definedName>
    <definedName name="FDD_89_12">"A35064"</definedName>
    <definedName name="FDD_89_13">"A35430"</definedName>
    <definedName name="FDD_89_14">"A35795"</definedName>
    <definedName name="FDD_89_2">"A31412"</definedName>
    <definedName name="FDD_89_3">"A31777"</definedName>
    <definedName name="FDD_89_4">"A32142"</definedName>
    <definedName name="FDD_89_5">"A32508"</definedName>
    <definedName name="FDD_89_6">"A32873"</definedName>
    <definedName name="FDD_89_7">"A33238"</definedName>
    <definedName name="FDD_89_8">"A33603"</definedName>
    <definedName name="FDD_89_9">"A33969"</definedName>
    <definedName name="FDD_9_0">"A25569"</definedName>
    <definedName name="FDD_90_0">"A30681"</definedName>
    <definedName name="FDD_90_1">"A31047"</definedName>
    <definedName name="FDD_90_10">"A34334"</definedName>
    <definedName name="FDD_90_11">"A34699"</definedName>
    <definedName name="FDD_90_12">"A35064"</definedName>
    <definedName name="FDD_90_13">"A35430"</definedName>
    <definedName name="FDD_90_14">"A35795"</definedName>
    <definedName name="FDD_90_2">"A31412"</definedName>
    <definedName name="FDD_90_3">"A31777"</definedName>
    <definedName name="FDD_90_4">"A32142"</definedName>
    <definedName name="FDD_90_5">"A32508"</definedName>
    <definedName name="FDD_90_6">"A32873"</definedName>
    <definedName name="FDD_90_7">"A33238"</definedName>
    <definedName name="FDD_90_8">"A33603"</definedName>
    <definedName name="FDD_90_9">"A33969"</definedName>
    <definedName name="FDD_91_0">"A30681"</definedName>
    <definedName name="FDD_91_1">"A31047"</definedName>
    <definedName name="FDD_91_10">"A34334"</definedName>
    <definedName name="FDD_91_11">"A34699"</definedName>
    <definedName name="FDD_91_12">"A35064"</definedName>
    <definedName name="FDD_91_13">"A35430"</definedName>
    <definedName name="FDD_91_14">"A35795"</definedName>
    <definedName name="FDD_91_2">"A31412"</definedName>
    <definedName name="FDD_91_3">"A31777"</definedName>
    <definedName name="FDD_91_4">"A32142"</definedName>
    <definedName name="FDD_91_5">"A32508"</definedName>
    <definedName name="FDD_91_6">"A32873"</definedName>
    <definedName name="FDD_91_7">"A33238"</definedName>
    <definedName name="FDD_91_8">"A33603"</definedName>
    <definedName name="FDD_91_9">"A33969"</definedName>
    <definedName name="FDD_92_0">"A30681"</definedName>
    <definedName name="FDD_92_1">"A31047"</definedName>
    <definedName name="FDD_92_10">"A34334"</definedName>
    <definedName name="FDD_92_11">"A34699"</definedName>
    <definedName name="FDD_92_12">"A35064"</definedName>
    <definedName name="FDD_92_13">"A35430"</definedName>
    <definedName name="FDD_92_14">"A35795"</definedName>
    <definedName name="FDD_92_2">"A31412"</definedName>
    <definedName name="FDD_92_3">"A31777"</definedName>
    <definedName name="FDD_92_4">"A32142"</definedName>
    <definedName name="FDD_92_5">"A32508"</definedName>
    <definedName name="FDD_92_6">"A32873"</definedName>
    <definedName name="FDD_92_7">"A33238"</definedName>
    <definedName name="FDD_92_8">"A33603"</definedName>
    <definedName name="FDD_92_9">"A33969"</definedName>
    <definedName name="FDD_93_0">"A30681"</definedName>
    <definedName name="FDD_93_1">"A31047"</definedName>
    <definedName name="FDD_93_10">"A34334"</definedName>
    <definedName name="FDD_93_11">"A34699"</definedName>
    <definedName name="FDD_93_12">"A35064"</definedName>
    <definedName name="FDD_93_13">"A35430"</definedName>
    <definedName name="FDD_93_14">"A35795"</definedName>
    <definedName name="FDD_93_2">"A31412"</definedName>
    <definedName name="FDD_93_3">"A31777"</definedName>
    <definedName name="FDD_93_4">"A32142"</definedName>
    <definedName name="FDD_93_5">"A32508"</definedName>
    <definedName name="FDD_93_6">"A32873"</definedName>
    <definedName name="FDD_93_7">"A33238"</definedName>
    <definedName name="FDD_93_8">"A33603"</definedName>
    <definedName name="FDD_93_9">"A33969"</definedName>
    <definedName name="FDD_94_0">"A30681"</definedName>
    <definedName name="FDD_94_1">"A31047"</definedName>
    <definedName name="FDD_94_10">"A34334"</definedName>
    <definedName name="FDD_94_11">"A34699"</definedName>
    <definedName name="FDD_94_12">"A35064"</definedName>
    <definedName name="FDD_94_13">"A35430"</definedName>
    <definedName name="FDD_94_14">"A35795"</definedName>
    <definedName name="FDD_94_2">"A31412"</definedName>
    <definedName name="FDD_94_3">"A31777"</definedName>
    <definedName name="FDD_94_4">"A32142"</definedName>
    <definedName name="FDD_94_5">"A32508"</definedName>
    <definedName name="FDD_94_6">"A32873"</definedName>
    <definedName name="FDD_94_7">"A33238"</definedName>
    <definedName name="FDD_94_8">"A33603"</definedName>
    <definedName name="FDD_94_9">"A33969"</definedName>
    <definedName name="FDD_95_0">"A30681"</definedName>
    <definedName name="FDD_95_1">"A31047"</definedName>
    <definedName name="FDD_95_10">"A34334"</definedName>
    <definedName name="FDD_95_11">"A34699"</definedName>
    <definedName name="FDD_95_12">"A35064"</definedName>
    <definedName name="FDD_95_13">"A35430"</definedName>
    <definedName name="FDD_95_14">"A35795"</definedName>
    <definedName name="FDD_95_2">"A31412"</definedName>
    <definedName name="FDD_95_3">"A31777"</definedName>
    <definedName name="FDD_95_4">"A32142"</definedName>
    <definedName name="FDD_95_5">"A32508"</definedName>
    <definedName name="FDD_95_6">"A32873"</definedName>
    <definedName name="FDD_95_7">"A33238"</definedName>
    <definedName name="FDD_95_8">"A33603"</definedName>
    <definedName name="FDD_95_9">"A33969"</definedName>
    <definedName name="FDD_96_0">"U30681"</definedName>
    <definedName name="FDD_96_1">"A31047"</definedName>
    <definedName name="FDD_96_10">"A34334"</definedName>
    <definedName name="FDD_96_11">"A34699"</definedName>
    <definedName name="FDD_96_12">"A35064"</definedName>
    <definedName name="FDD_96_13">"A35430"</definedName>
    <definedName name="FDD_96_14">"A35795"</definedName>
    <definedName name="FDD_96_2">"A31412"</definedName>
    <definedName name="FDD_96_3">"A31777"</definedName>
    <definedName name="FDD_96_4">"A32142"</definedName>
    <definedName name="FDD_96_5">"A32508"</definedName>
    <definedName name="FDD_96_6">"A32873"</definedName>
    <definedName name="FDD_96_7">"A33238"</definedName>
    <definedName name="FDD_96_8">"A33603"</definedName>
    <definedName name="FDD_96_9">"A33969"</definedName>
    <definedName name="FDD_97_0">"U30681"</definedName>
    <definedName name="FDD_97_1">"A31047"</definedName>
    <definedName name="FDD_97_10">"A34334"</definedName>
    <definedName name="FDD_97_11">"A34699"</definedName>
    <definedName name="FDD_97_12">"A35064"</definedName>
    <definedName name="FDD_97_13">"A35430"</definedName>
    <definedName name="FDD_97_14">"A35795"</definedName>
    <definedName name="FDD_97_2">"A31412"</definedName>
    <definedName name="FDD_97_3">"A31777"</definedName>
    <definedName name="FDD_97_4">"A32142"</definedName>
    <definedName name="FDD_97_5">"A32508"</definedName>
    <definedName name="FDD_97_6">"A32873"</definedName>
    <definedName name="FDD_97_7">"A33238"</definedName>
    <definedName name="FDD_97_8">"A33603"</definedName>
    <definedName name="FDD_97_9">"A33969"</definedName>
    <definedName name="FDD_98_0">"U30681"</definedName>
    <definedName name="FDD_98_1">"A31047"</definedName>
    <definedName name="FDD_98_10">"A34334"</definedName>
    <definedName name="FDD_98_11">"A34699"</definedName>
    <definedName name="FDD_98_12">"A35064"</definedName>
    <definedName name="FDD_98_13">"A35430"</definedName>
    <definedName name="FDD_98_14">"A35795"</definedName>
    <definedName name="FDD_98_2">"A31412"</definedName>
    <definedName name="FDD_98_3">"A31777"</definedName>
    <definedName name="FDD_98_4">"A32142"</definedName>
    <definedName name="FDD_98_5">"A32508"</definedName>
    <definedName name="FDD_98_6">"A32873"</definedName>
    <definedName name="FDD_98_7">"A33238"</definedName>
    <definedName name="FDD_98_8">"A33603"</definedName>
    <definedName name="FDD_98_9">"A33969"</definedName>
    <definedName name="FDD_99_0">"U30681"</definedName>
    <definedName name="FDD_99_1">"A31047"</definedName>
    <definedName name="FDD_99_10">"A34334"</definedName>
    <definedName name="FDD_99_11">"A34699"</definedName>
    <definedName name="FDD_99_12">"A35064"</definedName>
    <definedName name="FDD_99_13">"A35430"</definedName>
    <definedName name="FDD_99_14">"A35795"</definedName>
    <definedName name="FDD_99_2">"A31412"</definedName>
    <definedName name="FDD_99_3">"A31777"</definedName>
    <definedName name="FDD_99_4">"A32142"</definedName>
    <definedName name="FDD_99_5">"A32508"</definedName>
    <definedName name="FDD_99_6">"A32873"</definedName>
    <definedName name="FDD_99_7">"A33238"</definedName>
    <definedName name="FDD_99_8">"A33603"</definedName>
    <definedName name="FDD_99_9">"A33969"</definedName>
    <definedName name="FDFD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f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fdsf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sfd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DF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dfsd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g">{"Assumptions",#N/A,TRUE,"Assumptions";"Income",#N/A,TRUE,"Income";"Balance",#N/A,TRUE,"Balance"}</definedName>
    <definedName name="fds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fdsa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fdsfds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fe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edfd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">{#N/A,#N/A,TRUE,"Summary";"AnnualRentRoll",#N/A,TRUE,"RentRoll";#N/A,#N/A,TRUE,"ExitStratigy";#N/A,#N/A,TRUE,"OperatingAssumptions"}</definedName>
    <definedName name="FFDFDFSD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dfdfsdf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dsdsf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fff">{#N/A,#N/A,TRUE,"Summary";"AnnualRentRoll",#N/A,TRUE,"RentRoll";#N/A,#N/A,TRUE,"ExitStratigy";#N/A,#N/A,TRUE,"OperatingAssumptions"}</definedName>
    <definedName name="fffff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ootnoteDefaults">{1;TRUE;5;"Times New Roman";FALSE;FALSE;TRUE;18;8;-4.5;-4;1;2;2;1;TRUE;5}</definedName>
    <definedName name="forgetit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r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fresfg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fsssadfdf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uck">{"by departments",#N/A,TRUE,"FORECAST";"cap_headcount",#N/A,TRUE,"FORECAST";"summary",#N/A,TRUE,"FORECAST"}</definedName>
    <definedName name="fuckme">{"SUMMARY",#N/A,TRUE,"SUMMARY";"compare",#N/A,TRUE,"Vs. Bus Plan";"ratios",#N/A,TRUE,"Ratios";"REVENUE",#N/A,TRUE,"Revenue";"expenses",#N/A,TRUE,"1996 budget";"payroll",#N/A,TRUE,"Payroll"}</definedName>
    <definedName name="fundIV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gb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gdfs">{#N/A,#N/A,FALSE,"Projections";#N/A,#N/A,FALSE,"Multiples Valuation";#N/A,#N/A,FALSE,"LBO";#N/A,#N/A,FALSE,"Multiples_Sensitivity";#N/A,#N/A,FALSE,"Summary"}</definedName>
    <definedName name="gf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GG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ggg">{#N/A,#N/A,FALSE,"PropertyInfo"}</definedName>
    <definedName name="gooch">{#N/A,#N/A,FALSE,"Projections";#N/A,#N/A,FALSE,"Multiples Valuation";#N/A,#N/A,FALSE,"LBO";#N/A,#N/A,FALSE,"Multiples_Sensitivity";#N/A,#N/A,FALSE,"Summary"}</definedName>
    <definedName name="gotfff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h">{#N/A,#N/A,FALSE,"PropertyInfo"}</definedName>
    <definedName name="HEI">{"AQUIRORDCF",#N/A,FALSE,"Merger consequences";"Acquirorassns",#N/A,FALSE,"Merger consequences"}</definedName>
    <definedName name="Hello">{"rtn",#N/A,FALSE,"RTN";"tables",#N/A,FALSE,"RTN";"cf",#N/A,FALSE,"CF";"stats",#N/A,FALSE,"Stats";"prop",#N/A,FALSE,"Prop"}</definedName>
    <definedName name="hg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hh">{#N/A,#N/A,FALSE,"Summary"}</definedName>
    <definedName name="hhh">{#N/A,#N/A,FALSE,"Summary"}</definedName>
    <definedName name="hjyny">{#N/A,#N/A,FALSE,"TSUM";#N/A,#N/A,FALSE,"shares";#N/A,#N/A,FALSE,"earnout";#N/A,#N/A,FALSE,"Heaty";#N/A,#N/A,FALSE,"self-tend";#N/A,#N/A,FALSE,"self-sum"}</definedName>
    <definedName name="HMO_Rates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HMORates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hn.ConvertZero1">#REF!,#REF!,#REF!,#REF!,#REF!,#REF!,#REF!,#REF!,#REF!,#REF!</definedName>
    <definedName name="hn.ConvertZero2">#REF!,#REF!,#REF!,#REF!,#REF!,#REF!,#REF!,#REF!</definedName>
    <definedName name="hn.ConvertZero3">#REF!,#REF!,#REF!,#REF!,#REF!</definedName>
    <definedName name="hn.ConvertZero4">#REF!,#REF!,#REF!,#REF!,#REF!,#REF!,#REF!,#REF!</definedName>
    <definedName name="hn.ConvertZeroUnhide1">#REF!,#REF!,#REF!</definedName>
    <definedName name="hn.Delete015">#REF!,#REF!,#REF!,#REF!</definedName>
    <definedName name="hn.DZ_MultByFXRates">#REF!,#REF!,#REF!,#REF!</definedName>
    <definedName name="hn.ExtDb">FALSE</definedName>
    <definedName name="hn.LTM_MultByFXRates">#REF!,#REF!,#REF!,#REF!,#REF!,#REF!,#REF!</definedName>
    <definedName name="hn.ModelType">"DEAL"</definedName>
    <definedName name="hn.ModelVersion">1</definedName>
    <definedName name="hn.MultbyFXRates">#REF!,#REF!,#REF!,#REF!,#REF!,#REF!,#REF!</definedName>
    <definedName name="hn.MultByFXRates1">#REF!,#REF!,#REF!,#REF!,#REF!</definedName>
    <definedName name="hn.MultByFXRates2">#REF!,#REF!,#REF!,#REF!,#REF!</definedName>
    <definedName name="hn.MultByFXRates3">#REF!,#REF!,#REF!,#REF!,#REF!</definedName>
    <definedName name="hn.MultbyFxrates4">#REF!,#REF!,#REF!,#REF!,#REF!,#REF!,#REF!</definedName>
    <definedName name="hn.multbyfxrates5">#REF!,#REF!,#REF!,#REF!,#REF!</definedName>
    <definedName name="hn.multbyfxrates6">#REF!,#REF!,#REF!,#REF!,#REF!</definedName>
    <definedName name="hn.multbyfxrates7">#REF!,#REF!,#REF!,#REF!,#REF!</definedName>
    <definedName name="hn.MultByFXRatesBot1">#REF!,#REF!,#REF!,#REF!,#REF!,#REF!,#REF!,#REF!,#REF!,#REF!,#REF!,#REF!</definedName>
    <definedName name="hn.MultByFXRatesBot2">#REF!,#REF!,#REF!,#REF!,#REF!,#REF!,#REF!,#REF!,#REF!,#REF!,#REF!,#REF!</definedName>
    <definedName name="hn.MultByFXRatesBot3">#REF!,#REF!,#REF!,#REF!,#REF!,#REF!,#REF!,#REF!,#REF!,#REF!,#REF!,#REF!</definedName>
    <definedName name="hn.MultByFXRatesBot4">#REF!,#REF!,#REF!,#REF!,#REF!,#REF!,#REF!,#REF!,#REF!,#REF!,#REF!,#REF!,#REF!</definedName>
    <definedName name="hn.MultByFXRatesBot5">#REF!,#REF!,#REF!,#REF!,#REF!,#REF!,#REF!,#REF!,#REF!,#REF!,#REF!</definedName>
    <definedName name="hn.MultByFXRatesBot6">#REF!,#REF!,#REF!,#REF!,#REF!,#REF!,#REF!,#REF!,#REF!,#REF!,#REF!</definedName>
    <definedName name="hn.MultByFXRatesBot7">#REF!,#REF!,#REF!,#REF!,#REF!,#REF!,#REF!,#REF!,#REF!,#REF!,#REF!</definedName>
    <definedName name="hn.MultByFXRatesTop1">#REF!,#REF!,#REF!,#REF!,#REF!,#REF!,#REF!,#REF!,#REF!,#REF!,#REF!,#REF!</definedName>
    <definedName name="hn.MultByFXRatesTop2">#REF!,#REF!,#REF!,#REF!,#REF!,#REF!,#REF!,#REF!,#REF!,#REF!,#REF!,#REF!,#REF!,#REF!,#REF!</definedName>
    <definedName name="hn.MultByFXRatesTop3">#REF!,#REF!,#REF!,#REF!,#REF!,#REF!,#REF!,#REF!,#REF!,#REF!,#REF!,#REF!,#REF!,#REF!,#REF!</definedName>
    <definedName name="hn.MultByFXRatesTop4">#REF!,#REF!,#REF!,#REF!,#REF!,#REF!,#REF!,#REF!,#REF!,#REF!,#REF!,#REF!,#REF!,#REF!,#REF!</definedName>
    <definedName name="hn.MultByFXRatesTop5">#REF!,#REF!,#REF!,#REF!,#REF!,#REF!,#REF!,#REF!,#REF!,#REF!,#REF!,#REF!</definedName>
    <definedName name="hn.MultByFXRatesTop6">#REF!,#REF!,#REF!,#REF!,#REF!,#REF!,#REF!,#REF!,#REF!,#REF!,#REF!,#REF!,#REF!,#REF!,#REF!</definedName>
    <definedName name="hn.MultByFXRatesTop7">#REF!,#REF!,#REF!,#REF!,#REF!,#REF!,#REF!,#REF!,#REF!,#REF!,#REF!,#REF!,#REF!,#REF!,#REF!</definedName>
    <definedName name="hn.NoUpload">0</definedName>
    <definedName name="hnu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hod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MFE">{#N/A,#N/A,FALSE,"Assessment";#N/A,#N/A,FALSE,"Staffing";#N/A,#N/A,FALSE,"Hires";#N/A,#N/A,FALSE,"Assumptions"}</definedName>
    <definedName name="houy">{#N/A,#N/A,FALSE,"AD_Purchase";#N/A,#N/A,FALSE,"Credit";#N/A,#N/A,FALSE,"PF Acquisition";#N/A,#N/A,FALSE,"PF Offering"}</definedName>
    <definedName name="houy2">{#N/A,#N/A,FALSE,"AD_Purchase";#N/A,#N/A,FALSE,"Credit";#N/A,#N/A,FALSE,"PF Acquisition";#N/A,#N/A,FALSE,"PF Offering"}</definedName>
    <definedName name="HTML_CodePage">1252</definedName>
    <definedName name="HTML_Control">{"'Sheet1'!$A$1:$J$121"}</definedName>
    <definedName name="HTML_Control2">{"'Web'!$A$4:$Q$25"}</definedName>
    <definedName name="HTML_Description">""</definedName>
    <definedName name="HTML_Email">""</definedName>
    <definedName name="HTML_Header">"Sheet1"</definedName>
    <definedName name="HTML_LastUpdate">"10/21/99"</definedName>
    <definedName name="HTML_LineAfter">FALSE</definedName>
    <definedName name="HTML_LineBefore">FALSE</definedName>
    <definedName name="HTML_Name">"Paulette Peoples"</definedName>
    <definedName name="HTML_OBDlg2">TRUE</definedName>
    <definedName name="HTML_OBDlg4">TRUE</definedName>
    <definedName name="HTML_OS">0</definedName>
    <definedName name="HTML_PathFile">"\\Bhincres01\groups\Mkt_Dev\EXECMKTR\RIGS\RigBible\Web NA.htm"</definedName>
    <definedName name="HTML_Title">"Total North America"</definedName>
    <definedName name="HTML1_1">"[FCFF3]Sheet1!$A$1:$L$34"</definedName>
    <definedName name="HTML1_10">""</definedName>
    <definedName name="HTML1_11">1</definedName>
    <definedName name="HTML1_12">"Aswath:Adobe SiteMill™ 1.0.2:MyHomePage:FCFF3.html"</definedName>
    <definedName name="HTML1_2">1</definedName>
    <definedName name="HTML1_3">"FCFF3"</definedName>
    <definedName name="HTML1_4">"Three-Stage FCFF Model"</definedName>
    <definedName name="HTML1_5">""</definedName>
    <definedName name="HTML1_6">-4146</definedName>
    <definedName name="HTML1_7">-4146</definedName>
    <definedName name="HTML1_8">"10/22/96"</definedName>
    <definedName name="HTML1_9">"Aswath Damodaran"</definedName>
    <definedName name="HTML10_1">"[Daily.xls]Web!$A$1:$Q$26"</definedName>
    <definedName name="HTML10_10">"Howard_Haughton@prenhall.com"</definedName>
    <definedName name="HTML10_11">1</definedName>
    <definedName name="HTML10_12">"\\Consfin2\InetPub\wwwroot\DailySales.htm"</definedName>
    <definedName name="HTML10_2">1</definedName>
    <definedName name="HTML10_3">"Consumer Group Daily Sales"</definedName>
    <definedName name="HTML10_4">"for the month of March"</definedName>
    <definedName name="HTML10_5">""</definedName>
    <definedName name="HTML10_6">-4146</definedName>
    <definedName name="HTML10_7">-4146</definedName>
    <definedName name="HTML10_8">"3/24/97"</definedName>
    <definedName name="HTML10_9">"Howard Haughton"</definedName>
    <definedName name="HTML2_1">"[WebDaily.xls]Sheet1!$A$1:$V$32"</definedName>
    <definedName name="HTML2_10">"Howard_Haughton@prenhall.com"</definedName>
    <definedName name="HTML2_11">1</definedName>
    <definedName name="HTML2_12">"C:\InetPub\wwwroot\DailySales.htm"</definedName>
    <definedName name="HTML2_2">1</definedName>
    <definedName name="HTML2_3">"WebDaily"</definedName>
    <definedName name="HTML2_4">"Consumer Group Daily Sales"</definedName>
    <definedName name="HTML2_5">""</definedName>
    <definedName name="HTML2_6">1</definedName>
    <definedName name="HTML2_7">1</definedName>
    <definedName name="HTML2_8">"9/6/96"</definedName>
    <definedName name="HTML2_9">"Howard L. Haughton"</definedName>
    <definedName name="HTML3_1">"[WebDaily.xls]Sheet1!$A$1:$R$32"</definedName>
    <definedName name="HTML3_10">"Howard_Haughton@prenhall.com"</definedName>
    <definedName name="HTML3_11">1</definedName>
    <definedName name="HTML3_12">"C:\InetPub\wwwroot\DailySales.htm"</definedName>
    <definedName name="HTML3_2">1</definedName>
    <definedName name="HTML3_3">"WebDaily"</definedName>
    <definedName name="HTML3_4">"Consumer Group Daily Sales"</definedName>
    <definedName name="HTML3_5">""</definedName>
    <definedName name="HTML3_6">1</definedName>
    <definedName name="HTML3_7">1</definedName>
    <definedName name="HTML3_8">"9/6/96"</definedName>
    <definedName name="HTML3_9">"Howard L. Haughton"</definedName>
    <definedName name="HTML4_1">"[WebDaily.xls]Sheet1!$A$1:$Q$28"</definedName>
    <definedName name="HTML4_10">"Howard_Haughton@prenhall.com"</definedName>
    <definedName name="HTML4_11">1</definedName>
    <definedName name="HTML4_12">"C:\InetPub\wwwroot\DailySales.htm"</definedName>
    <definedName name="HTML4_2">1</definedName>
    <definedName name="HTML4_3">"WebDaily"</definedName>
    <definedName name="HTML4_4">"Consumer Group Daily Sales - September 1996"</definedName>
    <definedName name="HTML4_5">""</definedName>
    <definedName name="HTML4_6">1</definedName>
    <definedName name="HTML4_7">1</definedName>
    <definedName name="HTML4_8">"9/27/96"</definedName>
    <definedName name="HTML4_9">"Howard L. Haughton"</definedName>
    <definedName name="HTML5_1">"[WEBDAILY.XLS]Sheet1!$A$1:$Q$28"</definedName>
    <definedName name="HTML5_10">""</definedName>
    <definedName name="HTML5_11">1</definedName>
    <definedName name="HTML5_12">"C:\InetPub\wwwroot\DailySales.htm"</definedName>
    <definedName name="HTML5_2">1</definedName>
    <definedName name="HTML5_3">"Daily Sales - November"</definedName>
    <definedName name="HTML5_4">"Consumer Group Daily Sales"</definedName>
    <definedName name="HTML5_5">""</definedName>
    <definedName name="HTML5_6">-4146</definedName>
    <definedName name="HTML5_7">-4146</definedName>
    <definedName name="HTML5_8">"11/20/96"</definedName>
    <definedName name="HTML5_9">"Howard L. Haughton"</definedName>
    <definedName name="HTML6_1">"[DAILY.XLS]Web!$A$1:$Q$28"</definedName>
    <definedName name="HTML6_10">"Howard_Haughton@prenhall.com"</definedName>
    <definedName name="HTML6_11">1</definedName>
    <definedName name="HTML6_12">"C:\InetPub\wwwroot\DailySales.htm"</definedName>
    <definedName name="HTML6_2">1</definedName>
    <definedName name="HTML6_3">"WebDaily"</definedName>
    <definedName name="HTML6_4">"Consumer Group Daily sales"</definedName>
    <definedName name="HTML6_5">""</definedName>
    <definedName name="HTML6_6">-4146</definedName>
    <definedName name="HTML6_7">-4146</definedName>
    <definedName name="HTML6_8">"12/19/96"</definedName>
    <definedName name="HTML6_9">"Howard L. Haughton"</definedName>
    <definedName name="HTML7_1">"[DAILY.XLS]Web!$A$1:$M$28"</definedName>
    <definedName name="HTML7_10">"Howard_Haughton@prenhall.com"</definedName>
    <definedName name="HTML7_11">1</definedName>
    <definedName name="HTML7_12">"C:\InetPub\wwwroot\DailySales.htm"</definedName>
    <definedName name="HTML7_2">1</definedName>
    <definedName name="HTML7_3">"DAILY SALES - JANUARY"</definedName>
    <definedName name="HTML7_4">"CONSUMER GROUP DAILY SALES"</definedName>
    <definedName name="HTML7_5">""</definedName>
    <definedName name="HTML7_6">-4146</definedName>
    <definedName name="HTML7_7">-4146</definedName>
    <definedName name="HTML7_8">"1/6/97"</definedName>
    <definedName name="HTML7_9">"Howard L. Haughton"</definedName>
    <definedName name="HTML8_1">"[DAILY.XLS]Web!$A$1:$M$26"</definedName>
    <definedName name="HTML8_10">"Howard_Haughton@prenhall.com"</definedName>
    <definedName name="HTML8_11">1</definedName>
    <definedName name="HTML8_12">"C:\InetPub\wwwroot\DailySales.htm"</definedName>
    <definedName name="HTML8_2">1</definedName>
    <definedName name="HTML8_3">"Consumer Group"</definedName>
    <definedName name="HTML8_4">"February Daliy Sales"</definedName>
    <definedName name="HTML8_5">""</definedName>
    <definedName name="HTML8_6">-4146</definedName>
    <definedName name="HTML8_7">-4146</definedName>
    <definedName name="HTML8_8">"2/10/97"</definedName>
    <definedName name="HTML8_9">"Howard L. Haughton"</definedName>
    <definedName name="HTML9_1">"[DAILY.XLS]Web!$A$1:$Q$26"</definedName>
    <definedName name="HTML9_10">"Howard_Haughton @prenhall.com"</definedName>
    <definedName name="HTML9_11">1</definedName>
    <definedName name="HTML9_12">"\\Consfin2\InetPub\wwwroot\DailySales.htm"</definedName>
    <definedName name="HTML9_2">1</definedName>
    <definedName name="HTML9_3">"Consumer Group"</definedName>
    <definedName name="HTML9_4">"April Daily Sales"</definedName>
    <definedName name="HTML9_5">""</definedName>
    <definedName name="HTML9_6">-4146</definedName>
    <definedName name="HTML9_7">-4146</definedName>
    <definedName name="HTML9_8">"4/18/97"</definedName>
    <definedName name="HTML9_9">"Howard L. Haughton"</definedName>
    <definedName name="HTMLCount">1</definedName>
    <definedName name="hui">{#N/A,#N/A,FALSE,"Assump2";#N/A,#N/A,FALSE,"Income2";#N/A,#N/A,FALSE,"Balance2";#N/A,#N/A,FALSE,"DCF Filter";#N/A,#N/A,FALSE,"Trans Assump2";#N/A,#N/A,FALSE,"Combined Income2";#N/A,#N/A,FALSE,"Combined Balance2"}</definedName>
    <definedName name="iffx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ffy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ioo">{#N/A,#N/A,FALSE,"TSUM";#N/A,#N/A,FALSE,"shares";#N/A,#N/A,FALSE,"earnout";#N/A,#N/A,FALSE,"Heaty";#N/A,#N/A,FALSE,"self-tend";#N/A,#N/A,FALSE,"self-sum"}</definedName>
    <definedName name="ijn">{#N/A,#N/A,FALSE,"AD_Purchase";#N/A,#N/A,FALSE,"Credit";#N/A,#N/A,FALSE,"PF Acquisition";#N/A,#N/A,FALSE,"PF Offering"}</definedName>
    <definedName name="infinity2">{"CashFlow","Nil",FALSE,"Yearly Reports-Y";"Revenue_OI","Nil",FALSE,"Yearly Reports-Y";"MTVNChannelComp","Nil",FALSE,"Yearly Reports-Y"}</definedName>
    <definedName name="inflList">"00000000000000000000000000000000000000000000000000000000000000000000000000000000000000000000000000000000000000000000000000000000000000000000000000000000000000000000000000000000000000000000000000000000"</definedName>
    <definedName name="IQ_1_4_FAMILY_JUNIOR_LIENS_CHARGE_OFFS_FDIC">"c6605"</definedName>
    <definedName name="IQ_1_4_FAMILY_JUNIOR_LIENS_NET_CHARGE_OFFS_FDIC">"c6643"</definedName>
    <definedName name="IQ_1_4_FAMILY_JUNIOR_LIENS_RECOVERIES_FDIC">"c6624"</definedName>
    <definedName name="IQ_1_4_FAMILY_SENIOR_LIENS_CHARGE_OFFS_FDIC">"c6604"</definedName>
    <definedName name="IQ_1_4_FAMILY_SENIOR_LIENS_NET_CHARGE_OFFS_FDIC">"c6642"</definedName>
    <definedName name="IQ_1_4_FAMILY_SENIOR_LIENS_RECOVERIES_FDIC">"c6623"</definedName>
    <definedName name="IQ_1_4_HOME_EQUITY_NET_LOANS_FDIC">"c6441"</definedName>
    <definedName name="IQ_1_4_RESIDENTIAL_FIRST_LIENS_NET_LOANS_FDIC">"c6439"</definedName>
    <definedName name="IQ_1_4_RESIDENTIAL_JUNIOR_LIENS_NET_LOANS_FDIC">"c6440"</definedName>
    <definedName name="IQ_1_4_RESIDENTIAL_LOANS_FDIC">"c6310"</definedName>
    <definedName name="IQ_ACCOUNT_CHANGE">"c1449"</definedName>
    <definedName name="IQ_ACCOUNTS_PAY">"c1343"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"c1341"</definedName>
    <definedName name="IQ_ACCT_RECV_10YR_ANN_GROWTH">"c1924"</definedName>
    <definedName name="IQ_ACCT_RECV_1YR_ANN_GROWTH">"c1919"</definedName>
    <definedName name="IQ_ACCT_RECV_2YR_ANN_GROWTH">"c1920"</definedName>
    <definedName name="IQ_ACCT_RECV_3YR_ANN_GROWTH">"c1921"</definedName>
    <definedName name="IQ_ACCT_RECV_5YR_ANN_GROWTH">"c1922"</definedName>
    <definedName name="IQ_ACCT_RECV_7YR_ANN_GROWTH">"c1923"</definedName>
    <definedName name="IQ_ACCUM_DEP">"c1340"</definedName>
    <definedName name="IQ_ACCUMULATED_PENSION_OBLIGATION">"c2244"</definedName>
    <definedName name="IQ_ACCUMULATED_PENSION_OBLIGATION_DOMESTIC">"c2657"</definedName>
    <definedName name="IQ_ACCUMULATED_PENSION_OBLIGATION_FOREIGN">"c2665"</definedName>
    <definedName name="IQ_ACQ_COST_SUB">"c2125"</definedName>
    <definedName name="IQ_ACQ_COSTS_CAPITALIZED">"c5"</definedName>
    <definedName name="IQ_ACQUIRE_REAL_ESTATE_CF">"c6"</definedName>
    <definedName name="IQ_ACQUIRED_BY_REPORTING_BANK_FDIC">"c6535"</definedName>
    <definedName name="IQ_ACQUISITION_RE_ASSETS">"c1628"</definedName>
    <definedName name="IQ_AD">"c7"</definedName>
    <definedName name="IQ_ADD_PAID_IN">"c1344"</definedName>
    <definedName name="IQ_ADDIN">"AUTO"</definedName>
    <definedName name="IQ_ADDITIONAL_NON_INT_INC_FDIC">"c6574"</definedName>
    <definedName name="IQ_ADJ_AVG_BANK_ASSETS">"c2671"</definedName>
    <definedName name="IQ_ADJUSTABLE_RATE_LOANS_FDIC">"c6375"</definedName>
    <definedName name="IQ_ADMIN_RATIO">"c2784"</definedName>
    <definedName name="IQ_ADVERTISING">"c2246"</definedName>
    <definedName name="IQ_ADVERTISING_MARKETING">"c1566"</definedName>
    <definedName name="IQ_AE">"c8"</definedName>
    <definedName name="IQ_AE_BNK">"c9"</definedName>
    <definedName name="IQ_AE_BR">"c10"</definedName>
    <definedName name="IQ_AE_FIN">"c11"</definedName>
    <definedName name="IQ_AE_INS">"c12"</definedName>
    <definedName name="IQ_AE_REIT">"c13"</definedName>
    <definedName name="IQ_AE_UTI">"c14"</definedName>
    <definedName name="IQ_AFTER_TAX_INCOME_FDIC">"c6583"</definedName>
    <definedName name="IQ_AGRICULTURAL_PRODUCTION_CHARGE_OFFS_FDIC">"c6597"</definedName>
    <definedName name="IQ_AGRICULTURAL_PRODUCTION_CHARGE_OFFS_LESS_THAN_300M_FDIC">"c6655"</definedName>
    <definedName name="IQ_AGRICULTURAL_PRODUCTION_NET_CHARGE_OFFS_FDIC">"c6635"</definedName>
    <definedName name="IQ_AGRICULTURAL_PRODUCTION_NET_CHARGE_OFFS_LESS_THAN_300M_FDIC">"c6657"</definedName>
    <definedName name="IQ_AGRICULTURAL_PRODUCTION_RECOVERIES_FDIC">"c6616"</definedName>
    <definedName name="IQ_AGRICULTURAL_PRODUCTION_RECOVERIES_LESS_THAN_300M_FDIC">"c6656"</definedName>
    <definedName name="IQ_AH_EARNED">"c2744"</definedName>
    <definedName name="IQ_AH_POLICY_BENEFITS_EXP">"c2789"</definedName>
    <definedName name="IQ_AIR_AIRPLANES_NOT_IN_SERVICE">"c2842"</definedName>
    <definedName name="IQ_AIR_AIRPLANES_SUBLEASED">"c2841"</definedName>
    <definedName name="IQ_AIR_ASK">"c2813"</definedName>
    <definedName name="IQ_AIR_ASK_INCREASE">"c2826"</definedName>
    <definedName name="IQ_AIR_ASM">"c2812"</definedName>
    <definedName name="IQ_AIR_ASM_INCREASE">"c2825"</definedName>
    <definedName name="IQ_AIR_AVG_AGE">"c2843"</definedName>
    <definedName name="IQ_AIR_BREAK_EVEN_FACTOR">"c2822"</definedName>
    <definedName name="IQ_AIR_CAPITAL_LEASE">"c2833"</definedName>
    <definedName name="IQ_AIR_COMPLETION_FACTOR">"c2824"</definedName>
    <definedName name="IQ_AIR_ENPLANED_PSGRS">"c2809"</definedName>
    <definedName name="IQ_AIR_FUEL_CONSUMED">"c2806"</definedName>
    <definedName name="IQ_AIR_FUEL_CONSUMED_L">"c2807"</definedName>
    <definedName name="IQ_AIR_FUEL_COST">"c2803"</definedName>
    <definedName name="IQ_AIR_FUEL_COST_L">"c2804"</definedName>
    <definedName name="IQ_AIR_FUEL_EXP">"c2802"</definedName>
    <definedName name="IQ_AIR_FUEL_EXP_PERCENT">"c2805"</definedName>
    <definedName name="IQ_AIR_LEASED">"c2835"</definedName>
    <definedName name="IQ_AIR_LOAD_FACTOR">"c2823"</definedName>
    <definedName name="IQ_AIR_NEW_AIRPLANES">"c2839"</definedName>
    <definedName name="IQ_AIR_OPER_EXP_ASK">"c2821"</definedName>
    <definedName name="IQ_AIR_OPER_EXP_ASM">"c2820"</definedName>
    <definedName name="IQ_AIR_OPER_LEASE">"c2834"</definedName>
    <definedName name="IQ_AIR_OPER_REV_YIELD_ASK">"c2819"</definedName>
    <definedName name="IQ_AIR_OPER_REV_YIELD_ASM">"c2818"</definedName>
    <definedName name="IQ_AIR_OPTIONS">"c2837"</definedName>
    <definedName name="IQ_AIR_ORDERS">"c2836"</definedName>
    <definedName name="IQ_AIR_OWNED">"c2832"</definedName>
    <definedName name="IQ_AIR_PSGR_REV_YIELD_ASK">"c2817"</definedName>
    <definedName name="IQ_AIR_PSGR_REV_YIELD_ASM">"c2816"</definedName>
    <definedName name="IQ_AIR_PSGR_REV_YIELD_RPK">"c2815"</definedName>
    <definedName name="IQ_AIR_PSGR_REV_YIELD_RPM">"c2814"</definedName>
    <definedName name="IQ_AIR_PURCHASE_RIGHTS">"c2838"</definedName>
    <definedName name="IQ_AIR_RETIRED_AIRPLANES">"c2840"</definedName>
    <definedName name="IQ_AIR_REV_PSGRS_CARRIED">"c2808"</definedName>
    <definedName name="IQ_AIR_REV_SCHEDULED_SERVICE">"c2830"</definedName>
    <definedName name="IQ_AIR_RPK">"c2811"</definedName>
    <definedName name="IQ_AIR_RPM">"c2810"</definedName>
    <definedName name="IQ_AIR_STAGE_LENGTH">"c2828"</definedName>
    <definedName name="IQ_AIR_STAGE_LENGTH_KM">"c2829"</definedName>
    <definedName name="IQ_AIR_TOTAL">"c2831"</definedName>
    <definedName name="IQ_AIR_UTILIZATION">"c2827"</definedName>
    <definedName name="IQ_ALLOW_BORROW_CONST">"c15"</definedName>
    <definedName name="IQ_ALLOW_CONST">"c1342"</definedName>
    <definedName name="IQ_ALLOW_DOUBT_ACCT">"c2092"</definedName>
    <definedName name="IQ_ALLOW_EQUITY_CONST">"c16"</definedName>
    <definedName name="IQ_ALLOW_LL">"c17"</definedName>
    <definedName name="IQ_ALLOWANCE_10YR_ANN_GROWTH">"c18"</definedName>
    <definedName name="IQ_ALLOWANCE_1YR_ANN_GROWTH">"c19"</definedName>
    <definedName name="IQ_ALLOWANCE_2YR_ANN_GROWTH">"c20"</definedName>
    <definedName name="IQ_ALLOWANCE_3YR_ANN_GROWTH">"c21"</definedName>
    <definedName name="IQ_ALLOWANCE_5YR_ANN_GROWTH">"c22"</definedName>
    <definedName name="IQ_ALLOWANCE_7YR_ANN_GROWTH">"c23"</definedName>
    <definedName name="IQ_ALLOWANCE_CHARGE_OFFS">"c24"</definedName>
    <definedName name="IQ_ALLOWANCE_NON_PERF_LOANS">"c25"</definedName>
    <definedName name="IQ_ALLOWANCE_TOTAL_LOANS">"c26"</definedName>
    <definedName name="IQ_AMENDED_BALANCE_PREVIOUS_YR_FDIC">"c6499"</definedName>
    <definedName name="IQ_AMORT_EXPENSE_FDIC">"c6677"</definedName>
    <definedName name="IQ_AMORTIZATION">"c1591"</definedName>
    <definedName name="IQ_AMORTIZED_COST_FDIC">"c6426"</definedName>
    <definedName name="IQ_ANNU_DISTRIBUTION_UNIT">"c3004"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P">"c32"</definedName>
    <definedName name="IQ_AP_BNK">"c33"</definedName>
    <definedName name="IQ_AP_BR">"c34"</definedName>
    <definedName name="IQ_AP_FIN">"c35"</definedName>
    <definedName name="IQ_AP_INS">"c36"</definedName>
    <definedName name="IQ_AP_REIT">"c37"</definedName>
    <definedName name="IQ_AP_UTI">"c38"</definedName>
    <definedName name="IQ_APIC">"c39"</definedName>
    <definedName name="IQ_AR">"c40"</definedName>
    <definedName name="IQ_AR_BR">"c41"</definedName>
    <definedName name="IQ_AR_LT">"c42"</definedName>
    <definedName name="IQ_AR_REIT">"c43"</definedName>
    <definedName name="IQ_AR_TURNS">"c44"</definedName>
    <definedName name="IQ_AR_UTI">"c45"</definedName>
    <definedName name="IQ_ARPU">"c2126"</definedName>
    <definedName name="IQ_ASSET_BACKED_FDIC">"c6301"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>"c50"</definedName>
    <definedName name="IQ_ASSET_WRITEDOWN_CF">"c51"</definedName>
    <definedName name="IQ_ASSET_WRITEDOWN_CF_BNK">"c52"</definedName>
    <definedName name="IQ_ASSET_WRITEDOWN_CF_BR">"c53"</definedName>
    <definedName name="IQ_ASSET_WRITEDOWN_CF_FIN">"c54"</definedName>
    <definedName name="IQ_ASSET_WRITEDOWN_CF_INS">"c55"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IT">"c60"</definedName>
    <definedName name="IQ_ASSET_WRITEDOWN_UTI">"c61"</definedName>
    <definedName name="IQ_ASSETS_CAP_LEASE_DEPR">"c2068"</definedName>
    <definedName name="IQ_ASSETS_CAP_LEASE_GROSS">"c2069"</definedName>
    <definedName name="IQ_ASSETS_HELD_FDIC">"c6305"</definedName>
    <definedName name="IQ_ASSETS_OPER_LEASE_DEPR">"c2070"</definedName>
    <definedName name="IQ_ASSETS_OPER_LEASE_GROSS">"c2071"</definedName>
    <definedName name="IQ_ASSETS_PER_EMPLOYEE_FDIC">"c6737"</definedName>
    <definedName name="IQ_ASSETS_SOLD_1_4_FAMILY_LOANS_FDIC">"c6686"</definedName>
    <definedName name="IQ_ASSETS_SOLD_AUTO_LOANS_FDIC">"c6680"</definedName>
    <definedName name="IQ_ASSETS_SOLD_CL_LOANS_FDIC">"c6681"</definedName>
    <definedName name="IQ_ASSETS_SOLD_CREDIT_CARDS_RECEIVABLES_FDIC">"c6683"</definedName>
    <definedName name="IQ_ASSETS_SOLD_HOME_EQUITY_LINES_FDIC">"c6684"</definedName>
    <definedName name="IQ_ASSETS_SOLD_OTHER_CONSUMER_LOANS_FDIC">"c6682"</definedName>
    <definedName name="IQ_ASSETS_SOLD_OTHER_LOANS_FDIC">"c6685"</definedName>
    <definedName name="IQ_ASSUMED_AH_EARNED">"c2741"</definedName>
    <definedName name="IQ_ASSUMED_EARNED">"c2731"</definedName>
    <definedName name="IQ_ASSUMED_LIFE_EARNED">"c2736"</definedName>
    <definedName name="IQ_ASSUMED_LIFE_IN_FORCE">"c2766"</definedName>
    <definedName name="IQ_ASSUMED_PC_EARNED">"c2746"</definedName>
    <definedName name="IQ_ASSUMED_WRITTEN">"c2725"</definedName>
    <definedName name="IQ_AUDITOR_NAME">"c1539"</definedName>
    <definedName name="IQ_AUDITOR_OPINION">"c1540"</definedName>
    <definedName name="IQ_AUTO_WRITTEN">"c62"</definedName>
    <definedName name="IQ_AVAILABLE_FOR_SALE_FDIC">"c6409"</definedName>
    <definedName name="IQ_AVERAGE_ASSETS_FDIC">"c6362"</definedName>
    <definedName name="IQ_AVERAGE_ASSETS_QUART_FDIC">"c6363"</definedName>
    <definedName name="IQ_AVERAGE_EARNING_ASSETS_FDIC">"c6748"</definedName>
    <definedName name="IQ_AVERAGE_EQUITY_FDIC">"c6749"</definedName>
    <definedName name="IQ_AVERAGE_LOANS_FDIC">"c6750"</definedName>
    <definedName name="IQ_AVG_BANK_ASSETS">"c2072"</definedName>
    <definedName name="IQ_AVG_BANK_LOANS">"c2073"</definedName>
    <definedName name="IQ_AVG_BROKER_REC">"c63"</definedName>
    <definedName name="IQ_AVG_BROKER_REC_NO">"c64"</definedName>
    <definedName name="IQ_AVG_BROKER_REC_NO_REUT">"c5315"</definedName>
    <definedName name="IQ_AVG_BROKER_REC_REUT">"c3630"</definedName>
    <definedName name="IQ_AVG_DAILY_VOL">"c65"</definedName>
    <definedName name="IQ_AVG_INT_BEAR_LIAB">"c66"</definedName>
    <definedName name="IQ_AVG_INT_BEAR_LIAB_10YR_ANN_GROWTH">"c67"</definedName>
    <definedName name="IQ_AVG_INT_BEAR_LIAB_1YR_ANN_GROWTH">"c68"</definedName>
    <definedName name="IQ_AVG_INT_BEAR_LIAB_2YR_ANN_GROWTH">"c69"</definedName>
    <definedName name="IQ_AVG_INT_BEAR_LIAB_3YR_ANN_GROWTH">"c70"</definedName>
    <definedName name="IQ_AVG_INT_BEAR_LIAB_5YR_ANN_GROWTH">"c71"</definedName>
    <definedName name="IQ_AVG_INT_BEAR_LIAB_7YR_ANN_GROWTH">"c72"</definedName>
    <definedName name="IQ_AVG_INT_EARN_ASSETS">"c73"</definedName>
    <definedName name="IQ_AVG_INT_EARN_ASSETS_10YR_ANN_GROWTH">"c74"</definedName>
    <definedName name="IQ_AVG_INT_EARN_ASSETS_1YR_ANN_GROWTH">"c75"</definedName>
    <definedName name="IQ_AVG_INT_EARN_ASSETS_2YR_ANN_GROWTH">"c76"</definedName>
    <definedName name="IQ_AVG_INT_EARN_ASSETS_3YR_ANN_GROWTH">"c77"</definedName>
    <definedName name="IQ_AVG_INT_EARN_ASSETS_5YR_ANN_GROWTH">"c78"</definedName>
    <definedName name="IQ_AVG_INT_EARN_ASSETS_7YR_ANN_GROWTH">"c79"</definedName>
    <definedName name="IQ_AVG_MKTCAP">"c80"</definedName>
    <definedName name="IQ_AVG_PRICE">"c81"</definedName>
    <definedName name="IQ_AVG_PRICE_TARGET">"c82"</definedName>
    <definedName name="IQ_AVG_SHAREOUTSTANDING">"c83"</definedName>
    <definedName name="IQ_AVG_TEV">"c84"</definedName>
    <definedName name="IQ_AVG_VOLUME">"c1346"</definedName>
    <definedName name="IQ_BALANCE_GOODS_APR_FC_UNUSED_UNUSED_UNUSED">"c8353"</definedName>
    <definedName name="IQ_BALANCE_GOODS_APR_UNUSED_UNUSED_UNUSED">"c7473"</definedName>
    <definedName name="IQ_BALANCE_GOODS_FC_UNUSED_UNUSED_UNUSED">"c7693"</definedName>
    <definedName name="IQ_BALANCE_GOODS_POP_FC_UNUSED_UNUSED_UNUSED">"c7913"</definedName>
    <definedName name="IQ_BALANCE_GOODS_POP_UNUSED_UNUSED_UNUSED">"c7033"</definedName>
    <definedName name="IQ_BALANCE_GOODS_UNUSED_UNUSED_UNUSED">"c6813"</definedName>
    <definedName name="IQ_BALANCE_GOODS_YOY_FC_UNUSED_UNUSED_UNUSED">"c8133"</definedName>
    <definedName name="IQ_BALANCE_GOODS_YOY_UNUSED_UNUSED_UNUSED">"c7253"</definedName>
    <definedName name="IQ_BALANCE_SERV_APR_FC_UNUSED_UNUSED_UNUSED">"c8355"</definedName>
    <definedName name="IQ_BALANCE_SERV_APR_UNUSED_UNUSED_UNUSED">"c7475"</definedName>
    <definedName name="IQ_BALANCE_SERV_FC_UNUSED_UNUSED_UNUSED">"c7695"</definedName>
    <definedName name="IQ_BALANCE_SERV_POP_FC_UNUSED_UNUSED_UNUSED">"c7915"</definedName>
    <definedName name="IQ_BALANCE_SERV_POP_UNUSED_UNUSED_UNUSED">"c7035"</definedName>
    <definedName name="IQ_BALANCE_SERV_UNUSED_UNUSED_UNUSED">"c6815"</definedName>
    <definedName name="IQ_BALANCE_SERV_YOY_FC_UNUSED_UNUSED_UNUSED">"c8135"</definedName>
    <definedName name="IQ_BALANCE_SERV_YOY_UNUSED_UNUSED_UNUSED">"c7255"</definedName>
    <definedName name="IQ_BALANCE_TRADE_APR_FC_UNUSED_UNUSED_UNUSED">"c8357"</definedName>
    <definedName name="IQ_BALANCE_TRADE_APR_UNUSED_UNUSED_UNUSED">"c7477"</definedName>
    <definedName name="IQ_BALANCE_TRADE_FC_UNUSED_UNUSED_UNUSED">"c7697"</definedName>
    <definedName name="IQ_BALANCE_TRADE_POP_FC_UNUSED_UNUSED_UNUSED">"c7917"</definedName>
    <definedName name="IQ_BALANCE_TRADE_POP_UNUSED_UNUSED_UNUSED">"c7037"</definedName>
    <definedName name="IQ_BALANCE_TRADE_UNUSED_UNUSED_UNUSED">"c6817"</definedName>
    <definedName name="IQ_BALANCE_TRADE_YOY_FC_UNUSED_UNUSED_UNUSED">"c8137"</definedName>
    <definedName name="IQ_BALANCE_TRADE_YOY_UNUSED_UNUSED_UNUSED">"c7257"</definedName>
    <definedName name="IQ_BALANCES_DUE_DEPOSITORY_INSTITUTIONS_FDIC">"c6389"</definedName>
    <definedName name="IQ_BALANCES_DUE_FOREIGN_FDIC">"c6391"</definedName>
    <definedName name="IQ_BALANCES_DUE_FRB_FDIC">"c6393"</definedName>
    <definedName name="IQ_BANK_BENEFICIARY_FDIC">"c6505"</definedName>
    <definedName name="IQ_BANK_DEBT">"c2544"</definedName>
    <definedName name="IQ_BANK_DEBT_PCT">"c2545"</definedName>
    <definedName name="IQ_BANK_GUARANTOR_FDIC">"c6506"</definedName>
    <definedName name="IQ_BANK_PREMISES_FDIC">"c6329"</definedName>
    <definedName name="IQ_BANK_SECURITIZATION_1_4_FAMILY_LOANS_FDIC">"c6721"</definedName>
    <definedName name="IQ_BANK_SECURITIZATION_AUTO_LOANS_FDIC">"c6715"</definedName>
    <definedName name="IQ_BANK_SECURITIZATION_CL_LOANS_FDIC">"c6716"</definedName>
    <definedName name="IQ_BANK_SECURITIZATION_CREDIT_CARDS_RECEIVABLES_FDIC">"c6718"</definedName>
    <definedName name="IQ_BANK_SECURITIZATION_HOME_EQUITY_LINES_FDIC">"c6719"</definedName>
    <definedName name="IQ_BANK_SECURITIZATION_OTHER_CONSUMER_LOANS_FDIC">"c6717"</definedName>
    <definedName name="IQ_BANK_SECURITIZATION_OTHER_LOANS_FDIC">"c6720"</definedName>
    <definedName name="IQ_BANKS_FOREIGN_COUNTRIES_TOTAL_DEPOSITS_FDIC">"c6475"</definedName>
    <definedName name="IQ_BASIC_EPS_EXCL">"c85"</definedName>
    <definedName name="IQ_BASIC_EPS_INCL">"c86"</definedName>
    <definedName name="IQ_BASIC_NORMAL_EPS">"c1592"</definedName>
    <definedName name="IQ_BASIC_WEIGHT">"c87"</definedName>
    <definedName name="IQ_BETA">"c2133"</definedName>
    <definedName name="IQ_BETA_1YR">"c1966"</definedName>
    <definedName name="IQ_BETA_1YR_RSQ">"c2132"</definedName>
    <definedName name="IQ_BETA_2YR">"c1965"</definedName>
    <definedName name="IQ_BETA_2YR_RSQ">"c2131"</definedName>
    <definedName name="IQ_BETA_5YR">"c88"</definedName>
    <definedName name="IQ_BETA_5YR_RSQ">"c2130"</definedName>
    <definedName name="IQ_BIG_INT_BEAR_CD">"c89"</definedName>
    <definedName name="IQ_BOARD_MEMBER">"c96"</definedName>
    <definedName name="IQ_BOARD_MEMBER_BACKGROUND">"c2101"</definedName>
    <definedName name="IQ_BOARD_MEMBER_FAX">"c2100"</definedName>
    <definedName name="IQ_BOARD_MEMBER_OFFICE">"c2098"</definedName>
    <definedName name="IQ_BOARD_MEMBER_PHONE">"c2099"</definedName>
    <definedName name="IQ_BOARD_MEMBER_TITLE">"c97"</definedName>
    <definedName name="IQ_BONDRATING_FITCH">"IQ_BONDRATING_FITCH"</definedName>
    <definedName name="IQ_BONDRATING_FITCH_DATE">"c241"</definedName>
    <definedName name="IQ_BONDRATING_SP">"IQ_BONDRATING_SP"</definedName>
    <definedName name="IQ_BONDRATING_SP_DATE">"c242"</definedName>
    <definedName name="IQ_BOOK_VALUE">"IQ_BOOK_VALUE"</definedName>
    <definedName name="IQ_BROK_COMISSION">"c98"</definedName>
    <definedName name="IQ_BROKERED_DEPOSITS_FDIC">"c6486"</definedName>
    <definedName name="IQ_BUDGET_BALANCE_APR_FC_UNUSED_UNUSED_UNUSED">"c8359"</definedName>
    <definedName name="IQ_BUDGET_BALANCE_APR_UNUSED_UNUSED_UNUSED">"c7479"</definedName>
    <definedName name="IQ_BUDGET_BALANCE_FC_UNUSED_UNUSED_UNUSED">"c7699"</definedName>
    <definedName name="IQ_BUDGET_BALANCE_POP_FC_UNUSED_UNUSED_UNUSED">"c7919"</definedName>
    <definedName name="IQ_BUDGET_BALANCE_POP_UNUSED_UNUSED_UNUSED">"c7039"</definedName>
    <definedName name="IQ_BUDGET_BALANCE_UNUSED_UNUSED_UNUSED">"c6819"</definedName>
    <definedName name="IQ_BUDGET_BALANCE_YOY_FC_UNUSED_UNUSED_UNUSED">"c8139"</definedName>
    <definedName name="IQ_BUDGET_BALANCE_YOY_UNUSED_UNUSED_UNUSED">"c7259"</definedName>
    <definedName name="IQ_BUDGET_RECEIPTS_APR_FC_UNUSED_UNUSED_UNUSED">"c8361"</definedName>
    <definedName name="IQ_BUDGET_RECEIPTS_APR_UNUSED_UNUSED_UNUSED">"c7481"</definedName>
    <definedName name="IQ_BUDGET_RECEIPTS_FC_UNUSED_UNUSED_UNUSED">"c7701"</definedName>
    <definedName name="IQ_BUDGET_RECEIPTS_POP_FC_UNUSED_UNUSED_UNUSED">"c7921"</definedName>
    <definedName name="IQ_BUDGET_RECEIPTS_POP_UNUSED_UNUSED_UNUSED">"c7041"</definedName>
    <definedName name="IQ_BUDGET_RECEIPTS_UNUSED_UNUSED_UNUSED">"c6821"</definedName>
    <definedName name="IQ_BUDGET_RECEIPTS_YOY_FC_UNUSED_UNUSED_UNUSED">"c8141"</definedName>
    <definedName name="IQ_BUDGET_RECEIPTS_YOY_UNUSED_UNUSED_UNUSED">"c7261"</definedName>
    <definedName name="IQ_BUILDINGS">"c99"</definedName>
    <definedName name="IQ_BUS_SEG_PRIMARY_GIC">"c15584"</definedName>
    <definedName name="IQ_BUS_SEG_PRIMARY_GIC_ABS">"c15572"</definedName>
    <definedName name="IQ_BUS_SEG_SECONDARY_GIC">"c15585"</definedName>
    <definedName name="IQ_BUS_SEG_SECONDARY_GIC_ABS">"c15573"</definedName>
    <definedName name="IQ_BUSINESS_DESCRIPTION">"c322"</definedName>
    <definedName name="IQ_BV_ACT_OR_EST_REUT">"c5471"</definedName>
    <definedName name="IQ_BV_ACT_OR_EST_THOM">"c5308"</definedName>
    <definedName name="IQ_BV_EST_REUT">"c5403"</definedName>
    <definedName name="IQ_BV_EST_THOM">"c5147"</definedName>
    <definedName name="IQ_BV_HIGH_EST_REUT">"c5405"</definedName>
    <definedName name="IQ_BV_HIGH_EST_THOM">"c5149"</definedName>
    <definedName name="IQ_BV_LOW_EST_REUT">"c5406"</definedName>
    <definedName name="IQ_BV_LOW_EST_THOM">"c5150"</definedName>
    <definedName name="IQ_BV_MEDIAN_EST_REUT">"c5404"</definedName>
    <definedName name="IQ_BV_MEDIAN_EST_THOM">"c5148"</definedName>
    <definedName name="IQ_BV_NUM_EST_REUT">"c5407"</definedName>
    <definedName name="IQ_BV_NUM_EST_THOM">"c5151"</definedName>
    <definedName name="IQ_BV_OVER_SHARES">"c1349"</definedName>
    <definedName name="IQ_BV_SHARE">"c100"</definedName>
    <definedName name="IQ_BV_SHARE_ACT_OR_EST_REUT">"c5477"</definedName>
    <definedName name="IQ_BV_SHARE_EST_REUT">"c5439"</definedName>
    <definedName name="IQ_BV_SHARE_HIGH_EST_REUT">"c5441"</definedName>
    <definedName name="IQ_BV_SHARE_LOW_EST_REUT">"c5442"</definedName>
    <definedName name="IQ_BV_SHARE_MEDIAN_EST_REUT">"c5440"</definedName>
    <definedName name="IQ_BV_SHARE_NUM_EST_REUT">"c5443"</definedName>
    <definedName name="IQ_BV_SHARE_STDDEV_EST_REUT">"c5444"</definedName>
    <definedName name="IQ_BV_STDDEV_EST_REUT">"c5408"</definedName>
    <definedName name="IQ_BV_STDDEV_EST_THOM">"c5152"</definedName>
    <definedName name="IQ_CABLE_ARPU">"c2869"</definedName>
    <definedName name="IQ_CABLE_ARPU_ANALOG">"c2864"</definedName>
    <definedName name="IQ_CABLE_ARPU_BASIC">"c2866"</definedName>
    <definedName name="IQ_CABLE_ARPU_BBAND">"c2867"</definedName>
    <definedName name="IQ_CABLE_ARPU_DIG">"c2865"</definedName>
    <definedName name="IQ_CABLE_ARPU_PHONE">"c2868"</definedName>
    <definedName name="IQ_CABLE_BASIC_PENETRATION">"c2850"</definedName>
    <definedName name="IQ_CABLE_BBAND_PENETRATION">"c2852"</definedName>
    <definedName name="IQ_CABLE_BBAND_PENETRATION_THP">"c2851"</definedName>
    <definedName name="IQ_CABLE_CHURN">"c2874"</definedName>
    <definedName name="IQ_CABLE_CHURN_BASIC">"c2871"</definedName>
    <definedName name="IQ_CABLE_CHURN_BBAND">"c2872"</definedName>
    <definedName name="IQ_CABLE_CHURN_DIG">"c2870"</definedName>
    <definedName name="IQ_CABLE_CHURN_PHONE">"c2873"</definedName>
    <definedName name="IQ_CABLE_HOMES_PER_MILE">"c2849"</definedName>
    <definedName name="IQ_CABLE_HP_BBAND">"c2845"</definedName>
    <definedName name="IQ_CABLE_HP_DIG">"c2844"</definedName>
    <definedName name="IQ_CABLE_HP_PHONE">"c2846"</definedName>
    <definedName name="IQ_CABLE_MILES_PASSED">"c2848"</definedName>
    <definedName name="IQ_CABLE_OTHER_REV">"c2882"</definedName>
    <definedName name="IQ_CABLE_PHONE_PENETRATION">"c2853"</definedName>
    <definedName name="IQ_CABLE_PROGRAMMING_COSTS">"c2884"</definedName>
    <definedName name="IQ_CABLE_REV_ADVERT">"c2880"</definedName>
    <definedName name="IQ_CABLE_REV_ANALOG">"c2875"</definedName>
    <definedName name="IQ_CABLE_REV_BASIC">"c2877"</definedName>
    <definedName name="IQ_CABLE_REV_BBAND">"c2878"</definedName>
    <definedName name="IQ_CABLE_REV_COMMERCIAL">"c2881"</definedName>
    <definedName name="IQ_CABLE_REV_DIG">"c2876"</definedName>
    <definedName name="IQ_CABLE_REV_PHONE">"c2879"</definedName>
    <definedName name="IQ_CABLE_RGU">"c2863"</definedName>
    <definedName name="IQ_CABLE_SUBS_ANALOG">"c2855"</definedName>
    <definedName name="IQ_CABLE_SUBS_BASIC">"c2857"</definedName>
    <definedName name="IQ_CABLE_SUBS_BBAND">"c2858"</definedName>
    <definedName name="IQ_CABLE_SUBS_BUNDLED">"c2861"</definedName>
    <definedName name="IQ_CABLE_SUBS_DIG">"c2856"</definedName>
    <definedName name="IQ_CABLE_SUBS_NON_VIDEO">"c2860"</definedName>
    <definedName name="IQ_CABLE_SUBS_PHONE">"c2859"</definedName>
    <definedName name="IQ_CABLE_SUBS_TOTAL">"c2862"</definedName>
    <definedName name="IQ_CABLE_THP">"c2847"</definedName>
    <definedName name="IQ_CABLE_TOTAL_PENETRATION">"c2854"</definedName>
    <definedName name="IQ_CABLE_TOTAL_REV">"c2883"</definedName>
    <definedName name="IQ_CAL_Q">"c101"</definedName>
    <definedName name="IQ_CAL_Q_EST_REUT">"c6800"</definedName>
    <definedName name="IQ_CAL_Y">"c102"</definedName>
    <definedName name="IQ_CAL_Y_EST_REUT">"c6801"</definedName>
    <definedName name="IQ_CAPEX">"c103"</definedName>
    <definedName name="IQ_CAPEX_10YR_ANN_GROWTH">"c104"</definedName>
    <definedName name="IQ_CAPEX_1YR_ANN_GROWTH">"c105"</definedName>
    <definedName name="IQ_CAPEX_2YR_ANN_GROWTH">"c106"</definedName>
    <definedName name="IQ_CAPEX_3YR_ANN_GROWTH">"c107"</definedName>
    <definedName name="IQ_CAPEX_5YR_ANN_GROWTH">"c108"</definedName>
    <definedName name="IQ_CAPEX_7YR_ANN_GROWTH">"c109"</definedName>
    <definedName name="IQ_CAPEX_ACT_OR_EST_REUT">"c5474"</definedName>
    <definedName name="IQ_CAPEX_BNK">"c110"</definedName>
    <definedName name="IQ_CAPEX_BR">"c111"</definedName>
    <definedName name="IQ_CAPEX_EST_REUT">"c3969"</definedName>
    <definedName name="IQ_CAPEX_FIN">"c112"</definedName>
    <definedName name="IQ_CAPEX_HIGH_EST_REUT">"c3971"</definedName>
    <definedName name="IQ_CAPEX_INS">"c113"</definedName>
    <definedName name="IQ_CAPEX_LOW_EST_REUT">"c3972"</definedName>
    <definedName name="IQ_CAPEX_MEDIAN_EST_REUT">"c3970"</definedName>
    <definedName name="IQ_CAPEX_NUM_EST_REUT">"c3973"</definedName>
    <definedName name="IQ_CAPEX_STDDEV_EST_REUT">"c3974"</definedName>
    <definedName name="IQ_CAPEX_UTI">"c114"</definedName>
    <definedName name="IQ_CAPITAL_LEASE">"c1350"</definedName>
    <definedName name="IQ_CAPITAL_LEASES">"c115"</definedName>
    <definedName name="IQ_CAPITAL_LEASES_TOTAL">"c3031"</definedName>
    <definedName name="IQ_CAPITAL_LEASES_TOTAL_PCT">"c2506"</definedName>
    <definedName name="IQ_CAPITALIZED_INTEREST">"c2076"</definedName>
    <definedName name="IQ_CASH">"c1458"</definedName>
    <definedName name="IQ_CASH_ACQUIRE_CF">"c1630"</definedName>
    <definedName name="IQ_CASH_CONVERSION">"c117"</definedName>
    <definedName name="IQ_CASH_DIVIDENDS_NET_INCOME_FDIC">"c6738"</definedName>
    <definedName name="IQ_CASH_DUE_BANKS">"c1351"</definedName>
    <definedName name="IQ_CASH_EQUIV">"c118"</definedName>
    <definedName name="IQ_CASH_FINAN">"c119"</definedName>
    <definedName name="IQ_CASH_IN_PROCESS_FDIC">"c6386"</definedName>
    <definedName name="IQ_CASH_INTEREST">"c120"</definedName>
    <definedName name="IQ_CASH_INVEST">"c121"</definedName>
    <definedName name="IQ_CASH_OPER">"c122"</definedName>
    <definedName name="IQ_CASH_SEGREG">"c123"</definedName>
    <definedName name="IQ_CASH_SHARE">"c1911"</definedName>
    <definedName name="IQ_CASH_ST">"c1355"</definedName>
    <definedName name="IQ_CASH_ST_INVEST">"c124"</definedName>
    <definedName name="IQ_CASH_TAXES">"c125"</definedName>
    <definedName name="IQ_CCE_FDIC">"c6296"</definedName>
    <definedName name="IQ_CEDED_AH_EARNED">"c2743"</definedName>
    <definedName name="IQ_CEDED_CLAIM_EXP_INCUR">"c2756"</definedName>
    <definedName name="IQ_CEDED_CLAIM_EXP_PAID">"c2759"</definedName>
    <definedName name="IQ_CEDED_CLAIM_EXP_RES">"c2753"</definedName>
    <definedName name="IQ_CEDED_EARNED">"c2733"</definedName>
    <definedName name="IQ_CEDED_LIFE_EARNED">"c2738"</definedName>
    <definedName name="IQ_CEDED_LIFE_IN_FORCE">"c2768"</definedName>
    <definedName name="IQ_CEDED_PC_EARNED">"c2748"</definedName>
    <definedName name="IQ_CEDED_WRITTEN">"c2727"</definedName>
    <definedName name="IQ_CFO_10YR_ANN_GROWTH">"c126"</definedName>
    <definedName name="IQ_CFO_1YR_ANN_GROWTH">"c127"</definedName>
    <definedName name="IQ_CFO_2YR_ANN_GROWTH">"c128"</definedName>
    <definedName name="IQ_CFO_3YR_ANN_GROWTH">"c129"</definedName>
    <definedName name="IQ_CFO_5YR_ANN_GROWTH">"c130"</definedName>
    <definedName name="IQ_CFO_7YR_ANN_GROWTH">"c131"</definedName>
    <definedName name="IQ_CFO_CURRENT_LIAB">"c132"</definedName>
    <definedName name="IQ_CFPS_ACT_OR_EST">"c2217"</definedName>
    <definedName name="IQ_CFPS_ACT_OR_EST_REUT">"c5463"</definedName>
    <definedName name="IQ_CFPS_EST">"c1667"</definedName>
    <definedName name="IQ_CFPS_EST_REUT">"c3844"</definedName>
    <definedName name="IQ_CFPS_HIGH_EST">"c1669"</definedName>
    <definedName name="IQ_CFPS_HIGH_EST_REUT">"c3846"</definedName>
    <definedName name="IQ_CFPS_LOW_EST">"c1670"</definedName>
    <definedName name="IQ_CFPS_LOW_EST_REUT">"c3847"</definedName>
    <definedName name="IQ_CFPS_MEDIAN_EST">"c1668"</definedName>
    <definedName name="IQ_CFPS_MEDIAN_EST_REUT">"c3845"</definedName>
    <definedName name="IQ_CFPS_NUM_EST">"c1671"</definedName>
    <definedName name="IQ_CFPS_NUM_EST_REUT">"c3848"</definedName>
    <definedName name="IQ_CFPS_STDDEV_EST">"c1672"</definedName>
    <definedName name="IQ_CFPS_STDDEV_EST_REUT">"c3849"</definedName>
    <definedName name="IQ_CH">110000</definedName>
    <definedName name="IQ_CHANGE_AP">"c133"</definedName>
    <definedName name="IQ_CHANGE_AP_BNK">"c134"</definedName>
    <definedName name="IQ_CHANGE_AP_BR">"c135"</definedName>
    <definedName name="IQ_CHANGE_AP_FIN">"c136"</definedName>
    <definedName name="IQ_CHANGE_AP_INS">"c137"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>"c142"</definedName>
    <definedName name="IQ_CHANGE_AR_FIN">"c143"</definedName>
    <definedName name="IQ_CHANGE_AR_INS">"c144"</definedName>
    <definedName name="IQ_CHANGE_AR_REIT">"c145"</definedName>
    <definedName name="IQ_CHANGE_AR_UTI">"c146"</definedName>
    <definedName name="IQ_CHANGE_DEF_TAX">"c147"</definedName>
    <definedName name="IQ_CHANGE_DEPOSIT_ACCT">"c148"</definedName>
    <definedName name="IQ_CHANGE_INC_TAX">"c149"</definedName>
    <definedName name="IQ_CHANGE_INS_RES_LIAB">"c150"</definedName>
    <definedName name="IQ_CHANGE_INVENT_REAL_APR_FC_UNUSED_UNUSED_UNUSED">"c8500"</definedName>
    <definedName name="IQ_CHANGE_INVENT_REAL_APR_UNUSED_UNUSED_UNUSED">"c7620"</definedName>
    <definedName name="IQ_CHANGE_INVENT_REAL_FC_UNUSED_UNUSED_UNUSED">"c7840"</definedName>
    <definedName name="IQ_CHANGE_INVENT_REAL_POP_FC_UNUSED_UNUSED_UNUSED">"c8060"</definedName>
    <definedName name="IQ_CHANGE_INVENT_REAL_POP_UNUSED_UNUSED_UNUSED">"c7180"</definedName>
    <definedName name="IQ_CHANGE_INVENT_REAL_UNUSED_UNUSED_UNUSED">"c6960"</definedName>
    <definedName name="IQ_CHANGE_INVENT_REAL_YOY_FC_UNUSED_UNUSED_UNUSED">"c8280"</definedName>
    <definedName name="IQ_CHANGE_INVENT_REAL_YOY_UNUSED_UNUSED_UNUSED">"c7400"</definedName>
    <definedName name="IQ_CHANGE_INVENTORY">"c151"</definedName>
    <definedName name="IQ_CHANGE_NET_WORKING_CAPITAL">"c1909"</definedName>
    <definedName name="IQ_CHANGE_OTHER_NET_OPER_ASSETS_BR">"c3595"</definedName>
    <definedName name="IQ_CHANGE_OTHER_WORK_CAP">"c152"</definedName>
    <definedName name="IQ_CHANGE_OTHER_WORK_CAP_BNK">"c153"</definedName>
    <definedName name="IQ_CHANGE_OTHER_WORK_CAP_BR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TRADING_ASSETS">"c159"</definedName>
    <definedName name="IQ_CHANGE_UNEARN_REV">"c160"</definedName>
    <definedName name="IQ_CHANGE_WORK_CAP">"c161"</definedName>
    <definedName name="IQ_CHANGES_WORK_CAP">"c1357"</definedName>
    <definedName name="IQ_CHARGE_OFFS_1_4_FAMILY_FDIC">"c6756"</definedName>
    <definedName name="IQ_CHARGE_OFFS_1_4_FAMILY_LOANS_FDIC">"c6714"</definedName>
    <definedName name="IQ_CHARGE_OFFS_AUTO_LOANS_FDIC">"c6708"</definedName>
    <definedName name="IQ_CHARGE_OFFS_CL_LOANS_FDIC">"c6709"</definedName>
    <definedName name="IQ_CHARGE_OFFS_COMMERCIAL_INDUSTRIAL_FDIC">"c6759"</definedName>
    <definedName name="IQ_CHARGE_OFFS_COMMERCIAL_RE_FDIC">"c6754"</definedName>
    <definedName name="IQ_CHARGE_OFFS_COMMERCIAL_RE_NOT_SECURED_FDIC">"c6764"</definedName>
    <definedName name="IQ_CHARGE_OFFS_CONSTRUCTION_DEVELOPMENT_FDIC">"c6753"</definedName>
    <definedName name="IQ_CHARGE_OFFS_CREDIT_CARDS_FDIC">"c6761"</definedName>
    <definedName name="IQ_CHARGE_OFFS_CREDIT_CARDS_RECEIVABLES_FDIC">"c6711"</definedName>
    <definedName name="IQ_CHARGE_OFFS_GROSS">"c162"</definedName>
    <definedName name="IQ_CHARGE_OFFS_HOME_EQUITY_FDIC">"c6757"</definedName>
    <definedName name="IQ_CHARGE_OFFS_HOME_EQUITY_LINES_FDIC">"c6712"</definedName>
    <definedName name="IQ_CHARGE_OFFS_INDIVIDUALS_FDIC">"c6760"</definedName>
    <definedName name="IQ_CHARGE_OFFS_MULTI_FAMILY_FDIC">"c6755"</definedName>
    <definedName name="IQ_CHARGE_OFFS_NET">"c163"</definedName>
    <definedName name="IQ_CHARGE_OFFS_OTHER_1_4_FAMILY_FDIC">"c6758"</definedName>
    <definedName name="IQ_CHARGE_OFFS_OTHER_CONSUMER_LOANS_FDIC">"c6710"</definedName>
    <definedName name="IQ_CHARGE_OFFS_OTHER_INDIVIDUAL_FDIC">"c6762"</definedName>
    <definedName name="IQ_CHARGE_OFFS_OTHER_LOANS_FDIC">"c6763"</definedName>
    <definedName name="IQ_CHARGE_OFFS_OTHER_LOANS_OTHER_FDIC">"c6713"</definedName>
    <definedName name="IQ_CHARGE_OFFS_RE_LOANS_FDIC">"c6752"</definedName>
    <definedName name="IQ_CHARGE_OFFS_RECOVERED">"c164"</definedName>
    <definedName name="IQ_CHARGE_OFFS_TOTAL_AVG_LOANS">"c165"</definedName>
    <definedName name="IQ_CITY">"c166"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_OBLIGATION_IMMEDIATE">"c2253"</definedName>
    <definedName name="IQ_CLASSA_OPTIONS_BEG_OS">"c2679"</definedName>
    <definedName name="IQ_CLASSA_OPTIONS_CANCELLED">"c2682"</definedName>
    <definedName name="IQ_CLASSA_OPTIONS_END_OS">"c2683"</definedName>
    <definedName name="IQ_CLASSA_OPTIONS_EXERCISED">"c2681"</definedName>
    <definedName name="IQ_CLASSA_OPTIONS_GRANTED">"c2680"</definedName>
    <definedName name="IQ_CLASSA_OPTIONS_STRIKE_PRICE_OS">"c2684"</definedName>
    <definedName name="IQ_CLASSA_OUTSTANDING_BS_DATE">"c1971"</definedName>
    <definedName name="IQ_CLASSA_OUTSTANDING_FILING_DATE">"c1973"</definedName>
    <definedName name="IQ_CLASSA_STRIKE_PRICE_GRANTED">"c2685"</definedName>
    <definedName name="IQ_CLASSA_WARRANTS_BEG_OS">"c2705"</definedName>
    <definedName name="IQ_CLASSA_WARRANTS_CANCELLED">"c2708"</definedName>
    <definedName name="IQ_CLASSA_WARRANTS_END_OS">"c2709"</definedName>
    <definedName name="IQ_CLASSA_WARRANTS_EXERCISED">"c2707"</definedName>
    <definedName name="IQ_CLASSA_WARRANTS_ISSUED">"c2706"</definedName>
    <definedName name="IQ_CLASSA_WARRANTS_STRIKE_PRICE_ISSUED">"c2711"</definedName>
    <definedName name="IQ_CLASSA_WARRANTS_STRIKE_PRICE_OS">"c2710"</definedName>
    <definedName name="IQ_CLASSB_OUTSTANDING_BS_DATE">"c1972"</definedName>
    <definedName name="IQ_CLASSB_OUTSTANDING_FILING_DATE">"c1974"</definedName>
    <definedName name="IQ_CLOSEPRICE">"c174"</definedName>
    <definedName name="IQ_CLOSEPRICE_ADJ">"c2115"</definedName>
    <definedName name="IQ_CMO_FDIC">"c6406"</definedName>
    <definedName name="IQ_COGS">"c175"</definedName>
    <definedName name="IQ_COLLECTION_DOMESTIC_FDIC">"c6387"</definedName>
    <definedName name="IQ_COMBINED_RATIO">"c176"</definedName>
    <definedName name="IQ_COMMERCIAL_BANKS_DEPOSITS_FOREIGN_FDIC">"c6480"</definedName>
    <definedName name="IQ_COMMERCIAL_BANKS_LOANS_FDIC">"c6434"</definedName>
    <definedName name="IQ_COMMERCIAL_BANKS_NONTRANSACTION_ACCOUNTS_FDIC">"c6548"</definedName>
    <definedName name="IQ_COMMERCIAL_BANKS_TOTAL_DEPOSITS_FDIC">"c6474"</definedName>
    <definedName name="IQ_COMMERCIAL_BANKS_TOTAL_LOANS_FOREIGN_FDIC">"c6444"</definedName>
    <definedName name="IQ_COMMERCIAL_BANKS_TRANSACTION_ACCOUNTS_FDIC">"c6540"</definedName>
    <definedName name="IQ_COMMERCIAL_DOM">"c177"</definedName>
    <definedName name="IQ_COMMERCIAL_FIRE_WRITTEN">"c178"</definedName>
    <definedName name="IQ_COMMERCIAL_INDUSTRIAL_CHARGE_OFFS_FDIC">"c6598"</definedName>
    <definedName name="IQ_COMMERCIAL_INDUSTRIAL_LOANS_NET_FDIC">"c6317"</definedName>
    <definedName name="IQ_COMMERCIAL_INDUSTRIAL_NET_CHARGE_OFFS_FDIC">"c6636"</definedName>
    <definedName name="IQ_COMMERCIAL_INDUSTRIAL_RECOVERIES_FDIC">"c6617"</definedName>
    <definedName name="IQ_COMMERCIAL_INDUSTRIAL_TOTAL_LOANS_FOREIGN_FDIC">"c6451"</definedName>
    <definedName name="IQ_COMMERCIAL_MORT">"c179"</definedName>
    <definedName name="IQ_COMMERCIAL_RE_CONSTRUCTION_LAND_DEV_FDIC">"c6526"</definedName>
    <definedName name="IQ_COMMERCIAL_RE_LOANS_FDIC">"c6312"</definedName>
    <definedName name="IQ_COMMISS_FEES">"c180"</definedName>
    <definedName name="IQ_COMMISSION_DEF">"c181"</definedName>
    <definedName name="IQ_COMMITMENTS_MATURITY_EXCEEDING_1YR_FDIC">"c6531"</definedName>
    <definedName name="IQ_COMMITMENTS_NOT_SECURED_RE_FDIC">"c6528"</definedName>
    <definedName name="IQ_COMMITMENTS_SECURED_RE_FDIC">"c6527"</definedName>
    <definedName name="IQ_COMMODITY_EXPOSURES_FDIC">"c6665"</definedName>
    <definedName name="IQ_COMMON">"c182"</definedName>
    <definedName name="IQ_COMMON_APIC">"c183"</definedName>
    <definedName name="IQ_COMMON_APIC_BNK">"c184"</definedName>
    <definedName name="IQ_COMMON_APIC_BR">"c185"</definedName>
    <definedName name="IQ_COMMON_APIC_FIN">"c186"</definedName>
    <definedName name="IQ_COMMON_APIC_INS">"c187"</definedName>
    <definedName name="IQ_COMMON_APIC_REIT">"c188"</definedName>
    <definedName name="IQ_COMMON_APIC_UTI">"c189"</definedName>
    <definedName name="IQ_COMMON_DIV">"c3006"</definedName>
    <definedName name="IQ_COMMON_DIV_CF">"c190"</definedName>
    <definedName name="IQ_COMMON_EQUITY_10YR_ANN_GROWTH">"c191"</definedName>
    <definedName name="IQ_COMMON_EQUITY_1YR_ANN_GROWTH">"c192"</definedName>
    <definedName name="IQ_COMMON_EQUITY_2YR_ANN_GROWTH">"c193"</definedName>
    <definedName name="IQ_COMMON_EQUITY_3YR_ANN_GROWTH">"c194"</definedName>
    <definedName name="IQ_COMMON_EQUITY_5YR_ANN_GROWTH">"c195"</definedName>
    <definedName name="IQ_COMMON_EQUITY_7YR_ANN_GROWTH">"c196"</definedName>
    <definedName name="IQ_COMMON_FDIC">"c6350"</definedName>
    <definedName name="IQ_COMMON_ISSUED">"c197"</definedName>
    <definedName name="IQ_COMMON_ISSUED_BNK">"c198"</definedName>
    <definedName name="IQ_COMMON_ISSUED_BR">"c199"</definedName>
    <definedName name="IQ_COMMON_ISSUED_FIN">"c200"</definedName>
    <definedName name="IQ_COMMON_ISSUED_INS">"c201"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>"c208"</definedName>
    <definedName name="IQ_COMMON_REP_FIN">"c209"</definedName>
    <definedName name="IQ_COMMON_REP_INS">"c210"</definedName>
    <definedName name="IQ_COMMON_REP_REIT">"c211"</definedName>
    <definedName name="IQ_COMMON_REP_UTI">"c212"</definedName>
    <definedName name="IQ_COMMON_STOCK">"c1358"</definedName>
    <definedName name="IQ_COMP_BENEFITS">"c213"</definedName>
    <definedName name="IQ_COMPANY_ADDRESS">"c214"</definedName>
    <definedName name="IQ_COMPANY_NAME">"c215"</definedName>
    <definedName name="IQ_COMPANY_NAME_LONG">"c1585"</definedName>
    <definedName name="IQ_COMPANY_PHONE">"c216"</definedName>
    <definedName name="IQ_COMPANY_STATUS">"c2097"</definedName>
    <definedName name="IQ_COMPANY_STREET1">"c217"</definedName>
    <definedName name="IQ_COMPANY_STREET2">"c218"</definedName>
    <definedName name="IQ_COMPANY_TICKER">"c219"</definedName>
    <definedName name="IQ_COMPANY_TYPE">"c2096"</definedName>
    <definedName name="IQ_COMPANY_WEBSITE">"c220"</definedName>
    <definedName name="IQ_COMPANY_ZIP">"c221"</definedName>
    <definedName name="IQ_CONSTRUCTION_DEV_LOANS_FDIC">"c6313"</definedName>
    <definedName name="IQ_CONSTRUCTION_LAND_DEVELOPMENT_CHARGE_OFFS_FDIC">"c6594"</definedName>
    <definedName name="IQ_CONSTRUCTION_LAND_DEVELOPMENT_NET_CHARGE_OFFS_FDIC">"c6632"</definedName>
    <definedName name="IQ_CONSTRUCTION_LAND_DEVELOPMENT_RECOVERIES_FDIC">"c6613"</definedName>
    <definedName name="IQ_CONSTRUCTION_LOANS">"c222"</definedName>
    <definedName name="IQ_CONSUMER_LOANS">"c223"</definedName>
    <definedName name="IQ_CONTRACTS_OTHER_COMMODITIES_EQUITIES._FDIC">"c6522"</definedName>
    <definedName name="IQ_CONTRACTS_OTHER_COMMODITIES_EQUITIES_FDIC">"c6522"</definedName>
    <definedName name="IQ_CONV_RATE">"c2192"</definedName>
    <definedName name="IQ_CONVERT">"c2536"</definedName>
    <definedName name="IQ_CONVERT_DEBT">"c224"</definedName>
    <definedName name="IQ_CONVERT_PCT">"c2537"</definedName>
    <definedName name="IQ_CONVEYED_TO_OTHERS_FDIC">"c6534"</definedName>
    <definedName name="IQ_CORE_CAPITAL_RATIO_FDIC">"c6745"</definedName>
    <definedName name="IQ_CORP_GOODS_PRICE_INDEX_APR_FC_UNUSED_UNUSED_UNUSED">"c8381"</definedName>
    <definedName name="IQ_CORP_GOODS_PRICE_INDEX_APR_UNUSED_UNUSED_UNUSED">"c7501"</definedName>
    <definedName name="IQ_CORP_GOODS_PRICE_INDEX_FC_UNUSED_UNUSED_UNUSED">"c7721"</definedName>
    <definedName name="IQ_CORP_GOODS_PRICE_INDEX_POP_FC_UNUSED_UNUSED_UNUSED">"c7941"</definedName>
    <definedName name="IQ_CORP_GOODS_PRICE_INDEX_POP_UNUSED_UNUSED_UNUSED">"c7061"</definedName>
    <definedName name="IQ_CORP_GOODS_PRICE_INDEX_UNUSED_UNUSED_UNUSED">"c6841"</definedName>
    <definedName name="IQ_CORP_GOODS_PRICE_INDEX_YOY_FC_UNUSED_UNUSED_UNUSED">"c8161"</definedName>
    <definedName name="IQ_CORP_GOODS_PRICE_INDEX_YOY_UNUSED_UNUSED_UNUSED">"c7281"</definedName>
    <definedName name="IQ_COST_BORROWING">"c2936"</definedName>
    <definedName name="IQ_COST_BORROWINGS">"c225"</definedName>
    <definedName name="IQ_COST_OF_FUNDING_ASSETS_FDIC">"c6725"</definedName>
    <definedName name="IQ_COST_REV">"c226"</definedName>
    <definedName name="IQ_COST_REVENUE">"c1359"</definedName>
    <definedName name="IQ_COST_SAVINGS">"c227"</definedName>
    <definedName name="IQ_COST_SERVICE">"c228"</definedName>
    <definedName name="IQ_COST_TOTAL_BORROWINGS">"c229"</definedName>
    <definedName name="IQ_COUNTRY_NAME">"c230"</definedName>
    <definedName name="IQ_COVERED_POPS">"c2124"</definedName>
    <definedName name="IQ_CP">"c2495"</definedName>
    <definedName name="IQ_CP_PCT">"c2496"</definedName>
    <definedName name="IQ_CQ">5000</definedName>
    <definedName name="IQ_CREDIT_CARD_CHARGE_OFFS_FDIC">"c6652"</definedName>
    <definedName name="IQ_CREDIT_CARD_FEE">"c231"</definedName>
    <definedName name="IQ_CREDIT_CARD_FEE_BNK">"c231"</definedName>
    <definedName name="IQ_CREDIT_CARD_FEE_FIN">"c1583"</definedName>
    <definedName name="IQ_CREDIT_CARD_LINES_FDIC">"c6525"</definedName>
    <definedName name="IQ_CREDIT_CARD_LOANS_FDIC">"c6319"</definedName>
    <definedName name="IQ_CREDIT_CARD_NET_CHARGE_OFFS_FDIC">"c6654"</definedName>
    <definedName name="IQ_CREDIT_CARD_RECOVERIES_FDIC">"c6653"</definedName>
    <definedName name="IQ_CREDIT_LOSS_CF">"c232"</definedName>
    <definedName name="IQ_CREDIT_LOSS_PROVISION_NET_CHARGE_OFFS_FDIC">"c6734"</definedName>
    <definedName name="IQ_CUMULATIVE_SPLIT_FACTOR">"c2094"</definedName>
    <definedName name="IQ_CURR_ACCT_BALANCE_APR_FC_UNUSED_UNUSED_UNUSED">"c8387"</definedName>
    <definedName name="IQ_CURR_ACCT_BALANCE_APR_UNUSED_UNUSED_UNUSED">"c7507"</definedName>
    <definedName name="IQ_CURR_ACCT_BALANCE_FC_UNUSED_UNUSED_UNUSED">"c7727"</definedName>
    <definedName name="IQ_CURR_ACCT_BALANCE_POP_FC_UNUSED_UNUSED_UNUSED">"c7947"</definedName>
    <definedName name="IQ_CURR_ACCT_BALANCE_POP_UNUSED_UNUSED_UNUSED">"c7067"</definedName>
    <definedName name="IQ_CURR_ACCT_BALANCE_UNUSED_UNUSED_UNUSED">"c6847"</definedName>
    <definedName name="IQ_CURR_ACCT_BALANCE_YOY_FC_UNUSED_UNUSED_UNUSED">"c8167"</definedName>
    <definedName name="IQ_CURR_ACCT_BALANCE_YOY_UNUSED_UNUSED_UNUSED">"c7287"</definedName>
    <definedName name="IQ_CURR_DOMESTIC_TAXES">"c2074"</definedName>
    <definedName name="IQ_CURR_FOREIGN_TAXES">"c2075"</definedName>
    <definedName name="IQ_CURRENCY_COIN_DOMESTIC_FDIC">"c6388"</definedName>
    <definedName name="IQ_CURRENCY_FACTOR_BS">"c233"</definedName>
    <definedName name="IQ_CURRENCY_FACTOR_IS">"c234"</definedName>
    <definedName name="IQ_CURRENCY_GAIN">"c235"</definedName>
    <definedName name="IQ_CURRENCY_GAIN_BR">"c236"</definedName>
    <definedName name="IQ_CURRENCY_GAIN_FIN">"c237"</definedName>
    <definedName name="IQ_CURRENCY_GAIN_INS">"c238"</definedName>
    <definedName name="IQ_CURRENCY_GAIN_REIT">"c239"</definedName>
    <definedName name="IQ_CURRENCY_GAIN_UTI">"c240"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>"c1567"</definedName>
    <definedName name="IQ_CURRENT_PORT_DEBT_FIN">"c1568"</definedName>
    <definedName name="IQ_CURRENT_PORT_DEBT_INS">"c1569"</definedName>
    <definedName name="IQ_CURRENT_PORT_DEBT_REIT">"c1570"</definedName>
    <definedName name="IQ_CURRENT_PORT_DEBT_UTI">"c1571"</definedName>
    <definedName name="IQ_CURRENT_PORT_LEASES">"c245"</definedName>
    <definedName name="IQ_CURRENT_PORT_PCT">"c2541"</definedName>
    <definedName name="IQ_CURRENT_RATIO">"c246"</definedName>
    <definedName name="IQ_CY">10000</definedName>
    <definedName name="IQ_DA">"c247"</definedName>
    <definedName name="IQ_DA_BR">"c248"</definedName>
    <definedName name="IQ_DA_CF">"c249"</definedName>
    <definedName name="IQ_DA_CF_BNK">"c250"</definedName>
    <definedName name="IQ_DA_CF_BR">"c251"</definedName>
    <definedName name="IQ_DA_CF_FIN">"c252"</definedName>
    <definedName name="IQ_DA_CF_INS">"c253"</definedName>
    <definedName name="IQ_DA_CF_REIT">"c254"</definedName>
    <definedName name="IQ_DA_CF_UTI">"c255"</definedName>
    <definedName name="IQ_DA_FIN">"c256"</definedName>
    <definedName name="IQ_DA_INS">"c257"</definedName>
    <definedName name="IQ_DA_REIT">"c258"</definedName>
    <definedName name="IQ_DA_SUPPL">"c259"</definedName>
    <definedName name="IQ_DA_SUPPL_BR">"c260"</definedName>
    <definedName name="IQ_DA_SUPPL_CF">"c261"</definedName>
    <definedName name="IQ_DA_SUPPL_CF_BNK">"c262"</definedName>
    <definedName name="IQ_DA_SUPPL_CF_BR">"c263"</definedName>
    <definedName name="IQ_DA_SUPPL_CF_FIN">"c264"</definedName>
    <definedName name="IQ_DA_SUPPL_CF_INS">"c265"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IT">"c270"</definedName>
    <definedName name="IQ_DA_SUPPL_UTI">"c271"</definedName>
    <definedName name="IQ_DA_UTI">"c272"</definedName>
    <definedName name="IQ_DAILY">500000</definedName>
    <definedName name="IQ_DAYS_COVER_SHORT">"c1578"</definedName>
    <definedName name="IQ_DAYS_INVENTORY_OUT">"c273"</definedName>
    <definedName name="IQ_DAYS_PAY_OUTST">"c1362"</definedName>
    <definedName name="IQ_DAYS_PAYABLE_OUT">"c274"</definedName>
    <definedName name="IQ_DAYS_SALES_OUT">"c275"</definedName>
    <definedName name="IQ_DAYS_SALES_OUTST">"c1363"</definedName>
    <definedName name="IQ_DEBT_ADJ">"c2515"</definedName>
    <definedName name="IQ_DEBT_ADJ_PCT">"c2516"</definedName>
    <definedName name="IQ_DEBT_EQUIV_NET_PBO">"c2938"</definedName>
    <definedName name="IQ_DEBT_EQUIV_OPER_LEASE">"c2935"</definedName>
    <definedName name="IQ_DEF_ACQ_CST">"c1364"</definedName>
    <definedName name="IQ_DEF_AMORT">"c276"</definedName>
    <definedName name="IQ_DEF_AMORT_BNK">"c277"</definedName>
    <definedName name="IQ_DEF_AMORT_BR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INTEREST_COST_DOMESTIC">"c2652"</definedName>
    <definedName name="IQ_DEF_BENEFIT_INTEREST_COST_FOREIGN">"c2660"</definedName>
    <definedName name="IQ_DEF_BENEFIT_OTHER_COST">"c284"</definedName>
    <definedName name="IQ_DEF_BENEFIT_OTHER_COST_DOMESTIC">"c2654"</definedName>
    <definedName name="IQ_DEF_BENEFIT_OTHER_COST_FOREIGN">"c2662"</definedName>
    <definedName name="IQ_DEF_BENEFIT_ROA">"c285"</definedName>
    <definedName name="IQ_DEF_BENEFIT_ROA_DOMESTIC">"c2653"</definedName>
    <definedName name="IQ_DEF_BENEFIT_ROA_FOREIGN">"c2661"</definedName>
    <definedName name="IQ_DEF_BENEFIT_SERVICE_COST">"c286"</definedName>
    <definedName name="IQ_DEF_BENEFIT_SERVICE_COST_DOMESTIC">"c2651"</definedName>
    <definedName name="IQ_DEF_BENEFIT_SERVICE_COST_FOREIGN">"c2659"</definedName>
    <definedName name="IQ_DEF_BENEFIT_TOTAL_COST">"c287"</definedName>
    <definedName name="IQ_DEF_BENEFIT_TOTAL_COST_DOMESTIC">"c2655"</definedName>
    <definedName name="IQ_DEF_BENEFIT_TOTAL_COST_FOREIGN">"c2663"</definedName>
    <definedName name="IQ_DEF_CHARGES_BR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>"c294"</definedName>
    <definedName name="IQ_DEF_CHARGES_LT_FIN">"c295"</definedName>
    <definedName name="IQ_DEF_CHARGES_LT_INS">"c296"</definedName>
    <definedName name="IQ_DEF_CHARGES_LT_REIT">"c297"</definedName>
    <definedName name="IQ_DEF_CHARGES_LT_UTI">"c298"</definedName>
    <definedName name="IQ_DEF_CHARGES_REIT">"c299"</definedName>
    <definedName name="IQ_DEF_CONTRIBUTION_TOTAL_COST">"c300"</definedName>
    <definedName name="IQ_DEF_INC_TAX">"c1365"</definedName>
    <definedName name="IQ_DEF_POLICY_ACQ_COSTS">"c301"</definedName>
    <definedName name="IQ_DEF_POLICY_ACQ_COSTS_CF">"c302"</definedName>
    <definedName name="IQ_DEF_POLICY_AMORT">"c303"</definedName>
    <definedName name="IQ_DEF_TAX_ASSET_LT_BR">"c304"</definedName>
    <definedName name="IQ_DEF_TAX_ASSET_LT_FIN">"c305"</definedName>
    <definedName name="IQ_DEF_TAX_ASSET_LT_INS">"c306"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>"c315"</definedName>
    <definedName name="IQ_DEF_TAX_LIAB_LT_FIN">"c316"</definedName>
    <definedName name="IQ_DEF_TAX_LIAB_LT_INS">"c317"</definedName>
    <definedName name="IQ_DEF_TAX_LIAB_LT_REIT">"c318"</definedName>
    <definedName name="IQ_DEF_TAX_LIAB_LT_UTI">"c319"</definedName>
    <definedName name="IQ_DEFERRED_DOMESTIC_TAXES">"c2077"</definedName>
    <definedName name="IQ_DEFERRED_FOREIGN_TAXES">"c2078"</definedName>
    <definedName name="IQ_DEFERRED_INC_TAX">"c1447"</definedName>
    <definedName name="IQ_DEFERRED_TAXES">"c1356"</definedName>
    <definedName name="IQ_DEMAND_DEP">"c320"</definedName>
    <definedName name="IQ_DEMAND_DEPOSITS_FDIC">"c6489"</definedName>
    <definedName name="IQ_DEPOSIT_ACCOUNTS_LESS_THAN_100K_FDIC">"c6494"</definedName>
    <definedName name="IQ_DEPOSIT_ACCOUNTS_MORE_THAN_100K_FDIC">"c6492"</definedName>
    <definedName name="IQ_DEPOSITORY_INSTITUTIONS_CHARGE_OFFS_FDIC">"c6596"</definedName>
    <definedName name="IQ_DEPOSITORY_INSTITUTIONS_NET_CHARGE_OFFS_FDIC">"c6634"</definedName>
    <definedName name="IQ_DEPOSITORY_INSTITUTIONS_RECOVERIES_FDIC">"c6615"</definedName>
    <definedName name="IQ_DEPOSITS_FIN">"c321"</definedName>
    <definedName name="IQ_DEPOSITS_HELD_DOMESTIC_FDIC">"c6340"</definedName>
    <definedName name="IQ_DEPOSITS_HELD_FOREIGN_FDIC">"c6341"</definedName>
    <definedName name="IQ_DEPOSITS_LESS_THAN_100K_AFTER_THREE_YEARS_FDIC">"c6464"</definedName>
    <definedName name="IQ_DEPOSITS_LESS_THAN_100K_THREE_MONTHS_FDIC">"c6461"</definedName>
    <definedName name="IQ_DEPOSITS_LESS_THAN_100K_THREE_YEARS_FDIC">"c6463"</definedName>
    <definedName name="IQ_DEPOSITS_LESS_THAN_100K_TWELVE_MONTHS_FDIC">"c6462"</definedName>
    <definedName name="IQ_DEPOSITS_MORE_THAN_100K_AFTER_THREE_YEARS_FDIC">"c6469"</definedName>
    <definedName name="IQ_DEPOSITS_MORE_THAN_100K_THREE_MONTHS_FDIC">"c6466"</definedName>
    <definedName name="IQ_DEPOSITS_MORE_THAN_100K_THREE_YEARS_FDIC">"c6468"</definedName>
    <definedName name="IQ_DEPOSITS_MORE_THAN_100K_TWELVE_MONTHS_FDIC">"c6467"</definedName>
    <definedName name="IQ_DEPRE_AMORT">"c1360"</definedName>
    <definedName name="IQ_DEPRE_AMORT_SUPPL">"c1593"</definedName>
    <definedName name="IQ_DEPRE_DEPLE">"c1361"</definedName>
    <definedName name="IQ_DEPRE_SUPP">"c1443"</definedName>
    <definedName name="IQ_DERIVATIVES_FDIC">"c6523"</definedName>
    <definedName name="IQ_DESCRIPTION_LONG">"c1520"</definedName>
    <definedName name="IQ_DEVELOP_LAND">"c323"</definedName>
    <definedName name="IQ_DIFF_LASTCLOSE_TARGET_PRICE">"c1854"</definedName>
    <definedName name="IQ_DIFF_LASTCLOSE_TARGET_PRICE_REUT">"c5436"</definedName>
    <definedName name="IQ_DILUT_ADJUST">"c1621"</definedName>
    <definedName name="IQ_DILUT_EPS_EXCL">"c324"</definedName>
    <definedName name="IQ_DILUT_EPS_INCL">"c325"</definedName>
    <definedName name="IQ_DILUT_EPS_NORM">"c1903"</definedName>
    <definedName name="IQ_DILUT_NI">"c2079"</definedName>
    <definedName name="IQ_DILUT_NORMAL_EPS">"c1594"</definedName>
    <definedName name="IQ_DILUT_WEIGHT">"c326"</definedName>
    <definedName name="IQ_DIRECT_AH_EARNED">"c2740"</definedName>
    <definedName name="IQ_DIRECT_EARNED">"c2730"</definedName>
    <definedName name="IQ_DIRECT_LIFE_EARNED">"c2735"</definedName>
    <definedName name="IQ_DIRECT_LIFE_IN_FORCE">"c2765"</definedName>
    <definedName name="IQ_DIRECT_PC_EARNED">"c2745"</definedName>
    <definedName name="IQ_DIRECT_WRITTEN">"c2724"</definedName>
    <definedName name="IQ_DISCONT_OPER">"c1367"</definedName>
    <definedName name="IQ_DISCOUNT_RATE_PENSION_DOMESTIC">"c327"</definedName>
    <definedName name="IQ_DISCOUNT_RATE_PENSION_FOREIGN">"c328"</definedName>
    <definedName name="IQ_DISTR_EXCESS_EARN">"c329"</definedName>
    <definedName name="IQ_DISTRIBUTABLE_CASH">"c3002"</definedName>
    <definedName name="IQ_DISTRIBUTABLE_CASH_EST_CIQ">"c4802"</definedName>
    <definedName name="IQ_DISTRIBUTABLE_CASH_HIGH_EST_CIQ">"c4805"</definedName>
    <definedName name="IQ_DISTRIBUTABLE_CASH_LOW_EST_CIQ">"c4806"</definedName>
    <definedName name="IQ_DISTRIBUTABLE_CASH_MEDIAN_EST_CIQ">"c4807"</definedName>
    <definedName name="IQ_DISTRIBUTABLE_CASH_NUM_EST_CIQ">"c4808"</definedName>
    <definedName name="IQ_DISTRIBUTABLE_CASH_PAYOUT">"c3005"</definedName>
    <definedName name="IQ_DISTRIBUTABLE_CASH_SHARE">"c3003"</definedName>
    <definedName name="IQ_DISTRIBUTABLE_CASH_SHARE_EST_CIQ">"c4810"</definedName>
    <definedName name="IQ_DISTRIBUTABLE_CASH_SHARE_HIGH_EST_CIQ">"c4813"</definedName>
    <definedName name="IQ_DISTRIBUTABLE_CASH_SHARE_LOW_EST_CIQ">"c4814"</definedName>
    <definedName name="IQ_DISTRIBUTABLE_CASH_SHARE_MEDIAN_EST_CIQ">"c4815"</definedName>
    <definedName name="IQ_DISTRIBUTABLE_CASH_SHARE_NUM_EST_CIQ">"c4816"</definedName>
    <definedName name="IQ_DISTRIBUTABLE_CASH_SHARE_STDDEV_EST_CIQ">"c4817"</definedName>
    <definedName name="IQ_DISTRIBUTABLE_CASH_STDDEV_EST_CIQ">"c4819"</definedName>
    <definedName name="IQ_DIV_AMOUNT">"c3041"</definedName>
    <definedName name="IQ_DIV_PAYMENT_DATE">"c2106"</definedName>
    <definedName name="IQ_DIV_RECORD_DATE">"c2105"</definedName>
    <definedName name="IQ_DIV_SHARE">"c330"</definedName>
    <definedName name="IQ_DIVEST_CF">"c331"</definedName>
    <definedName name="IQ_DIVID_SHARE">"c1366"</definedName>
    <definedName name="IQ_DIVIDEND_YIELD">"c332"</definedName>
    <definedName name="IQ_DIVIDENDS_DECLARED_COMMON_FDIC">"c6659"</definedName>
    <definedName name="IQ_DIVIDENDS_DECLARED_PREFERRED_FDIC">"c6658"</definedName>
    <definedName name="IQ_DIVIDENDS_FDIC">"c6660"</definedName>
    <definedName name="IQ_DNTM">700000</definedName>
    <definedName name="IQ_DO">"c333"</definedName>
    <definedName name="IQ_DO_ASSETS_CURRENT">"c334"</definedName>
    <definedName name="IQ_DO_ASSETS_LT">"c335"</definedName>
    <definedName name="IQ_DO_CF">"c336"</definedName>
    <definedName name="IQ_DPAC">"c2801"</definedName>
    <definedName name="IQ_DPAC_ACC">"c2799"</definedName>
    <definedName name="IQ_DPAC_AMORT">"c2795"</definedName>
    <definedName name="IQ_DPAC_BEG">"c2791"</definedName>
    <definedName name="IQ_DPAC_COMMISSIONS">"c2792"</definedName>
    <definedName name="IQ_DPAC_END">"c2801"</definedName>
    <definedName name="IQ_DPAC_FX">"c2798"</definedName>
    <definedName name="IQ_DPAC_OTHER_ADJ">"c2800"</definedName>
    <definedName name="IQ_DPAC_OTHERS">"c2793"</definedName>
    <definedName name="IQ_DPAC_PERIOD">"c2794"</definedName>
    <definedName name="IQ_DPAC_REAL_GAIN">"c2797"</definedName>
    <definedName name="IQ_DPAC_UNREAL_GAIN">"c2796"</definedName>
    <definedName name="IQ_DPS_10YR_ANN_GROWTH">"c337"</definedName>
    <definedName name="IQ_DPS_1YR_ANN_GROWTH">"c338"</definedName>
    <definedName name="IQ_DPS_2YR_ANN_GROWTH">"c339"</definedName>
    <definedName name="IQ_DPS_3YR_ANN_GROWTH">"c340"</definedName>
    <definedName name="IQ_DPS_5YR_ANN_GROWTH">"c341"</definedName>
    <definedName name="IQ_DPS_7YR_ANN_GROWTH">"c342"</definedName>
    <definedName name="IQ_DPS_ACT_OR_EST">"c2218"</definedName>
    <definedName name="IQ_DPS_ACT_OR_EST_REUT">"c5464"</definedName>
    <definedName name="IQ_DPS_EST">"c1674"</definedName>
    <definedName name="IQ_DPS_EST_BOTTOM_UP_REUT">"c5501"</definedName>
    <definedName name="IQ_DPS_EST_REUT">"c3851"</definedName>
    <definedName name="IQ_DPS_HIGH_EST">"c1676"</definedName>
    <definedName name="IQ_DPS_HIGH_EST_REUT">"c3853"</definedName>
    <definedName name="IQ_DPS_LOW_EST">"c1677"</definedName>
    <definedName name="IQ_DPS_LOW_EST_REUT">"c3854"</definedName>
    <definedName name="IQ_DPS_MEDIAN_EST">"c1675"</definedName>
    <definedName name="IQ_DPS_MEDIAN_EST_REUT">"c3852"</definedName>
    <definedName name="IQ_DPS_NUM_EST">"c1678"</definedName>
    <definedName name="IQ_DPS_NUM_EST_REUT">"c3855"</definedName>
    <definedName name="IQ_DPS_STDDEV_EST">"c1679"</definedName>
    <definedName name="IQ_DPS_STDDEV_EST_REUT">"c3856"</definedName>
    <definedName name="IQ_EARNING_ASSET_YIELD">"c343"</definedName>
    <definedName name="IQ_EARNING_ASSETS_FDIC">"c6360"</definedName>
    <definedName name="IQ_EARNING_ASSETS_YIELD_FDIC">"c6724"</definedName>
    <definedName name="IQ_EARNING_CO">"c344"</definedName>
    <definedName name="IQ_EARNING_CO_10YR_ANN_GROWTH">"c345"</definedName>
    <definedName name="IQ_EARNING_CO_1YR_ANN_GROWTH">"c346"</definedName>
    <definedName name="IQ_EARNING_CO_2YR_ANN_GROWTH">"c347"</definedName>
    <definedName name="IQ_EARNING_CO_3YR_ANN_GROWTH">"c348"</definedName>
    <definedName name="IQ_EARNING_CO_5YR_ANN_GROWTH">"c349"</definedName>
    <definedName name="IQ_EARNING_CO_7YR_ANN_GROWTH">"c350"</definedName>
    <definedName name="IQ_EARNING_CO_MARGIN">"c351"</definedName>
    <definedName name="IQ_EARNINGS_ANNOUNCE_DATE">"c1649"</definedName>
    <definedName name="IQ_EARNINGS_ANNOUNCE_DATE_REUT">"c5314"</definedName>
    <definedName name="IQ_EARNINGS_COVERAGE_NET_CHARGE_OFFS_FDIC">"c6735"</definedName>
    <definedName name="IQ_EBIT">"c352"</definedName>
    <definedName name="IQ_EBIT_10K">"IQ_EBIT_10K"</definedName>
    <definedName name="IQ_EBIT_10Q">"IQ_EBIT_10Q"</definedName>
    <definedName name="IQ_EBIT_10Q1">"IQ_EBIT_10Q1"</definedName>
    <definedName name="IQ_EBIT_10YR_ANN_GROWTH">"c353"</definedName>
    <definedName name="IQ_EBIT_1YR_ANN_GROWTH">"c354"</definedName>
    <definedName name="IQ_EBIT_2YR_ANN_GROWTH">"c355"</definedName>
    <definedName name="IQ_EBIT_3YR_ANN_GROWTH">"c356"</definedName>
    <definedName name="IQ_EBIT_5YR_ANN_GROWTH">"c357"</definedName>
    <definedName name="IQ_EBIT_7YR_ANN_GROWTH">"c358"</definedName>
    <definedName name="IQ_EBIT_ACT_OR_EST">"c2219"</definedName>
    <definedName name="IQ_EBIT_ACT_OR_EST_REUT">"c5465"</definedName>
    <definedName name="IQ_EBIT_EST">"c1681"</definedName>
    <definedName name="IQ_EBIT_EST_REUT">"c5333"</definedName>
    <definedName name="IQ_EBIT_GROWTH_1">"IQ_EBIT_GROWTH_1"</definedName>
    <definedName name="IQ_EBIT_GROWTH_2">"IQ_EBIT_GROWTH_2"</definedName>
    <definedName name="IQ_EBIT_HIGH_EST">"c1683"</definedName>
    <definedName name="IQ_EBIT_HIGH_EST_REUT">"c5335"</definedName>
    <definedName name="IQ_EBIT_INT">"c360"</definedName>
    <definedName name="IQ_EBIT_LOW_EST">"c1684"</definedName>
    <definedName name="IQ_EBIT_LOW_EST_REUT">"c5336"</definedName>
    <definedName name="IQ_EBIT_MARGIN">"c359"</definedName>
    <definedName name="IQ_EBIT_MEDIAN_EST">"c1682"</definedName>
    <definedName name="IQ_EBIT_MEDIAN_EST_REUT">"c5334"</definedName>
    <definedName name="IQ_EBIT_NUM_EST">"c1685"</definedName>
    <definedName name="IQ_EBIT_NUM_EST_REUT">"c5337"</definedName>
    <definedName name="IQ_EBIT_OVER_IE">"c1369"</definedName>
    <definedName name="IQ_EBIT_STDDEV_EST">"c1686"</definedName>
    <definedName name="IQ_EBIT_STDDEV_EST_REUT">"c5338"</definedName>
    <definedName name="IQ_EBITA">"c1910"</definedName>
    <definedName name="IQ_EBITA_10YR_ANN_GROWTH">"c1954"</definedName>
    <definedName name="IQ_EBITA_1YR_ANN_GROWTH">"c1949"</definedName>
    <definedName name="IQ_EBITA_2YR_ANN_GROWTH">"c1950"</definedName>
    <definedName name="IQ_EBITA_3YR_ANN_GROWTH">"c1951"</definedName>
    <definedName name="IQ_EBITA_5YR_ANN_GROWTH">"c1952"</definedName>
    <definedName name="IQ_EBITA_7YR_ANN_GROWTH">"c1953"</definedName>
    <definedName name="IQ_EBITA_MARGIN">"c1963"</definedName>
    <definedName name="IQ_EBITDA">"c361"</definedName>
    <definedName name="IQ_EBITDA_10K">"IQ_EBITDA_10K"</definedName>
    <definedName name="IQ_EBITDA_10Q">"IQ_EBITDA_10Q"</definedName>
    <definedName name="IQ_EBITDA_10Q1">"IQ_EBITDA_10Q1"</definedName>
    <definedName name="IQ_EBITDA_10YR_ANN_GROWTH">"c362"</definedName>
    <definedName name="IQ_EBITDA_1YR_ANN_GROWTH">"c363"</definedName>
    <definedName name="IQ_EBITDA_2YR_ANN_GROWTH">"c364"</definedName>
    <definedName name="IQ_EBITDA_3YR_ANN_GROWTH">"c365"</definedName>
    <definedName name="IQ_EBITDA_5YR_ANN_GROWTH">"c366"</definedName>
    <definedName name="IQ_EBITDA_7YR_ANN_GROWTH">"c367"</definedName>
    <definedName name="IQ_EBITDA_ACT_OR_EST">"c2215"</definedName>
    <definedName name="IQ_EBITDA_ACT_OR_EST_REUT">"c5462"</definedName>
    <definedName name="IQ_EBITDA_CAPEX_INT">"c368"</definedName>
    <definedName name="IQ_EBITDA_CAPEX_OVER_TOTAL_IE">"c1370"</definedName>
    <definedName name="IQ_EBITDA_EST">"c369"</definedName>
    <definedName name="IQ_EBITDA_EST_REUT">"c3640"</definedName>
    <definedName name="IQ_EBITDA_GROWTH_1">"IQ_EBITDA_GROWTH_1"</definedName>
    <definedName name="IQ_EBITDA_GROWTH_2">"IQ_EBITDA_GROWTH_2"</definedName>
    <definedName name="IQ_EBITDA_HIGH_EST">"c370"</definedName>
    <definedName name="IQ_EBITDA_HIGH_EST_REUT">"c3642"</definedName>
    <definedName name="IQ_EBITDA_INT">"c373"</definedName>
    <definedName name="IQ_EBITDA_LOW_EST">"c371"</definedName>
    <definedName name="IQ_EBITDA_LOW_EST_REUT">"c3643"</definedName>
    <definedName name="IQ_EBITDA_MARGIN">"c372"</definedName>
    <definedName name="IQ_EBITDA_MEDIAN_EST">"c1663"</definedName>
    <definedName name="IQ_EBITDA_MEDIAN_EST_REUT">"c3641"</definedName>
    <definedName name="IQ_EBITDA_NO_EST">"c267"</definedName>
    <definedName name="IQ_EBITDA_NUM_EST">"c374"</definedName>
    <definedName name="IQ_EBITDA_NUM_EST_REUT">"c3644"</definedName>
    <definedName name="IQ_EBITDA_OVER_TOTAL_IE">"c1371"</definedName>
    <definedName name="IQ_EBITDA_STDDEV_EST">"c375"</definedName>
    <definedName name="IQ_EBITDA_STDDEV_EST_REUT">"c3645"</definedName>
    <definedName name="IQ_EBITDAR">"c2989"</definedName>
    <definedName name="IQ_EBT">"c376"</definedName>
    <definedName name="IQ_EBT_BNK">"c377"</definedName>
    <definedName name="IQ_EBT_BR">"c378"</definedName>
    <definedName name="IQ_EBT_EXCL">"c379"</definedName>
    <definedName name="IQ_EBT_EXCL_BNK">"c380"</definedName>
    <definedName name="IQ_EBT_EXCL_BR">"c381"</definedName>
    <definedName name="IQ_EBT_EXCL_FIN">"c382"</definedName>
    <definedName name="IQ_EBT_EXCL_INS">"c383"</definedName>
    <definedName name="IQ_EBT_EXCL_MARGIN">"c1462"</definedName>
    <definedName name="IQ_EBT_EXCL_REIT">"c384"</definedName>
    <definedName name="IQ_EBT_EXCL_UTI">"c385"</definedName>
    <definedName name="IQ_EBT_FIN">"c386"</definedName>
    <definedName name="IQ_EBT_INCL_MARGIN">"c387"</definedName>
    <definedName name="IQ_EBT_INS">"c388"</definedName>
    <definedName name="IQ_EBT_REIT">"c389"</definedName>
    <definedName name="IQ_EBT_UTI">"c390"</definedName>
    <definedName name="IQ_ECO_METRIC_6810">"c6810"</definedName>
    <definedName name="IQ_ECO_METRIC_6811">"c6811"</definedName>
    <definedName name="IQ_ECO_METRIC_6812">"c6812"</definedName>
    <definedName name="IQ_ECO_METRIC_6813">"c6813"</definedName>
    <definedName name="IQ_ECO_METRIC_6814">"c6814"</definedName>
    <definedName name="IQ_ECO_METRIC_6815">"c6815"</definedName>
    <definedName name="IQ_ECO_METRIC_6816">"c6816"</definedName>
    <definedName name="IQ_ECO_METRIC_6817">"c6817"</definedName>
    <definedName name="IQ_ECO_METRIC_6818">"c6818"</definedName>
    <definedName name="IQ_ECO_METRIC_6819">"c6819"</definedName>
    <definedName name="IQ_ECO_METRIC_6820">"c6820"</definedName>
    <definedName name="IQ_ECO_METRIC_6821">"c6821"</definedName>
    <definedName name="IQ_ECO_METRIC_6822">"c6822"</definedName>
    <definedName name="IQ_ECO_METRIC_6823">"c6823"</definedName>
    <definedName name="IQ_ECO_METRIC_6824">"c6824"</definedName>
    <definedName name="IQ_ECO_METRIC_6825">"c6825"</definedName>
    <definedName name="IQ_ECO_METRIC_6825_UNUSED_UNUSED_UNUSED">"c6825"</definedName>
    <definedName name="IQ_ECO_METRIC_6826">"c6826"</definedName>
    <definedName name="IQ_ECO_METRIC_6827">"c6827"</definedName>
    <definedName name="IQ_ECO_METRIC_6828">"c6828"</definedName>
    <definedName name="IQ_ECO_METRIC_6829">"c6829"</definedName>
    <definedName name="IQ_ECO_METRIC_6830">"c6830"</definedName>
    <definedName name="IQ_ECO_METRIC_6831">"c6831"</definedName>
    <definedName name="IQ_ECO_METRIC_6832">"c6832"</definedName>
    <definedName name="IQ_ECO_METRIC_6833">"c6833"</definedName>
    <definedName name="IQ_ECO_METRIC_6834">"c6834"</definedName>
    <definedName name="IQ_ECO_METRIC_6835">"c6835"</definedName>
    <definedName name="IQ_ECO_METRIC_6836">"c6836"</definedName>
    <definedName name="IQ_ECO_METRIC_6837">"c6837"</definedName>
    <definedName name="IQ_ECO_METRIC_6838">"c6838"</definedName>
    <definedName name="IQ_ECO_METRIC_6839">"c6839"</definedName>
    <definedName name="IQ_ECO_METRIC_6839_UNUSED_UNUSED_UNUSED">"c6839"</definedName>
    <definedName name="IQ_ECO_METRIC_6840">"c6840"</definedName>
    <definedName name="IQ_ECO_METRIC_6841">"c6841"</definedName>
    <definedName name="IQ_ECO_METRIC_6842">"c6842"</definedName>
    <definedName name="IQ_ECO_METRIC_6843">"c6843"</definedName>
    <definedName name="IQ_ECO_METRIC_6844">"c6844"</definedName>
    <definedName name="IQ_ECO_METRIC_6845">"c6845"</definedName>
    <definedName name="IQ_ECO_METRIC_6846">"c6846"</definedName>
    <definedName name="IQ_ECO_METRIC_6847">"c6847"</definedName>
    <definedName name="IQ_ECO_METRIC_6848">"c6848"</definedName>
    <definedName name="IQ_ECO_METRIC_6849">"c6849"</definedName>
    <definedName name="IQ_ECO_METRIC_6850">"c6850"</definedName>
    <definedName name="IQ_ECO_METRIC_6851">"c6851"</definedName>
    <definedName name="IQ_ECO_METRIC_6852">"c6852"</definedName>
    <definedName name="IQ_ECO_METRIC_6853">"c6853"</definedName>
    <definedName name="IQ_ECO_METRIC_6854">"c6854"</definedName>
    <definedName name="IQ_ECO_METRIC_6855">"c6855"</definedName>
    <definedName name="IQ_ECO_METRIC_6856">"c6856"</definedName>
    <definedName name="IQ_ECO_METRIC_6857">"c6857"</definedName>
    <definedName name="IQ_ECO_METRIC_6858">"c6858"</definedName>
    <definedName name="IQ_ECO_METRIC_6859">"c6859"</definedName>
    <definedName name="IQ_ECO_METRIC_6860">"c6860"</definedName>
    <definedName name="IQ_ECO_METRIC_6861">"c6861"</definedName>
    <definedName name="IQ_ECO_METRIC_6862">"c6862"</definedName>
    <definedName name="IQ_ECO_METRIC_6863">"c6863"</definedName>
    <definedName name="IQ_ECO_METRIC_6864">"c6864"</definedName>
    <definedName name="IQ_ECO_METRIC_6865">"c6865"</definedName>
    <definedName name="IQ_ECO_METRIC_6866">"c6866"</definedName>
    <definedName name="IQ_ECO_METRIC_6867">"c6867"</definedName>
    <definedName name="IQ_ECO_METRIC_6868">"c6868"</definedName>
    <definedName name="IQ_ECO_METRIC_6869">"c6869"</definedName>
    <definedName name="IQ_ECO_METRIC_6870">"c6870"</definedName>
    <definedName name="IQ_ECO_METRIC_6871">"c6871"</definedName>
    <definedName name="IQ_ECO_METRIC_6872">"c6872"</definedName>
    <definedName name="IQ_ECO_METRIC_6873">"c6873"</definedName>
    <definedName name="IQ_ECO_METRIC_6874">"c6874"</definedName>
    <definedName name="IQ_ECO_METRIC_6875">"c6875"</definedName>
    <definedName name="IQ_ECO_METRIC_6876">"c6876"</definedName>
    <definedName name="IQ_ECO_METRIC_6877">"c6877"</definedName>
    <definedName name="IQ_ECO_METRIC_6878">"c6878"</definedName>
    <definedName name="IQ_ECO_METRIC_6879">"c6879"</definedName>
    <definedName name="IQ_ECO_METRIC_6880">"c6880"</definedName>
    <definedName name="IQ_ECO_METRIC_6881">"c6881"</definedName>
    <definedName name="IQ_ECO_METRIC_6882">"c6882"</definedName>
    <definedName name="IQ_ECO_METRIC_6883">"c6883"</definedName>
    <definedName name="IQ_ECO_METRIC_6884">"c6884"</definedName>
    <definedName name="IQ_ECO_METRIC_6885">"c6885"</definedName>
    <definedName name="IQ_ECO_METRIC_6886">"c6886"</definedName>
    <definedName name="IQ_ECO_METRIC_6887">"c6887"</definedName>
    <definedName name="IQ_ECO_METRIC_6888">"c6888"</definedName>
    <definedName name="IQ_ECO_METRIC_6889">"c6889"</definedName>
    <definedName name="IQ_ECO_METRIC_6890">"c6890"</definedName>
    <definedName name="IQ_ECO_METRIC_6891">"c6891"</definedName>
    <definedName name="IQ_ECO_METRIC_6892">"c6892"</definedName>
    <definedName name="IQ_ECO_METRIC_6893">"c6893"</definedName>
    <definedName name="IQ_ECO_METRIC_6894">"c6894"</definedName>
    <definedName name="IQ_ECO_METRIC_6895">"c6895"</definedName>
    <definedName name="IQ_ECO_METRIC_6896">"c6896"</definedName>
    <definedName name="IQ_ECO_METRIC_6896_UNUSED_UNUSED_UNUSED">"c6896"</definedName>
    <definedName name="IQ_ECO_METRIC_6897">"c6897"</definedName>
    <definedName name="IQ_ECO_METRIC_6897_UNUSED_UNUSED_UNUSED">"c6897"</definedName>
    <definedName name="IQ_ECO_METRIC_6899">"c6899"</definedName>
    <definedName name="IQ_ECO_METRIC_6900">"c6900"</definedName>
    <definedName name="IQ_ECO_METRIC_6901">"c6901"</definedName>
    <definedName name="IQ_ECO_METRIC_6902">"c6902"</definedName>
    <definedName name="IQ_ECO_METRIC_6903">"c6903"</definedName>
    <definedName name="IQ_ECO_METRIC_6904">"c6904"</definedName>
    <definedName name="IQ_ECO_METRIC_6905">"c6905"</definedName>
    <definedName name="IQ_ECO_METRIC_6906">"c6906"</definedName>
    <definedName name="IQ_ECO_METRIC_6907">"c6907"</definedName>
    <definedName name="IQ_ECO_METRIC_6908">"c6908"</definedName>
    <definedName name="IQ_ECO_METRIC_6909">"c6909"</definedName>
    <definedName name="IQ_ECO_METRIC_6910">"c6910"</definedName>
    <definedName name="IQ_ECO_METRIC_6911">"c6911"</definedName>
    <definedName name="IQ_ECO_METRIC_6912">"c6912"</definedName>
    <definedName name="IQ_ECO_METRIC_6913">"c6913"</definedName>
    <definedName name="IQ_ECO_METRIC_6914">"c6914"</definedName>
    <definedName name="IQ_ECO_METRIC_6915">"c6915"</definedName>
    <definedName name="IQ_ECO_METRIC_6916">"c6916"</definedName>
    <definedName name="IQ_ECO_METRIC_6917">"c6917"</definedName>
    <definedName name="IQ_ECO_METRIC_6918">"c6918"</definedName>
    <definedName name="IQ_ECO_METRIC_6919">"c6919"</definedName>
    <definedName name="IQ_ECO_METRIC_6920">"c6920"</definedName>
    <definedName name="IQ_ECO_METRIC_6921">"c6921"</definedName>
    <definedName name="IQ_ECO_METRIC_6922">"c6922"</definedName>
    <definedName name="IQ_ECO_METRIC_6923">"c6923"</definedName>
    <definedName name="IQ_ECO_METRIC_6924">"c6924"</definedName>
    <definedName name="IQ_ECO_METRIC_6925">"c6925"</definedName>
    <definedName name="IQ_ECO_METRIC_6926">"c6926"</definedName>
    <definedName name="IQ_ECO_METRIC_6928">"c6928"</definedName>
    <definedName name="IQ_ECO_METRIC_6929">"c6929"</definedName>
    <definedName name="IQ_ECO_METRIC_6930">"c6930"</definedName>
    <definedName name="IQ_ECO_METRIC_6931">"c6931"</definedName>
    <definedName name="IQ_ECO_METRIC_6932">"c6932"</definedName>
    <definedName name="IQ_ECO_METRIC_6933">"c6933"</definedName>
    <definedName name="IQ_ECO_METRIC_6934">"c6934"</definedName>
    <definedName name="IQ_ECO_METRIC_6935">"c6935"</definedName>
    <definedName name="IQ_ECO_METRIC_6936">"c6936"</definedName>
    <definedName name="IQ_ECO_METRIC_6937">"c6937"</definedName>
    <definedName name="IQ_ECO_METRIC_6938">"c6938"</definedName>
    <definedName name="IQ_ECO_METRIC_6939">"c6939"</definedName>
    <definedName name="IQ_ECO_METRIC_6940">"c6940"</definedName>
    <definedName name="IQ_ECO_METRIC_6941">"c6941"</definedName>
    <definedName name="IQ_ECO_METRIC_6942">"c6942"</definedName>
    <definedName name="IQ_ECO_METRIC_6943">"c6943"</definedName>
    <definedName name="IQ_ECO_METRIC_6944">"c6944"</definedName>
    <definedName name="IQ_ECO_METRIC_6945">"c6945"</definedName>
    <definedName name="IQ_ECO_METRIC_6946">"c6946"</definedName>
    <definedName name="IQ_ECO_METRIC_6947">"c6947"</definedName>
    <definedName name="IQ_ECO_METRIC_6948">"c6948"</definedName>
    <definedName name="IQ_ECO_METRIC_6949">"c6949"</definedName>
    <definedName name="IQ_ECO_METRIC_6950">"c6950"</definedName>
    <definedName name="IQ_ECO_METRIC_6951">"c6951"</definedName>
    <definedName name="IQ_ECO_METRIC_6952">"c6952"</definedName>
    <definedName name="IQ_ECO_METRIC_6953">"c6953"</definedName>
    <definedName name="IQ_ECO_METRIC_6954">"c6954"</definedName>
    <definedName name="IQ_ECO_METRIC_6955">"c6955"</definedName>
    <definedName name="IQ_ECO_METRIC_6956">"c6956"</definedName>
    <definedName name="IQ_ECO_METRIC_6957">"c6957"</definedName>
    <definedName name="IQ_ECO_METRIC_6958">"c6958"</definedName>
    <definedName name="IQ_ECO_METRIC_6959">"c6959"</definedName>
    <definedName name="IQ_ECO_METRIC_6960">"c6960"</definedName>
    <definedName name="IQ_ECO_METRIC_6962">"c6962"</definedName>
    <definedName name="IQ_ECO_METRIC_6963">"c6963"</definedName>
    <definedName name="IQ_ECO_METRIC_6964">"c6964"</definedName>
    <definedName name="IQ_ECO_METRIC_6965">"c6965"</definedName>
    <definedName name="IQ_ECO_METRIC_6966">"c6966"</definedName>
    <definedName name="IQ_ECO_METRIC_6967">"c6967"</definedName>
    <definedName name="IQ_ECO_METRIC_6968">"c6968"</definedName>
    <definedName name="IQ_ECO_METRIC_6969">"c6969"</definedName>
    <definedName name="IQ_ECO_METRIC_6970">"c6970"</definedName>
    <definedName name="IQ_ECO_METRIC_6971">"c6971"</definedName>
    <definedName name="IQ_ECO_METRIC_6972">"c6972"</definedName>
    <definedName name="IQ_ECO_METRIC_6973">"c6973"</definedName>
    <definedName name="IQ_ECO_METRIC_6974">"c6974"</definedName>
    <definedName name="IQ_ECO_METRIC_6975">"c6975"</definedName>
    <definedName name="IQ_ECO_METRIC_6976">"c6976"</definedName>
    <definedName name="IQ_ECO_METRIC_6977">"c6977"</definedName>
    <definedName name="IQ_ECO_METRIC_6978">"c6978"</definedName>
    <definedName name="IQ_ECO_METRIC_6979">"c6979"</definedName>
    <definedName name="IQ_ECO_METRIC_6980">"c6980"</definedName>
    <definedName name="IQ_ECO_METRIC_6981">"c6981"</definedName>
    <definedName name="IQ_ECO_METRIC_6982">"c6982"</definedName>
    <definedName name="IQ_ECO_METRIC_6983">"c6983"</definedName>
    <definedName name="IQ_ECO_METRIC_6984">"c6984"</definedName>
    <definedName name="IQ_ECO_METRIC_6985">"c6985"</definedName>
    <definedName name="IQ_ECO_METRIC_6986">"c6986"</definedName>
    <definedName name="IQ_ECO_METRIC_6987">"c6987"</definedName>
    <definedName name="IQ_ECO_METRIC_6988">"c6988"</definedName>
    <definedName name="IQ_ECO_METRIC_6988_UNUSED_UNUSED_UNUSED">"c6988"</definedName>
    <definedName name="IQ_ECO_METRIC_6989">"c6989"</definedName>
    <definedName name="IQ_ECO_METRIC_6990">"c6990"</definedName>
    <definedName name="IQ_ECO_METRIC_6991">"c6991"</definedName>
    <definedName name="IQ_ECO_METRIC_6992">"c6992"</definedName>
    <definedName name="IQ_ECO_METRIC_6993">"c6993"</definedName>
    <definedName name="IQ_ECO_METRIC_6994">"c6994"</definedName>
    <definedName name="IQ_ECO_METRIC_6995">"c6995"</definedName>
    <definedName name="IQ_ECO_METRIC_6996">"c6996"</definedName>
    <definedName name="IQ_ECO_METRIC_6997">"c6997"</definedName>
    <definedName name="IQ_ECO_METRIC_6998">"c6998"</definedName>
    <definedName name="IQ_ECO_METRIC_7000">"c7000"</definedName>
    <definedName name="IQ_ECO_METRIC_7001">"c7001"</definedName>
    <definedName name="IQ_ECO_METRIC_7002">"c7002"</definedName>
    <definedName name="IQ_ECO_METRIC_7003">"c7003"</definedName>
    <definedName name="IQ_ECO_METRIC_7004">"c7004"</definedName>
    <definedName name="IQ_ECO_METRIC_7005">"c7005"</definedName>
    <definedName name="IQ_ECO_METRIC_7006">"c7006"</definedName>
    <definedName name="IQ_ECO_METRIC_7007">"c7007"</definedName>
    <definedName name="IQ_ECO_METRIC_7008">"c7008"</definedName>
    <definedName name="IQ_ECO_METRIC_7009">"c7009"</definedName>
    <definedName name="IQ_ECO_METRIC_7010">"c7010"</definedName>
    <definedName name="IQ_ECO_METRIC_7011">"c7011"</definedName>
    <definedName name="IQ_ECO_METRIC_7012">"c7012"</definedName>
    <definedName name="IQ_ECO_METRIC_7013">"c7013"</definedName>
    <definedName name="IQ_ECO_METRIC_7015">"c7015"</definedName>
    <definedName name="IQ_ECO_METRIC_7016">"c7016"</definedName>
    <definedName name="IQ_ECO_METRIC_7017">"c7017"</definedName>
    <definedName name="IQ_ECO_METRIC_7018">"c7018"</definedName>
    <definedName name="IQ_ECO_METRIC_7019">"c7019"</definedName>
    <definedName name="IQ_ECO_METRIC_7020">"c7020"</definedName>
    <definedName name="IQ_ECO_METRIC_7021">"c7021"</definedName>
    <definedName name="IQ_ECO_METRIC_7023">"c7023"</definedName>
    <definedName name="IQ_ECO_METRIC_7024">"c7024"</definedName>
    <definedName name="IQ_ECO_METRIC_7025">"c7025"</definedName>
    <definedName name="IQ_ECO_METRIC_7026">"c7026"</definedName>
    <definedName name="IQ_ECO_METRIC_7027">"c7027"</definedName>
    <definedName name="IQ_ECO_METRIC_7028">"c7028"</definedName>
    <definedName name="IQ_ECO_METRIC_7029">"c7029"</definedName>
    <definedName name="IQ_ECO_METRIC_7030">"c7030"</definedName>
    <definedName name="IQ_ECO_METRIC_7031">"c7031"</definedName>
    <definedName name="IQ_ECO_METRIC_7032">"c7032"</definedName>
    <definedName name="IQ_ECO_METRIC_7033">"c7033"</definedName>
    <definedName name="IQ_ECO_METRIC_7034">"c7034"</definedName>
    <definedName name="IQ_ECO_METRIC_7035">"c7035"</definedName>
    <definedName name="IQ_ECO_METRIC_7036">"c7036"</definedName>
    <definedName name="IQ_ECO_METRIC_7037">"c7037"</definedName>
    <definedName name="IQ_ECO_METRIC_7038">"c7038"</definedName>
    <definedName name="IQ_ECO_METRIC_7039">"c7039"</definedName>
    <definedName name="IQ_ECO_METRIC_7040">"c7040"</definedName>
    <definedName name="IQ_ECO_METRIC_7041">"c7041"</definedName>
    <definedName name="IQ_ECO_METRIC_7042">"c7042"</definedName>
    <definedName name="IQ_ECO_METRIC_7043">"c7043"</definedName>
    <definedName name="IQ_ECO_METRIC_7044">"c7044"</definedName>
    <definedName name="IQ_ECO_METRIC_7045">"c7045"</definedName>
    <definedName name="IQ_ECO_METRIC_7045_UNUSED_UNUSED_UNUSED">"c7045"</definedName>
    <definedName name="IQ_ECO_METRIC_7046">"c7046"</definedName>
    <definedName name="IQ_ECO_METRIC_7047">"c7047"</definedName>
    <definedName name="IQ_ECO_METRIC_7048">"c7048"</definedName>
    <definedName name="IQ_ECO_METRIC_7049">"c7049"</definedName>
    <definedName name="IQ_ECO_METRIC_7050">"c7050"</definedName>
    <definedName name="IQ_ECO_METRIC_7051">"c7051"</definedName>
    <definedName name="IQ_ECO_METRIC_7052">"c7052"</definedName>
    <definedName name="IQ_ECO_METRIC_7053">"c7053"</definedName>
    <definedName name="IQ_ECO_METRIC_7054">"c7054"</definedName>
    <definedName name="IQ_ECO_METRIC_7055">"c7055"</definedName>
    <definedName name="IQ_ECO_METRIC_7056">"c7056"</definedName>
    <definedName name="IQ_ECO_METRIC_7057">"c7057"</definedName>
    <definedName name="IQ_ECO_METRIC_7058">"c7058"</definedName>
    <definedName name="IQ_ECO_METRIC_7059">"c7059"</definedName>
    <definedName name="IQ_ECO_METRIC_7059_UNUSED_UNUSED_UNUSED">"c7059"</definedName>
    <definedName name="IQ_ECO_METRIC_7060">"c7060"</definedName>
    <definedName name="IQ_ECO_METRIC_7061">"c7061"</definedName>
    <definedName name="IQ_ECO_METRIC_7062">"c7062"</definedName>
    <definedName name="IQ_ECO_METRIC_7063">"c7063"</definedName>
    <definedName name="IQ_ECO_METRIC_7064">"c7064"</definedName>
    <definedName name="IQ_ECO_METRIC_7065">"c7065"</definedName>
    <definedName name="IQ_ECO_METRIC_7066">"c7066"</definedName>
    <definedName name="IQ_ECO_METRIC_7067">"c7067"</definedName>
    <definedName name="IQ_ECO_METRIC_7068">"c7068"</definedName>
    <definedName name="IQ_ECO_METRIC_7069">"c7069"</definedName>
    <definedName name="IQ_ECO_METRIC_7070">"c7070"</definedName>
    <definedName name="IQ_ECO_METRIC_7071">"c7071"</definedName>
    <definedName name="IQ_ECO_METRIC_7072">"c7072"</definedName>
    <definedName name="IQ_ECO_METRIC_7073">"c7073"</definedName>
    <definedName name="IQ_ECO_METRIC_7074">"c7074"</definedName>
    <definedName name="IQ_ECO_METRIC_7075">"c7075"</definedName>
    <definedName name="IQ_ECO_METRIC_7076">"c7076"</definedName>
    <definedName name="IQ_ECO_METRIC_7077">"c7077"</definedName>
    <definedName name="IQ_ECO_METRIC_7078">"c7078"</definedName>
    <definedName name="IQ_ECO_METRIC_7079">"c7079"</definedName>
    <definedName name="IQ_ECO_METRIC_7080">"c7080"</definedName>
    <definedName name="IQ_ECO_METRIC_7081">"c7081"</definedName>
    <definedName name="IQ_ECO_METRIC_7082">"c7082"</definedName>
    <definedName name="IQ_ECO_METRIC_7083">"c7083"</definedName>
    <definedName name="IQ_ECO_METRIC_7084">"c7084"</definedName>
    <definedName name="IQ_ECO_METRIC_7085">"c7085"</definedName>
    <definedName name="IQ_ECO_METRIC_7086">"c7086"</definedName>
    <definedName name="IQ_ECO_METRIC_7087">"c7087"</definedName>
    <definedName name="IQ_ECO_METRIC_7088">"c7088"</definedName>
    <definedName name="IQ_ECO_METRIC_7089">"c7089"</definedName>
    <definedName name="IQ_ECO_METRIC_7090">"c7090"</definedName>
    <definedName name="IQ_ECO_METRIC_7091">"c7091"</definedName>
    <definedName name="IQ_ECO_METRIC_7092">"c7092"</definedName>
    <definedName name="IQ_ECO_METRIC_7093">"c7093"</definedName>
    <definedName name="IQ_ECO_METRIC_7094">"c7094"</definedName>
    <definedName name="IQ_ECO_METRIC_7095">"c7095"</definedName>
    <definedName name="IQ_ECO_METRIC_7096">"c7096"</definedName>
    <definedName name="IQ_ECO_METRIC_7097">"c7097"</definedName>
    <definedName name="IQ_ECO_METRIC_7098">"c7098"</definedName>
    <definedName name="IQ_ECO_METRIC_7099">"c7099"</definedName>
    <definedName name="IQ_ECO_METRIC_7100">"c7100"</definedName>
    <definedName name="IQ_ECO_METRIC_7101">"c7101"</definedName>
    <definedName name="IQ_ECO_METRIC_7102">"c7102"</definedName>
    <definedName name="IQ_ECO_METRIC_7103">"c7103"</definedName>
    <definedName name="IQ_ECO_METRIC_7104">"c7104"</definedName>
    <definedName name="IQ_ECO_METRIC_7105">"c7105"</definedName>
    <definedName name="IQ_ECO_METRIC_7106">"c7106"</definedName>
    <definedName name="IQ_ECO_METRIC_7107">"c7107"</definedName>
    <definedName name="IQ_ECO_METRIC_7108">"c7108"</definedName>
    <definedName name="IQ_ECO_METRIC_7109">"c7109"</definedName>
    <definedName name="IQ_ECO_METRIC_7110">"c7110"</definedName>
    <definedName name="IQ_ECO_METRIC_7111">"c7111"</definedName>
    <definedName name="IQ_ECO_METRIC_7112">"c7112"</definedName>
    <definedName name="IQ_ECO_METRIC_7113">"c7113"</definedName>
    <definedName name="IQ_ECO_METRIC_7114">"c7114"</definedName>
    <definedName name="IQ_ECO_METRIC_7115">"c7115"</definedName>
    <definedName name="IQ_ECO_METRIC_7116">"c7116"</definedName>
    <definedName name="IQ_ECO_METRIC_7116_UNUSED_UNUSED_UNUSED">"c7116"</definedName>
    <definedName name="IQ_ECO_METRIC_7117">"c7117"</definedName>
    <definedName name="IQ_ECO_METRIC_7117_UNUSED_UNUSED_UNUSED">"c7117"</definedName>
    <definedName name="IQ_ECO_METRIC_7119">"c7119"</definedName>
    <definedName name="IQ_ECO_METRIC_7120">"c7120"</definedName>
    <definedName name="IQ_ECO_METRIC_7121">"c7121"</definedName>
    <definedName name="IQ_ECO_METRIC_7122">"c7122"</definedName>
    <definedName name="IQ_ECO_METRIC_7123">"c7123"</definedName>
    <definedName name="IQ_ECO_METRIC_7124">"c7124"</definedName>
    <definedName name="IQ_ECO_METRIC_7125">"c7125"</definedName>
    <definedName name="IQ_ECO_METRIC_7126">"c7126"</definedName>
    <definedName name="IQ_ECO_METRIC_7127">"c7127"</definedName>
    <definedName name="IQ_ECO_METRIC_7128">"c7128"</definedName>
    <definedName name="IQ_ECO_METRIC_7129">"c7129"</definedName>
    <definedName name="IQ_ECO_METRIC_7130">"c7130"</definedName>
    <definedName name="IQ_ECO_METRIC_7131">"c7131"</definedName>
    <definedName name="IQ_ECO_METRIC_7132">"c7132"</definedName>
    <definedName name="IQ_ECO_METRIC_7133">"c7133"</definedName>
    <definedName name="IQ_ECO_METRIC_7134">"c7134"</definedName>
    <definedName name="IQ_ECO_METRIC_7135">"c7135"</definedName>
    <definedName name="IQ_ECO_METRIC_7136">"c7136"</definedName>
    <definedName name="IQ_ECO_METRIC_7137">"c7137"</definedName>
    <definedName name="IQ_ECO_METRIC_7138">"c7138"</definedName>
    <definedName name="IQ_ECO_METRIC_7139">"c7139"</definedName>
    <definedName name="IQ_ECO_METRIC_7140">"c7140"</definedName>
    <definedName name="IQ_ECO_METRIC_7141">"c7141"</definedName>
    <definedName name="IQ_ECO_METRIC_7142">"c7142"</definedName>
    <definedName name="IQ_ECO_METRIC_7143">"c7143"</definedName>
    <definedName name="IQ_ECO_METRIC_7144">"c7144"</definedName>
    <definedName name="IQ_ECO_METRIC_7145">"c7145"</definedName>
    <definedName name="IQ_ECO_METRIC_7146">"c7146"</definedName>
    <definedName name="IQ_ECO_METRIC_7148">"c7148"</definedName>
    <definedName name="IQ_ECO_METRIC_7149">"c7149"</definedName>
    <definedName name="IQ_ECO_METRIC_7150">"c7150"</definedName>
    <definedName name="IQ_ECO_METRIC_7151">"c7151"</definedName>
    <definedName name="IQ_ECO_METRIC_7152">"c7152"</definedName>
    <definedName name="IQ_ECO_METRIC_7153">"c7153"</definedName>
    <definedName name="IQ_ECO_METRIC_7154">"c7154"</definedName>
    <definedName name="IQ_ECO_METRIC_7155">"c7155"</definedName>
    <definedName name="IQ_ECO_METRIC_7156">"c7156"</definedName>
    <definedName name="IQ_ECO_METRIC_7157">"c7157"</definedName>
    <definedName name="IQ_ECO_METRIC_7158">"c7158"</definedName>
    <definedName name="IQ_ECO_METRIC_7159">"c7159"</definedName>
    <definedName name="IQ_ECO_METRIC_7160">"c7160"</definedName>
    <definedName name="IQ_ECO_METRIC_7161">"c7161"</definedName>
    <definedName name="IQ_ECO_METRIC_7162">"c7162"</definedName>
    <definedName name="IQ_ECO_METRIC_7163">"c7163"</definedName>
    <definedName name="IQ_ECO_METRIC_7164">"c7164"</definedName>
    <definedName name="IQ_ECO_METRIC_7165">"c7165"</definedName>
    <definedName name="IQ_ECO_METRIC_7166">"c7166"</definedName>
    <definedName name="IQ_ECO_METRIC_7167">"c7167"</definedName>
    <definedName name="IQ_ECO_METRIC_7168">"c7168"</definedName>
    <definedName name="IQ_ECO_METRIC_7169">"c7169"</definedName>
    <definedName name="IQ_ECO_METRIC_7170">"c7170"</definedName>
    <definedName name="IQ_ECO_METRIC_7171">"c7171"</definedName>
    <definedName name="IQ_ECO_METRIC_7172">"c7172"</definedName>
    <definedName name="IQ_ECO_METRIC_7173">"c7173"</definedName>
    <definedName name="IQ_ECO_METRIC_7174">"c7174"</definedName>
    <definedName name="IQ_ECO_METRIC_7175">"c7175"</definedName>
    <definedName name="IQ_ECO_METRIC_7176">"c7176"</definedName>
    <definedName name="IQ_ECO_METRIC_7177">"c7177"</definedName>
    <definedName name="IQ_ECO_METRIC_7178">"c7178"</definedName>
    <definedName name="IQ_ECO_METRIC_7179">"c7179"</definedName>
    <definedName name="IQ_ECO_METRIC_7180">"c7180"</definedName>
    <definedName name="IQ_ECO_METRIC_7182">"c7182"</definedName>
    <definedName name="IQ_ECO_METRIC_7183">"c7183"</definedName>
    <definedName name="IQ_ECO_METRIC_7184">"c7184"</definedName>
    <definedName name="IQ_ECO_METRIC_7185">"c7185"</definedName>
    <definedName name="IQ_ECO_METRIC_7186">"c7186"</definedName>
    <definedName name="IQ_ECO_METRIC_7187">"c7187"</definedName>
    <definedName name="IQ_ECO_METRIC_7188">"c7188"</definedName>
    <definedName name="IQ_ECO_METRIC_7189">"c7189"</definedName>
    <definedName name="IQ_ECO_METRIC_7190">"c7190"</definedName>
    <definedName name="IQ_ECO_METRIC_7191">"c7191"</definedName>
    <definedName name="IQ_ECO_METRIC_7192">"c7192"</definedName>
    <definedName name="IQ_ECO_METRIC_7193">"c7193"</definedName>
    <definedName name="IQ_ECO_METRIC_7194">"c7194"</definedName>
    <definedName name="IQ_ECO_METRIC_7195">"c7195"</definedName>
    <definedName name="IQ_ECO_METRIC_7196">"c7196"</definedName>
    <definedName name="IQ_ECO_METRIC_7197">"c7197"</definedName>
    <definedName name="IQ_ECO_METRIC_7198">"c7198"</definedName>
    <definedName name="IQ_ECO_METRIC_7199">"c7199"</definedName>
    <definedName name="IQ_ECO_METRIC_7200">"c7200"</definedName>
    <definedName name="IQ_ECO_METRIC_7201">"c7201"</definedName>
    <definedName name="IQ_ECO_METRIC_7202">"c7202"</definedName>
    <definedName name="IQ_ECO_METRIC_7203">"c7203"</definedName>
    <definedName name="IQ_ECO_METRIC_7204">"c7204"</definedName>
    <definedName name="IQ_ECO_METRIC_7205">"c7205"</definedName>
    <definedName name="IQ_ECO_METRIC_7206">"c7206"</definedName>
    <definedName name="IQ_ECO_METRIC_7207">"c7207"</definedName>
    <definedName name="IQ_ECO_METRIC_7208">"c7208"</definedName>
    <definedName name="IQ_ECO_METRIC_7208_UNUSED_UNUSED_UNUSED">"c7208"</definedName>
    <definedName name="IQ_ECO_METRIC_7209">"c7209"</definedName>
    <definedName name="IQ_ECO_METRIC_7210">"c7210"</definedName>
    <definedName name="IQ_ECO_METRIC_7211">"c7211"</definedName>
    <definedName name="IQ_ECO_METRIC_7212">"c7212"</definedName>
    <definedName name="IQ_ECO_METRIC_7213">"c7213"</definedName>
    <definedName name="IQ_ECO_METRIC_7214">"c7214"</definedName>
    <definedName name="IQ_ECO_METRIC_7215">"c7215"</definedName>
    <definedName name="IQ_ECO_METRIC_7216">"c7216"</definedName>
    <definedName name="IQ_ECO_METRIC_7217">"c7217"</definedName>
    <definedName name="IQ_ECO_METRIC_7218">"c7218"</definedName>
    <definedName name="IQ_ECO_METRIC_7220">"c7220"</definedName>
    <definedName name="IQ_ECO_METRIC_7221">"c7221"</definedName>
    <definedName name="IQ_ECO_METRIC_7222">"c7222"</definedName>
    <definedName name="IQ_ECO_METRIC_7223">"c7223"</definedName>
    <definedName name="IQ_ECO_METRIC_7224">"c7224"</definedName>
    <definedName name="IQ_ECO_METRIC_7225">"c7225"</definedName>
    <definedName name="IQ_ECO_METRIC_7226">"c7226"</definedName>
    <definedName name="IQ_ECO_METRIC_7227">"c7227"</definedName>
    <definedName name="IQ_ECO_METRIC_7228">"c7228"</definedName>
    <definedName name="IQ_ECO_METRIC_7229">"c7229"</definedName>
    <definedName name="IQ_ECO_METRIC_7230">"c7230"</definedName>
    <definedName name="IQ_ECO_METRIC_7231">"c7231"</definedName>
    <definedName name="IQ_ECO_METRIC_7232">"c7232"</definedName>
    <definedName name="IQ_ECO_METRIC_7233">"c7233"</definedName>
    <definedName name="IQ_ECO_METRIC_7235">"c7235"</definedName>
    <definedName name="IQ_ECO_METRIC_7236">"c7236"</definedName>
    <definedName name="IQ_ECO_METRIC_7237">"c7237"</definedName>
    <definedName name="IQ_ECO_METRIC_7238">"c7238"</definedName>
    <definedName name="IQ_ECO_METRIC_7239">"c7239"</definedName>
    <definedName name="IQ_ECO_METRIC_7240">"c7240"</definedName>
    <definedName name="IQ_ECO_METRIC_7241">"c7241"</definedName>
    <definedName name="IQ_ECO_METRIC_7243">"c7243"</definedName>
    <definedName name="IQ_ECO_METRIC_7244">"c7244"</definedName>
    <definedName name="IQ_ECO_METRIC_7245">"c7245"</definedName>
    <definedName name="IQ_ECO_METRIC_7246">"c7246"</definedName>
    <definedName name="IQ_ECO_METRIC_7247">"c7247"</definedName>
    <definedName name="IQ_ECO_METRIC_7248">"c7248"</definedName>
    <definedName name="IQ_ECO_METRIC_7249">"c7249"</definedName>
    <definedName name="IQ_ECO_METRIC_7250">"c7250"</definedName>
    <definedName name="IQ_ECO_METRIC_7251">"c7251"</definedName>
    <definedName name="IQ_ECO_METRIC_7252">"c7252"</definedName>
    <definedName name="IQ_ECO_METRIC_7253">"c7253"</definedName>
    <definedName name="IQ_ECO_METRIC_7254">"c7254"</definedName>
    <definedName name="IQ_ECO_METRIC_7255">"c7255"</definedName>
    <definedName name="IQ_ECO_METRIC_7256">"c7256"</definedName>
    <definedName name="IQ_ECO_METRIC_7257">"c7257"</definedName>
    <definedName name="IQ_ECO_METRIC_7258">"c7258"</definedName>
    <definedName name="IQ_ECO_METRIC_7259">"c7259"</definedName>
    <definedName name="IQ_ECO_METRIC_7260">"c7260"</definedName>
    <definedName name="IQ_ECO_METRIC_7261">"c7261"</definedName>
    <definedName name="IQ_ECO_METRIC_7262">"c7262"</definedName>
    <definedName name="IQ_ECO_METRIC_7263">"c7263"</definedName>
    <definedName name="IQ_ECO_METRIC_7264">"c7264"</definedName>
    <definedName name="IQ_ECO_METRIC_7265">"c7265"</definedName>
    <definedName name="IQ_ECO_METRIC_7265_UNUSED_UNUSED_UNUSED">"c7265"</definedName>
    <definedName name="IQ_ECO_METRIC_7266">"c7266"</definedName>
    <definedName name="IQ_ECO_METRIC_7267">"c7267"</definedName>
    <definedName name="IQ_ECO_METRIC_7268">"c7268"</definedName>
    <definedName name="IQ_ECO_METRIC_7269">"c7269"</definedName>
    <definedName name="IQ_ECO_METRIC_7270">"c7270"</definedName>
    <definedName name="IQ_ECO_METRIC_7272">"c7272"</definedName>
    <definedName name="IQ_ECO_METRIC_7273">"c7273"</definedName>
    <definedName name="IQ_ECO_METRIC_7274">"c7274"</definedName>
    <definedName name="IQ_ECO_METRIC_7275">"c7275"</definedName>
    <definedName name="IQ_ECO_METRIC_7276">"c7276"</definedName>
    <definedName name="IQ_ECO_METRIC_7277">"c7277"</definedName>
    <definedName name="IQ_ECO_METRIC_7278">"c7278"</definedName>
    <definedName name="IQ_ECO_METRIC_7279">"c7279"</definedName>
    <definedName name="IQ_ECO_METRIC_7279_UNUSED_UNUSED_UNUSED">"c7279"</definedName>
    <definedName name="IQ_ECO_METRIC_7280">"c7280"</definedName>
    <definedName name="IQ_ECO_METRIC_7281">"c7281"</definedName>
    <definedName name="IQ_ECO_METRIC_7282">"c7282"</definedName>
    <definedName name="IQ_ECO_METRIC_7283">"c7283"</definedName>
    <definedName name="IQ_ECO_METRIC_7284">"c7284"</definedName>
    <definedName name="IQ_ECO_METRIC_7285">"c7285"</definedName>
    <definedName name="IQ_ECO_METRIC_7286">"c7286"</definedName>
    <definedName name="IQ_ECO_METRIC_7287">"c7287"</definedName>
    <definedName name="IQ_ECO_METRIC_7288">"c7288"</definedName>
    <definedName name="IQ_ECO_METRIC_7289">"c7289"</definedName>
    <definedName name="IQ_ECO_METRIC_7290">"c7290"</definedName>
    <definedName name="IQ_ECO_METRIC_7291">"c7291"</definedName>
    <definedName name="IQ_ECO_METRIC_7292">"c7292"</definedName>
    <definedName name="IQ_ECO_METRIC_7293">"c7293"</definedName>
    <definedName name="IQ_ECO_METRIC_7294">"c7294"</definedName>
    <definedName name="IQ_ECO_METRIC_7295">"c7295"</definedName>
    <definedName name="IQ_ECO_METRIC_7296">"c7296"</definedName>
    <definedName name="IQ_ECO_METRIC_7297">"c7297"</definedName>
    <definedName name="IQ_ECO_METRIC_7298">"c7298"</definedName>
    <definedName name="IQ_ECO_METRIC_7299">"c7299"</definedName>
    <definedName name="IQ_ECO_METRIC_7300">"c7300"</definedName>
    <definedName name="IQ_ECO_METRIC_7301">"c7301"</definedName>
    <definedName name="IQ_ECO_METRIC_7302">"c7302"</definedName>
    <definedName name="IQ_ECO_METRIC_7303">"c7303"</definedName>
    <definedName name="IQ_ECO_METRIC_7304">"c7304"</definedName>
    <definedName name="IQ_ECO_METRIC_7305">"c7305"</definedName>
    <definedName name="IQ_ECO_METRIC_7306">"c7306"</definedName>
    <definedName name="IQ_ECO_METRIC_7307">"c7307"</definedName>
    <definedName name="IQ_ECO_METRIC_7308">"c7308"</definedName>
    <definedName name="IQ_ECO_METRIC_7309">"c7309"</definedName>
    <definedName name="IQ_ECO_METRIC_7310">"c7310"</definedName>
    <definedName name="IQ_ECO_METRIC_7311">"c7311"</definedName>
    <definedName name="IQ_ECO_METRIC_7312">"c7312"</definedName>
    <definedName name="IQ_ECO_METRIC_7313">"c7313"</definedName>
    <definedName name="IQ_ECO_METRIC_7314">"c7314"</definedName>
    <definedName name="IQ_ECO_METRIC_7315">"c7315"</definedName>
    <definedName name="IQ_ECO_METRIC_7316">"c7316"</definedName>
    <definedName name="IQ_ECO_METRIC_7317">"c7317"</definedName>
    <definedName name="IQ_ECO_METRIC_7318">"c7318"</definedName>
    <definedName name="IQ_ECO_METRIC_7319">"c7319"</definedName>
    <definedName name="IQ_ECO_METRIC_7320">"c7320"</definedName>
    <definedName name="IQ_ECO_METRIC_7321">"c7321"</definedName>
    <definedName name="IQ_ECO_METRIC_7322">"c7322"</definedName>
    <definedName name="IQ_ECO_METRIC_7323">"c7323"</definedName>
    <definedName name="IQ_ECO_METRIC_7324">"c7324"</definedName>
    <definedName name="IQ_ECO_METRIC_7325">"c7325"</definedName>
    <definedName name="IQ_ECO_METRIC_7326">"c7326"</definedName>
    <definedName name="IQ_ECO_METRIC_7327">"c7327"</definedName>
    <definedName name="IQ_ECO_METRIC_7328">"c7328"</definedName>
    <definedName name="IQ_ECO_METRIC_7329">"c7329"</definedName>
    <definedName name="IQ_ECO_METRIC_7330">"c7330"</definedName>
    <definedName name="IQ_ECO_METRIC_7331">"c7331"</definedName>
    <definedName name="IQ_ECO_METRIC_7332">"c7332"</definedName>
    <definedName name="IQ_ECO_METRIC_7333">"c7333"</definedName>
    <definedName name="IQ_ECO_METRIC_7334">"c7334"</definedName>
    <definedName name="IQ_ECO_METRIC_7335">"c7335"</definedName>
    <definedName name="IQ_ECO_METRIC_7336">"c7336"</definedName>
    <definedName name="IQ_ECO_METRIC_7336_UNUSED_UNUSED_UNUSED">"c7336"</definedName>
    <definedName name="IQ_ECO_METRIC_7337">"c7337"</definedName>
    <definedName name="IQ_ECO_METRIC_7337_UNUSED_UNUSED_UNUSED">"c7337"</definedName>
    <definedName name="IQ_ECO_METRIC_7339">"c7339"</definedName>
    <definedName name="IQ_ECO_METRIC_7341">"c7341"</definedName>
    <definedName name="IQ_ECO_METRIC_7342">"c7342"</definedName>
    <definedName name="IQ_ECO_METRIC_7343">"c7343"</definedName>
    <definedName name="IQ_ECO_METRIC_7344">"c7344"</definedName>
    <definedName name="IQ_ECO_METRIC_7345">"c7345"</definedName>
    <definedName name="IQ_ECO_METRIC_7346">"c7346"</definedName>
    <definedName name="IQ_ECO_METRIC_7347">"c7347"</definedName>
    <definedName name="IQ_ECO_METRIC_7348">"c7348"</definedName>
    <definedName name="IQ_ECO_METRIC_7349">"c7349"</definedName>
    <definedName name="IQ_ECO_METRIC_7350">"c7350"</definedName>
    <definedName name="IQ_ECO_METRIC_7351">"c7351"</definedName>
    <definedName name="IQ_ECO_METRIC_7352">"c7352"</definedName>
    <definedName name="IQ_ECO_METRIC_7353">"c7353"</definedName>
    <definedName name="IQ_ECO_METRIC_7354">"c7354"</definedName>
    <definedName name="IQ_ECO_METRIC_7355">"c7355"</definedName>
    <definedName name="IQ_ECO_METRIC_7356">"c7356"</definedName>
    <definedName name="IQ_ECO_METRIC_7357">"c7357"</definedName>
    <definedName name="IQ_ECO_METRIC_7358">"c7358"</definedName>
    <definedName name="IQ_ECO_METRIC_7359">"c7359"</definedName>
    <definedName name="IQ_ECO_METRIC_7360">"c7360"</definedName>
    <definedName name="IQ_ECO_METRIC_7361">"c7361"</definedName>
    <definedName name="IQ_ECO_METRIC_7362">"c7362"</definedName>
    <definedName name="IQ_ECO_METRIC_7363">"c7363"</definedName>
    <definedName name="IQ_ECO_METRIC_7364">"c7364"</definedName>
    <definedName name="IQ_ECO_METRIC_7365">"c7365"</definedName>
    <definedName name="IQ_ECO_METRIC_7366">"c7366"</definedName>
    <definedName name="IQ_ECO_METRIC_7368">"c7368"</definedName>
    <definedName name="IQ_ECO_METRIC_7369">"c7369"</definedName>
    <definedName name="IQ_ECO_METRIC_7370">"c7370"</definedName>
    <definedName name="IQ_ECO_METRIC_7371">"c7371"</definedName>
    <definedName name="IQ_ECO_METRIC_7372">"c7372"</definedName>
    <definedName name="IQ_ECO_METRIC_7373">"c7373"</definedName>
    <definedName name="IQ_ECO_METRIC_7374">"c7374"</definedName>
    <definedName name="IQ_ECO_METRIC_7375">"c7375"</definedName>
    <definedName name="IQ_ECO_METRIC_7376">"c7376"</definedName>
    <definedName name="IQ_ECO_METRIC_7377">"c7377"</definedName>
    <definedName name="IQ_ECO_METRIC_7378">"c7378"</definedName>
    <definedName name="IQ_ECO_METRIC_7379">"c7379"</definedName>
    <definedName name="IQ_ECO_METRIC_7380">"c7380"</definedName>
    <definedName name="IQ_ECO_METRIC_7381">"c7381"</definedName>
    <definedName name="IQ_ECO_METRIC_7382">"c7382"</definedName>
    <definedName name="IQ_ECO_METRIC_7383">"c7383"</definedName>
    <definedName name="IQ_ECO_METRIC_7384">"c7384"</definedName>
    <definedName name="IQ_ECO_METRIC_7385">"c7385"</definedName>
    <definedName name="IQ_ECO_METRIC_7386">"c7386"</definedName>
    <definedName name="IQ_ECO_METRIC_7387">"c7387"</definedName>
    <definedName name="IQ_ECO_METRIC_7388">"c7388"</definedName>
    <definedName name="IQ_ECO_METRIC_7389">"c7389"</definedName>
    <definedName name="IQ_ECO_METRIC_7390">"c7390"</definedName>
    <definedName name="IQ_ECO_METRIC_7391">"c7391"</definedName>
    <definedName name="IQ_ECO_METRIC_7392">"c7392"</definedName>
    <definedName name="IQ_ECO_METRIC_7393">"c7393"</definedName>
    <definedName name="IQ_ECO_METRIC_7394">"c7394"</definedName>
    <definedName name="IQ_ECO_METRIC_7395">"c7395"</definedName>
    <definedName name="IQ_ECO_METRIC_7396">"c7396"</definedName>
    <definedName name="IQ_ECO_METRIC_7397">"c7397"</definedName>
    <definedName name="IQ_ECO_METRIC_7398">"c7398"</definedName>
    <definedName name="IQ_ECO_METRIC_7399">"c7399"</definedName>
    <definedName name="IQ_ECO_METRIC_7400">"c7400"</definedName>
    <definedName name="IQ_ECO_METRIC_7402">"c7402"</definedName>
    <definedName name="IQ_ECO_METRIC_7403">"c7403"</definedName>
    <definedName name="IQ_ECO_METRIC_7404">"c7404"</definedName>
    <definedName name="IQ_ECO_METRIC_7405">"c7405"</definedName>
    <definedName name="IQ_ECO_METRIC_7406">"c7406"</definedName>
    <definedName name="IQ_ECO_METRIC_7407">"c7407"</definedName>
    <definedName name="IQ_ECO_METRIC_7408">"c7408"</definedName>
    <definedName name="IQ_ECO_METRIC_7409">"c7409"</definedName>
    <definedName name="IQ_ECO_METRIC_7410">"c7410"</definedName>
    <definedName name="IQ_ECO_METRIC_7411">"c7411"</definedName>
    <definedName name="IQ_ECO_METRIC_7412">"c7412"</definedName>
    <definedName name="IQ_ECO_METRIC_7413">"c7413"</definedName>
    <definedName name="IQ_ECO_METRIC_7414">"c7414"</definedName>
    <definedName name="IQ_ECO_METRIC_7415">"c7415"</definedName>
    <definedName name="IQ_ECO_METRIC_7416">"c7416"</definedName>
    <definedName name="IQ_ECO_METRIC_7417">"c7417"</definedName>
    <definedName name="IQ_ECO_METRIC_7418">"c7418"</definedName>
    <definedName name="IQ_ECO_METRIC_7419">"c7419"</definedName>
    <definedName name="IQ_ECO_METRIC_7420">"c7420"</definedName>
    <definedName name="IQ_ECO_METRIC_7421">"c7421"</definedName>
    <definedName name="IQ_ECO_METRIC_7422">"c7422"</definedName>
    <definedName name="IQ_ECO_METRIC_7423">"c7423"</definedName>
    <definedName name="IQ_ECO_METRIC_7424">"c7424"</definedName>
    <definedName name="IQ_ECO_METRIC_7425">"c7425"</definedName>
    <definedName name="IQ_ECO_METRIC_7426">"c7426"</definedName>
    <definedName name="IQ_ECO_METRIC_7427">"c7427"</definedName>
    <definedName name="IQ_ECO_METRIC_7428">"c7428"</definedName>
    <definedName name="IQ_ECO_METRIC_7428_UNUSED_UNUSED_UNUSED">"c7428"</definedName>
    <definedName name="IQ_ECO_METRIC_7429">"c7429"</definedName>
    <definedName name="IQ_ECO_METRIC_7430">"c7430"</definedName>
    <definedName name="IQ_ECO_METRIC_7431">"c7431"</definedName>
    <definedName name="IQ_ECO_METRIC_7432">"c7432"</definedName>
    <definedName name="IQ_ECO_METRIC_7433">"c7433"</definedName>
    <definedName name="IQ_ECO_METRIC_7434">"c7434"</definedName>
    <definedName name="IQ_ECO_METRIC_7435">"c7435"</definedName>
    <definedName name="IQ_ECO_METRIC_7436">"c7436"</definedName>
    <definedName name="IQ_ECO_METRIC_7437">"c7437"</definedName>
    <definedName name="IQ_ECO_METRIC_7438">"c7438"</definedName>
    <definedName name="IQ_ECO_METRIC_7440">"c7440"</definedName>
    <definedName name="IQ_ECO_METRIC_7441">"c7441"</definedName>
    <definedName name="IQ_ECO_METRIC_7442">"c7442"</definedName>
    <definedName name="IQ_ECO_METRIC_7443">"c7443"</definedName>
    <definedName name="IQ_ECO_METRIC_7444">"c7444"</definedName>
    <definedName name="IQ_ECO_METRIC_7445">"c7445"</definedName>
    <definedName name="IQ_ECO_METRIC_7446">"c7446"</definedName>
    <definedName name="IQ_ECO_METRIC_7447">"c7447"</definedName>
    <definedName name="IQ_ECO_METRIC_7448">"c7448"</definedName>
    <definedName name="IQ_ECO_METRIC_7449">"c7449"</definedName>
    <definedName name="IQ_ECO_METRIC_7450">"c7450"</definedName>
    <definedName name="IQ_ECO_METRIC_7451">"c7451"</definedName>
    <definedName name="IQ_ECO_METRIC_7452">"c7452"</definedName>
    <definedName name="IQ_ECO_METRIC_7453">"c7453"</definedName>
    <definedName name="IQ_ECO_METRIC_7455">"c7455"</definedName>
    <definedName name="IQ_ECO_METRIC_7456">"c7456"</definedName>
    <definedName name="IQ_ECO_METRIC_7457">"c7457"</definedName>
    <definedName name="IQ_ECO_METRIC_7458">"c7458"</definedName>
    <definedName name="IQ_ECO_METRIC_7459">"c7459"</definedName>
    <definedName name="IQ_ECO_METRIC_7460">"c7460"</definedName>
    <definedName name="IQ_ECO_METRIC_7461">"c7461"</definedName>
    <definedName name="IQ_ECO_METRIC_7463">"c7463"</definedName>
    <definedName name="IQ_ECO_METRIC_7464">"c7464"</definedName>
    <definedName name="IQ_ECO_METRIC_7465">"c7465"</definedName>
    <definedName name="IQ_ECO_METRIC_7466">"c7466"</definedName>
    <definedName name="IQ_ECO_METRIC_7467">"c7467"</definedName>
    <definedName name="IQ_ECO_METRIC_7468">"c7468"</definedName>
    <definedName name="IQ_ECO_METRIC_7469">"c7469"</definedName>
    <definedName name="IQ_ECO_METRIC_7470">"c7470"</definedName>
    <definedName name="IQ_ECO_METRIC_7472">"c7472"</definedName>
    <definedName name="IQ_ECO_METRIC_7473">"c7473"</definedName>
    <definedName name="IQ_ECO_METRIC_7474">"c7474"</definedName>
    <definedName name="IQ_ECO_METRIC_7475">"c7475"</definedName>
    <definedName name="IQ_ECO_METRIC_7476">"c7476"</definedName>
    <definedName name="IQ_ECO_METRIC_7477">"c7477"</definedName>
    <definedName name="IQ_ECO_METRIC_7478">"c7478"</definedName>
    <definedName name="IQ_ECO_METRIC_7479">"c7479"</definedName>
    <definedName name="IQ_ECO_METRIC_7480">"c7480"</definedName>
    <definedName name="IQ_ECO_METRIC_7481">"c7481"</definedName>
    <definedName name="IQ_ECO_METRIC_7482">"c7482"</definedName>
    <definedName name="IQ_ECO_METRIC_7483">"c7483"</definedName>
    <definedName name="IQ_ECO_METRIC_7486">"c7486"</definedName>
    <definedName name="IQ_ECO_METRIC_7487">"c7487"</definedName>
    <definedName name="IQ_ECO_METRIC_7488">"c7488"</definedName>
    <definedName name="IQ_ECO_METRIC_7489">"c7489"</definedName>
    <definedName name="IQ_ECO_METRIC_7490">"c7490"</definedName>
    <definedName name="IQ_ECO_METRIC_7491">"c7491"</definedName>
    <definedName name="IQ_ECO_METRIC_7492">"c7492"</definedName>
    <definedName name="IQ_ECO_METRIC_7493">"c7493"</definedName>
    <definedName name="IQ_ECO_METRIC_7494">"c7494"</definedName>
    <definedName name="IQ_ECO_METRIC_7495">"c7495"</definedName>
    <definedName name="IQ_ECO_METRIC_7496">"c7496"</definedName>
    <definedName name="IQ_ECO_METRIC_7497">"c7497"</definedName>
    <definedName name="IQ_ECO_METRIC_7498">"c7498"</definedName>
    <definedName name="IQ_ECO_METRIC_7500">"c7500"</definedName>
    <definedName name="IQ_ECO_METRIC_7501">"c7501"</definedName>
    <definedName name="IQ_ECO_METRIC_7502">"c7502"</definedName>
    <definedName name="IQ_ECO_METRIC_7503">"c7503"</definedName>
    <definedName name="IQ_ECO_METRIC_7504">"c7504"</definedName>
    <definedName name="IQ_ECO_METRIC_7505">"c7505"</definedName>
    <definedName name="IQ_ECO_METRIC_7507">"c7507"</definedName>
    <definedName name="IQ_ECO_METRIC_7508">"c7508"</definedName>
    <definedName name="IQ_ECO_METRIC_7509">"c7509"</definedName>
    <definedName name="IQ_ECO_METRIC_7510">"c7510"</definedName>
    <definedName name="IQ_ECO_METRIC_7511">"c7511"</definedName>
    <definedName name="IQ_ECO_METRIC_7512">"c7512"</definedName>
    <definedName name="IQ_ECO_METRIC_7513">"c7513"</definedName>
    <definedName name="IQ_ECO_METRIC_7514">"c7514"</definedName>
    <definedName name="IQ_ECO_METRIC_7515">"c7515"</definedName>
    <definedName name="IQ_ECO_METRIC_7516">"c7516"</definedName>
    <definedName name="IQ_ECO_METRIC_7517">"c7517"</definedName>
    <definedName name="IQ_ECO_METRIC_7518">"c7518"</definedName>
    <definedName name="IQ_ECO_METRIC_7519">"c7519"</definedName>
    <definedName name="IQ_ECO_METRIC_7520">"c7520"</definedName>
    <definedName name="IQ_ECO_METRIC_7521">"c7521"</definedName>
    <definedName name="IQ_ECO_METRIC_7522">"c7522"</definedName>
    <definedName name="IQ_ECO_METRIC_7523">"c7523"</definedName>
    <definedName name="IQ_ECO_METRIC_7524">"c7524"</definedName>
    <definedName name="IQ_ECO_METRIC_7525">"c7525"</definedName>
    <definedName name="IQ_ECO_METRIC_7526">"c7526"</definedName>
    <definedName name="IQ_ECO_METRIC_7527">"c7527"</definedName>
    <definedName name="IQ_ECO_METRIC_7528">"c7528"</definedName>
    <definedName name="IQ_ECO_METRIC_7529">"c7529"</definedName>
    <definedName name="IQ_ECO_METRIC_7530">"c7530"</definedName>
    <definedName name="IQ_ECO_METRIC_7531">"c7531"</definedName>
    <definedName name="IQ_ECO_METRIC_7532">"c7532"</definedName>
    <definedName name="IQ_ECO_METRIC_7533">"c7533"</definedName>
    <definedName name="IQ_ECO_METRIC_7534">"c7534"</definedName>
    <definedName name="IQ_ECO_METRIC_7535">"c7535"</definedName>
    <definedName name="IQ_ECO_METRIC_7536">"c7536"</definedName>
    <definedName name="IQ_ECO_METRIC_7537">"c7537"</definedName>
    <definedName name="IQ_ECO_METRIC_7538">"c7538"</definedName>
    <definedName name="IQ_ECO_METRIC_7539">"c7539"</definedName>
    <definedName name="IQ_ECO_METRIC_7540">"c7540"</definedName>
    <definedName name="IQ_ECO_METRIC_7541">"c7541"</definedName>
    <definedName name="IQ_ECO_METRIC_7542">"c7542"</definedName>
    <definedName name="IQ_ECO_METRIC_7543">"c7543"</definedName>
    <definedName name="IQ_ECO_METRIC_7544">"c7544"</definedName>
    <definedName name="IQ_ECO_METRIC_7545">"c7545"</definedName>
    <definedName name="IQ_ECO_METRIC_7546">"c7546"</definedName>
    <definedName name="IQ_ECO_METRIC_7547">"c7547"</definedName>
    <definedName name="IQ_ECO_METRIC_7548">"c7548"</definedName>
    <definedName name="IQ_ECO_METRIC_7549">"c7549"</definedName>
    <definedName name="IQ_ECO_METRIC_7550">"c7550"</definedName>
    <definedName name="IQ_ECO_METRIC_7551">"c7551"</definedName>
    <definedName name="IQ_ECO_METRIC_7552">"c7552"</definedName>
    <definedName name="IQ_ECO_METRIC_7553">"c7553"</definedName>
    <definedName name="IQ_ECO_METRIC_7554">"c7554"</definedName>
    <definedName name="IQ_ECO_METRIC_7555">"c7555"</definedName>
    <definedName name="IQ_ECO_METRIC_7556">"c7556"</definedName>
    <definedName name="IQ_ECO_METRIC_7556_UNUSED_UNUSED_UNUSED">"c7556"</definedName>
    <definedName name="IQ_ECO_METRIC_7557">"c7557"</definedName>
    <definedName name="IQ_ECO_METRIC_7557_UNUSED_UNUSED_UNUSED">"c7557"</definedName>
    <definedName name="IQ_ECO_METRIC_7560">"c7560"</definedName>
    <definedName name="IQ_ECO_METRIC_7561">"c7561"</definedName>
    <definedName name="IQ_ECO_METRIC_7562">"c7562"</definedName>
    <definedName name="IQ_ECO_METRIC_7563">"c7563"</definedName>
    <definedName name="IQ_ECO_METRIC_7564">"c7564"</definedName>
    <definedName name="IQ_ECO_METRIC_7565">"c7565"</definedName>
    <definedName name="IQ_ECO_METRIC_7566">"c7566"</definedName>
    <definedName name="IQ_ECO_METRIC_7567">"c7567"</definedName>
    <definedName name="IQ_ECO_METRIC_7568">"c7568"</definedName>
    <definedName name="IQ_ECO_METRIC_7570">"c7570"</definedName>
    <definedName name="IQ_ECO_METRIC_7571">"c7571"</definedName>
    <definedName name="IQ_ECO_METRIC_7572">"c7572"</definedName>
    <definedName name="IQ_ECO_METRIC_7573">"c7573"</definedName>
    <definedName name="IQ_ECO_METRIC_7574">"c7574"</definedName>
    <definedName name="IQ_ECO_METRIC_7575">"c7575"</definedName>
    <definedName name="IQ_ECO_METRIC_7576">"c7576"</definedName>
    <definedName name="IQ_ECO_METRIC_7577">"c7577"</definedName>
    <definedName name="IQ_ECO_METRIC_7578">"c7578"</definedName>
    <definedName name="IQ_ECO_METRIC_7579">"c7579"</definedName>
    <definedName name="IQ_ECO_METRIC_7580">"c7580"</definedName>
    <definedName name="IQ_ECO_METRIC_7581">"c7581"</definedName>
    <definedName name="IQ_ECO_METRIC_7582">"c7582"</definedName>
    <definedName name="IQ_ECO_METRIC_7583">"c7583"</definedName>
    <definedName name="IQ_ECO_METRIC_7584">"c7584"</definedName>
    <definedName name="IQ_ECO_METRIC_7585">"c7585"</definedName>
    <definedName name="IQ_ECO_METRIC_7586">"c7586"</definedName>
    <definedName name="IQ_ECO_METRIC_7588">"c7588"</definedName>
    <definedName name="IQ_ECO_METRIC_7589">"c7589"</definedName>
    <definedName name="IQ_ECO_METRIC_7590">"c7590"</definedName>
    <definedName name="IQ_ECO_METRIC_7591">"c7591"</definedName>
    <definedName name="IQ_ECO_METRIC_7592">"c7592"</definedName>
    <definedName name="IQ_ECO_METRIC_7593">"c7593"</definedName>
    <definedName name="IQ_ECO_METRIC_7594">"c7594"</definedName>
    <definedName name="IQ_ECO_METRIC_7596">"c7596"</definedName>
    <definedName name="IQ_ECO_METRIC_7597">"c7597"</definedName>
    <definedName name="IQ_ECO_METRIC_7598">"c7598"</definedName>
    <definedName name="IQ_ECO_METRIC_7599">"c7599"</definedName>
    <definedName name="IQ_ECO_METRIC_7600">"c7600"</definedName>
    <definedName name="IQ_ECO_METRIC_7601">"c7601"</definedName>
    <definedName name="IQ_ECO_METRIC_7602">"c7602"</definedName>
    <definedName name="IQ_ECO_METRIC_7603">"c7603"</definedName>
    <definedName name="IQ_ECO_METRIC_7604">"c7604"</definedName>
    <definedName name="IQ_ECO_METRIC_7605">"c7605"</definedName>
    <definedName name="IQ_ECO_METRIC_7606">"c7606"</definedName>
    <definedName name="IQ_ECO_METRIC_7607">"c7607"</definedName>
    <definedName name="IQ_ECO_METRIC_7608">"c7608"</definedName>
    <definedName name="IQ_ECO_METRIC_7609">"c7609"</definedName>
    <definedName name="IQ_ECO_METRIC_7610">"c7610"</definedName>
    <definedName name="IQ_ECO_METRIC_7611">"c7611"</definedName>
    <definedName name="IQ_ECO_METRIC_7612">"c7612"</definedName>
    <definedName name="IQ_ECO_METRIC_7613">"c7613"</definedName>
    <definedName name="IQ_ECO_METRIC_7614">"c7614"</definedName>
    <definedName name="IQ_ECO_METRIC_7615">"c7615"</definedName>
    <definedName name="IQ_ECO_METRIC_7616">"c7616"</definedName>
    <definedName name="IQ_ECO_METRIC_7617">"c7617"</definedName>
    <definedName name="IQ_ECO_METRIC_7618">"c7618"</definedName>
    <definedName name="IQ_ECO_METRIC_7619">"c7619"</definedName>
    <definedName name="IQ_ECO_METRIC_7620">"c7620"</definedName>
    <definedName name="IQ_ECO_METRIC_7622">"c7622"</definedName>
    <definedName name="IQ_ECO_METRIC_7623">"c7623"</definedName>
    <definedName name="IQ_ECO_METRIC_7624">"c7624"</definedName>
    <definedName name="IQ_ECO_METRIC_7625">"c7625"</definedName>
    <definedName name="IQ_ECO_METRIC_7626">"c7626"</definedName>
    <definedName name="IQ_ECO_METRIC_7627">"c7627"</definedName>
    <definedName name="IQ_ECO_METRIC_7628">"c7628"</definedName>
    <definedName name="IQ_ECO_METRIC_7629">"c7629"</definedName>
    <definedName name="IQ_ECO_METRIC_7630">"c7630"</definedName>
    <definedName name="IQ_ECO_METRIC_7631">"c7631"</definedName>
    <definedName name="IQ_ECO_METRIC_7632">"c7632"</definedName>
    <definedName name="IQ_ECO_METRIC_7633">"c7633"</definedName>
    <definedName name="IQ_ECO_METRIC_7634">"c7634"</definedName>
    <definedName name="IQ_ECO_METRIC_7635">"c7635"</definedName>
    <definedName name="IQ_ECO_METRIC_7636">"c7636"</definedName>
    <definedName name="IQ_ECO_METRIC_7637">"c7637"</definedName>
    <definedName name="IQ_ECO_METRIC_7638">"c7638"</definedName>
    <definedName name="IQ_ECO_METRIC_7639">"c7639"</definedName>
    <definedName name="IQ_ECO_METRIC_7640">"c7640"</definedName>
    <definedName name="IQ_ECO_METRIC_7641">"c7641"</definedName>
    <definedName name="IQ_ECO_METRIC_7642">"c7642"</definedName>
    <definedName name="IQ_ECO_METRIC_7643">"c7643"</definedName>
    <definedName name="IQ_ECO_METRIC_7644">"c7644"</definedName>
    <definedName name="IQ_ECO_METRIC_7645">"c7645"</definedName>
    <definedName name="IQ_ECO_METRIC_7646">"c7646"</definedName>
    <definedName name="IQ_ECO_METRIC_7647">"c7647"</definedName>
    <definedName name="IQ_ECO_METRIC_7648">"c7648"</definedName>
    <definedName name="IQ_ECO_METRIC_7648_UNUSED_UNUSED_UNUSED">"c7648"</definedName>
    <definedName name="IQ_ECO_METRIC_7649">"c7649"</definedName>
    <definedName name="IQ_ECO_METRIC_7650">"c7650"</definedName>
    <definedName name="IQ_ECO_METRIC_7651">"c7651"</definedName>
    <definedName name="IQ_ECO_METRIC_7652">"c7652"</definedName>
    <definedName name="IQ_ECO_METRIC_7653">"c7653"</definedName>
    <definedName name="IQ_ECO_METRIC_7654">"c7654"</definedName>
    <definedName name="IQ_ECO_METRIC_7655">"c7655"</definedName>
    <definedName name="IQ_ECO_METRIC_7656">"c7656"</definedName>
    <definedName name="IQ_ECO_METRIC_7657">"c7657"</definedName>
    <definedName name="IQ_ECO_METRIC_7658">"c7658"</definedName>
    <definedName name="IQ_ECO_METRIC_7660">"c7660"</definedName>
    <definedName name="IQ_ECO_METRIC_7661">"c7661"</definedName>
    <definedName name="IQ_ECO_METRIC_7663">"c7663"</definedName>
    <definedName name="IQ_ECO_METRIC_7664">"c7664"</definedName>
    <definedName name="IQ_ECO_METRIC_7665">"c7665"</definedName>
    <definedName name="IQ_ECO_METRIC_7666">"c7666"</definedName>
    <definedName name="IQ_ECO_METRIC_7667">"c7667"</definedName>
    <definedName name="IQ_ECO_METRIC_7668">"c7668"</definedName>
    <definedName name="IQ_ECO_METRIC_7669">"c7669"</definedName>
    <definedName name="IQ_ECO_METRIC_7670">"c7670"</definedName>
    <definedName name="IQ_ECO_METRIC_7675">"c7675"</definedName>
    <definedName name="IQ_ECO_METRIC_7676">"c7676"</definedName>
    <definedName name="IQ_ECO_METRIC_7677">"c7677"</definedName>
    <definedName name="IQ_ECO_METRIC_7678">"c7678"</definedName>
    <definedName name="IQ_ECO_METRIC_7679">"c7679"</definedName>
    <definedName name="IQ_ECO_METRIC_7680">"c7680"</definedName>
    <definedName name="IQ_ECO_METRIC_7681">"c7681"</definedName>
    <definedName name="IQ_ECO_METRIC_7685">"c7685"</definedName>
    <definedName name="IQ_ECO_METRIC_7687">"c7687"</definedName>
    <definedName name="IQ_ECO_METRIC_7688">"c7688"</definedName>
    <definedName name="IQ_ECO_METRIC_7689">"c7689"</definedName>
    <definedName name="IQ_ECO_METRIC_7690">"c7690"</definedName>
    <definedName name="IQ_ECO_METRIC_7691">"c7691"</definedName>
    <definedName name="IQ_ECO_METRIC_7692">"c7692"</definedName>
    <definedName name="IQ_ECO_METRIC_7693">"c7693"</definedName>
    <definedName name="IQ_ECO_METRIC_7694">"c7694"</definedName>
    <definedName name="IQ_ECO_METRIC_7695">"c7695"</definedName>
    <definedName name="IQ_ECO_METRIC_7696">"c7696"</definedName>
    <definedName name="IQ_ECO_METRIC_7697">"c7697"</definedName>
    <definedName name="IQ_ECO_METRIC_7698">"c7698"</definedName>
    <definedName name="IQ_ECO_METRIC_7699">"c7699"</definedName>
    <definedName name="IQ_ECO_METRIC_7700">"c7700"</definedName>
    <definedName name="IQ_ECO_METRIC_7701">"c7701"</definedName>
    <definedName name="IQ_ECO_METRIC_7702">"c7702"</definedName>
    <definedName name="IQ_ECO_METRIC_7703">"c7703"</definedName>
    <definedName name="IQ_ECO_METRIC_7705">"c7705"</definedName>
    <definedName name="IQ_ECO_METRIC_7705_UNUSED_UNUSED_UNUSED">"c7705"</definedName>
    <definedName name="IQ_ECO_METRIC_7707">"c7707"</definedName>
    <definedName name="IQ_ECO_METRIC_7708">"c7708"</definedName>
    <definedName name="IQ_ECO_METRIC_7709">"c7709"</definedName>
    <definedName name="IQ_ECO_METRIC_7710">"c7710"</definedName>
    <definedName name="IQ_ECO_METRIC_7711">"c7711"</definedName>
    <definedName name="IQ_ECO_METRIC_7712">"c7712"</definedName>
    <definedName name="IQ_ECO_METRIC_7713">"c7713"</definedName>
    <definedName name="IQ_ECO_METRIC_7714">"c7714"</definedName>
    <definedName name="IQ_ECO_METRIC_7715">"c7715"</definedName>
    <definedName name="IQ_ECO_METRIC_7716">"c7716"</definedName>
    <definedName name="IQ_ECO_METRIC_7717">"c7717"</definedName>
    <definedName name="IQ_ECO_METRIC_7719">"c7719"</definedName>
    <definedName name="IQ_ECO_METRIC_7719_UNUSED_UNUSED_UNUSED">"c7719"</definedName>
    <definedName name="IQ_ECO_METRIC_7720">"c7720"</definedName>
    <definedName name="IQ_ECO_METRIC_7721">"c7721"</definedName>
    <definedName name="IQ_ECO_METRIC_7722">"c7722"</definedName>
    <definedName name="IQ_ECO_METRIC_7723">"c7723"</definedName>
    <definedName name="IQ_ECO_METRIC_7724">"c7724"</definedName>
    <definedName name="IQ_ECO_METRIC_7725">"c7725"</definedName>
    <definedName name="IQ_ECO_METRIC_7726">"c7726"</definedName>
    <definedName name="IQ_ECO_METRIC_7727">"c7727"</definedName>
    <definedName name="IQ_ECO_METRIC_7728">"c7728"</definedName>
    <definedName name="IQ_ECO_METRIC_7729">"c7729"</definedName>
    <definedName name="IQ_ECO_METRIC_7730">"c7730"</definedName>
    <definedName name="IQ_ECO_METRIC_7731">"c7731"</definedName>
    <definedName name="IQ_ECO_METRIC_7732">"c7732"</definedName>
    <definedName name="IQ_ECO_METRIC_7733">"c7733"</definedName>
    <definedName name="IQ_ECO_METRIC_7734">"c7734"</definedName>
    <definedName name="IQ_ECO_METRIC_7735">"c7735"</definedName>
    <definedName name="IQ_ECO_METRIC_7736">"c7736"</definedName>
    <definedName name="IQ_ECO_METRIC_7737">"c7737"</definedName>
    <definedName name="IQ_ECO_METRIC_7738">"c7738"</definedName>
    <definedName name="IQ_ECO_METRIC_7739">"c7739"</definedName>
    <definedName name="IQ_ECO_METRIC_7740">"c7740"</definedName>
    <definedName name="IQ_ECO_METRIC_7741">"c7741"</definedName>
    <definedName name="IQ_ECO_METRIC_7742">"c7742"</definedName>
    <definedName name="IQ_ECO_METRIC_7743">"c7743"</definedName>
    <definedName name="IQ_ECO_METRIC_7744">"c7744"</definedName>
    <definedName name="IQ_ECO_METRIC_7745">"c7745"</definedName>
    <definedName name="IQ_ECO_METRIC_7746">"c7746"</definedName>
    <definedName name="IQ_ECO_METRIC_7747">"c7747"</definedName>
    <definedName name="IQ_ECO_METRIC_7748">"c7748"</definedName>
    <definedName name="IQ_ECO_METRIC_7749">"c7749"</definedName>
    <definedName name="IQ_ECO_METRIC_7750">"c7750"</definedName>
    <definedName name="IQ_ECO_METRIC_7751">"c7751"</definedName>
    <definedName name="IQ_ECO_METRIC_7752">"c7752"</definedName>
    <definedName name="IQ_ECO_METRIC_7753">"c7753"</definedName>
    <definedName name="IQ_ECO_METRIC_7754">"c7754"</definedName>
    <definedName name="IQ_ECO_METRIC_7755">"c7755"</definedName>
    <definedName name="IQ_ECO_METRIC_7756">"c7756"</definedName>
    <definedName name="IQ_ECO_METRIC_7757">"c7757"</definedName>
    <definedName name="IQ_ECO_METRIC_7758">"c7758"</definedName>
    <definedName name="IQ_ECO_METRIC_7759">"c7759"</definedName>
    <definedName name="IQ_ECO_METRIC_7760">"c7760"</definedName>
    <definedName name="IQ_ECO_METRIC_7761">"c7761"</definedName>
    <definedName name="IQ_ECO_METRIC_7762">"c7762"</definedName>
    <definedName name="IQ_ECO_METRIC_7763">"c7763"</definedName>
    <definedName name="IQ_ECO_METRIC_7764">"c7764"</definedName>
    <definedName name="IQ_ECO_METRIC_7765">"c7765"</definedName>
    <definedName name="IQ_ECO_METRIC_7766">"c7766"</definedName>
    <definedName name="IQ_ECO_METRIC_7767">"c7767"</definedName>
    <definedName name="IQ_ECO_METRIC_7768">"c7768"</definedName>
    <definedName name="IQ_ECO_METRIC_7769">"c7769"</definedName>
    <definedName name="IQ_ECO_METRIC_7770">"c7770"</definedName>
    <definedName name="IQ_ECO_METRIC_7771">"c7771"</definedName>
    <definedName name="IQ_ECO_METRIC_7772">"c7772"</definedName>
    <definedName name="IQ_ECO_METRIC_7773">"c7773"</definedName>
    <definedName name="IQ_ECO_METRIC_7774">"c7774"</definedName>
    <definedName name="IQ_ECO_METRIC_7775">"c7775"</definedName>
    <definedName name="IQ_ECO_METRIC_7776">"c7776"</definedName>
    <definedName name="IQ_ECO_METRIC_7776_UNUSED_UNUSED_UNUSED">"c7776"</definedName>
    <definedName name="IQ_ECO_METRIC_7777">"c7777"</definedName>
    <definedName name="IQ_ECO_METRIC_7777_UNUSED_UNUSED_UNUSED">"c7777"</definedName>
    <definedName name="IQ_ECO_METRIC_7779">"c7779"</definedName>
    <definedName name="IQ_ECO_METRIC_7780">"c7780"</definedName>
    <definedName name="IQ_ECO_METRIC_7781">"c7781"</definedName>
    <definedName name="IQ_ECO_METRIC_7782">"c7782"</definedName>
    <definedName name="IQ_ECO_METRIC_7783">"c7783"</definedName>
    <definedName name="IQ_ECO_METRIC_7784">"c7784"</definedName>
    <definedName name="IQ_ECO_METRIC_7785">"c7785"</definedName>
    <definedName name="IQ_ECO_METRIC_7786">"c7786"</definedName>
    <definedName name="IQ_ECO_METRIC_7787">"c7787"</definedName>
    <definedName name="IQ_ECO_METRIC_7788">"c7788"</definedName>
    <definedName name="IQ_ECO_METRIC_7789">"c7789"</definedName>
    <definedName name="IQ_ECO_METRIC_7790">"c7790"</definedName>
    <definedName name="IQ_ECO_METRIC_7791">"c7791"</definedName>
    <definedName name="IQ_ECO_METRIC_7792">"c7792"</definedName>
    <definedName name="IQ_ECO_METRIC_7793">"c7793"</definedName>
    <definedName name="IQ_ECO_METRIC_7794">"c7794"</definedName>
    <definedName name="IQ_ECO_METRIC_7795">"c7795"</definedName>
    <definedName name="IQ_ECO_METRIC_7796">"c7796"</definedName>
    <definedName name="IQ_ECO_METRIC_7797">"c7797"</definedName>
    <definedName name="IQ_ECO_METRIC_7798">"c7798"</definedName>
    <definedName name="IQ_ECO_METRIC_7799">"c7799"</definedName>
    <definedName name="IQ_ECO_METRIC_7800">"c7800"</definedName>
    <definedName name="IQ_ECO_METRIC_7801">"c7801"</definedName>
    <definedName name="IQ_ECO_METRIC_7802">"c7802"</definedName>
    <definedName name="IQ_ECO_METRIC_7803">"c7803"</definedName>
    <definedName name="IQ_ECO_METRIC_7804">"c7804"</definedName>
    <definedName name="IQ_ECO_METRIC_7805">"c7805"</definedName>
    <definedName name="IQ_ECO_METRIC_7806">"c7806"</definedName>
    <definedName name="IQ_ECO_METRIC_7808">"c7808"</definedName>
    <definedName name="IQ_ECO_METRIC_7809">"c7809"</definedName>
    <definedName name="IQ_ECO_METRIC_7810">"c7810"</definedName>
    <definedName name="IQ_ECO_METRIC_7812">"c7812"</definedName>
    <definedName name="IQ_ECO_METRIC_7813">"c7813"</definedName>
    <definedName name="IQ_ECO_METRIC_7814">"c7814"</definedName>
    <definedName name="IQ_ECO_METRIC_7815">"c7815"</definedName>
    <definedName name="IQ_ECO_METRIC_7816">"c7816"</definedName>
    <definedName name="IQ_ECO_METRIC_7817">"c7817"</definedName>
    <definedName name="IQ_ECO_METRIC_7818">"c7818"</definedName>
    <definedName name="IQ_ECO_METRIC_7819">"c7819"</definedName>
    <definedName name="IQ_ECO_METRIC_7820">"c7820"</definedName>
    <definedName name="IQ_ECO_METRIC_7821">"c7821"</definedName>
    <definedName name="IQ_ECO_METRIC_7822">"c7822"</definedName>
    <definedName name="IQ_ECO_METRIC_7823">"c7823"</definedName>
    <definedName name="IQ_ECO_METRIC_7824">"c7824"</definedName>
    <definedName name="IQ_ECO_METRIC_7825">"c7825"</definedName>
    <definedName name="IQ_ECO_METRIC_7826">"c7826"</definedName>
    <definedName name="IQ_ECO_METRIC_7827">"c7827"</definedName>
    <definedName name="IQ_ECO_METRIC_7828">"c7828"</definedName>
    <definedName name="IQ_ECO_METRIC_7829">"c7829"</definedName>
    <definedName name="IQ_ECO_METRIC_7830">"c7830"</definedName>
    <definedName name="IQ_ECO_METRIC_7831">"c7831"</definedName>
    <definedName name="IQ_ECO_METRIC_7832">"c7832"</definedName>
    <definedName name="IQ_ECO_METRIC_7833">"c7833"</definedName>
    <definedName name="IQ_ECO_METRIC_7834">"c7834"</definedName>
    <definedName name="IQ_ECO_METRIC_7835">"c7835"</definedName>
    <definedName name="IQ_ECO_METRIC_7836">"c7836"</definedName>
    <definedName name="IQ_ECO_METRIC_7837">"c7837"</definedName>
    <definedName name="IQ_ECO_METRIC_7838">"c7838"</definedName>
    <definedName name="IQ_ECO_METRIC_7839">"c7839"</definedName>
    <definedName name="IQ_ECO_METRIC_7840">"c7840"</definedName>
    <definedName name="IQ_ECO_METRIC_7842">"c7842"</definedName>
    <definedName name="IQ_ECO_METRIC_7843">"c7843"</definedName>
    <definedName name="IQ_ECO_METRIC_7844">"c7844"</definedName>
    <definedName name="IQ_ECO_METRIC_7845">"c7845"</definedName>
    <definedName name="IQ_ECO_METRIC_7846">"c7846"</definedName>
    <definedName name="IQ_ECO_METRIC_7847">"c7847"</definedName>
    <definedName name="IQ_ECO_METRIC_7848">"c7848"</definedName>
    <definedName name="IQ_ECO_METRIC_7849">"c7849"</definedName>
    <definedName name="IQ_ECO_METRIC_7850">"c7850"</definedName>
    <definedName name="IQ_ECO_METRIC_7851">"c7851"</definedName>
    <definedName name="IQ_ECO_METRIC_7852">"c7852"</definedName>
    <definedName name="IQ_ECO_METRIC_7853">"c7853"</definedName>
    <definedName name="IQ_ECO_METRIC_7854">"c7854"</definedName>
    <definedName name="IQ_ECO_METRIC_7855">"c7855"</definedName>
    <definedName name="IQ_ECO_METRIC_7856">"c7856"</definedName>
    <definedName name="IQ_ECO_METRIC_7857">"c7857"</definedName>
    <definedName name="IQ_ECO_METRIC_7858">"c7858"</definedName>
    <definedName name="IQ_ECO_METRIC_7859">"c7859"</definedName>
    <definedName name="IQ_ECO_METRIC_7860">"c7860"</definedName>
    <definedName name="IQ_ECO_METRIC_7861">"c7861"</definedName>
    <definedName name="IQ_ECO_METRIC_7862">"c7862"</definedName>
    <definedName name="IQ_ECO_METRIC_7863">"c7863"</definedName>
    <definedName name="IQ_ECO_METRIC_7864">"c7864"</definedName>
    <definedName name="IQ_ECO_METRIC_7865">"c7865"</definedName>
    <definedName name="IQ_ECO_METRIC_7866">"c7866"</definedName>
    <definedName name="IQ_ECO_METRIC_7867">"c7867"</definedName>
    <definedName name="IQ_ECO_METRIC_7868">"c7868"</definedName>
    <definedName name="IQ_ECO_METRIC_7868_UNUSED_UNUSED_UNUSED">"c7868"</definedName>
    <definedName name="IQ_ECO_METRIC_7869">"c7869"</definedName>
    <definedName name="IQ_ECO_METRIC_7870">"c7870"</definedName>
    <definedName name="IQ_ECO_METRIC_7871">"c7871"</definedName>
    <definedName name="IQ_ECO_METRIC_7872">"c7872"</definedName>
    <definedName name="IQ_ECO_METRIC_7874">"c7874"</definedName>
    <definedName name="IQ_ECO_METRIC_7875">"c7875"</definedName>
    <definedName name="IQ_ECO_METRIC_7876">"c7876"</definedName>
    <definedName name="IQ_ECO_METRIC_7877">"c7877"</definedName>
    <definedName name="IQ_ECO_METRIC_7878">"c7878"</definedName>
    <definedName name="IQ_ECO_METRIC_7880">"c7880"</definedName>
    <definedName name="IQ_ECO_METRIC_7881">"c7881"</definedName>
    <definedName name="IQ_ECO_METRIC_7882">"c7882"</definedName>
    <definedName name="IQ_ECO_METRIC_7883">"c7883"</definedName>
    <definedName name="IQ_ECO_METRIC_7884">"c7884"</definedName>
    <definedName name="IQ_ECO_METRIC_7885">"c7885"</definedName>
    <definedName name="IQ_ECO_METRIC_7886">"c7886"</definedName>
    <definedName name="IQ_ECO_METRIC_7887">"c7887"</definedName>
    <definedName name="IQ_ECO_METRIC_7888">"c7888"</definedName>
    <definedName name="IQ_ECO_METRIC_7889">"c7889"</definedName>
    <definedName name="IQ_ECO_METRIC_7890">"c7890"</definedName>
    <definedName name="IQ_ECO_METRIC_7891">"c7891"</definedName>
    <definedName name="IQ_ECO_METRIC_7892">"c7892"</definedName>
    <definedName name="IQ_ECO_METRIC_7893">"c7893"</definedName>
    <definedName name="IQ_ECO_METRIC_7895">"c7895"</definedName>
    <definedName name="IQ_ECO_METRIC_7896">"c7896"</definedName>
    <definedName name="IQ_ECO_METRIC_7897">"c7897"</definedName>
    <definedName name="IQ_ECO_METRIC_7898">"c7898"</definedName>
    <definedName name="IQ_ECO_METRIC_7899">"c7899"</definedName>
    <definedName name="IQ_ECO_METRIC_7900">"c7900"</definedName>
    <definedName name="IQ_ECO_METRIC_7901">"c7901"</definedName>
    <definedName name="IQ_ECO_METRIC_7903">"c7903"</definedName>
    <definedName name="IQ_ECO_METRIC_7904">"c7904"</definedName>
    <definedName name="IQ_ECO_METRIC_7905">"c7905"</definedName>
    <definedName name="IQ_ECO_METRIC_7906">"c7906"</definedName>
    <definedName name="IQ_ECO_METRIC_7907">"c7907"</definedName>
    <definedName name="IQ_ECO_METRIC_7908">"c7908"</definedName>
    <definedName name="IQ_ECO_METRIC_7909">"c7909"</definedName>
    <definedName name="IQ_ECO_METRIC_7910">"c7910"</definedName>
    <definedName name="IQ_ECO_METRIC_7911">"c7911"</definedName>
    <definedName name="IQ_ECO_METRIC_7912">"c7912"</definedName>
    <definedName name="IQ_ECO_METRIC_7913">"c7913"</definedName>
    <definedName name="IQ_ECO_METRIC_7914">"c7914"</definedName>
    <definedName name="IQ_ECO_METRIC_7915">"c7915"</definedName>
    <definedName name="IQ_ECO_METRIC_7916">"c7916"</definedName>
    <definedName name="IQ_ECO_METRIC_7917">"c7917"</definedName>
    <definedName name="IQ_ECO_METRIC_7918">"c7918"</definedName>
    <definedName name="IQ_ECO_METRIC_7919">"c7919"</definedName>
    <definedName name="IQ_ECO_METRIC_7920">"c7920"</definedName>
    <definedName name="IQ_ECO_METRIC_7921">"c7921"</definedName>
    <definedName name="IQ_ECO_METRIC_7922">"c7922"</definedName>
    <definedName name="IQ_ECO_METRIC_7923">"c7923"</definedName>
    <definedName name="IQ_ECO_METRIC_7925">"c7925"</definedName>
    <definedName name="IQ_ECO_METRIC_7925_UNUSED_UNUSED_UNUSED">"c7925"</definedName>
    <definedName name="IQ_ECO_METRIC_7927">"c7927"</definedName>
    <definedName name="IQ_ECO_METRIC_7928">"c7928"</definedName>
    <definedName name="IQ_ECO_METRIC_7929">"c7929"</definedName>
    <definedName name="IQ_ECO_METRIC_7930">"c7930"</definedName>
    <definedName name="IQ_ECO_METRIC_7931">"c7931"</definedName>
    <definedName name="IQ_ECO_METRIC_7932">"c7932"</definedName>
    <definedName name="IQ_ECO_METRIC_7933">"c7933"</definedName>
    <definedName name="IQ_ECO_METRIC_7934">"c7934"</definedName>
    <definedName name="IQ_ECO_METRIC_7935">"c7935"</definedName>
    <definedName name="IQ_ECO_METRIC_7936">"c7936"</definedName>
    <definedName name="IQ_ECO_METRIC_7937">"c7937"</definedName>
    <definedName name="IQ_ECO_METRIC_7939">"c7939"</definedName>
    <definedName name="IQ_ECO_METRIC_7939_UNUSED_UNUSED_UNUSED">"c7939"</definedName>
    <definedName name="IQ_ECO_METRIC_7940">"c7940"</definedName>
    <definedName name="IQ_ECO_METRIC_7941">"c7941"</definedName>
    <definedName name="IQ_ECO_METRIC_7942">"c7942"</definedName>
    <definedName name="IQ_ECO_METRIC_7943">"c7943"</definedName>
    <definedName name="IQ_ECO_METRIC_7944">"c7944"</definedName>
    <definedName name="IQ_ECO_METRIC_7945">"c7945"</definedName>
    <definedName name="IQ_ECO_METRIC_7946">"c7946"</definedName>
    <definedName name="IQ_ECO_METRIC_7947">"c7947"</definedName>
    <definedName name="IQ_ECO_METRIC_7948">"c7948"</definedName>
    <definedName name="IQ_ECO_METRIC_7949">"c7949"</definedName>
    <definedName name="IQ_ECO_METRIC_7950">"c7950"</definedName>
    <definedName name="IQ_ECO_METRIC_7951">"c7951"</definedName>
    <definedName name="IQ_ECO_METRIC_7952">"c7952"</definedName>
    <definedName name="IQ_ECO_METRIC_7953">"c7953"</definedName>
    <definedName name="IQ_ECO_METRIC_7954">"c7954"</definedName>
    <definedName name="IQ_ECO_METRIC_7955">"c7955"</definedName>
    <definedName name="IQ_ECO_METRIC_7956">"c7956"</definedName>
    <definedName name="IQ_ECO_METRIC_7957">"c7957"</definedName>
    <definedName name="IQ_ECO_METRIC_7958">"c7958"</definedName>
    <definedName name="IQ_ECO_METRIC_7959">"c7959"</definedName>
    <definedName name="IQ_ECO_METRIC_7960">"c7960"</definedName>
    <definedName name="IQ_ECO_METRIC_7961">"c7961"</definedName>
    <definedName name="IQ_ECO_METRIC_7962">"c7962"</definedName>
    <definedName name="IQ_ECO_METRIC_7963">"c7963"</definedName>
    <definedName name="IQ_ECO_METRIC_7964">"c7964"</definedName>
    <definedName name="IQ_ECO_METRIC_7965">"c7965"</definedName>
    <definedName name="IQ_ECO_METRIC_7966">"c7966"</definedName>
    <definedName name="IQ_ECO_METRIC_7967">"c7967"</definedName>
    <definedName name="IQ_ECO_METRIC_7968">"c7968"</definedName>
    <definedName name="IQ_ECO_METRIC_7969">"c7969"</definedName>
    <definedName name="IQ_ECO_METRIC_7970">"c7970"</definedName>
    <definedName name="IQ_ECO_METRIC_7971">"c7971"</definedName>
    <definedName name="IQ_ECO_METRIC_7972">"c7972"</definedName>
    <definedName name="IQ_ECO_METRIC_7973">"c7973"</definedName>
    <definedName name="IQ_ECO_METRIC_7974">"c7974"</definedName>
    <definedName name="IQ_ECO_METRIC_7975">"c7975"</definedName>
    <definedName name="IQ_ECO_METRIC_7976">"c7976"</definedName>
    <definedName name="IQ_ECO_METRIC_7977">"c7977"</definedName>
    <definedName name="IQ_ECO_METRIC_7978">"c7978"</definedName>
    <definedName name="IQ_ECO_METRIC_7979">"c7979"</definedName>
    <definedName name="IQ_ECO_METRIC_7980">"c7980"</definedName>
    <definedName name="IQ_ECO_METRIC_7981">"c7981"</definedName>
    <definedName name="IQ_ECO_METRIC_7982">"c7982"</definedName>
    <definedName name="IQ_ECO_METRIC_7983">"c7983"</definedName>
    <definedName name="IQ_ECO_METRIC_7984">"c7984"</definedName>
    <definedName name="IQ_ECO_METRIC_7985">"c7985"</definedName>
    <definedName name="IQ_ECO_METRIC_7986">"c7986"</definedName>
    <definedName name="IQ_ECO_METRIC_7987">"c7987"</definedName>
    <definedName name="IQ_ECO_METRIC_7988">"c7988"</definedName>
    <definedName name="IQ_ECO_METRIC_7989">"c7989"</definedName>
    <definedName name="IQ_ECO_METRIC_7990">"c7990"</definedName>
    <definedName name="IQ_ECO_METRIC_7991">"c7991"</definedName>
    <definedName name="IQ_ECO_METRIC_7992">"c7992"</definedName>
    <definedName name="IQ_ECO_METRIC_7993">"c7993"</definedName>
    <definedName name="IQ_ECO_METRIC_7994">"c7994"</definedName>
    <definedName name="IQ_ECO_METRIC_7995">"c7995"</definedName>
    <definedName name="IQ_ECO_METRIC_7996">"c7996"</definedName>
    <definedName name="IQ_ECO_METRIC_7996_UNUSED_UNUSED_UNUSED">"c7996"</definedName>
    <definedName name="IQ_ECO_METRIC_7997">"c7997"</definedName>
    <definedName name="IQ_ECO_METRIC_7997_UNUSED_UNUSED_UNUSED">"c7997"</definedName>
    <definedName name="IQ_ECO_METRIC_7999">"c7999"</definedName>
    <definedName name="IQ_ECO_METRIC_8000">"c8000"</definedName>
    <definedName name="IQ_ECO_METRIC_8001">"c8001"</definedName>
    <definedName name="IQ_ECO_METRIC_8002">"c8002"</definedName>
    <definedName name="IQ_ECO_METRIC_8003">"c8003"</definedName>
    <definedName name="IQ_ECO_METRIC_8004">"c8004"</definedName>
    <definedName name="IQ_ECO_METRIC_8005">"c8005"</definedName>
    <definedName name="IQ_ECO_METRIC_8006">"c8006"</definedName>
    <definedName name="IQ_ECO_METRIC_8007">"c8007"</definedName>
    <definedName name="IQ_ECO_METRIC_8008">"c8008"</definedName>
    <definedName name="IQ_ECO_METRIC_8009">"c8009"</definedName>
    <definedName name="IQ_ECO_METRIC_8010">"c8010"</definedName>
    <definedName name="IQ_ECO_METRIC_8011">"c8011"</definedName>
    <definedName name="IQ_ECO_METRIC_8012">"c8012"</definedName>
    <definedName name="IQ_ECO_METRIC_8013">"c8013"</definedName>
    <definedName name="IQ_ECO_METRIC_8014">"c8014"</definedName>
    <definedName name="IQ_ECO_METRIC_8015">"c8015"</definedName>
    <definedName name="IQ_ECO_METRIC_8016">"c8016"</definedName>
    <definedName name="IQ_ECO_METRIC_8017">"c8017"</definedName>
    <definedName name="IQ_ECO_METRIC_8018">"c8018"</definedName>
    <definedName name="IQ_ECO_METRIC_8019">"c8019"</definedName>
    <definedName name="IQ_ECO_METRIC_8020">"c8020"</definedName>
    <definedName name="IQ_ECO_METRIC_8021">"c8021"</definedName>
    <definedName name="IQ_ECO_METRIC_8022">"c8022"</definedName>
    <definedName name="IQ_ECO_METRIC_8023">"c8023"</definedName>
    <definedName name="IQ_ECO_METRIC_8024">"c8024"</definedName>
    <definedName name="IQ_ECO_METRIC_8025">"c8025"</definedName>
    <definedName name="IQ_ECO_METRIC_8026">"c8026"</definedName>
    <definedName name="IQ_ECO_METRIC_8028">"c8028"</definedName>
    <definedName name="IQ_ECO_METRIC_8029">"c8029"</definedName>
    <definedName name="IQ_ECO_METRIC_8030">"c8030"</definedName>
    <definedName name="IQ_ECO_METRIC_8032">"c8032"</definedName>
    <definedName name="IQ_ECO_METRIC_8033">"c8033"</definedName>
    <definedName name="IQ_ECO_METRIC_8034">"c8034"</definedName>
    <definedName name="IQ_ECO_METRIC_8035">"c8035"</definedName>
    <definedName name="IQ_ECO_METRIC_8036">"c8036"</definedName>
    <definedName name="IQ_ECO_METRIC_8037">"c8037"</definedName>
    <definedName name="IQ_ECO_METRIC_8038">"c8038"</definedName>
    <definedName name="IQ_ECO_METRIC_8039">"c8039"</definedName>
    <definedName name="IQ_ECO_METRIC_8040">"c8040"</definedName>
    <definedName name="IQ_ECO_METRIC_8041">"c8041"</definedName>
    <definedName name="IQ_ECO_METRIC_8042">"c8042"</definedName>
    <definedName name="IQ_ECO_METRIC_8043">"c8043"</definedName>
    <definedName name="IQ_ECO_METRIC_8044">"c8044"</definedName>
    <definedName name="IQ_ECO_METRIC_8045">"c8045"</definedName>
    <definedName name="IQ_ECO_METRIC_8046">"c8046"</definedName>
    <definedName name="IQ_ECO_METRIC_8047">"c8047"</definedName>
    <definedName name="IQ_ECO_METRIC_8048">"c8048"</definedName>
    <definedName name="IQ_ECO_METRIC_8049">"c8049"</definedName>
    <definedName name="IQ_ECO_METRIC_8050">"c8050"</definedName>
    <definedName name="IQ_ECO_METRIC_8051">"c8051"</definedName>
    <definedName name="IQ_ECO_METRIC_8052">"c8052"</definedName>
    <definedName name="IQ_ECO_METRIC_8053">"c8053"</definedName>
    <definedName name="IQ_ECO_METRIC_8054">"c8054"</definedName>
    <definedName name="IQ_ECO_METRIC_8055">"c8055"</definedName>
    <definedName name="IQ_ECO_METRIC_8056">"c8056"</definedName>
    <definedName name="IQ_ECO_METRIC_8057">"c8057"</definedName>
    <definedName name="IQ_ECO_METRIC_8058">"c8058"</definedName>
    <definedName name="IQ_ECO_METRIC_8059">"c8059"</definedName>
    <definedName name="IQ_ECO_METRIC_8060">"c8060"</definedName>
    <definedName name="IQ_ECO_METRIC_8062">"c8062"</definedName>
    <definedName name="IQ_ECO_METRIC_8063">"c8063"</definedName>
    <definedName name="IQ_ECO_METRIC_8064">"c8064"</definedName>
    <definedName name="IQ_ECO_METRIC_8065">"c8065"</definedName>
    <definedName name="IQ_ECO_METRIC_8066">"c8066"</definedName>
    <definedName name="IQ_ECO_METRIC_8067">"c8067"</definedName>
    <definedName name="IQ_ECO_METRIC_8068">"c8068"</definedName>
    <definedName name="IQ_ECO_METRIC_8069">"c8069"</definedName>
    <definedName name="IQ_ECO_METRIC_8070">"c8070"</definedName>
    <definedName name="IQ_ECO_METRIC_8071">"c8071"</definedName>
    <definedName name="IQ_ECO_METRIC_8072">"c8072"</definedName>
    <definedName name="IQ_ECO_METRIC_8073">"c8073"</definedName>
    <definedName name="IQ_ECO_METRIC_8074">"c8074"</definedName>
    <definedName name="IQ_ECO_METRIC_8075">"c8075"</definedName>
    <definedName name="IQ_ECO_METRIC_8076">"c8076"</definedName>
    <definedName name="IQ_ECO_METRIC_8077">"c8077"</definedName>
    <definedName name="IQ_ECO_METRIC_8078">"c8078"</definedName>
    <definedName name="IQ_ECO_METRIC_8079">"c8079"</definedName>
    <definedName name="IQ_ECO_METRIC_8080">"c8080"</definedName>
    <definedName name="IQ_ECO_METRIC_8081">"c8081"</definedName>
    <definedName name="IQ_ECO_METRIC_8082">"c8082"</definedName>
    <definedName name="IQ_ECO_METRIC_8083">"c8083"</definedName>
    <definedName name="IQ_ECO_METRIC_8084">"c8084"</definedName>
    <definedName name="IQ_ECO_METRIC_8085">"c8085"</definedName>
    <definedName name="IQ_ECO_METRIC_8086">"c8086"</definedName>
    <definedName name="IQ_ECO_METRIC_8087">"c8087"</definedName>
    <definedName name="IQ_ECO_METRIC_8088">"c8088"</definedName>
    <definedName name="IQ_ECO_METRIC_8088_UNUSED_UNUSED_UNUSED">"c8088"</definedName>
    <definedName name="IQ_ECO_METRIC_8089">"c8089"</definedName>
    <definedName name="IQ_ECO_METRIC_8090">"c8090"</definedName>
    <definedName name="IQ_ECO_METRIC_8091">"c8091"</definedName>
    <definedName name="IQ_ECO_METRIC_8092">"c8092"</definedName>
    <definedName name="IQ_ECO_METRIC_8094">"c8094"</definedName>
    <definedName name="IQ_ECO_METRIC_8095">"c8095"</definedName>
    <definedName name="IQ_ECO_METRIC_8096">"c8096"</definedName>
    <definedName name="IQ_ECO_METRIC_8097">"c8097"</definedName>
    <definedName name="IQ_ECO_METRIC_8098">"c8098"</definedName>
    <definedName name="IQ_ECO_METRIC_8100">"c8100"</definedName>
    <definedName name="IQ_ECO_METRIC_8101">"c8101"</definedName>
    <definedName name="IQ_ECO_METRIC_8102">"c8102"</definedName>
    <definedName name="IQ_ECO_METRIC_8103">"c8103"</definedName>
    <definedName name="IQ_ECO_METRIC_8104">"c8104"</definedName>
    <definedName name="IQ_ECO_METRIC_8105">"c8105"</definedName>
    <definedName name="IQ_ECO_METRIC_8106">"c8106"</definedName>
    <definedName name="IQ_ECO_METRIC_8107">"c8107"</definedName>
    <definedName name="IQ_ECO_METRIC_8108">"c8108"</definedName>
    <definedName name="IQ_ECO_METRIC_8109">"c8109"</definedName>
    <definedName name="IQ_ECO_METRIC_8110">"c8110"</definedName>
    <definedName name="IQ_ECO_METRIC_8111">"c8111"</definedName>
    <definedName name="IQ_ECO_METRIC_8112">"c8112"</definedName>
    <definedName name="IQ_ECO_METRIC_8113">"c8113"</definedName>
    <definedName name="IQ_ECO_METRIC_8115">"c8115"</definedName>
    <definedName name="IQ_ECO_METRIC_8116">"c8116"</definedName>
    <definedName name="IQ_ECO_METRIC_8117">"c8117"</definedName>
    <definedName name="IQ_ECO_METRIC_8118">"c8118"</definedName>
    <definedName name="IQ_ECO_METRIC_8119">"c8119"</definedName>
    <definedName name="IQ_ECO_METRIC_8120">"c8120"</definedName>
    <definedName name="IQ_ECO_METRIC_8121">"c8121"</definedName>
    <definedName name="IQ_ECO_METRIC_8123">"c8123"</definedName>
    <definedName name="IQ_ECO_METRIC_8124">"c8124"</definedName>
    <definedName name="IQ_ECO_METRIC_8125">"c8125"</definedName>
    <definedName name="IQ_ECO_METRIC_8126">"c8126"</definedName>
    <definedName name="IQ_ECO_METRIC_8127">"c8127"</definedName>
    <definedName name="IQ_ECO_METRIC_8128">"c8128"</definedName>
    <definedName name="IQ_ECO_METRIC_8129">"c8129"</definedName>
    <definedName name="IQ_ECO_METRIC_8130">"c8130"</definedName>
    <definedName name="IQ_ECO_METRIC_8131">"c8131"</definedName>
    <definedName name="IQ_ECO_METRIC_8132">"c8132"</definedName>
    <definedName name="IQ_ECO_METRIC_8133">"c8133"</definedName>
    <definedName name="IQ_ECO_METRIC_8134">"c8134"</definedName>
    <definedName name="IQ_ECO_METRIC_8135">"c8135"</definedName>
    <definedName name="IQ_ECO_METRIC_8136">"c8136"</definedName>
    <definedName name="IQ_ECO_METRIC_8137">"c8137"</definedName>
    <definedName name="IQ_ECO_METRIC_8138">"c8138"</definedName>
    <definedName name="IQ_ECO_METRIC_8139">"c8139"</definedName>
    <definedName name="IQ_ECO_METRIC_8140">"c8140"</definedName>
    <definedName name="IQ_ECO_METRIC_8141">"c8141"</definedName>
    <definedName name="IQ_ECO_METRIC_8142">"c8142"</definedName>
    <definedName name="IQ_ECO_METRIC_8143">"c8143"</definedName>
    <definedName name="IQ_ECO_METRIC_8145">"c8145"</definedName>
    <definedName name="IQ_ECO_METRIC_8145_UNUSED_UNUSED_UNUSED">"c8145"</definedName>
    <definedName name="IQ_ECO_METRIC_8147">"c8147"</definedName>
    <definedName name="IQ_ECO_METRIC_8148">"c8148"</definedName>
    <definedName name="IQ_ECO_METRIC_8149">"c8149"</definedName>
    <definedName name="IQ_ECO_METRIC_8150">"c8150"</definedName>
    <definedName name="IQ_ECO_METRIC_8152">"c8152"</definedName>
    <definedName name="IQ_ECO_METRIC_8153">"c8153"</definedName>
    <definedName name="IQ_ECO_METRIC_8154">"c8154"</definedName>
    <definedName name="IQ_ECO_METRIC_8155">"c8155"</definedName>
    <definedName name="IQ_ECO_METRIC_8156">"c8156"</definedName>
    <definedName name="IQ_ECO_METRIC_8157">"c8157"</definedName>
    <definedName name="IQ_ECO_METRIC_8159">"c8159"</definedName>
    <definedName name="IQ_ECO_METRIC_8159_UNUSED_UNUSED_UNUSED">"c8159"</definedName>
    <definedName name="IQ_ECO_METRIC_8160">"c8160"</definedName>
    <definedName name="IQ_ECO_METRIC_8161">"c8161"</definedName>
    <definedName name="IQ_ECO_METRIC_8162">"c8162"</definedName>
    <definedName name="IQ_ECO_METRIC_8163">"c8163"</definedName>
    <definedName name="IQ_ECO_METRIC_8164">"c8164"</definedName>
    <definedName name="IQ_ECO_METRIC_8165">"c8165"</definedName>
    <definedName name="IQ_ECO_METRIC_8166">"c8166"</definedName>
    <definedName name="IQ_ECO_METRIC_8167">"c8167"</definedName>
    <definedName name="IQ_ECO_METRIC_8168">"c8168"</definedName>
    <definedName name="IQ_ECO_METRIC_8169">"c8169"</definedName>
    <definedName name="IQ_ECO_METRIC_8170">"c8170"</definedName>
    <definedName name="IQ_ECO_METRIC_8171">"c8171"</definedName>
    <definedName name="IQ_ECO_METRIC_8172">"c8172"</definedName>
    <definedName name="IQ_ECO_METRIC_8173">"c8173"</definedName>
    <definedName name="IQ_ECO_METRIC_8174">"c8174"</definedName>
    <definedName name="IQ_ECO_METRIC_8175">"c8175"</definedName>
    <definedName name="IQ_ECO_METRIC_8176">"c8176"</definedName>
    <definedName name="IQ_ECO_METRIC_8177">"c8177"</definedName>
    <definedName name="IQ_ECO_METRIC_8178">"c8178"</definedName>
    <definedName name="IQ_ECO_METRIC_8179">"c8179"</definedName>
    <definedName name="IQ_ECO_METRIC_8180">"c8180"</definedName>
    <definedName name="IQ_ECO_METRIC_8181">"c8181"</definedName>
    <definedName name="IQ_ECO_METRIC_8182">"c8182"</definedName>
    <definedName name="IQ_ECO_METRIC_8183">"c8183"</definedName>
    <definedName name="IQ_ECO_METRIC_8184">"c8184"</definedName>
    <definedName name="IQ_ECO_METRIC_8185">"c8185"</definedName>
    <definedName name="IQ_ECO_METRIC_8186">"c8186"</definedName>
    <definedName name="IQ_ECO_METRIC_8187">"c8187"</definedName>
    <definedName name="IQ_ECO_METRIC_8188">"c8188"</definedName>
    <definedName name="IQ_ECO_METRIC_8189">"c8189"</definedName>
    <definedName name="IQ_ECO_METRIC_8190">"c8190"</definedName>
    <definedName name="IQ_ECO_METRIC_8191">"c8191"</definedName>
    <definedName name="IQ_ECO_METRIC_8192">"c8192"</definedName>
    <definedName name="IQ_ECO_METRIC_8193">"c8193"</definedName>
    <definedName name="IQ_ECO_METRIC_8194">"c8194"</definedName>
    <definedName name="IQ_ECO_METRIC_8195">"c8195"</definedName>
    <definedName name="IQ_ECO_METRIC_8196">"c8196"</definedName>
    <definedName name="IQ_ECO_METRIC_8197">"c8197"</definedName>
    <definedName name="IQ_ECO_METRIC_8198">"c8198"</definedName>
    <definedName name="IQ_ECO_METRIC_8199">"c8199"</definedName>
    <definedName name="IQ_ECO_METRIC_8200">"c8200"</definedName>
    <definedName name="IQ_ECO_METRIC_8201">"c8201"</definedName>
    <definedName name="IQ_ECO_METRIC_8202">"c8202"</definedName>
    <definedName name="IQ_ECO_METRIC_8203">"c8203"</definedName>
    <definedName name="IQ_ECO_METRIC_8204">"c8204"</definedName>
    <definedName name="IQ_ECO_METRIC_8205">"c8205"</definedName>
    <definedName name="IQ_ECO_METRIC_8206">"c8206"</definedName>
    <definedName name="IQ_ECO_METRIC_8207">"c8207"</definedName>
    <definedName name="IQ_ECO_METRIC_8208">"c8208"</definedName>
    <definedName name="IQ_ECO_METRIC_8209">"c8209"</definedName>
    <definedName name="IQ_ECO_METRIC_8210">"c8210"</definedName>
    <definedName name="IQ_ECO_METRIC_8211">"c8211"</definedName>
    <definedName name="IQ_ECO_METRIC_8212">"c8212"</definedName>
    <definedName name="IQ_ECO_METRIC_8213">"c8213"</definedName>
    <definedName name="IQ_ECO_METRIC_8214">"c8214"</definedName>
    <definedName name="IQ_ECO_METRIC_8215">"c8215"</definedName>
    <definedName name="IQ_ECO_METRIC_8216">"c8216"</definedName>
    <definedName name="IQ_ECO_METRIC_8216_UNUSED_UNUSED_UNUSED">"c8216"</definedName>
    <definedName name="IQ_ECO_METRIC_8217">"c8217"</definedName>
    <definedName name="IQ_ECO_METRIC_8217_UNUSED_UNUSED_UNUSED">"c8217"</definedName>
    <definedName name="IQ_ECO_METRIC_8219">"c8219"</definedName>
    <definedName name="IQ_ECO_METRIC_8221">"c8221"</definedName>
    <definedName name="IQ_ECO_METRIC_8222">"c8222"</definedName>
    <definedName name="IQ_ECO_METRIC_8223">"c8223"</definedName>
    <definedName name="IQ_ECO_METRIC_8224">"c8224"</definedName>
    <definedName name="IQ_ECO_METRIC_8225">"c8225"</definedName>
    <definedName name="IQ_ECO_METRIC_8226">"c8226"</definedName>
    <definedName name="IQ_ECO_METRIC_8227">"c8227"</definedName>
    <definedName name="IQ_ECO_METRIC_8228">"c8228"</definedName>
    <definedName name="IQ_ECO_METRIC_8229">"c8229"</definedName>
    <definedName name="IQ_ECO_METRIC_8230">"c8230"</definedName>
    <definedName name="IQ_ECO_METRIC_8231">"c8231"</definedName>
    <definedName name="IQ_ECO_METRIC_8232">"c8232"</definedName>
    <definedName name="IQ_ECO_METRIC_8233">"c8233"</definedName>
    <definedName name="IQ_ECO_METRIC_8234">"c8234"</definedName>
    <definedName name="IQ_ECO_METRIC_8235">"c8235"</definedName>
    <definedName name="IQ_ECO_METRIC_8236">"c8236"</definedName>
    <definedName name="IQ_ECO_METRIC_8237">"c8237"</definedName>
    <definedName name="IQ_ECO_METRIC_8238">"c8238"</definedName>
    <definedName name="IQ_ECO_METRIC_8239">"c8239"</definedName>
    <definedName name="IQ_ECO_METRIC_8240">"c8240"</definedName>
    <definedName name="IQ_ECO_METRIC_8241">"c8241"</definedName>
    <definedName name="IQ_ECO_METRIC_8242">"c8242"</definedName>
    <definedName name="IQ_ECO_METRIC_8243">"c8243"</definedName>
    <definedName name="IQ_ECO_METRIC_8244">"c8244"</definedName>
    <definedName name="IQ_ECO_METRIC_8245">"c8245"</definedName>
    <definedName name="IQ_ECO_METRIC_8246">"c8246"</definedName>
    <definedName name="IQ_ECO_METRIC_8248">"c8248"</definedName>
    <definedName name="IQ_ECO_METRIC_8249">"c8249"</definedName>
    <definedName name="IQ_ECO_METRIC_8250">"c8250"</definedName>
    <definedName name="IQ_ECO_METRIC_8252">"c8252"</definedName>
    <definedName name="IQ_ECO_METRIC_8253">"c8253"</definedName>
    <definedName name="IQ_ECO_METRIC_8254">"c8254"</definedName>
    <definedName name="IQ_ECO_METRIC_8255">"c8255"</definedName>
    <definedName name="IQ_ECO_METRIC_8256">"c8256"</definedName>
    <definedName name="IQ_ECO_METRIC_8257">"c8257"</definedName>
    <definedName name="IQ_ECO_METRIC_8258">"c8258"</definedName>
    <definedName name="IQ_ECO_METRIC_8259">"c8259"</definedName>
    <definedName name="IQ_ECO_METRIC_8260">"c8260"</definedName>
    <definedName name="IQ_ECO_METRIC_8261">"c8261"</definedName>
    <definedName name="IQ_ECO_METRIC_8262">"c8262"</definedName>
    <definedName name="IQ_ECO_METRIC_8263">"c8263"</definedName>
    <definedName name="IQ_ECO_METRIC_8264">"c8264"</definedName>
    <definedName name="IQ_ECO_METRIC_8265">"c8265"</definedName>
    <definedName name="IQ_ECO_METRIC_8266">"c8266"</definedName>
    <definedName name="IQ_ECO_METRIC_8267">"c8267"</definedName>
    <definedName name="IQ_ECO_METRIC_8268">"c8268"</definedName>
    <definedName name="IQ_ECO_METRIC_8269">"c8269"</definedName>
    <definedName name="IQ_ECO_METRIC_8270">"c8270"</definedName>
    <definedName name="IQ_ECO_METRIC_8271">"c8271"</definedName>
    <definedName name="IQ_ECO_METRIC_8272">"c8272"</definedName>
    <definedName name="IQ_ECO_METRIC_8273">"c8273"</definedName>
    <definedName name="IQ_ECO_METRIC_8274">"c8274"</definedName>
    <definedName name="IQ_ECO_METRIC_8275">"c8275"</definedName>
    <definedName name="IQ_ECO_METRIC_8276">"c8276"</definedName>
    <definedName name="IQ_ECO_METRIC_8277">"c8277"</definedName>
    <definedName name="IQ_ECO_METRIC_8278">"c8278"</definedName>
    <definedName name="IQ_ECO_METRIC_8279">"c8279"</definedName>
    <definedName name="IQ_ECO_METRIC_8280">"c8280"</definedName>
    <definedName name="IQ_ECO_METRIC_8282">"c8282"</definedName>
    <definedName name="IQ_ECO_METRIC_8283">"c8283"</definedName>
    <definedName name="IQ_ECO_METRIC_8284">"c8284"</definedName>
    <definedName name="IQ_ECO_METRIC_8285">"c8285"</definedName>
    <definedName name="IQ_ECO_METRIC_8286">"c8286"</definedName>
    <definedName name="IQ_ECO_METRIC_8287">"c8287"</definedName>
    <definedName name="IQ_ECO_METRIC_8288">"c8288"</definedName>
    <definedName name="IQ_ECO_METRIC_8289">"c8289"</definedName>
    <definedName name="IQ_ECO_METRIC_8290">"c8290"</definedName>
    <definedName name="IQ_ECO_METRIC_8291">"c8291"</definedName>
    <definedName name="IQ_ECO_METRIC_8292">"c8292"</definedName>
    <definedName name="IQ_ECO_METRIC_8293">"c8293"</definedName>
    <definedName name="IQ_ECO_METRIC_8294">"c8294"</definedName>
    <definedName name="IQ_ECO_METRIC_8295">"c8295"</definedName>
    <definedName name="IQ_ECO_METRIC_8296">"c8296"</definedName>
    <definedName name="IQ_ECO_METRIC_8297">"c8297"</definedName>
    <definedName name="IQ_ECO_METRIC_8298">"c8298"</definedName>
    <definedName name="IQ_ECO_METRIC_8299">"c8299"</definedName>
    <definedName name="IQ_ECO_METRIC_8300">"c8300"</definedName>
    <definedName name="IQ_ECO_METRIC_8301">"c8301"</definedName>
    <definedName name="IQ_ECO_METRIC_8302">"c8302"</definedName>
    <definedName name="IQ_ECO_METRIC_8303">"c8303"</definedName>
    <definedName name="IQ_ECO_METRIC_8304">"c8304"</definedName>
    <definedName name="IQ_ECO_METRIC_8305">"c8305"</definedName>
    <definedName name="IQ_ECO_METRIC_8306">"c8306"</definedName>
    <definedName name="IQ_ECO_METRIC_8307">"c8307"</definedName>
    <definedName name="IQ_ECO_METRIC_8308">"c8308"</definedName>
    <definedName name="IQ_ECO_METRIC_8308_UNUSED_UNUSED_UNUSED">"c8308"</definedName>
    <definedName name="IQ_ECO_METRIC_8309">"c8309"</definedName>
    <definedName name="IQ_ECO_METRIC_8310">"c8310"</definedName>
    <definedName name="IQ_ECO_METRIC_8311">"c8311"</definedName>
    <definedName name="IQ_ECO_METRIC_8312">"c8312"</definedName>
    <definedName name="IQ_ECO_METRIC_8314">"c8314"</definedName>
    <definedName name="IQ_ECO_METRIC_8315">"c8315"</definedName>
    <definedName name="IQ_ECO_METRIC_8316">"c8316"</definedName>
    <definedName name="IQ_ECO_METRIC_8317">"c8317"</definedName>
    <definedName name="IQ_ECO_METRIC_8318">"c8318"</definedName>
    <definedName name="IQ_ECO_METRIC_8320">"c8320"</definedName>
    <definedName name="IQ_ECO_METRIC_8321">"c8321"</definedName>
    <definedName name="IQ_ECO_METRIC_8322">"c8322"</definedName>
    <definedName name="IQ_ECO_METRIC_8323">"c8323"</definedName>
    <definedName name="IQ_ECO_METRIC_8324">"c8324"</definedName>
    <definedName name="IQ_ECO_METRIC_8325">"c8325"</definedName>
    <definedName name="IQ_ECO_METRIC_8326">"c8326"</definedName>
    <definedName name="IQ_ECO_METRIC_8327">"c8327"</definedName>
    <definedName name="IQ_ECO_METRIC_8328">"c8328"</definedName>
    <definedName name="IQ_ECO_METRIC_8329">"c8329"</definedName>
    <definedName name="IQ_ECO_METRIC_8330">"c8330"</definedName>
    <definedName name="IQ_ECO_METRIC_8331">"c8331"</definedName>
    <definedName name="IQ_ECO_METRIC_8332">"c8332"</definedName>
    <definedName name="IQ_ECO_METRIC_8333">"c8333"</definedName>
    <definedName name="IQ_ECO_METRIC_8335">"c8335"</definedName>
    <definedName name="IQ_ECO_METRIC_8336">"c8336"</definedName>
    <definedName name="IQ_ECO_METRIC_8337">"c8337"</definedName>
    <definedName name="IQ_ECO_METRIC_8338">"c8338"</definedName>
    <definedName name="IQ_ECO_METRIC_8339">"c8339"</definedName>
    <definedName name="IQ_ECO_METRIC_8340">"c8340"</definedName>
    <definedName name="IQ_ECO_METRIC_8341">"c8341"</definedName>
    <definedName name="IQ_ECO_METRIC_8343">"c8343"</definedName>
    <definedName name="IQ_ECO_METRIC_8344">"c8344"</definedName>
    <definedName name="IQ_ECO_METRIC_8345">"c8345"</definedName>
    <definedName name="IQ_ECO_METRIC_8346">"c8346"</definedName>
    <definedName name="IQ_ECO_METRIC_8347">"c8347"</definedName>
    <definedName name="IQ_ECO_METRIC_8348">"c8348"</definedName>
    <definedName name="IQ_ECO_METRIC_8349">"c8349"</definedName>
    <definedName name="IQ_ECO_METRIC_8350">"c8350"</definedName>
    <definedName name="IQ_ECO_METRIC_8352">"c8352"</definedName>
    <definedName name="IQ_ECO_METRIC_8353">"c8353"</definedName>
    <definedName name="IQ_ECO_METRIC_8354">"c8354"</definedName>
    <definedName name="IQ_ECO_METRIC_8355">"c8355"</definedName>
    <definedName name="IQ_ECO_METRIC_8356">"c8356"</definedName>
    <definedName name="IQ_ECO_METRIC_8357">"c8357"</definedName>
    <definedName name="IQ_ECO_METRIC_8358">"c8358"</definedName>
    <definedName name="IQ_ECO_METRIC_8359">"c8359"</definedName>
    <definedName name="IQ_ECO_METRIC_8360">"c8360"</definedName>
    <definedName name="IQ_ECO_METRIC_8361">"c8361"</definedName>
    <definedName name="IQ_ECO_METRIC_8362">"c8362"</definedName>
    <definedName name="IQ_ECO_METRIC_8363">"c8363"</definedName>
    <definedName name="IQ_ECO_METRIC_8367">"c8367"</definedName>
    <definedName name="IQ_ECO_METRIC_8368">"c8368"</definedName>
    <definedName name="IQ_ECO_METRIC_8369">"c8369"</definedName>
    <definedName name="IQ_ECO_METRIC_8370">"c8370"</definedName>
    <definedName name="IQ_ECO_METRIC_8371">"c8371"</definedName>
    <definedName name="IQ_ECO_METRIC_8372">"c8372"</definedName>
    <definedName name="IQ_ECO_METRIC_8373">"c8373"</definedName>
    <definedName name="IQ_ECO_METRIC_8374">"c8374"</definedName>
    <definedName name="IQ_ECO_METRIC_8375">"c8375"</definedName>
    <definedName name="IQ_ECO_METRIC_8376">"c8376"</definedName>
    <definedName name="IQ_ECO_METRIC_8377">"c8377"</definedName>
    <definedName name="IQ_ECO_METRIC_8380">"c8380"</definedName>
    <definedName name="IQ_ECO_METRIC_8381">"c8381"</definedName>
    <definedName name="IQ_ECO_METRIC_8382">"c8382"</definedName>
    <definedName name="IQ_ECO_METRIC_8383">"c8383"</definedName>
    <definedName name="IQ_ECO_METRIC_8384">"c8384"</definedName>
    <definedName name="IQ_ECO_METRIC_8385">"c8385"</definedName>
    <definedName name="IQ_ECO_METRIC_8387">"c8387"</definedName>
    <definedName name="IQ_ECO_METRIC_8388">"c8388"</definedName>
    <definedName name="IQ_ECO_METRIC_8389">"c8389"</definedName>
    <definedName name="IQ_ECO_METRIC_8390">"c8390"</definedName>
    <definedName name="IQ_ECO_METRIC_8391">"c8391"</definedName>
    <definedName name="IQ_ECO_METRIC_8392">"c8392"</definedName>
    <definedName name="IQ_ECO_METRIC_8393">"c8393"</definedName>
    <definedName name="IQ_ECO_METRIC_8394">"c8394"</definedName>
    <definedName name="IQ_ECO_METRIC_8395">"c8395"</definedName>
    <definedName name="IQ_ECO_METRIC_8396">"c8396"</definedName>
    <definedName name="IQ_ECO_METRIC_8397">"c8397"</definedName>
    <definedName name="IQ_ECO_METRIC_8398">"c8398"</definedName>
    <definedName name="IQ_ECO_METRIC_8399">"c8399"</definedName>
    <definedName name="IQ_ECO_METRIC_8400">"c8400"</definedName>
    <definedName name="IQ_ECO_METRIC_8401">"c8401"</definedName>
    <definedName name="IQ_ECO_METRIC_8402">"c8402"</definedName>
    <definedName name="IQ_ECO_METRIC_8403">"c8403"</definedName>
    <definedName name="IQ_ECO_METRIC_8404">"c8404"</definedName>
    <definedName name="IQ_ECO_METRIC_8405">"c8405"</definedName>
    <definedName name="IQ_ECO_METRIC_8406">"c8406"</definedName>
    <definedName name="IQ_ECO_METRIC_8407">"c8407"</definedName>
    <definedName name="IQ_ECO_METRIC_8408">"c8408"</definedName>
    <definedName name="IQ_ECO_METRIC_8409">"c8409"</definedName>
    <definedName name="IQ_ECO_METRIC_8410">"c8410"</definedName>
    <definedName name="IQ_ECO_METRIC_8411">"c8411"</definedName>
    <definedName name="IQ_ECO_METRIC_8412">"c8412"</definedName>
    <definedName name="IQ_ECO_METRIC_8413">"c8413"</definedName>
    <definedName name="IQ_ECO_METRIC_8414">"c8414"</definedName>
    <definedName name="IQ_ECO_METRIC_8415">"c8415"</definedName>
    <definedName name="IQ_ECO_METRIC_8416">"c8416"</definedName>
    <definedName name="IQ_ECO_METRIC_8417">"c8417"</definedName>
    <definedName name="IQ_ECO_METRIC_8418">"c8418"</definedName>
    <definedName name="IQ_ECO_METRIC_8419">"c8419"</definedName>
    <definedName name="IQ_ECO_METRIC_8420">"c8420"</definedName>
    <definedName name="IQ_ECO_METRIC_8421">"c8421"</definedName>
    <definedName name="IQ_ECO_METRIC_8422">"c8422"</definedName>
    <definedName name="IQ_ECO_METRIC_8423">"c8423"</definedName>
    <definedName name="IQ_ECO_METRIC_8424">"c8424"</definedName>
    <definedName name="IQ_ECO_METRIC_8425">"c8425"</definedName>
    <definedName name="IQ_ECO_METRIC_8426">"c8426"</definedName>
    <definedName name="IQ_ECO_METRIC_8427">"c8427"</definedName>
    <definedName name="IQ_ECO_METRIC_8428">"c8428"</definedName>
    <definedName name="IQ_ECO_METRIC_8429">"c8429"</definedName>
    <definedName name="IQ_ECO_METRIC_8430">"c8430"</definedName>
    <definedName name="IQ_ECO_METRIC_8431">"c8431"</definedName>
    <definedName name="IQ_ECO_METRIC_8432">"c8432"</definedName>
    <definedName name="IQ_ECO_METRIC_8433">"c8433"</definedName>
    <definedName name="IQ_ECO_METRIC_8434">"c8434"</definedName>
    <definedName name="IQ_ECO_METRIC_8435">"c8435"</definedName>
    <definedName name="IQ_ECO_METRIC_8436">"c8436"</definedName>
    <definedName name="IQ_ECO_METRIC_8436_UNUSED_UNUSED_UNUSED">"c8436"</definedName>
    <definedName name="IQ_ECO_METRIC_8437">"c8437"</definedName>
    <definedName name="IQ_ECO_METRIC_8437_UNUSED_UNUSED_UNUSED">"c8437"</definedName>
    <definedName name="IQ_ECO_METRIC_8440">"c8440"</definedName>
    <definedName name="IQ_ECO_METRIC_8441">"c8441"</definedName>
    <definedName name="IQ_ECO_METRIC_8442">"c8442"</definedName>
    <definedName name="IQ_ECO_METRIC_8443">"c8443"</definedName>
    <definedName name="IQ_ECO_METRIC_8444">"c8444"</definedName>
    <definedName name="IQ_ECO_METRIC_8445">"c8445"</definedName>
    <definedName name="IQ_ECO_METRIC_8446">"c8446"</definedName>
    <definedName name="IQ_ECO_METRIC_8447">"c8447"</definedName>
    <definedName name="IQ_ECO_METRIC_8448">"c8448"</definedName>
    <definedName name="IQ_ECO_METRIC_8450">"c8450"</definedName>
    <definedName name="IQ_ECO_METRIC_8451">"c8451"</definedName>
    <definedName name="IQ_ECO_METRIC_8452">"c8452"</definedName>
    <definedName name="IQ_ECO_METRIC_8453">"c8453"</definedName>
    <definedName name="IQ_ECO_METRIC_8454">"c8454"</definedName>
    <definedName name="IQ_ECO_METRIC_8455">"c8455"</definedName>
    <definedName name="IQ_ECO_METRIC_8456">"c8456"</definedName>
    <definedName name="IQ_ECO_METRIC_8457">"c8457"</definedName>
    <definedName name="IQ_ECO_METRIC_8458">"c8458"</definedName>
    <definedName name="IQ_ECO_METRIC_8459">"c8459"</definedName>
    <definedName name="IQ_ECO_METRIC_8460">"c8460"</definedName>
    <definedName name="IQ_ECO_METRIC_8461">"c8461"</definedName>
    <definedName name="IQ_ECO_METRIC_8462">"c8462"</definedName>
    <definedName name="IQ_ECO_METRIC_8463">"c8463"</definedName>
    <definedName name="IQ_ECO_METRIC_8464">"c8464"</definedName>
    <definedName name="IQ_ECO_METRIC_8465">"c8465"</definedName>
    <definedName name="IQ_ECO_METRIC_8466">"c8466"</definedName>
    <definedName name="IQ_ECO_METRIC_8468">"c8468"</definedName>
    <definedName name="IQ_ECO_METRIC_8469">"c8469"</definedName>
    <definedName name="IQ_ECO_METRIC_8470">"c8470"</definedName>
    <definedName name="IQ_ECO_METRIC_8472">"c8472"</definedName>
    <definedName name="IQ_ECO_METRIC_8473">"c8473"</definedName>
    <definedName name="IQ_ECO_METRIC_8474">"c8474"</definedName>
    <definedName name="IQ_ECO_METRIC_8476">"c8476"</definedName>
    <definedName name="IQ_ECO_METRIC_8477">"c8477"</definedName>
    <definedName name="IQ_ECO_METRIC_8478">"c8478"</definedName>
    <definedName name="IQ_ECO_METRIC_8479">"c8479"</definedName>
    <definedName name="IQ_ECO_METRIC_8480">"c8480"</definedName>
    <definedName name="IQ_ECO_METRIC_8481">"c8481"</definedName>
    <definedName name="IQ_ECO_METRIC_8482">"c8482"</definedName>
    <definedName name="IQ_ECO_METRIC_8483">"c8483"</definedName>
    <definedName name="IQ_ECO_METRIC_8484">"c8484"</definedName>
    <definedName name="IQ_ECO_METRIC_8485">"c8485"</definedName>
    <definedName name="IQ_ECO_METRIC_8486">"c8486"</definedName>
    <definedName name="IQ_ECO_METRIC_8487">"c8487"</definedName>
    <definedName name="IQ_ECO_METRIC_8488">"c8488"</definedName>
    <definedName name="IQ_ECO_METRIC_8489">"c8489"</definedName>
    <definedName name="IQ_ECO_METRIC_8490">"c8490"</definedName>
    <definedName name="IQ_ECO_METRIC_8491">"c8491"</definedName>
    <definedName name="IQ_ECO_METRIC_8492">"c8492"</definedName>
    <definedName name="IQ_ECO_METRIC_8493">"c8493"</definedName>
    <definedName name="IQ_ECO_METRIC_8494">"c8494"</definedName>
    <definedName name="IQ_ECO_METRIC_8495">"c8495"</definedName>
    <definedName name="IQ_ECO_METRIC_8496">"c8496"</definedName>
    <definedName name="IQ_ECO_METRIC_8497">"c8497"</definedName>
    <definedName name="IQ_ECO_METRIC_8498">"c8498"</definedName>
    <definedName name="IQ_ECO_METRIC_8499">"c8499"</definedName>
    <definedName name="IQ_ECO_METRIC_8500">"c8500"</definedName>
    <definedName name="IQ_ECO_METRIC_8502">"c8502"</definedName>
    <definedName name="IQ_ECO_METRIC_8503">"c8503"</definedName>
    <definedName name="IQ_ECO_METRIC_8504">"c8504"</definedName>
    <definedName name="IQ_ECO_METRIC_8505">"c8505"</definedName>
    <definedName name="IQ_ECO_METRIC_8506">"c8506"</definedName>
    <definedName name="IQ_ECO_METRIC_8507">"c8507"</definedName>
    <definedName name="IQ_ECO_METRIC_8508">"c8508"</definedName>
    <definedName name="IQ_ECO_METRIC_8509">"c8509"</definedName>
    <definedName name="IQ_ECO_METRIC_8510">"c8510"</definedName>
    <definedName name="IQ_ECO_METRIC_8511">"c8511"</definedName>
    <definedName name="IQ_ECO_METRIC_8512">"c8512"</definedName>
    <definedName name="IQ_ECO_METRIC_8513">"c8513"</definedName>
    <definedName name="IQ_ECO_METRIC_8514">"c8514"</definedName>
    <definedName name="IQ_ECO_METRIC_8515">"c8515"</definedName>
    <definedName name="IQ_ECO_METRIC_8516">"c8516"</definedName>
    <definedName name="IQ_ECO_METRIC_8517">"c8517"</definedName>
    <definedName name="IQ_ECO_METRIC_8518">"c8518"</definedName>
    <definedName name="IQ_ECO_METRIC_8519">"c8519"</definedName>
    <definedName name="IQ_ECO_METRIC_8520">"c8520"</definedName>
    <definedName name="IQ_ECO_METRIC_8521">"c8521"</definedName>
    <definedName name="IQ_ECO_METRIC_8522">"c8522"</definedName>
    <definedName name="IQ_ECO_METRIC_8523">"c8523"</definedName>
    <definedName name="IQ_ECO_METRIC_8524">"c8524"</definedName>
    <definedName name="IQ_ECO_METRIC_8525">"c8525"</definedName>
    <definedName name="IQ_ECO_METRIC_8526">"c8526"</definedName>
    <definedName name="IQ_ECO_METRIC_8527">"c8527"</definedName>
    <definedName name="IQ_ECO_METRIC_8528">"c8528"</definedName>
    <definedName name="IQ_ECO_METRIC_8528_UNUSED_UNUSED_UNUSED">"c8528"</definedName>
    <definedName name="IQ_ECO_METRIC_8529">"c8529"</definedName>
    <definedName name="IQ_ECO_METRIC_8530">"c8530"</definedName>
    <definedName name="IQ_ECO_METRIC_8531">"c8531"</definedName>
    <definedName name="IQ_ECO_METRIC_8532">"c8532"</definedName>
    <definedName name="IQ_ECO_METRIC_8534">"c8534"</definedName>
    <definedName name="IQ_ECO_METRIC_8535">"c8535"</definedName>
    <definedName name="IQ_ECO_METRIC_8536">"c8536"</definedName>
    <definedName name="IQ_ECO_METRIC_8537">"c8537"</definedName>
    <definedName name="IQ_ECO_METRIC_8538">"c8538"</definedName>
    <definedName name="IQ_ECO_METRIC_8540">"c8540"</definedName>
    <definedName name="IQ_ECO_METRIC_8541">"c8541"</definedName>
    <definedName name="IQ_ECO_METRIC_8543">"c8543"</definedName>
    <definedName name="IQ_ECO_METRIC_8544">"c8544"</definedName>
    <definedName name="IQ_ECO_METRIC_8545">"c8545"</definedName>
    <definedName name="IQ_ECO_METRIC_8546">"c8546"</definedName>
    <definedName name="IQ_ECO_METRIC_8547">"c8547"</definedName>
    <definedName name="IQ_ECO_METRIC_8548">"c8548"</definedName>
    <definedName name="IQ_ECO_METRIC_8549">"c8549"</definedName>
    <definedName name="IQ_ECO_METRIC_8550">"c8550"</definedName>
    <definedName name="IQ_ECO_METRIC_8555">"c8555"</definedName>
    <definedName name="IQ_ECO_METRIC_8556">"c8556"</definedName>
    <definedName name="IQ_ECO_METRIC_8557">"c8557"</definedName>
    <definedName name="IQ_ECO_METRIC_8558">"c8558"</definedName>
    <definedName name="IQ_ECO_METRIC_8559">"c8559"</definedName>
    <definedName name="IQ_ECO_METRIC_8560">"c8560"</definedName>
    <definedName name="IQ_ECO_METRIC_8561">"c8561"</definedName>
    <definedName name="IQ_ECO_METRIC_8565">"c8565"</definedName>
    <definedName name="IQ_ECO_METRIC_8567">"c8567"</definedName>
    <definedName name="IQ_ECO_METRIC_8568">"c8568"</definedName>
    <definedName name="IQ_ECO_METRIC_8569">"c8569"</definedName>
    <definedName name="IQ_EFFECT_SPECIAL_CHARGE">"c1595"</definedName>
    <definedName name="IQ_EFFECT_TAX_RATE">"c1899"</definedName>
    <definedName name="IQ_EFFICIENCY_RATIO">"c391"</definedName>
    <definedName name="IQ_EFFICIENCY_RATIO_FDIC">"c6736"</definedName>
    <definedName name="IQ_EMPLOYEES">"c392"</definedName>
    <definedName name="IQ_ENTERPRISE_VALUE">"c1348"</definedName>
    <definedName name="IQ_EPS">"IQ_EPS"</definedName>
    <definedName name="IQ_EPS_10K">"IQ_EPS_10K"</definedName>
    <definedName name="IQ_EPS_10Q">"IQ_EPS_10Q"</definedName>
    <definedName name="IQ_EPS_10Q1">"IQ_EPS_10Q1"</definedName>
    <definedName name="IQ_EPS_10YR_ANN_GROWTH">"c393"</definedName>
    <definedName name="IQ_EPS_1YR_ANN_GROWTH">"c394"</definedName>
    <definedName name="IQ_EPS_2YR_ANN_GROWTH">"c395"</definedName>
    <definedName name="IQ_EPS_3YR_ANN_GROWTH">"c396"</definedName>
    <definedName name="IQ_EPS_5YR_ANN_GROWTH">"c397"</definedName>
    <definedName name="IQ_EPS_7YR_ANN_GROWTH">"c398"</definedName>
    <definedName name="IQ_EPS_ACT_OR_EST">"c2213"</definedName>
    <definedName name="IQ_EPS_ACT_OR_EST_REUT">"c5460"</definedName>
    <definedName name="IQ_EPS_EST">"c399"</definedName>
    <definedName name="IQ_EPS_EST_1">"IQ_EPS_EST_1"</definedName>
    <definedName name="IQ_EPS_EST_BOTTOM_UP_REUT">"c5497"</definedName>
    <definedName name="IQ_EPS_EST_REUT">"c5453"</definedName>
    <definedName name="IQ_EPS_GW_ACT_OR_EST">"c2223"</definedName>
    <definedName name="IQ_EPS_GW_ACT_OR_EST_REUT">"c5469"</definedName>
    <definedName name="IQ_EPS_GW_EST">"c1737"</definedName>
    <definedName name="IQ_EPS_GW_EST_BOTTOM_UP_REUT">"c5499"</definedName>
    <definedName name="IQ_EPS_GW_EST_REUT">"c5389"</definedName>
    <definedName name="IQ_EPS_GW_HIGH_EST">"c1739"</definedName>
    <definedName name="IQ_EPS_GW_HIGH_EST_REUT">"c5391"</definedName>
    <definedName name="IQ_EPS_GW_LOW_EST">"c1740"</definedName>
    <definedName name="IQ_EPS_GW_LOW_EST_REUT">"c5392"</definedName>
    <definedName name="IQ_EPS_GW_MEDIAN_EST">"c1738"</definedName>
    <definedName name="IQ_EPS_GW_MEDIAN_EST_REUT">"c5390"</definedName>
    <definedName name="IQ_EPS_GW_NUM_EST">"c1741"</definedName>
    <definedName name="IQ_EPS_GW_NUM_EST_REUT">"c5393"</definedName>
    <definedName name="IQ_EPS_GW_STDDEV_EST">"c1742"</definedName>
    <definedName name="IQ_EPS_GW_STDDEV_EST_REUT">"c5394"</definedName>
    <definedName name="IQ_EPS_HIGH_EST">"c400"</definedName>
    <definedName name="IQ_EPS_HIGH_EST_REUT">"c5454"</definedName>
    <definedName name="IQ_EPS_LOW_EST">"c401"</definedName>
    <definedName name="IQ_EPS_LOW_EST_REUT">"c5455"</definedName>
    <definedName name="IQ_EPS_MEDIAN_EST">"c1661"</definedName>
    <definedName name="IQ_EPS_MEDIAN_EST_REUT">"c5456"</definedName>
    <definedName name="IQ_EPS_NO_EST">"c271"</definedName>
    <definedName name="IQ_EPS_NORM">"c1902"</definedName>
    <definedName name="IQ_EPS_NORM_EST">"c2226"</definedName>
    <definedName name="IQ_EPS_NORM_EST_BOTTOM_UP_REUT">"c5498"</definedName>
    <definedName name="IQ_EPS_NORM_EST_REUT">"c5326"</definedName>
    <definedName name="IQ_EPS_NORM_HIGH_EST">"c2228"</definedName>
    <definedName name="IQ_EPS_NORM_HIGH_EST_REUT">"c5328"</definedName>
    <definedName name="IQ_EPS_NORM_LOW_EST">"c2229"</definedName>
    <definedName name="IQ_EPS_NORM_LOW_EST_REUT">"c5329"</definedName>
    <definedName name="IQ_EPS_NORM_MEDIAN_EST">"c2227"</definedName>
    <definedName name="IQ_EPS_NORM_MEDIAN_EST_REUT">"c5327"</definedName>
    <definedName name="IQ_EPS_NORM_NUM_EST">"c2230"</definedName>
    <definedName name="IQ_EPS_NORM_NUM_EST_REUT">"c5330"</definedName>
    <definedName name="IQ_EPS_NORM_STDDEV_EST">"c2231"</definedName>
    <definedName name="IQ_EPS_NORM_STDDEV_EST_REUT">"c5331"</definedName>
    <definedName name="IQ_EPS_NUM_EST">"c402"</definedName>
    <definedName name="IQ_EPS_NUM_EST_REUT">"c5451"</definedName>
    <definedName name="IQ_EPS_REPORT_ACT_OR_EST">"c2224"</definedName>
    <definedName name="IQ_EPS_REPORT_ACT_OR_EST_REUT">"c5470"</definedName>
    <definedName name="IQ_EPS_REPORTED_EST">"c1744"</definedName>
    <definedName name="IQ_EPS_REPORTED_EST_BOTTOM_UP_REUT">"c5500"</definedName>
    <definedName name="IQ_EPS_REPORTED_EST_REUT">"c5396"</definedName>
    <definedName name="IQ_EPS_REPORTED_HIGH_EST">"c1746"</definedName>
    <definedName name="IQ_EPS_REPORTED_HIGH_EST_REUT">"c5398"</definedName>
    <definedName name="IQ_EPS_REPORTED_LOW_EST">"c1747"</definedName>
    <definedName name="IQ_EPS_REPORTED_LOW_EST_REUT">"c5399"</definedName>
    <definedName name="IQ_EPS_REPORTED_MEDIAN_EST">"c1745"</definedName>
    <definedName name="IQ_EPS_REPORTED_MEDIAN_EST_REUT">"c5397"</definedName>
    <definedName name="IQ_EPS_REPORTED_NUM_EST">"c1748"</definedName>
    <definedName name="IQ_EPS_REPORTED_NUM_EST_REUT">"c5400"</definedName>
    <definedName name="IQ_EPS_REPORTED_STDDEV_EST">"c1749"</definedName>
    <definedName name="IQ_EPS_REPORTED_STDDEV_EST_REUT">"c5401"</definedName>
    <definedName name="IQ_EPS_STDDEV_EST">"c403"</definedName>
    <definedName name="IQ_EPS_STDDEV_EST_REUT">"c5452"</definedName>
    <definedName name="IQ_EQUITY_AFFIL">"c1451"</definedName>
    <definedName name="IQ_EQUITY_CAPITAL_ASSETS_FDIC">"c6744"</definedName>
    <definedName name="IQ_EQUITY_FDIC">"c6353"</definedName>
    <definedName name="IQ_EQUITY_METHOD">"c404"</definedName>
    <definedName name="IQ_EQUITY_SECURITIES_FDIC">"c6304"</definedName>
    <definedName name="IQ_EQUITY_SECURITY_EXPOSURES_FDIC">"c6664"</definedName>
    <definedName name="IQ_EQV_OVER_BV">"c1596"</definedName>
    <definedName name="IQ_EQV_OVER_LTM_PRETAX_INC">"c1390"</definedName>
    <definedName name="IQ_ESOP_DEBT">"c1597"</definedName>
    <definedName name="IQ_EST_ACT_BV_REUT">"c5409"</definedName>
    <definedName name="IQ_EST_ACT_BV_SHARE_REUT">"c5445"</definedName>
    <definedName name="IQ_EST_ACT_BV_THOM">"c5153"</definedName>
    <definedName name="IQ_EST_ACT_CAPEX_REUT">"c3975"</definedName>
    <definedName name="IQ_EST_ACT_CFPS">"c1673"</definedName>
    <definedName name="IQ_EST_ACT_CFPS_REUT">"c3850"</definedName>
    <definedName name="IQ_EST_ACT_DPS">"c1680"</definedName>
    <definedName name="IQ_EST_ACT_DPS_REUT">"c3857"</definedName>
    <definedName name="IQ_EST_ACT_EBIT">"c1687"</definedName>
    <definedName name="IQ_EST_ACT_EBIT_REUT">"c5339"</definedName>
    <definedName name="IQ_EST_ACT_EBITDA">"c1664"</definedName>
    <definedName name="IQ_EST_ACT_EBITDA_REUT">"c3836"</definedName>
    <definedName name="IQ_EST_ACT_EPS">"c1648"</definedName>
    <definedName name="IQ_EST_ACT_EPS_GW">"c1743"</definedName>
    <definedName name="IQ_EST_ACT_EPS_GW_REUT">"c5395"</definedName>
    <definedName name="IQ_EST_ACT_EPS_NORM">"c2232"</definedName>
    <definedName name="IQ_EST_ACT_EPS_NORM_REUT">"c5332"</definedName>
    <definedName name="IQ_EST_ACT_EPS_REPORTED">"c1750"</definedName>
    <definedName name="IQ_EST_ACT_EPS_REPORTED_REUT">"c5402"</definedName>
    <definedName name="IQ_EST_ACT_EPS_REUT">"c5457"</definedName>
    <definedName name="IQ_EST_ACT_FFO">"c1666"</definedName>
    <definedName name="IQ_EST_ACT_FFO_REUT">"c3843"</definedName>
    <definedName name="IQ_EST_ACT_FFO_SHARE_SHARE_REUT">"c3843"</definedName>
    <definedName name="IQ_EST_ACT_FFO_SHARE_SHARE_THOM">"c4005"</definedName>
    <definedName name="IQ_EST_ACT_FFO_THOM">"c4005"</definedName>
    <definedName name="IQ_EST_ACT_NAV">"c1757"</definedName>
    <definedName name="IQ_EST_ACT_NAV_SHARE_REUT">"c5616"</definedName>
    <definedName name="IQ_EST_ACT_NET_DEBT_REUT">"c5446"</definedName>
    <definedName name="IQ_EST_ACT_NI">"c1722"</definedName>
    <definedName name="IQ_EST_ACT_NI_GW">"c1729"</definedName>
    <definedName name="IQ_EST_ACT_NI_GW_REUT">"c5381"</definedName>
    <definedName name="IQ_EST_ACT_NI_REPORTED">"c1736"</definedName>
    <definedName name="IQ_EST_ACT_NI_REPORTED_REUT">"c5388"</definedName>
    <definedName name="IQ_EST_ACT_NI_REUT">"c5374"</definedName>
    <definedName name="IQ_EST_ACT_OPER_INC">"c1694"</definedName>
    <definedName name="IQ_EST_ACT_OPER_INC_REUT">"c5346"</definedName>
    <definedName name="IQ_EST_ACT_PRETAX_GW_INC">"c1708"</definedName>
    <definedName name="IQ_EST_ACT_PRETAX_GW_INC_REUT">"c5360"</definedName>
    <definedName name="IQ_EST_ACT_PRETAX_INC">"c1701"</definedName>
    <definedName name="IQ_EST_ACT_PRETAX_INC_REUT">"c5353"</definedName>
    <definedName name="IQ_EST_ACT_PRETAX_REPORT_INC">"c1715"</definedName>
    <definedName name="IQ_EST_ACT_PRETAX_REPORT_INC_REUT">"c5367"</definedName>
    <definedName name="IQ_EST_ACT_RETURN_ASSETS_REUT">"c3996"</definedName>
    <definedName name="IQ_EST_ACT_RETURN_EQUITY_REUT">"c3989"</definedName>
    <definedName name="IQ_EST_ACT_REV">"c2113"</definedName>
    <definedName name="IQ_EST_ACT_REV_REUT">"c3835"</definedName>
    <definedName name="IQ_EST_BV_DIFF_REUT">"c5433"</definedName>
    <definedName name="IQ_EST_BV_DIFF_THOM">"c5204"</definedName>
    <definedName name="IQ_EST_BV_SURPRISE_PERCENT_REUT">"c5434"</definedName>
    <definedName name="IQ_EST_BV_SURPRISE_PERCENT_THOM">"c5205"</definedName>
    <definedName name="IQ_EST_CAPEX_GROWTH_1YR_REUT">"c5447"</definedName>
    <definedName name="IQ_EST_CAPEX_GROWTH_2YR_REUT">"c5448"</definedName>
    <definedName name="IQ_EST_CAPEX_GROWTH_Q_1YR_REUT">"c5449"</definedName>
    <definedName name="IQ_EST_CAPEX_SEQ_GROWTH_Q_REUT">"c5450"</definedName>
    <definedName name="IQ_EST_CFPS_DIFF">"c1871"</definedName>
    <definedName name="IQ_EST_CFPS_DIFF_REUT">"c3892"</definedName>
    <definedName name="IQ_EST_CFPS_GROWTH_1YR">"c1774"</definedName>
    <definedName name="IQ_EST_CFPS_GROWTH_1YR_REUT">"c3878"</definedName>
    <definedName name="IQ_EST_CFPS_GROWTH_2YR">"c1775"</definedName>
    <definedName name="IQ_EST_CFPS_GROWTH_2YR_REUT">"c3879"</definedName>
    <definedName name="IQ_EST_CFPS_GROWTH_Q_1YR">"c1776"</definedName>
    <definedName name="IQ_EST_CFPS_GROWTH_Q_1YR_REUT">"c3880"</definedName>
    <definedName name="IQ_EST_CFPS_SEQ_GROWTH_Q">"c1777"</definedName>
    <definedName name="IQ_EST_CFPS_SEQ_GROWTH_Q_REUT">"c3881"</definedName>
    <definedName name="IQ_EST_CFPS_SURPRISE_PERCENT">"c1872"</definedName>
    <definedName name="IQ_EST_CFPS_SURPRISE_PERCENT_REUT">"c3893"</definedName>
    <definedName name="IQ_EST_CURRENCY">"c2140"</definedName>
    <definedName name="IQ_EST_CURRENCY_REUT">"c5437"</definedName>
    <definedName name="IQ_EST_DATE">"c1634"</definedName>
    <definedName name="IQ_EST_DATE_REUT">"c5438"</definedName>
    <definedName name="IQ_EST_DPS_DIFF">"c1873"</definedName>
    <definedName name="IQ_EST_DPS_DIFF_REUT">"c3894"</definedName>
    <definedName name="IQ_EST_DPS_GROWTH_1YR">"c1778"</definedName>
    <definedName name="IQ_EST_DPS_GROWTH_1YR_REUT">"c3882"</definedName>
    <definedName name="IQ_EST_DPS_GROWTH_2YR">"c1779"</definedName>
    <definedName name="IQ_EST_DPS_GROWTH_2YR_REUT">"c3883"</definedName>
    <definedName name="IQ_EST_DPS_GROWTH_Q_1YR">"c1780"</definedName>
    <definedName name="IQ_EST_DPS_GROWTH_Q_1YR_REUT">"c3884"</definedName>
    <definedName name="IQ_EST_DPS_SEQ_GROWTH_Q">"c1781"</definedName>
    <definedName name="IQ_EST_DPS_SEQ_GROWTH_Q_REUT">"c3885"</definedName>
    <definedName name="IQ_EST_DPS_SURPRISE_PERCENT">"c1874"</definedName>
    <definedName name="IQ_EST_DPS_SURPRISE_PERCENT_REUT">"c3895"</definedName>
    <definedName name="IQ_EST_EBIT_DIFF">"c1875"</definedName>
    <definedName name="IQ_EST_EBIT_DIFF_REUT">"c5413"</definedName>
    <definedName name="IQ_EST_EBIT_SURPRISE_PERCENT">"c1876"</definedName>
    <definedName name="IQ_EST_EBIT_SURPRISE_PERCENT_REUT">"c5414"</definedName>
    <definedName name="IQ_EST_EBITDA_DIFF">"c1867"</definedName>
    <definedName name="IQ_EST_EBITDA_DIFF_REUT">"c3888"</definedName>
    <definedName name="IQ_EST_EBITDA_GROWTH_1YR">"c1766"</definedName>
    <definedName name="IQ_EST_EBITDA_GROWTH_1YR_REUT">"c3864"</definedName>
    <definedName name="IQ_EST_EBITDA_GROWTH_2YR">"c1767"</definedName>
    <definedName name="IQ_EST_EBITDA_GROWTH_2YR_REUT">"c3865"</definedName>
    <definedName name="IQ_EST_EBITDA_GROWTH_Q_1YR">"c1768"</definedName>
    <definedName name="IQ_EST_EBITDA_GROWTH_Q_1YR_REUT">"c3866"</definedName>
    <definedName name="IQ_EST_EBITDA_SEQ_GROWTH_Q">"c1769"</definedName>
    <definedName name="IQ_EST_EBITDA_SEQ_GROWTH_Q_REUT">"c3867"</definedName>
    <definedName name="IQ_EST_EBITDA_SURPRISE_PERCENT">"c1868"</definedName>
    <definedName name="IQ_EST_EBITDA_SURPRISE_PERCENT_REUT">"c3889"</definedName>
    <definedName name="IQ_EST_EPS_DIFF">"c1864"</definedName>
    <definedName name="IQ_EST_EPS_DIFF_REUT">"c5458"</definedName>
    <definedName name="IQ_EST_EPS_GROWTH_1YR">"c1636"</definedName>
    <definedName name="IQ_EST_EPS_GROWTH_1YR_REUT">"c3646"</definedName>
    <definedName name="IQ_EST_EPS_GROWTH_2YR">"c1637"</definedName>
    <definedName name="IQ_EST_EPS_GROWTH_2YR_REUT">"c3858"</definedName>
    <definedName name="IQ_EST_EPS_GROWTH_5YR">"c1655"</definedName>
    <definedName name="IQ_EST_EPS_GROWTH_5YR_BOTTOM_UP_REUT">"c5495"</definedName>
    <definedName name="IQ_EST_EPS_GROWTH_5YR_HIGH">"c1657"</definedName>
    <definedName name="IQ_EST_EPS_GROWTH_5YR_HIGH_REUT">"c5322"</definedName>
    <definedName name="IQ_EST_EPS_GROWTH_5YR_LOW">"c1658"</definedName>
    <definedName name="IQ_EST_EPS_GROWTH_5YR_LOW_REUT">"c5323"</definedName>
    <definedName name="IQ_EST_EPS_GROWTH_5YR_MEDIAN">"c1656"</definedName>
    <definedName name="IQ_EST_EPS_GROWTH_5YR_MEDIAN_REUT">"c5321"</definedName>
    <definedName name="IQ_EST_EPS_GROWTH_5YR_NUM">"c1659"</definedName>
    <definedName name="IQ_EST_EPS_GROWTH_5YR_NUM_REUT">"c5324"</definedName>
    <definedName name="IQ_EST_EPS_GROWTH_5YR_REUT">"c3633"</definedName>
    <definedName name="IQ_EST_EPS_GROWTH_5YR_STDDEV">"c1660"</definedName>
    <definedName name="IQ_EST_EPS_GROWTH_5YR_STDDEV_REUT">"c5325"</definedName>
    <definedName name="IQ_EST_EPS_GROWTH_Q_1YR">"c1641"</definedName>
    <definedName name="IQ_EST_EPS_GROWTH_Q_1YR_REUT">"c5410"</definedName>
    <definedName name="IQ_EST_EPS_GW_DIFF">"c1891"</definedName>
    <definedName name="IQ_EST_EPS_GW_DIFF_REUT">"c5429"</definedName>
    <definedName name="IQ_EST_EPS_GW_SURPRISE_PERCENT">"c1892"</definedName>
    <definedName name="IQ_EST_EPS_GW_SURPRISE_PERCENT_REUT">"c5430"</definedName>
    <definedName name="IQ_EST_EPS_NORM_DIFF">"c2247"</definedName>
    <definedName name="IQ_EST_EPS_NORM_DIFF_REUT">"c5411"</definedName>
    <definedName name="IQ_EST_EPS_NORM_SURPRISE_PERCENT">"c2248"</definedName>
    <definedName name="IQ_EST_EPS_NORM_SURPRISE_PERCENT_REUT">"c5412"</definedName>
    <definedName name="IQ_EST_EPS_REPORT_DIFF">"c1893"</definedName>
    <definedName name="IQ_EST_EPS_REPORT_DIFF_REUT">"c5431"</definedName>
    <definedName name="IQ_EST_EPS_REPORT_SURPRISE_PERCENT">"c1894"</definedName>
    <definedName name="IQ_EST_EPS_REPORT_SURPRISE_PERCENT_REUT">"c5432"</definedName>
    <definedName name="IQ_EST_EPS_SEQ_GROWTH_Q">"c1764"</definedName>
    <definedName name="IQ_EST_EPS_SEQ_GROWTH_Q_REUT">"c3859"</definedName>
    <definedName name="IQ_EST_EPS_SURPRISE">"c1635"</definedName>
    <definedName name="IQ_EST_EPS_SURPRISE_PERCENT">"c1635"</definedName>
    <definedName name="IQ_EST_EPS_SURPRISE_PERCENT_REUT">"c5459"</definedName>
    <definedName name="IQ_EST_FFO_DIFF">"c1869"</definedName>
    <definedName name="IQ_EST_FFO_DIFF_REUT">"c3890"</definedName>
    <definedName name="IQ_EST_FFO_DIFF_THOM">"c5186"</definedName>
    <definedName name="IQ_EST_FFO_GROWTH_1YR">"c1770"</definedName>
    <definedName name="IQ_EST_FFO_GROWTH_1YR_REUT">"c3874"</definedName>
    <definedName name="IQ_EST_FFO_GROWTH_2YR">"c1771"</definedName>
    <definedName name="IQ_EST_FFO_GROWTH_2YR_REUT">"c3875"</definedName>
    <definedName name="IQ_EST_FFO_GROWTH_Q_1YR">"c1772"</definedName>
    <definedName name="IQ_EST_FFO_GROWTH_Q_1YR_REUT">"c3876"</definedName>
    <definedName name="IQ_EST_FFO_SEQ_GROWTH_Q">"c1773"</definedName>
    <definedName name="IQ_EST_FFO_SEQ_GROWTH_Q_REUT">"c3877"</definedName>
    <definedName name="IQ_EST_FFO_SHARE_SHARE_DIFF_REUT">"c3890"</definedName>
    <definedName name="IQ_EST_FFO_SHARE_SHARE_DIFF_THOM">"c5186"</definedName>
    <definedName name="IQ_EST_FFO_SHARE_SHARE_SURPRISE_PERCENT_REUT">"c3891"</definedName>
    <definedName name="IQ_EST_FFO_SHARE_SHARE_SURPRISE_PERCENT_THOM">"c5187"</definedName>
    <definedName name="IQ_EST_FFO_SURPRISE_PERCENT">"c1870"</definedName>
    <definedName name="IQ_EST_FFO_SURPRISE_PERCENT_REUT">"c3891"</definedName>
    <definedName name="IQ_EST_FFO_SURPRISE_PERCENT_THOM">"c5187"</definedName>
    <definedName name="IQ_EST_FOOTNOTE_REUT">"c5478"</definedName>
    <definedName name="IQ_EST_NAV_DIFF">"c1895"</definedName>
    <definedName name="IQ_EST_NAV_SURPRISE_PERCENT">"c1896"</definedName>
    <definedName name="IQ_EST_NI_DIFF">"c1885"</definedName>
    <definedName name="IQ_EST_NI_DIFF_REUT">"c5423"</definedName>
    <definedName name="IQ_EST_NI_GW_DIFF">"c1887"</definedName>
    <definedName name="IQ_EST_NI_GW_DIFF_REUT">"c5425"</definedName>
    <definedName name="IQ_EST_NI_GW_SURPRISE_PERCENT">"c1888"</definedName>
    <definedName name="IQ_EST_NI_GW_SURPRISE_PERCENT_REUT">"c5426"</definedName>
    <definedName name="IQ_EST_NI_REPORT_DIFF">"c1889"</definedName>
    <definedName name="IQ_EST_NI_REPORT_DIFF_REUT">"c5427"</definedName>
    <definedName name="IQ_EST_NI_REPORT_SURPRISE_PERCENT">"c1890"</definedName>
    <definedName name="IQ_EST_NI_REPORT_SURPRISE_PERCENT_REUT">"c5428"</definedName>
    <definedName name="IQ_EST_NI_SURPRISE_PERCENT">"c1886"</definedName>
    <definedName name="IQ_EST_NI_SURPRISE_PERCENT_REUT">"c5424"</definedName>
    <definedName name="IQ_EST_NUM_BUY">"c1759"</definedName>
    <definedName name="IQ_EST_NUM_BUY_CIQ">"c3700"</definedName>
    <definedName name="IQ_EST_NUM_BUY_REUT">"c3869"</definedName>
    <definedName name="IQ_EST_NUM_BUY_THOM">"c5165"</definedName>
    <definedName name="IQ_EST_NUM_HIGH_REC_REUT">"c3870"</definedName>
    <definedName name="IQ_EST_NUM_HIGHEST_REC_REUT">"c3869"</definedName>
    <definedName name="IQ_EST_NUM_HOLD">"c1761"</definedName>
    <definedName name="IQ_EST_NUM_HOLD_CIQ">"c3702"</definedName>
    <definedName name="IQ_EST_NUM_HOLD_REUT">"c3871"</definedName>
    <definedName name="IQ_EST_NUM_HOLD_THOM">"c5167"</definedName>
    <definedName name="IQ_EST_NUM_LOW_REC_REUT">"c3872"</definedName>
    <definedName name="IQ_EST_NUM_LOWEST_REC_REUT">"c3873"</definedName>
    <definedName name="IQ_EST_NUM_NEUTRAL_REC_REUT">"c3871"</definedName>
    <definedName name="IQ_EST_NUM_NO_OPINION">"c1758"</definedName>
    <definedName name="IQ_EST_NUM_NO_OPINION_REUT">"c3868"</definedName>
    <definedName name="IQ_EST_NUM_OUTPERFORM">"c1760"</definedName>
    <definedName name="IQ_EST_NUM_OUTPERFORM_CIQ">"c3701"</definedName>
    <definedName name="IQ_EST_NUM_OUTPERFORM_REUT">"c3870"</definedName>
    <definedName name="IQ_EST_NUM_OUTPERFORM_THOM">"c5166"</definedName>
    <definedName name="IQ_EST_NUM_SELL">"c1763"</definedName>
    <definedName name="IQ_EST_NUM_SELL_CIQ">"c3704"</definedName>
    <definedName name="IQ_EST_NUM_SELL_REUT">"c3873"</definedName>
    <definedName name="IQ_EST_NUM_SELL_THOM">"c5169"</definedName>
    <definedName name="IQ_EST_NUM_UNDERPERFORM">"c1762"</definedName>
    <definedName name="IQ_EST_NUM_UNDERPERFORM_CIQ">"c3703"</definedName>
    <definedName name="IQ_EST_NUM_UNDERPERFORM_REUT">"c3872"</definedName>
    <definedName name="IQ_EST_NUM_UNDERPERFORM_THOM">"c5168"</definedName>
    <definedName name="IQ_EST_OPER_INC_DIFF">"c1877"</definedName>
    <definedName name="IQ_EST_OPER_INC_DIFF_REUT">"c5415"</definedName>
    <definedName name="IQ_EST_OPER_INC_SURPRISE_PERCENT">"c1878"</definedName>
    <definedName name="IQ_EST_OPER_INC_SURPRISE_PERCENT_REUT">"c5416"</definedName>
    <definedName name="IQ_EST_PRE_TAX_DIFF">"c1879"</definedName>
    <definedName name="IQ_EST_PRE_TAX_DIFF_REUT">"c5417"</definedName>
    <definedName name="IQ_EST_PRE_TAX_GW_DIFF">"c1881"</definedName>
    <definedName name="IQ_EST_PRE_TAX_GW_DIFF_REUT">"c5419"</definedName>
    <definedName name="IQ_EST_PRE_TAX_GW_SURPRISE_PERCENT">"c1882"</definedName>
    <definedName name="IQ_EST_PRE_TAX_GW_SURPRISE_PERCENT_REUT">"c5420"</definedName>
    <definedName name="IQ_EST_PRE_TAX_REPORT_DIFF">"c1883"</definedName>
    <definedName name="IQ_EST_PRE_TAX_REPORT_DIFF_REUT">"c5421"</definedName>
    <definedName name="IQ_EST_PRE_TAX_REPORT_SURPRISE_PERCENT">"c1884"</definedName>
    <definedName name="IQ_EST_PRE_TAX_REPORT_SURPRISE_PERCENT_REUT">"c5422"</definedName>
    <definedName name="IQ_EST_PRE_TAX_SURPRISE_PERCENT">"c1880"</definedName>
    <definedName name="IQ_EST_PRE_TAX_SURPRISE_PERCENT_REUT">"c5418"</definedName>
    <definedName name="IQ_EST_REV_DIFF">"c1865"</definedName>
    <definedName name="IQ_EST_REV_DIFF_REUT">"c3886"</definedName>
    <definedName name="IQ_EST_REV_GROWTH_1YR">"c1638"</definedName>
    <definedName name="IQ_EST_REV_GROWTH_1YR_REUT">"c3860"</definedName>
    <definedName name="IQ_EST_REV_GROWTH_2YR">"c1639"</definedName>
    <definedName name="IQ_EST_REV_GROWTH_2YR_REUT">"c3861"</definedName>
    <definedName name="IQ_EST_REV_GROWTH_Q_1YR">"c1640"</definedName>
    <definedName name="IQ_EST_REV_GROWTH_Q_1YR_REUT">"c3862"</definedName>
    <definedName name="IQ_EST_REV_SEQ_GROWTH_Q">"c1765"</definedName>
    <definedName name="IQ_EST_REV_SEQ_GROWTH_Q_REUT">"c3863"</definedName>
    <definedName name="IQ_EST_REV_SURPRISE_PERCENT">"c1866"</definedName>
    <definedName name="IQ_EST_REV_SURPRISE_PERCENT_REUT">"c3887"</definedName>
    <definedName name="IQ_ESTIMATED_ASSESSABLE_DEPOSITS_FDIC">"c6490"</definedName>
    <definedName name="IQ_ESTIMATED_INSURED_DEPOSITS_FDIC">"c6491"</definedName>
    <definedName name="IQ_EV_OVER_EMPLOYEE">"c1428"</definedName>
    <definedName name="IQ_EV_OVER_LTM_EBIT">"c1426"</definedName>
    <definedName name="IQ_EV_OVER_LTM_EBITDA">"c1427"</definedName>
    <definedName name="IQ_EV_OVER_LTM_REVENUE">"c1429"</definedName>
    <definedName name="IQ_EV_OVER_REVENUE_EST">"IQ_EV_OVER_REVENUE_EST"</definedName>
    <definedName name="IQ_EV_OVER_REVENUE_EST_1">"IQ_EV_OVER_REVENUE_EST_1"</definedName>
    <definedName name="IQ_EXCHANGE">"c405"</definedName>
    <definedName name="IQ_EXERCISE_PRICE">"c1897"</definedName>
    <definedName name="IQ_EXERCISED">"c406"</definedName>
    <definedName name="IQ_EXP_RETURN_PENSION_DOMESTIC">"c407"</definedName>
    <definedName name="IQ_EXP_RETURN_PENSION_FOREIGN">"c408"</definedName>
    <definedName name="IQ_EXPENSE_CODE_">"tdw"</definedName>
    <definedName name="IQ_EXPLORE_DRILL">"c409"</definedName>
    <definedName name="IQ_EXPORTS_APR_FC_UNUSED_UNUSED_UNUSED">"c8401"</definedName>
    <definedName name="IQ_EXPORTS_APR_UNUSED_UNUSED_UNUSED">"c7521"</definedName>
    <definedName name="IQ_EXPORTS_FC_UNUSED_UNUSED_UNUSED">"c7741"</definedName>
    <definedName name="IQ_EXPORTS_GOODS_REAL_SAAR_APR_FC_UNUSED_UNUSED_UNUSED">"c8512"</definedName>
    <definedName name="IQ_EXPORTS_GOODS_REAL_SAAR_APR_UNUSED_UNUSED_UNUSED">"c7632"</definedName>
    <definedName name="IQ_EXPORTS_GOODS_REAL_SAAR_FC_UNUSED_UNUSED_UNUSED">"c7852"</definedName>
    <definedName name="IQ_EXPORTS_GOODS_REAL_SAAR_POP_FC_UNUSED_UNUSED_UNUSED">"c8072"</definedName>
    <definedName name="IQ_EXPORTS_GOODS_REAL_SAAR_POP_UNUSED_UNUSED_UNUSED">"c7192"</definedName>
    <definedName name="IQ_EXPORTS_GOODS_REAL_SAAR_UNUSED_UNUSED_UNUSED">"c6972"</definedName>
    <definedName name="IQ_EXPORTS_GOODS_REAL_SAAR_YOY_FC_UNUSED_UNUSED_UNUSED">"c8292"</definedName>
    <definedName name="IQ_EXPORTS_GOODS_REAL_SAAR_YOY_UNUSED_UNUSED_UNUSED">"c7412"</definedName>
    <definedName name="IQ_EXPORTS_POP_FC_UNUSED_UNUSED_UNUSED">"c7961"</definedName>
    <definedName name="IQ_EXPORTS_POP_UNUSED_UNUSED_UNUSED">"c7081"</definedName>
    <definedName name="IQ_EXPORTS_SERVICES_REAL_SAAR_APR_FC_UNUSED_UNUSED_UNUSED">"c8516"</definedName>
    <definedName name="IQ_EXPORTS_SERVICES_REAL_SAAR_APR_UNUSED_UNUSED_UNUSED">"c7636"</definedName>
    <definedName name="IQ_EXPORTS_SERVICES_REAL_SAAR_FC_UNUSED_UNUSED_UNUSED">"c7856"</definedName>
    <definedName name="IQ_EXPORTS_SERVICES_REAL_SAAR_POP_FC_UNUSED_UNUSED_UNUSED">"c8076"</definedName>
    <definedName name="IQ_EXPORTS_SERVICES_REAL_SAAR_POP_UNUSED_UNUSED_UNUSED">"c7196"</definedName>
    <definedName name="IQ_EXPORTS_SERVICES_REAL_SAAR_UNUSED_UNUSED_UNUSED">"c6976"</definedName>
    <definedName name="IQ_EXPORTS_SERVICES_REAL_SAAR_YOY_FC_UNUSED_UNUSED_UNUSED">"c8296"</definedName>
    <definedName name="IQ_EXPORTS_SERVICES_REAL_SAAR_YOY_UNUSED_UNUSED_UNUSED">"c7416"</definedName>
    <definedName name="IQ_EXPORTS_UNUSED_UNUSED_UNUSED">"c6861"</definedName>
    <definedName name="IQ_EXPORTS_YOY_FC_UNUSED_UNUSED_UNUSED">"c8181"</definedName>
    <definedName name="IQ_EXPORTS_YOY_UNUSED_UNUSED_UNUSED">"c7301"</definedName>
    <definedName name="IQ_EXTRA_ACC_ITEMS">"c410"</definedName>
    <definedName name="IQ_EXTRA_ACC_ITEMS_BNK">"c411"</definedName>
    <definedName name="IQ_EXTRA_ACC_ITEMS_BR">"c412"</definedName>
    <definedName name="IQ_EXTRA_ACC_ITEMS_FIN">"c413"</definedName>
    <definedName name="IQ_EXTRA_ACC_ITEMS_INS">"c414"</definedName>
    <definedName name="IQ_EXTRA_ACC_ITEMS_REIT">"c415"</definedName>
    <definedName name="IQ_EXTRA_ACC_ITEMS_UTI">"c416"</definedName>
    <definedName name="IQ_EXTRA_ITEMS">"c1459"</definedName>
    <definedName name="IQ_EXTRAORDINARY_GAINS_FDIC">"c6586"</definedName>
    <definedName name="IQ_FAIR_VALUE_FDIC">"c6427"</definedName>
    <definedName name="IQ_FARM_LOANS_NET_FDIC">"c6316"</definedName>
    <definedName name="IQ_FARM_LOANS_TOTAL_LOANS_FOREIGN_FDIC">"c6450"</definedName>
    <definedName name="IQ_FARMLAND_LOANS_FDIC">"c6314"</definedName>
    <definedName name="IQ_FDIC">"c417"</definedName>
    <definedName name="IQ_FED_FUNDS_PURCHASED_FDIC">"c6343"</definedName>
    <definedName name="IQ_FED_FUNDS_SOLD_FDIC">"c6307"</definedName>
    <definedName name="IQ_FEDFUNDS_SOLD">"c2256"</definedName>
    <definedName name="IQ_FFO">"c1574"</definedName>
    <definedName name="IQ_FFO_ACT_OR_EST">"c2216"</definedName>
    <definedName name="IQ_FFO_ADJ_EST_CIQ">"c4959"</definedName>
    <definedName name="IQ_FFO_ADJ_HIGH_EST_CIQ">"c4962"</definedName>
    <definedName name="IQ_FFO_ADJ_LOW_EST_CIQ">"c4963"</definedName>
    <definedName name="IQ_FFO_ADJ_MEDIAN_EST_CIQ">"c4964"</definedName>
    <definedName name="IQ_FFO_ADJ_NUM_EST_CIQ">"c4965"</definedName>
    <definedName name="IQ_FFO_ADJ_STDDEV_EST_CIQ">"c4966"</definedName>
    <definedName name="IQ_FFO_EST">"c418"</definedName>
    <definedName name="IQ_FFO_EST_CIQ">"c4970"</definedName>
    <definedName name="IQ_FFO_EST_REUT">"c3837"</definedName>
    <definedName name="IQ_FFO_EST_THOM">"c3999"</definedName>
    <definedName name="IQ_FFO_HIGH_EST">"c419"</definedName>
    <definedName name="IQ_FFO_HIGH_EST_CIQ">"c4977"</definedName>
    <definedName name="IQ_FFO_HIGH_EST_REUT">"c3839"</definedName>
    <definedName name="IQ_FFO_HIGH_EST_THOM">"c4001"</definedName>
    <definedName name="IQ_FFO_LOW_EST">"c420"</definedName>
    <definedName name="IQ_FFO_LOW_EST_CIQ">"c4978"</definedName>
    <definedName name="IQ_FFO_LOW_EST_REUT">"c3840"</definedName>
    <definedName name="IQ_FFO_LOW_EST_THOM">"c4002"</definedName>
    <definedName name="IQ_FFO_MEDIAN_EST">"c1665"</definedName>
    <definedName name="IQ_FFO_MEDIAN_EST_CIQ">"c4979"</definedName>
    <definedName name="IQ_FFO_MEDIAN_EST_REUT">"c3838"</definedName>
    <definedName name="IQ_FFO_MEDIAN_EST_THOM">"c4000"</definedName>
    <definedName name="IQ_FFO_NO_EST">"c276"</definedName>
    <definedName name="IQ_FFO_NUM_EST">"c421"</definedName>
    <definedName name="IQ_FFO_NUM_EST_CIQ">"c4980"</definedName>
    <definedName name="IQ_FFO_NUM_EST_REUT">"c3841"</definedName>
    <definedName name="IQ_FFO_NUM_EST_THOM">"c4003"</definedName>
    <definedName name="IQ_FFO_SHARE_SHARE_EST_DET_EST">"c12059"</definedName>
    <definedName name="IQ_FFO_SHARE_SHARE_EST_DET_EST_CURRENCY">"c12466"</definedName>
    <definedName name="IQ_FFO_SHARE_SHARE_EST_DET_EST_CURRENCY_THOM">"c12487"</definedName>
    <definedName name="IQ_FFO_SHARE_SHARE_EST_DET_EST_DATE">"c12212"</definedName>
    <definedName name="IQ_FFO_SHARE_SHARE_EST_DET_EST_DATE_THOM">"c12238"</definedName>
    <definedName name="IQ_FFO_SHARE_SHARE_EST_DET_EST_INCL">"c12349"</definedName>
    <definedName name="IQ_FFO_SHARE_SHARE_EST_DET_EST_INCL_THOM">"c12370"</definedName>
    <definedName name="IQ_FFO_SHARE_SHARE_EST_DET_EST_ORIGIN">"c12722"</definedName>
    <definedName name="IQ_FFO_SHARE_SHARE_EST_DET_EST_ORIGIN_THOM">"c12608"</definedName>
    <definedName name="IQ_FFO_SHARE_SHARE_EST_DET_EST_THOM">"c12088"</definedName>
    <definedName name="IQ_FFO_SHARE_SHARE_EST_REUT">"c3837"</definedName>
    <definedName name="IQ_FFO_SHARE_SHARE_EST_THOM">"c3999"</definedName>
    <definedName name="IQ_FFO_SHARE_SHARE_HIGH_EST_REUT">"c3839"</definedName>
    <definedName name="IQ_FFO_SHARE_SHARE_HIGH_EST_THOM">"c4001"</definedName>
    <definedName name="IQ_FFO_SHARE_SHARE_LOW_EST_REUT">"c3840"</definedName>
    <definedName name="IQ_FFO_SHARE_SHARE_LOW_EST_THOM">"c4002"</definedName>
    <definedName name="IQ_FFO_SHARE_SHARE_MEDIAN_EST_REUT">"c3838"</definedName>
    <definedName name="IQ_FFO_SHARE_SHARE_MEDIAN_EST_THOM">"c4000"</definedName>
    <definedName name="IQ_FFO_SHARE_SHARE_NUM_EST_REUT">"c3841"</definedName>
    <definedName name="IQ_FFO_SHARE_SHARE_NUM_EST_THOM">"c4003"</definedName>
    <definedName name="IQ_FFO_SHARE_SHARE_STDDEV_EST_REUT">"c3842"</definedName>
    <definedName name="IQ_FFO_SHARE_SHARE_STDDEV_EST_THOM">"c4004"</definedName>
    <definedName name="IQ_FFO_STDDEV_EST">"c422"</definedName>
    <definedName name="IQ_FFO_STDDEV_EST_CIQ">"c4981"</definedName>
    <definedName name="IQ_FFO_STDDEV_EST_REUT">"c3842"</definedName>
    <definedName name="IQ_FFO_STDDEV_EST_THOM">"c4004"</definedName>
    <definedName name="IQ_FH">100000</definedName>
    <definedName name="IQ_FHLB_ADVANCES_FDIC">"c6366"</definedName>
    <definedName name="IQ_FHLB_DEBT">"c423"</definedName>
    <definedName name="IQ_FHLB_DUE_AFTER_FIVE">"c2086"</definedName>
    <definedName name="IQ_FHLB_DUE_CY">"c2080"</definedName>
    <definedName name="IQ_FHLB_DUE_CY1">"c2081"</definedName>
    <definedName name="IQ_FHLB_DUE_CY2">"c2082"</definedName>
    <definedName name="IQ_FHLB_DUE_CY3">"c2083"</definedName>
    <definedName name="IQ_FHLB_DUE_CY4">"c2084"</definedName>
    <definedName name="IQ_FHLB_DUE_NEXT_FIVE">"c2085"</definedName>
    <definedName name="IQ_FIDUCIARY_ACTIVITIES_FDIC">"c6571"</definedName>
    <definedName name="IQ_FIFETEEN_YEAR_FIXED_AND_FLOATING_RATE_FDIC">"c6423"</definedName>
    <definedName name="IQ_FIFETEEN_YEAR_MORTGAGE_PASS_THROUGHS_FDIC">"c6415"</definedName>
    <definedName name="IQ_FILING_CURRENCY">"c2129"</definedName>
    <definedName name="IQ_FILINGDATE_BS">"c424"</definedName>
    <definedName name="IQ_FILINGDATE_CF">"c425"</definedName>
    <definedName name="IQ_FILINGDATE_IS">"c426"</definedName>
    <definedName name="IQ_FILM_RIGHTS">"c2254"</definedName>
    <definedName name="IQ_FIN_DIV_ASSETS_CURRENT">"c427"</definedName>
    <definedName name="IQ_FIN_DIV_ASSETS_LT">"c428"</definedName>
    <definedName name="IQ_FIN_DIV_CURRENT_PORT_DEBT_TOTAL">"c5524"</definedName>
    <definedName name="IQ_FIN_DIV_CURRENT_PORT_LEASES_TOTAL">"c5523"</definedName>
    <definedName name="IQ_FIN_DIV_DEBT_CURRENT">"c429"</definedName>
    <definedName name="IQ_FIN_DIV_DEBT_LT">"c430"</definedName>
    <definedName name="IQ_FIN_DIV_DEBT_LT_TOTAL">"c5526"</definedName>
    <definedName name="IQ_FIN_DIV_EXP">"c431"</definedName>
    <definedName name="IQ_FIN_DIV_INT_EXP">"c432"</definedName>
    <definedName name="IQ_FIN_DIV_LEASES_LT_TOTAL">"c5525"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NOTES_PAY_TOTAL">"c5522"</definedName>
    <definedName name="IQ_FIN_DIV_REV">"c437"</definedName>
    <definedName name="IQ_FINANCING_CASH">"c1405"</definedName>
    <definedName name="IQ_FINANCING_CASH_SUPPL">"c1406"</definedName>
    <definedName name="IQ_FINISHED_INV">"c438"</definedName>
    <definedName name="IQ_FIRST_YEAR_LIFE">"c439"</definedName>
    <definedName name="IQ_FIRST_YEAR_LIFE_PREM">"c2787"</definedName>
    <definedName name="IQ_FIRST_YEAR_PREM">"c2786"</definedName>
    <definedName name="IQ_FIRSTPRICINGDATE">"c3050"</definedName>
    <definedName name="IQ_FISCAL_Q">"c440"</definedName>
    <definedName name="IQ_FISCAL_Q_EST_REUT">"c6798"</definedName>
    <definedName name="IQ_FISCAL_Y">"c441"</definedName>
    <definedName name="IQ_FISCAL_Y_EST_REUT">"c6799"</definedName>
    <definedName name="IQ_FIVE_PERCENT_OWNER">"c442"</definedName>
    <definedName name="IQ_FIVE_YEAR_FIXED_AND_FLOATING_RATE_FDIC">"c6422"</definedName>
    <definedName name="IQ_FIVE_YEAR_MORTGAGE_PASS_THROUGHS_FDIC">"c6414"</definedName>
    <definedName name="IQ_FIVEPERCENT_PERCENT">"c443"</definedName>
    <definedName name="IQ_FIVEPERCENT_SHARES">"c444"</definedName>
    <definedName name="IQ_FIXED_ASSET_TURNS">"c445"</definedName>
    <definedName name="IQ_FIXED_INVEST_APR_FC_UNUSED_UNUSED_UNUSED">"c8410"</definedName>
    <definedName name="IQ_FIXED_INVEST_APR_UNUSED_UNUSED_UNUSED">"c7530"</definedName>
    <definedName name="IQ_FIXED_INVEST_FC_UNUSED_UNUSED_UNUSED">"c7750"</definedName>
    <definedName name="IQ_FIXED_INVEST_POP_FC_UNUSED_UNUSED_UNUSED">"c7970"</definedName>
    <definedName name="IQ_FIXED_INVEST_POP_UNUSED_UNUSED_UNUSED">"c7090"</definedName>
    <definedName name="IQ_FIXED_INVEST_REAL_APR_FC_UNUSED_UNUSED_UNUSED">"c8518"</definedName>
    <definedName name="IQ_FIXED_INVEST_REAL_APR_UNUSED_UNUSED_UNUSED">"c7638"</definedName>
    <definedName name="IQ_FIXED_INVEST_REAL_FC_UNUSED_UNUSED_UNUSED">"c7858"</definedName>
    <definedName name="IQ_FIXED_INVEST_REAL_POP_FC_UNUSED_UNUSED_UNUSED">"c8078"</definedName>
    <definedName name="IQ_FIXED_INVEST_REAL_POP_UNUSED_UNUSED_UNUSED">"c7198"</definedName>
    <definedName name="IQ_FIXED_INVEST_REAL_UNUSED_UNUSED_UNUSED">"c6978"</definedName>
    <definedName name="IQ_FIXED_INVEST_REAL_YOY_FC_UNUSED_UNUSED_UNUSED">"c8298"</definedName>
    <definedName name="IQ_FIXED_INVEST_REAL_YOY_UNUSED_UNUSED_UNUSED">"c7418"</definedName>
    <definedName name="IQ_FIXED_INVEST_UNUSED_UNUSED_UNUSED">"c6870"</definedName>
    <definedName name="IQ_FIXED_INVEST_YOY_FC_UNUSED_UNUSED_UNUSED">"c8190"</definedName>
    <definedName name="IQ_FIXED_INVEST_YOY_UNUSED_UNUSED_UNUSED">"c7310"</definedName>
    <definedName name="IQ_FLOAT_PERCENT">"c1575"</definedName>
    <definedName name="IQ_FNMA_FHLMC_FDIC">"c6397"</definedName>
    <definedName name="IQ_FNMA_FHLMC_GNMA_FDIC">"c6399"</definedName>
    <definedName name="IQ_FORECLOSED_PROPERTIES_FDIC">"c6459"</definedName>
    <definedName name="IQ_FOREIGN_BANK_LOANS_FDIC">"c6437"</definedName>
    <definedName name="IQ_FOREIGN_BANKS_DEPOSITS_FOREIGN_FDIC">"c6481"</definedName>
    <definedName name="IQ_FOREIGN_BANKS_LOAN_CHARG_OFFS_FDIC">"c6645"</definedName>
    <definedName name="IQ_FOREIGN_BANKS_NET_CHARGE_OFFS_FDIC">"c6647"</definedName>
    <definedName name="IQ_FOREIGN_BANKS_NONTRANSACTION_ACCOUNTS_FDIC">"c6550"</definedName>
    <definedName name="IQ_FOREIGN_BANKS_RECOVERIES_FDIC">"c6646"</definedName>
    <definedName name="IQ_FOREIGN_BANKS_TRANSACTION_ACCOUNTS_FDIC">"c6542"</definedName>
    <definedName name="IQ_FOREIGN_BRANCHES_U.S._BANKS_LOANS_FDIC">"c6438"</definedName>
    <definedName name="IQ_FOREIGN_BRANCHES_US_BANKS_FDIC">"c6392"</definedName>
    <definedName name="IQ_FOREIGN_BRANCHES_US_BANKS_LOANS_FDIC">"c6438"</definedName>
    <definedName name="IQ_FOREIGN_COUNTRIES_BANKS_TOTAL_LOANS_FOREIGN_FDIC">"c6445"</definedName>
    <definedName name="IQ_FOREIGN_DEBT_SECURITIES_FDIC">"c6303"</definedName>
    <definedName name="IQ_FOREIGN_DEP_IB">"c446"</definedName>
    <definedName name="IQ_FOREIGN_DEP_NON_IB">"c447"</definedName>
    <definedName name="IQ_FOREIGN_DEPOSITS_NONTRANSACTION_ACCOUNTS_FDIC">"c6549"</definedName>
    <definedName name="IQ_FOREIGN_DEPOSITS_TRANSACTION_ACCOUNTS_FDIC">"c6541"</definedName>
    <definedName name="IQ_FOREIGN_EXCHANGE">"c1376"</definedName>
    <definedName name="IQ_FOREIGN_EXCHANGE_EXPOSURES_FDIC">"c6663"</definedName>
    <definedName name="IQ_FOREIGN_GOVERNMENT_LOANS_FDIC">"c6430"</definedName>
    <definedName name="IQ_FOREIGN_GOVERNMENTS_CHARGE_OFFS_FDIC">"c6600"</definedName>
    <definedName name="IQ_FOREIGN_GOVERNMENTS_DEPOSITS_FOREIGN_FDIC">"c6482"</definedName>
    <definedName name="IQ_FOREIGN_GOVERNMENTS_NET_CHARGE_OFFS_FDIC">"c6638"</definedName>
    <definedName name="IQ_FOREIGN_GOVERNMENTS_NONTRANSACTION_ACCOUNTS_FDIC">"c6551"</definedName>
    <definedName name="IQ_FOREIGN_GOVERNMENTS_RECOVERIES_FDIC">"c6619"</definedName>
    <definedName name="IQ_FOREIGN_GOVERNMENTS_TOTAL_DEPOSITS_FDIC">"c6476"</definedName>
    <definedName name="IQ_FOREIGN_GOVERNMENTS_TRANSACTION_ACCOUNTS_FDIC">"c6543"</definedName>
    <definedName name="IQ_FOREIGN_LOANS">"c448"</definedName>
    <definedName name="IQ_FQ">500</definedName>
    <definedName name="IQ_FUEL">"c449"</definedName>
    <definedName name="IQ_FULL_TIME">"c450"</definedName>
    <definedName name="IQ_FULLY_INSURED_DEPOSITS_FDIC">"c6487"</definedName>
    <definedName name="IQ_FUTURES_FORWARD_CONTRACTS_NOTIONAL_AMOUNT_FDIC">"c6518"</definedName>
    <definedName name="IQ_FUTURES_FORWARD_CONTRACTS_RATE_RISK_FDIC">"c6508"</definedName>
    <definedName name="IQ_FWD">"LTM"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WD_Q3">"504"</definedName>
    <definedName name="IQ_FWD_Q4">"505"</definedName>
    <definedName name="IQ_FWD_Q5">"506"</definedName>
    <definedName name="IQ_FWD_Q6">"507"</definedName>
    <definedName name="IQ_FWD_Q7">"508"</definedName>
    <definedName name="IQ_FWD1">"LTM"</definedName>
    <definedName name="IQ_FX">"c451"</definedName>
    <definedName name="IQ_FX_CONTRACTS_FDIC">"c6517"</definedName>
    <definedName name="IQ_FX_CONTRACTS_SPOT_FDIC">"c6356"</definedName>
    <definedName name="IQ_FY">1000</definedName>
    <definedName name="IQ_FY_DATE">"IQ_FY_DATE"</definedName>
    <definedName name="IQ_GA_EXP">"c2241"</definedName>
    <definedName name="IQ_GAIN_ASSETS">"c452"</definedName>
    <definedName name="IQ_GAIN_ASSETS_BNK">"c453"</definedName>
    <definedName name="IQ_GAIN_ASSETS_BR">"c454"</definedName>
    <definedName name="IQ_GAIN_ASSETS_CF">"c455"</definedName>
    <definedName name="IQ_GAIN_ASSETS_CF_BNK">"c456"</definedName>
    <definedName name="IQ_GAIN_ASSETS_CF_BR">"c457"</definedName>
    <definedName name="IQ_GAIN_ASSETS_CF_FIN">"c458"</definedName>
    <definedName name="IQ_GAIN_ASSETS_CF_INS">"c459"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IT">"c471"</definedName>
    <definedName name="IQ_GAIN_ASSETS_REV">"c472"</definedName>
    <definedName name="IQ_GAIN_ASSETS_REV_BNK">"c473"</definedName>
    <definedName name="IQ_GAIN_ASSETS_REV_BR">"c474"</definedName>
    <definedName name="IQ_GAIN_ASSETS_REV_FIN">"c475"</definedName>
    <definedName name="IQ_GAIN_ASSETS_REV_INS">"c476"</definedName>
    <definedName name="IQ_GAIN_ASSETS_REV_REIT">"c477"</definedName>
    <definedName name="IQ_GAIN_ASSETS_REV_UTI">"c478"</definedName>
    <definedName name="IQ_GAIN_ASSETS_UTI">"c479"</definedName>
    <definedName name="IQ_GAIN_INVEST">"c1463"</definedName>
    <definedName name="IQ_GAIN_INVEST_BNK">"c1582"</definedName>
    <definedName name="IQ_GAIN_INVEST_BR">"c1464"</definedName>
    <definedName name="IQ_GAIN_INVEST_CF">"c480"</definedName>
    <definedName name="IQ_GAIN_INVEST_CF_BNK">"c481"</definedName>
    <definedName name="IQ_GAIN_INVEST_CF_BR">"c482"</definedName>
    <definedName name="IQ_GAIN_INVEST_CF_FIN">"c483"</definedName>
    <definedName name="IQ_GAIN_INVEST_CF_INS">"c484"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C_BNK">"c488"</definedName>
    <definedName name="IQ_GAIN_INVEST_REIT">"c1467"</definedName>
    <definedName name="IQ_GAIN_INVEST_REV">"c494"</definedName>
    <definedName name="IQ_GAIN_INVEST_REV_BNK">"c495"</definedName>
    <definedName name="IQ_GAIN_INVEST_REV_BR">"c496"</definedName>
    <definedName name="IQ_GAIN_INVEST_REV_FIN">"c497"</definedName>
    <definedName name="IQ_GAIN_INVEST_REV_INS">"c498"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SALE_ASSETS">"c1377"</definedName>
    <definedName name="IQ_GAIN_SALE_LOANS_FDIC">"c6673"</definedName>
    <definedName name="IQ_GAIN_SALE_RE_FDIC">"c6674"</definedName>
    <definedName name="IQ_GAINS_SALE_ASSETS_FDIC">"c6675"</definedName>
    <definedName name="IQ_GNMA_FDIC">"c6398"</definedName>
    <definedName name="IQ_GOODWILL_FDIC">"c6334"</definedName>
    <definedName name="IQ_GOODWILL_IMPAIRMENT_FDIC">"c6678"</definedName>
    <definedName name="IQ_GOODWILL_INTAN_FDIC">"c6333"</definedName>
    <definedName name="IQ_GOODWILL_NET">"c1380"</definedName>
    <definedName name="IQ_GP">"c511"</definedName>
    <definedName name="IQ_GP_10YR_ANN_GROWTH">"c512"</definedName>
    <definedName name="IQ_GP_1YR_ANN_GROWTH">"c513"</definedName>
    <definedName name="IQ_GP_2YR_ANN_GROWTH">"c514"</definedName>
    <definedName name="IQ_GP_3YR_ANN_GROWTH">"c515"</definedName>
    <definedName name="IQ_GP_5YR_ANN_GROWTH">"c516"</definedName>
    <definedName name="IQ_GP_7YR_ANN_GROWTH">"c517"</definedName>
    <definedName name="IQ_GPPE">"c518"</definedName>
    <definedName name="IQ_GROSS_AH_EARNED">"c2742"</definedName>
    <definedName name="IQ_GROSS_CLAIM_EXP_INCUR">"c2755"</definedName>
    <definedName name="IQ_GROSS_CLAIM_EXP_PAID">"c2758"</definedName>
    <definedName name="IQ_GROSS_CLAIM_EXP_RES">"c2752"</definedName>
    <definedName name="IQ_GROSS_DIVID">"c1446"</definedName>
    <definedName name="IQ_GROSS_EARNED">"c2732"</definedName>
    <definedName name="IQ_GROSS_INTAN">"c520"</definedName>
    <definedName name="IQ_GROSS_LIFE_EARNED">"c2737"</definedName>
    <definedName name="IQ_GROSS_LIFE_IN_FORCE">"c2767"</definedName>
    <definedName name="IQ_GROSS_LOANS">"c521"</definedName>
    <definedName name="IQ_GROSS_LOANS_10YR_ANN_GROWTH">"c522"</definedName>
    <definedName name="IQ_GROSS_LOANS_1YR_ANN_GROWTH">"c523"</definedName>
    <definedName name="IQ_GROSS_LOANS_2YR_ANN_GROWTH">"c524"</definedName>
    <definedName name="IQ_GROSS_LOANS_3YR_ANN_GROWTH">"c525"</definedName>
    <definedName name="IQ_GROSS_LOANS_5YR_ANN_GROWTH">"c526"</definedName>
    <definedName name="IQ_GROSS_LOANS_7YR_ANN_GROWTH">"c527"</definedName>
    <definedName name="IQ_GROSS_LOANS_TOTAL_DEPOSITS">"c528"</definedName>
    <definedName name="IQ_GROSS_MARGIN">"c529"</definedName>
    <definedName name="IQ_GROSS_PC_EARNED">"c2747"</definedName>
    <definedName name="IQ_GROSS_PROFIT">"c1378"</definedName>
    <definedName name="IQ_GROSS_WRITTEN">"c2726"</definedName>
    <definedName name="IQ_GW">"c530"</definedName>
    <definedName name="IQ_GW_AMORT_BR">"c532"</definedName>
    <definedName name="IQ_GW_AMORT_FIN">"c540"</definedName>
    <definedName name="IQ_GW_AMORT_INS">"c541"</definedName>
    <definedName name="IQ_GW_AMORT_REIT">"c542"</definedName>
    <definedName name="IQ_GW_AMORT_UTI">"c543"</definedName>
    <definedName name="IQ_GW_INTAN_AMORT">"c1469"</definedName>
    <definedName name="IQ_GW_INTAN_AMORT_BNK">"c544"</definedName>
    <definedName name="IQ_GW_INTAN_AMORT_BR">"c1470"</definedName>
    <definedName name="IQ_GW_INTAN_AMORT_CF">"c1471"</definedName>
    <definedName name="IQ_GW_INTAN_AMORT_CF_BNK">"c1472"</definedName>
    <definedName name="IQ_GW_INTAN_AMORT_CF_BR">"c1473"</definedName>
    <definedName name="IQ_GW_INTAN_AMORT_CF_FIN">"c1474"</definedName>
    <definedName name="IQ_GW_INTAN_AMORT_CF_INS">"c1475"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IT">"c1480"</definedName>
    <definedName name="IQ_GW_INTAN_AMORT_UTI">"c1481"</definedName>
    <definedName name="IQ_HELD_MATURITY_FDIC">"c6408"</definedName>
    <definedName name="IQ_HG_REV_OTHER_HOTEL_MOTEL">"c8731"</definedName>
    <definedName name="IQ_HG_REV_TOTAL_CASINO_GAMING">"c8723"</definedName>
    <definedName name="IQ_HG_REV_TOTAL_HOTEL_MOTEL">"c8732"</definedName>
    <definedName name="IQ_HIGH_TARGET_PRICE">"c1651"</definedName>
    <definedName name="IQ_HIGH_TARGET_PRICE_REUT">"c5317"</definedName>
    <definedName name="IQ_HIGHPRICE">"c545"</definedName>
    <definedName name="IQ_HOME_EQUITY_LOC_NET_CHARGE_OFFS_FDIC">"c6644"</definedName>
    <definedName name="IQ_HOME_EQUITY_LOC_TOTAL_CHARGE_OFFS_FDIC">"c6606"</definedName>
    <definedName name="IQ_HOME_EQUITY_LOC_TOTAL_RECOVERIES_FDIC">"c6625"</definedName>
    <definedName name="IQ_HOMEOWNERS_WRITTEN">"c546"</definedName>
    <definedName name="IQ_HOUSING_COMPLETIONS_SINGLE_FAM_APR_FC_UNUSED_UNUSED_UNUSED">"c8422"</definedName>
    <definedName name="IQ_HOUSING_COMPLETIONS_SINGLE_FAM_APR_UNUSED_UNUSED_UNUSED">"c7542"</definedName>
    <definedName name="IQ_HOUSING_COMPLETIONS_SINGLE_FAM_FC_UNUSED_UNUSED_UNUSED">"c7762"</definedName>
    <definedName name="IQ_HOUSING_COMPLETIONS_SINGLE_FAM_POP_FC_UNUSED_UNUSED_UNUSED">"c7982"</definedName>
    <definedName name="IQ_HOUSING_COMPLETIONS_SINGLE_FAM_POP_UNUSED_UNUSED_UNUSED">"c7102"</definedName>
    <definedName name="IQ_HOUSING_COMPLETIONS_SINGLE_FAM_UNUSED_UNUSED_UNUSED">"c6882"</definedName>
    <definedName name="IQ_HOUSING_COMPLETIONS_SINGLE_FAM_YOY_FC_UNUSED_UNUSED_UNUSED">"c8202"</definedName>
    <definedName name="IQ_HOUSING_COMPLETIONS_SINGLE_FAM_YOY_UNUSED_UNUSED_UNUSED">"c7322"</definedName>
    <definedName name="IQ_IMPAIR_OIL">"c547"</definedName>
    <definedName name="IQ_IMPAIRMENT_GW">"c548"</definedName>
    <definedName name="IQ_IMPORTS_GOODS_REAL_SAAR_APR_FC_UNUSED_UNUSED_UNUSED">"c8523"</definedName>
    <definedName name="IQ_IMPORTS_GOODS_REAL_SAAR_APR_UNUSED_UNUSED_UNUSED">"c7643"</definedName>
    <definedName name="IQ_IMPORTS_GOODS_REAL_SAAR_FC_UNUSED_UNUSED_UNUSED">"c7863"</definedName>
    <definedName name="IQ_IMPORTS_GOODS_REAL_SAAR_POP_FC_UNUSED_UNUSED_UNUSED">"c8083"</definedName>
    <definedName name="IQ_IMPORTS_GOODS_REAL_SAAR_POP_UNUSED_UNUSED_UNUSED">"c7203"</definedName>
    <definedName name="IQ_IMPORTS_GOODS_REAL_SAAR_UNUSED_UNUSED_UNUSED">"c6983"</definedName>
    <definedName name="IQ_IMPORTS_GOODS_REAL_SAAR_YOY_FC_UNUSED_UNUSED_UNUSED">"c8303"</definedName>
    <definedName name="IQ_IMPORTS_GOODS_REAL_SAAR_YOY_UNUSED_UNUSED_UNUSED">"c7423"</definedName>
    <definedName name="IQ_IMPORTS_GOODS_SERVICES_APR_FC_UNUSED_UNUSED_UNUSED">"c8429"</definedName>
    <definedName name="IQ_IMPORTS_GOODS_SERVICES_APR_UNUSED_UNUSED_UNUSED">"c7549"</definedName>
    <definedName name="IQ_IMPORTS_GOODS_SERVICES_FC_UNUSED_UNUSED_UNUSED">"c7769"</definedName>
    <definedName name="IQ_IMPORTS_GOODS_SERVICES_POP_FC_UNUSED_UNUSED_UNUSED">"c7989"</definedName>
    <definedName name="IQ_IMPORTS_GOODS_SERVICES_POP_UNUSED_UNUSED_UNUSED">"c7109"</definedName>
    <definedName name="IQ_IMPORTS_GOODS_SERVICES_REAL_SAAR_APR_FC_UNUSED_UNUSED_UNUSED">"c8524"</definedName>
    <definedName name="IQ_IMPORTS_GOODS_SERVICES_REAL_SAAR_APR_UNUSED_UNUSED_UNUSED">"c7644"</definedName>
    <definedName name="IQ_IMPORTS_GOODS_SERVICES_REAL_SAAR_FC_UNUSED_UNUSED_UNUSED">"c7864"</definedName>
    <definedName name="IQ_IMPORTS_GOODS_SERVICES_REAL_SAAR_POP_FC_UNUSED_UNUSED_UNUSED">"c8084"</definedName>
    <definedName name="IQ_IMPORTS_GOODS_SERVICES_REAL_SAAR_POP_UNUSED_UNUSED_UNUSED">"c7204"</definedName>
    <definedName name="IQ_IMPORTS_GOODS_SERVICES_REAL_SAAR_UNUSED_UNUSED_UNUSED">"c6984"</definedName>
    <definedName name="IQ_IMPORTS_GOODS_SERVICES_REAL_SAAR_YOY_FC_UNUSED_UNUSED_UNUSED">"c8304"</definedName>
    <definedName name="IQ_IMPORTS_GOODS_SERVICES_REAL_SAAR_YOY_UNUSED_UNUSED_UNUSED">"c7424"</definedName>
    <definedName name="IQ_IMPORTS_GOODS_SERVICES_UNUSED_UNUSED_UNUSED">"c6889"</definedName>
    <definedName name="IQ_IMPORTS_GOODS_SERVICES_YOY_FC_UNUSED_UNUSED_UNUSED">"c8209"</definedName>
    <definedName name="IQ_IMPORTS_GOODS_SERVICES_YOY_UNUSED_UNUSED_UNUSED">"c7329"</definedName>
    <definedName name="IQ_IMPUT_OPER_LEASE_DEPR">"c2987"</definedName>
    <definedName name="IQ_IMPUT_OPER_LEASE_INT_EXP">"c2986"</definedName>
    <definedName name="IQ_INC_AFTER_TAX">"c1598"</definedName>
    <definedName name="IQ_INC_AVAIL_EXCL">"c1395"</definedName>
    <definedName name="IQ_INC_AVAIL_INCL">"c1396"</definedName>
    <definedName name="IQ_INC_BEFORE_TAX">"c1375"</definedName>
    <definedName name="IQ_INC_EQUITY">"c549"</definedName>
    <definedName name="IQ_INC_EQUITY_BR">"c550"</definedName>
    <definedName name="IQ_INC_EQUITY_CF">"c551"</definedName>
    <definedName name="IQ_INC_EQUITY_FIN">"c552"</definedName>
    <definedName name="IQ_INC_EQUITY_INS">"c553"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CIDENTAL_CHANGES_BUSINESS_COMBINATIONS_FDIC">"c6502"</definedName>
    <definedName name="IQ_INCOME_BEFORE_EXTRA_FDIC">"c6585"</definedName>
    <definedName name="IQ_INCOME_EARNED_FDIC">"c6359"</definedName>
    <definedName name="IQ_INCOME_TAXES_FDIC">"c6582"</definedName>
    <definedName name="IQ_INDIVIDUALS_CHARGE_OFFS_FDIC">"c6599"</definedName>
    <definedName name="IQ_INDIVIDUALS_LOANS_FDIC">"c6318"</definedName>
    <definedName name="IQ_INDIVIDUALS_NET_CHARGE_OFFS_FDIC">"c6637"</definedName>
    <definedName name="IQ_INDIVIDUALS_OTHER_LOANS_FDIC">"c6321"</definedName>
    <definedName name="IQ_INDIVIDUALS_PARTNERSHIPS_CORP_DEPOSITS_FOREIGN_FDIC">"c6479"</definedName>
    <definedName name="IQ_INDIVIDUALS_PARTNERSHIPS_CORP_NONTRANSACTION_ACCOUNTS_FDIC">"c6545"</definedName>
    <definedName name="IQ_INDIVIDUALS_PARTNERSHIPS_CORP_TOTAL_DEPOSITS_FDIC">"c6471"</definedName>
    <definedName name="IQ_INDIVIDUALS_PARTNERSHIPS_CORP_TRANSACTION_ACCOUNTS_FDIC">"c6537"</definedName>
    <definedName name="IQ_INDIVIDUALS_RECOVERIES_FDIC">"c6618"</definedName>
    <definedName name="IQ_INS_ANNUITY_LIAB">"c563"</definedName>
    <definedName name="IQ_INS_ANNUITY_REV">"c2788"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>"c572"</definedName>
    <definedName name="IQ_INS_SETTLE_FIN">"c573"</definedName>
    <definedName name="IQ_INS_SETTLE_INS">"c574"</definedName>
    <definedName name="IQ_INS_SETTLE_REIT">"c575"</definedName>
    <definedName name="IQ_INS_SETTLE_UTI">"c576"</definedName>
    <definedName name="IQ_INSIDER_3MTH_BOUGHT">"c1534"</definedName>
    <definedName name="IQ_INSIDER_3MTH_BOUGHT_PCT">"c1534"</definedName>
    <definedName name="IQ_INSIDER_3MTH_NET">"c1535"</definedName>
    <definedName name="IQ_INSIDER_3MTH_NET_PCT">"c1535"</definedName>
    <definedName name="IQ_INSIDER_3MTH_SOLD">"c1533"</definedName>
    <definedName name="IQ_INSIDER_3MTH_SOLD_PCT">"c1533"</definedName>
    <definedName name="IQ_INSIDER_6MTH_BOUGHT">"c1537"</definedName>
    <definedName name="IQ_INSIDER_6MTH_BOUGHT_PCT">"c1537"</definedName>
    <definedName name="IQ_INSIDER_6MTH_NET">"c1538"</definedName>
    <definedName name="IQ_INSIDER_6MTH_NET_PCT">"c1538"</definedName>
    <definedName name="IQ_INSIDER_6MTH_SOLD">"c1536"</definedName>
    <definedName name="IQ_INSIDER_6MTH_SOLD_PCT">"c1536"</definedName>
    <definedName name="IQ_INSIDER_LOANS_FDIC">"c6365"</definedName>
    <definedName name="IQ_INSIDER_OVER_TOTAL">"c1581"</definedName>
    <definedName name="IQ_INSIDER_OWNER">"c577"</definedName>
    <definedName name="IQ_INSIDER_PERCENT">"c578"</definedName>
    <definedName name="IQ_INSIDER_SHARES">"c579"</definedName>
    <definedName name="IQ_INSTITUTIONAL_OVER_TOTAL">"c1580"</definedName>
    <definedName name="IQ_INSTITUTIONAL_OWNER">"c580"</definedName>
    <definedName name="IQ_INSTITUTIONAL_PERCENT">"c581"</definedName>
    <definedName name="IQ_INSTITUTIONAL_SHARES">"c582"</definedName>
    <definedName name="IQ_INSTITUTIONS_EARNINGS_GAINS_FDIC">"c6723"</definedName>
    <definedName name="IQ_INSUR_RECEIV">"c1600"</definedName>
    <definedName name="IQ_INSURANCE_COMMISSION_FEES_FDIC">"c6670"</definedName>
    <definedName name="IQ_INSURANCE_UNDERWRITING_INCOME_FDIC">"c6671"</definedName>
    <definedName name="IQ_INT_BORROW">"c583"</definedName>
    <definedName name="IQ_INT_DEMAND_NOTES_FDIC">"c6567"</definedName>
    <definedName name="IQ_INT_DEPOSITS">"c584"</definedName>
    <definedName name="IQ_INT_DIV_INC">"c585"</definedName>
    <definedName name="IQ_INT_DOMESTIC_DEPOSITS_FDIC">"c6564"</definedName>
    <definedName name="IQ_INT_EXP_BR">"c586"</definedName>
    <definedName name="IQ_INT_EXP_COVERAGE">"c587"</definedName>
    <definedName name="IQ_INT_EXP_FIN">"c588"</definedName>
    <definedName name="IQ_INT_EXP_INCL_CAP">"c2988"</definedName>
    <definedName name="IQ_INT_EXP_INS">"c589"</definedName>
    <definedName name="IQ_INT_EXP_LTD">"c2086"</definedName>
    <definedName name="IQ_INT_EXP_REIT">"c590"</definedName>
    <definedName name="IQ_INT_EXP_TOTAL">"c591"</definedName>
    <definedName name="IQ_INT_EXP_TOTAL_FDIC">"c6569"</definedName>
    <definedName name="IQ_INT_EXP_UTI">"c592"</definedName>
    <definedName name="IQ_INT_FED_FUNDS_FDIC">"c6566"</definedName>
    <definedName name="IQ_INT_FOREIGN_DEPOSITS_FDIC">"c6565"</definedName>
    <definedName name="IQ_INT_INC_BR">"c593"</definedName>
    <definedName name="IQ_INT_INC_DEPOSITORY_INST_FDIC">"c6558"</definedName>
    <definedName name="IQ_INT_INC_DOM_LOANS_FDIC">"c6555"</definedName>
    <definedName name="IQ_INT_INC_FED_FUNDS_FDIC">"c6561"</definedName>
    <definedName name="IQ_INT_INC_FIN">"c594"</definedName>
    <definedName name="IQ_INT_INC_FOREIGN_LOANS_FDIC">"c6556"</definedName>
    <definedName name="IQ_INT_INC_INVEST">"c595"</definedName>
    <definedName name="IQ_INT_INC_LEASE_RECEIVABLES_FDIC">"c6557"</definedName>
    <definedName name="IQ_INT_INC_LOANS">"c596"</definedName>
    <definedName name="IQ_INT_INC_OTHER_FDIC">"c6562"</definedName>
    <definedName name="IQ_INT_INC_REIT">"c597"</definedName>
    <definedName name="IQ_INT_INC_SECURITIES_FDIC">"c6559"</definedName>
    <definedName name="IQ_INT_INC_TOTAL">"c598"</definedName>
    <definedName name="IQ_INT_INC_TOTAL_FDIC">"c6563"</definedName>
    <definedName name="IQ_INT_INC_TRADING_ACCOUNTS_FDIC">"c6560"</definedName>
    <definedName name="IQ_INT_INC_UTI">"c599"</definedName>
    <definedName name="IQ_INT_INV_INC">"c600"</definedName>
    <definedName name="IQ_INT_INV_INC_REIT">"c601"</definedName>
    <definedName name="IQ_INT_INV_INC_UTI">"c602"</definedName>
    <definedName name="IQ_INT_ON_BORROWING_COVERAGE">"c603"</definedName>
    <definedName name="IQ_INT_RATE_SPREAD">"c604"</definedName>
    <definedName name="IQ_INT_SUB_NOTES_FDIC">"c6568"</definedName>
    <definedName name="IQ_INTANGIBLES_NET">"c1407"</definedName>
    <definedName name="IQ_INTEL_EPS_EST">"c24729"</definedName>
    <definedName name="IQ_INTEREST_BEARING_BALANCES_FDIC">"c6371"</definedName>
    <definedName name="IQ_INTEREST_BEARING_DEPOSITS_DOMESTIC_FDIC">"c6478"</definedName>
    <definedName name="IQ_INTEREST_BEARING_DEPOSITS_FDIC">"c6373"</definedName>
    <definedName name="IQ_INTEREST_BEARING_DEPOSITS_FOREIGN_FDIC">"c6485"</definedName>
    <definedName name="IQ_INTEREST_CASH_DEPOSITS">"c2255"</definedName>
    <definedName name="IQ_INTEREST_EXP">"c618"</definedName>
    <definedName name="IQ_INTEREST_EXP_NET">"c1450"</definedName>
    <definedName name="IQ_INTEREST_EXP_NON">"c1383"</definedName>
    <definedName name="IQ_INTEREST_EXP_SUPPL">"c1460"</definedName>
    <definedName name="IQ_INTEREST_INC">"c1393"</definedName>
    <definedName name="IQ_INTEREST_INC_10K">"IQ_INTEREST_INC_10K"</definedName>
    <definedName name="IQ_INTEREST_INC_10Q">"IQ_INTEREST_INC_10Q"</definedName>
    <definedName name="IQ_INTEREST_INC_10Q1">"IQ_INTEREST_INC_10Q1"</definedName>
    <definedName name="IQ_INTEREST_INC_NON">"c1384"</definedName>
    <definedName name="IQ_INTEREST_INVEST_INC">"c619"</definedName>
    <definedName name="IQ_INTEREST_LT_DEBT">"c2086"</definedName>
    <definedName name="IQ_INTEREST_RATE_CONTRACTS_FDIC">"c6512"</definedName>
    <definedName name="IQ_INTEREST_RATE_EXPOSURES_FDIC">"c6662"</definedName>
    <definedName name="IQ_INV_10YR_ANN_GROWTH">"c1930"</definedName>
    <definedName name="IQ_INV_1YR_ANN_GROWTH">"c1925"</definedName>
    <definedName name="IQ_INV_2YR_ANN_GROWTH">"c1926"</definedName>
    <definedName name="IQ_INV_3YR_ANN_GROWTH">"c1927"</definedName>
    <definedName name="IQ_INV_5YR_ANN_GROWTH">"c1928"</definedName>
    <definedName name="IQ_INV_7YR_ANN_GROWTH">"c1929"</definedName>
    <definedName name="IQ_INV_BANKING_FEE">"c620"</definedName>
    <definedName name="IQ_INV_METHOD">"c621"</definedName>
    <definedName name="IQ_INVENTORY">"c622"</definedName>
    <definedName name="IQ_INVENTORY_TURNS">"c623"</definedName>
    <definedName name="IQ_INVENTORY_UTI">"c624"</definedName>
    <definedName name="IQ_INVEST_DEBT">"c625"</definedName>
    <definedName name="IQ_INVEST_EQUITY_PREF">"c626"</definedName>
    <definedName name="IQ_INVEST_FHLB">"c627"</definedName>
    <definedName name="IQ_INVEST_LOANS_CF">"c628"</definedName>
    <definedName name="IQ_INVEST_LOANS_CF_BNK">"c629"</definedName>
    <definedName name="IQ_INVEST_LOANS_CF_BR">"c630"</definedName>
    <definedName name="IQ_INVEST_LOANS_CF_FIN">"c631"</definedName>
    <definedName name="IQ_INVEST_LOANS_CF_INS">"c632"</definedName>
    <definedName name="IQ_INVEST_LOANS_CF_REIT">"c633"</definedName>
    <definedName name="IQ_INVEST_LOANS_CF_UTI">"c634"</definedName>
    <definedName name="IQ_INVEST_REAL_ESTATE">"c635"</definedName>
    <definedName name="IQ_INVEST_SECURITY">"c636"</definedName>
    <definedName name="IQ_INVEST_SECURITY_CF">"c637"</definedName>
    <definedName name="IQ_INVEST_SECURITY_CF_BNK">"c638"</definedName>
    <definedName name="IQ_INVEST_SECURITY_CF_BR">"c639"</definedName>
    <definedName name="IQ_INVEST_SECURITY_CF_FIN">"c640"</definedName>
    <definedName name="IQ_INVEST_SECURITY_CF_INS">"c641"</definedName>
    <definedName name="IQ_INVEST_SECURITY_CF_REIT">"c642"</definedName>
    <definedName name="IQ_INVEST_SECURITY_CF_UTI">"c643"</definedName>
    <definedName name="IQ_INVESTMENT_BANKING_OTHER_FEES_FDIC">"c6666"</definedName>
    <definedName name="IQ_IPRD">"c644"</definedName>
    <definedName name="IQ_IRA_KEOGH_ACCOUNTS_FDIC">"c6496"</definedName>
    <definedName name="IQ_ISM_SERVICES_APR_FC_UNUSED_UNUSED_UNUSED">"c8443"</definedName>
    <definedName name="IQ_ISM_SERVICES_APR_UNUSED_UNUSED_UNUSED">"c7563"</definedName>
    <definedName name="IQ_ISM_SERVICES_FC_UNUSED_UNUSED_UNUSED">"c7783"</definedName>
    <definedName name="IQ_ISM_SERVICES_POP_FC_UNUSED_UNUSED_UNUSED">"c8003"</definedName>
    <definedName name="IQ_ISM_SERVICES_POP_UNUSED_UNUSED_UNUSED">"c7123"</definedName>
    <definedName name="IQ_ISM_SERVICES_UNUSED_UNUSED_UNUSED">"c6903"</definedName>
    <definedName name="IQ_ISM_SERVICES_YOY_FC_UNUSED_UNUSED_UNUSED">"c8223"</definedName>
    <definedName name="IQ_ISM_SERVICES_YOY_UNUSED_UNUSED_UNUSED">"c7343"</definedName>
    <definedName name="IQ_ISS_DEBT_NET">"c1391"</definedName>
    <definedName name="IQ_ISS_STOCK_NET">"c1601"</definedName>
    <definedName name="IQ_ISSUED_GUARANTEED_US_FDIC">"c6404"</definedName>
    <definedName name="IQ_JR_SUB_DEBT">"c2534"</definedName>
    <definedName name="IQ_JR_SUB_DEBT_EBITDA">"c2560"</definedName>
    <definedName name="IQ_JR_SUB_DEBT_EBITDA_CAPEX">"c2561"</definedName>
    <definedName name="IQ_JR_SUB_DEBT_PCT">"c2535"</definedName>
    <definedName name="IQ_LAND">"c645"</definedName>
    <definedName name="IQ_LAST_EBIT_MARGIN">"IQ_LAST_EBIT_MARGIN"</definedName>
    <definedName name="IQ_LAST_EBITDA_MARGIN">"IQ_LAST_EBITDA_MARGIN"</definedName>
    <definedName name="IQ_LAST_GROSS_MARGIN">"IQ_LAST_GROSS_MARGIN"</definedName>
    <definedName name="IQ_LAST_NET_INC_MARGIN">"IQ_LAST_NET_INC_MARGIN"</definedName>
    <definedName name="IQ_LAST_SPLIT_DATE">"c2095"</definedName>
    <definedName name="IQ_LAST_SPLIT_FACTOR">"c2093"</definedName>
    <definedName name="IQ_LASTPRICINGDATE">"c3051"</definedName>
    <definedName name="IQ_LASTSALEPRICE">"c646"</definedName>
    <definedName name="IQ_LASTSALEPRICE_DATE">"c2109"</definedName>
    <definedName name="IQ_LATEST">"1"</definedName>
    <definedName name="IQ_LATESTK">1000</definedName>
    <definedName name="IQ_LATESTKFR">"100"</definedName>
    <definedName name="IQ_LATESTQ">500</definedName>
    <definedName name="IQ_LATESTQFR">"50"</definedName>
    <definedName name="IQ_LEASE_FINANCING_RECEIVABLES_CHARGE_OFFS_FDIC">"c6602"</definedName>
    <definedName name="IQ_LEASE_FINANCING_RECEIVABLES_FDIC">"c6433"</definedName>
    <definedName name="IQ_LEASE_FINANCING_RECEIVABLES_NET_CHARGE_OFFS_FDIC">"c6640"</definedName>
    <definedName name="IQ_LEASE_FINANCING_RECEIVABLES_RECOVERIES_FDIC">"c6621"</definedName>
    <definedName name="IQ_LEASE_FINANCING_RECEIVABLES_TOTAL_LOANS_FOREIGN_FDIC">"c6449"</definedName>
    <definedName name="IQ_LEGAL_SETTLE">"c647"</definedName>
    <definedName name="IQ_LEGAL_SETTLE_BNK">"c648"</definedName>
    <definedName name="IQ_LEGAL_SETTLE_BR">"c649"</definedName>
    <definedName name="IQ_LEGAL_SETTLE_FIN">"c650"</definedName>
    <definedName name="IQ_LEGAL_SETTLE_INS">"c651"</definedName>
    <definedName name="IQ_LEGAL_SETTLE_REIT">"c652"</definedName>
    <definedName name="IQ_LEGAL_SETTLE_UTI">"c653"</definedName>
    <definedName name="IQ_LEVERAGE_RATIO">"c654"</definedName>
    <definedName name="IQ_LEVERED_FCF">"c1907"</definedName>
    <definedName name="IQ_LFCF_10YR_ANN_GROWTH">"c1942"</definedName>
    <definedName name="IQ_LFCF_1YR_ANN_GROWTH">"c1937"</definedName>
    <definedName name="IQ_LFCF_2YR_ANN_GROWTH">"c1938"</definedName>
    <definedName name="IQ_LFCF_3YR_ANN_GROWTH">"c1939"</definedName>
    <definedName name="IQ_LFCF_5YR_ANN_GROWTH">"c1940"</definedName>
    <definedName name="IQ_LFCF_7YR_ANN_GROWTH">"c1941"</definedName>
    <definedName name="IQ_LFCF_MARGIN">"c1961"</definedName>
    <definedName name="IQ_LH_STATUTORY_SURPLUS">"c2771"</definedName>
    <definedName name="IQ_LICENSED_POPS">"c2123"</definedName>
    <definedName name="IQ_LIFE_EARNED">"c2739"</definedName>
    <definedName name="IQ_LIFE_INSURANCE_ASSETS_FDIC">"c6372"</definedName>
    <definedName name="IQ_LIFOR">"c655"</definedName>
    <definedName name="IQ_LISTING_CURRENCY">"c2127"</definedName>
    <definedName name="IQ_LL">"c656"</definedName>
    <definedName name="IQ_LOAN_COMMITMENTS_REVOLVING_FDIC">"c6524"</definedName>
    <definedName name="IQ_LOAN_LEASE_RECEIV">"c657"</definedName>
    <definedName name="IQ_LOAN_LOSS">"c1386"</definedName>
    <definedName name="IQ_LOAN_LOSS_ALLOW_FDIC">"c6326"</definedName>
    <definedName name="IQ_LOAN_LOSS_ALLOWANCE_NONCURRENT_LOANS_FDIC">"c6740"</definedName>
    <definedName name="IQ_LOAN_LOSSES_FDIC">"c6580"</definedName>
    <definedName name="IQ_LOAN_SERVICE_REV">"c658"</definedName>
    <definedName name="IQ_LOANS_AND_LEASES_HELD_FDIC">"c6367"</definedName>
    <definedName name="IQ_LOANS_CF">"c659"</definedName>
    <definedName name="IQ_LOANS_CF_BNK">"c660"</definedName>
    <definedName name="IQ_LOANS_CF_BR">"c661"</definedName>
    <definedName name="IQ_LOANS_CF_FIN">"c662"</definedName>
    <definedName name="IQ_LOANS_CF_INS">"c663"</definedName>
    <definedName name="IQ_LOANS_CF_REIT">"c664"</definedName>
    <definedName name="IQ_LOANS_CF_UTI">"c665"</definedName>
    <definedName name="IQ_LOANS_DEPOSITORY_INSTITUTIONS_FDIC">"c6382"</definedName>
    <definedName name="IQ_LOANS_FOR_SALE">"c666"</definedName>
    <definedName name="IQ_LOANS_HELD_FOREIGN_FDIC">"c6315"</definedName>
    <definedName name="IQ_LOANS_LEASES_FOREIGN_FDIC">"c6383"</definedName>
    <definedName name="IQ_LOANS_LEASES_GROSS_FDIC">"c6323"</definedName>
    <definedName name="IQ_LOANS_LEASES_GROSS_FOREIGN_FDIC">"c6384"</definedName>
    <definedName name="IQ_LOANS_LEASES_NET_FDIC">"c6327"</definedName>
    <definedName name="IQ_LOANS_LEASES_NET_UNEARNED_FDIC">"c6325"</definedName>
    <definedName name="IQ_LOANS_NOT_SECURED_RE_FDIC">"c6381"</definedName>
    <definedName name="IQ_LOANS_PAST_DUE">"c667"</definedName>
    <definedName name="IQ_LOANS_RECEIV_CURRENT">"c668"</definedName>
    <definedName name="IQ_LOANS_RECEIV_LT">"c669"</definedName>
    <definedName name="IQ_LOANS_RECEIV_LT_UTI">"c670"</definedName>
    <definedName name="IQ_LOANS_SECURED_BY_RE_CHARGE_OFFS_FDIC">"c6588"</definedName>
    <definedName name="IQ_LOANS_SECURED_BY_RE_RECOVERIES_FDIC">"c6607"</definedName>
    <definedName name="IQ_LOANS_SECURED_NON_US_FDIC">"c6380"</definedName>
    <definedName name="IQ_LOANS_SECURED_RE_NET_CHARGE_OFFS_FDIC">"c6626"</definedName>
    <definedName name="IQ_LOANS_TO_DEPOSITORY_INSTITUTIONS_FOREIGN_FDIC">"c6453"</definedName>
    <definedName name="IQ_LOANS_TO_FOREIGN_GOVERNMENTS_FDIC">"c6448"</definedName>
    <definedName name="IQ_LOANS_TO_INDIVIDUALS_FOREIGN_FDIC">"c6452"</definedName>
    <definedName name="IQ_LONG_TERM_ASSETS_FDIC">"c6361"</definedName>
    <definedName name="IQ_LONG_TERM_DEBT">"c1387"</definedName>
    <definedName name="IQ_LONG_TERM_DEBT_OVER_TOTAL_CAP">"c1388"</definedName>
    <definedName name="IQ_LONG_TERM_GROWTH">"c671"</definedName>
    <definedName name="IQ_LONG_TERM_INV">"c1389"</definedName>
    <definedName name="IQ_LOSS_ALLOWANCE_LOANS_FDIC">"c6739"</definedName>
    <definedName name="IQ_LOSS_LOSS_EXP">"c672"</definedName>
    <definedName name="IQ_LOSS_TO_NET_EARNED">"c2751"</definedName>
    <definedName name="IQ_LOW_TARGET_PRICE">"c1652"</definedName>
    <definedName name="IQ_LOW_TARGET_PRICE_REUT">"c5318"</definedName>
    <definedName name="IQ_LOWPRICE">"c673"</definedName>
    <definedName name="IQ_LT_DEBT">"c674"</definedName>
    <definedName name="IQ_LT_DEBT_BNK">"c675"</definedName>
    <definedName name="IQ_LT_DEBT_BR">"c676"</definedName>
    <definedName name="IQ_LT_DEBT_CAPITAL">"c677"</definedName>
    <definedName name="IQ_LT_DEBT_CAPITAL_LEASES">"c2542"</definedName>
    <definedName name="IQ_LT_DEBT_CAPITAL_LEASES_PCT">"c2543"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>"c683"</definedName>
    <definedName name="IQ_LT_DEBT_ISSUED_FIN">"c684"</definedName>
    <definedName name="IQ_LT_DEBT_ISSUED_INS">"c685"</definedName>
    <definedName name="IQ_LT_DEBT_ISSUED_REIT">"c686"</definedName>
    <definedName name="IQ_LT_DEBT_ISSUED_UTI">"c687"</definedName>
    <definedName name="IQ_LT_DEBT_REIT">"c688"</definedName>
    <definedName name="IQ_LT_DEBT_REPAID">"c689"</definedName>
    <definedName name="IQ_LT_DEBT_REPAID_BNK">"c690"</definedName>
    <definedName name="IQ_LT_DEBT_REPAID_BR">"c691"</definedName>
    <definedName name="IQ_LT_DEBT_REPAID_FIN">"c692"</definedName>
    <definedName name="IQ_LT_DEBT_REPAID_INS">"c693"</definedName>
    <definedName name="IQ_LT_DEBT_REPAID_REIT">"c694"</definedName>
    <definedName name="IQ_LT_DEBT_REPAID_UTI">"c695"</definedName>
    <definedName name="IQ_LT_DEBT_UTI">"c696"</definedName>
    <definedName name="IQ_LT_INVEST">"c697"</definedName>
    <definedName name="IQ_LT_INVEST_BR">"c698"</definedName>
    <definedName name="IQ_LT_INVEST_FIN">"c699"</definedName>
    <definedName name="IQ_LT_INVEST_REIT">"c700"</definedName>
    <definedName name="IQ_LT_INVEST_UTI">"c701"</definedName>
    <definedName name="IQ_LT_NOTE_RECEIV">"c1602"</definedName>
    <definedName name="IQ_LT_SENIOR_DEBT">"c702"</definedName>
    <definedName name="IQ_LT_SUB_DEBT">"c703"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DATE">"IQ_LTM_DATE"</definedName>
    <definedName name="IQ_LTM_REVENUE_OVER_EMPLOYEES">"c1437"</definedName>
    <definedName name="IQ_LTMMONTH">120000</definedName>
    <definedName name="IQ_MACHINERY">"c711"</definedName>
    <definedName name="IQ_MACRO_SURVEY_CONSUMER_SENTIMENT">"c20808"</definedName>
    <definedName name="IQ_MAINT_CAPEX">"c2947"</definedName>
    <definedName name="IQ_MAINT_REPAIR">"c2087"</definedName>
    <definedName name="IQ_MARKET_CAP_LFCF">"c2209"</definedName>
    <definedName name="IQ_MARKETCAP">"c712"</definedName>
    <definedName name="IQ_MARKETING">"c2239"</definedName>
    <definedName name="IQ_MARKTCAP">"c258"</definedName>
    <definedName name="IQ_MATURITY_ONE_YEAR_LESS_FDIC">"c6425"</definedName>
    <definedName name="IQ_MC_GA_MARGIN">"c9930"</definedName>
    <definedName name="IQ_MC_GA_OPERATING_REV">"c9929"</definedName>
    <definedName name="IQ_MC_MEDICAL_EXPENSE_RATIO">"c9927"</definedName>
    <definedName name="IQ_MC_RATIO">"c2783"</definedName>
    <definedName name="IQ_MC_SGA_MARGIN">"c9932"</definedName>
    <definedName name="IQ_MC_SGA_OPERATING_REV">"c9931"</definedName>
    <definedName name="IQ_MC_STATUTORY_SURPLUS">"c2772"</definedName>
    <definedName name="IQ_MEDIAN_NEW_HOME_SALES_APR_FC_UNUSED_UNUSED_UNUSED">"c8460"</definedName>
    <definedName name="IQ_MEDIAN_NEW_HOME_SALES_APR_UNUSED_UNUSED_UNUSED">"c7580"</definedName>
    <definedName name="IQ_MEDIAN_NEW_HOME_SALES_FC_UNUSED_UNUSED_UNUSED">"c7800"</definedName>
    <definedName name="IQ_MEDIAN_NEW_HOME_SALES_POP_FC_UNUSED_UNUSED_UNUSED">"c8020"</definedName>
    <definedName name="IQ_MEDIAN_NEW_HOME_SALES_POP_UNUSED_UNUSED_UNUSED">"c7140"</definedName>
    <definedName name="IQ_MEDIAN_NEW_HOME_SALES_UNUSED_UNUSED_UNUSED">"c6920"</definedName>
    <definedName name="IQ_MEDIAN_NEW_HOME_SALES_YOY_FC_UNUSED_UNUSED_UNUSED">"c8240"</definedName>
    <definedName name="IQ_MEDIAN_NEW_HOME_SALES_YOY_UNUSED_UNUSED_UNUSED">"c7360"</definedName>
    <definedName name="IQ_MEDIAN_TARGET_PRICE">"c1650"</definedName>
    <definedName name="IQ_MEDIAN_TARGET_PRICE_REUT">"c5316"</definedName>
    <definedName name="IQ_MERGER">"c713"</definedName>
    <definedName name="IQ_MERGER_BNK">"c714"</definedName>
    <definedName name="IQ_MERGER_BR">"c715"</definedName>
    <definedName name="IQ_MERGER_FIN">"c716"</definedName>
    <definedName name="IQ_MERGER_INS">"c717"</definedName>
    <definedName name="IQ_MERGER_REIT">"c718"</definedName>
    <definedName name="IQ_MERGER_RESTRUCTURE">"c719"</definedName>
    <definedName name="IQ_MERGER_RESTRUCTURE_BNK">"c720"</definedName>
    <definedName name="IQ_MERGER_RESTRUCTURE_BR">"c721"</definedName>
    <definedName name="IQ_MERGER_RESTRUCTURE_FIN">"c722"</definedName>
    <definedName name="IQ_MERGER_RESTRUCTURE_INS">"c723"</definedName>
    <definedName name="IQ_MERGER_RESTRUCTURE_REIT">"c724"</definedName>
    <definedName name="IQ_MERGER_RESTRUCTURE_UTI">"c725"</definedName>
    <definedName name="IQ_MERGER_UTI">"c726"</definedName>
    <definedName name="IQ_MINORITY_INTEREST">"c727"</definedName>
    <definedName name="IQ_MINORITY_INTEREST_BNK">"c728"</definedName>
    <definedName name="IQ_MINORITY_INTEREST_BR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IT">"c734"</definedName>
    <definedName name="IQ_MINORITY_INTEREST_TOTAL">"c1905"</definedName>
    <definedName name="IQ_MINORITY_INTEREST_UTI">"c735"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KTCAP_TOTAL_REV_FWD">"c742"</definedName>
    <definedName name="IQ_MKTCAP_TOTAL_REV_FWD_REUT">"c4048"</definedName>
    <definedName name="IQ_MM_ACCOUNT">"c743"</definedName>
    <definedName name="IQ_MONEY_MARKET_DEPOSIT_ACCOUNTS_FDIC">"c6553"</definedName>
    <definedName name="IQ_MONTH">15000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MORTGAGE_BACKED_SECURITIES_FDIC">"c6402"</definedName>
    <definedName name="IQ_MORTGAGE_SERV_RIGHTS">"c2242"</definedName>
    <definedName name="IQ_MORTGAGE_SERVICING_FDIC">"c6335"</definedName>
    <definedName name="IQ_MTD">800000</definedName>
    <definedName name="IQ_MULTIFAMILY_RESIDENTIAL_LOANS_FDIC">"c6311"</definedName>
    <definedName name="IQ_NAMES_REVISION_DATE_">43215.8810532407</definedName>
    <definedName name="IQ_NAV_ACT_OR_EST">"c2225"</definedName>
    <definedName name="IQ_NAV_EST">"c1751"</definedName>
    <definedName name="IQ_NAV_HIGH_EST">"c1753"</definedName>
    <definedName name="IQ_NAV_LOW_EST">"c1754"</definedName>
    <definedName name="IQ_NAV_MEDIAN_EST">"c1752"</definedName>
    <definedName name="IQ_NAV_NUM_EST">"c1755"</definedName>
    <definedName name="IQ_NAV_SHARE_ACT_OR_EST_REUT">"c5623"</definedName>
    <definedName name="IQ_NAV_SHARE_EST_REUT">"c5617"</definedName>
    <definedName name="IQ_NAV_SHARE_HIGH_EST_REUT">"c5620"</definedName>
    <definedName name="IQ_NAV_SHARE_LOW_EST_REUT">"c5621"</definedName>
    <definedName name="IQ_NAV_SHARE_MEDIAN_EST_REUT">"c5618"</definedName>
    <definedName name="IQ_NAV_SHARE_NUM_EST_REUT">"c5622"</definedName>
    <definedName name="IQ_NAV_SHARE_STDDEV_EST_REUT">"c5619"</definedName>
    <definedName name="IQ_NAV_STDDEV_EST">"c1756"</definedName>
    <definedName name="IQ_NET_CHANGE">"c749"</definedName>
    <definedName name="IQ_NET_CHARGE_OFFS_FDIC">"c6641"</definedName>
    <definedName name="IQ_NET_CHARGE_OFFS_LOANS_FDIC">"c6751"</definedName>
    <definedName name="IQ_NET_CLAIM_EXP_INCUR">"c2757"</definedName>
    <definedName name="IQ_NET_CLAIM_EXP_INCUR_CY">"c2761"</definedName>
    <definedName name="IQ_NET_CLAIM_EXP_INCUR_PY">"c2762"</definedName>
    <definedName name="IQ_NET_CLAIM_EXP_PAID">"c2760"</definedName>
    <definedName name="IQ_NET_CLAIM_EXP_PAID_CY">"c2763"</definedName>
    <definedName name="IQ_NET_CLAIM_EXP_PAID_PY">"c2764"</definedName>
    <definedName name="IQ_NET_CLAIM_EXP_RES">"c2754"</definedName>
    <definedName name="IQ_NET_DEBT">"c1584"</definedName>
    <definedName name="IQ_NET_DEBT_ACT_OR_EST_REUT">"c5473"</definedName>
    <definedName name="IQ_NET_DEBT_EBITDA">"c750"</definedName>
    <definedName name="IQ_NET_DEBT_EBITDA_CAPEX">"c2949"</definedName>
    <definedName name="IQ_NET_DEBT_EST_REUT">"c3976"</definedName>
    <definedName name="IQ_NET_DEBT_HIGH_EST_REUT">"c3978"</definedName>
    <definedName name="IQ_NET_DEBT_ISSUED">"c751"</definedName>
    <definedName name="IQ_NET_DEBT_ISSUED_BNK">"c752"</definedName>
    <definedName name="IQ_NET_DEBT_ISSUED_BR">"c753"</definedName>
    <definedName name="IQ_NET_DEBT_ISSUED_FIN">"c754"</definedName>
    <definedName name="IQ_NET_DEBT_ISSUED_INS">"c755"</definedName>
    <definedName name="IQ_NET_DEBT_ISSUED_REIT">"c756"</definedName>
    <definedName name="IQ_NET_DEBT_ISSUED_UTI">"c757"</definedName>
    <definedName name="IQ_NET_DEBT_LOW_EST_REUT">"c3979"</definedName>
    <definedName name="IQ_NET_DEBT_MEDIAN_EST_REUT">"c3977"</definedName>
    <definedName name="IQ_NET_DEBT_NUM_EST_REUT">"c3980"</definedName>
    <definedName name="IQ_NET_DEBT_STDDEV_EST_REUT">"c3981"</definedName>
    <definedName name="IQ_NET_EARNED">"c2734"</definedName>
    <definedName name="IQ_NET_INC">"c1394"</definedName>
    <definedName name="IQ_NET_INC_10K">"IQ_NET_INC_10K"</definedName>
    <definedName name="IQ_NET_INC_10Q">"IQ_NET_INC_10Q"</definedName>
    <definedName name="IQ_NET_INC_10Q1">"IQ_NET_INC_10Q1"</definedName>
    <definedName name="IQ_NET_INC_BEFORE">"c1368"</definedName>
    <definedName name="IQ_NET_INC_CF">"c1397"</definedName>
    <definedName name="IQ_NET_INC_GROWTH_1">"IQ_NET_INC_GROWTH_1"</definedName>
    <definedName name="IQ_NET_INC_GROWTH_2">"IQ_NET_INC_GROWTH_2"</definedName>
    <definedName name="IQ_NET_INC_MARGIN">"c1398"</definedName>
    <definedName name="IQ_NET_INCOME_FDIC">"c6587"</definedName>
    <definedName name="IQ_NET_INT_INC_10YR_ANN_GROWTH">"c758"</definedName>
    <definedName name="IQ_NET_INT_INC_1YR_ANN_GROWTH">"c759"</definedName>
    <definedName name="IQ_NET_INT_INC_2YR_ANN_GROWTH">"c760"</definedName>
    <definedName name="IQ_NET_INT_INC_3YR_ANN_GROWTH">"c761"</definedName>
    <definedName name="IQ_NET_INT_INC_5YR_ANN_GROWTH">"c762"</definedName>
    <definedName name="IQ_NET_INT_INC_7YR_ANN_GROWTH">"c763"</definedName>
    <definedName name="IQ_NET_INT_INC_BNK">"c764"</definedName>
    <definedName name="IQ_NET_INT_INC_BNK_FDIC">"c6570"</definedName>
    <definedName name="IQ_NET_INT_INC_BR">"c765"</definedName>
    <definedName name="IQ_NET_INT_INC_FIN">"c766"</definedName>
    <definedName name="IQ_NET_INT_INC_TOTAL_REV">"c767"</definedName>
    <definedName name="IQ_NET_INT_MARGIN">"c768"</definedName>
    <definedName name="IQ_NET_INTEREST_EXP">"c769"</definedName>
    <definedName name="IQ_NET_INTEREST_EXP_REIT">"c770"</definedName>
    <definedName name="IQ_NET_INTEREST_EXP_UTI">"c771"</definedName>
    <definedName name="IQ_NET_INTEREST_INC">"c1392"</definedName>
    <definedName name="IQ_NET_INTEREST_INC_AFTER_LL">"c1604"</definedName>
    <definedName name="IQ_NET_INTEREST_MARGIN_FDIC">"c6726"</definedName>
    <definedName name="IQ_NET_LIFE_INS_IN_FORCE">"c2769"</definedName>
    <definedName name="IQ_NET_LOANS">"c772"</definedName>
    <definedName name="IQ_NET_LOANS_10YR_ANN_GROWTH">"c773"</definedName>
    <definedName name="IQ_NET_LOANS_1YR_ANN_GROWTH">"c774"</definedName>
    <definedName name="IQ_NET_LOANS_2YR_ANN_GROWTH">"c775"</definedName>
    <definedName name="IQ_NET_LOANS_3YR_ANN_GROWTH">"c776"</definedName>
    <definedName name="IQ_NET_LOANS_5YR_ANN_GROWTH">"c777"</definedName>
    <definedName name="IQ_NET_LOANS_7YR_ANN_GROWTH">"c778"</definedName>
    <definedName name="IQ_NET_LOANS_LEASES_CORE_DEPOSITS_FDIC">"c6743"</definedName>
    <definedName name="IQ_NET_LOANS_LEASES_DEPOSITS_FDIC">"c6742"</definedName>
    <definedName name="IQ_NET_LOANS_TOTAL_DEPOSITS">"c779"</definedName>
    <definedName name="IQ_NET_OPERATING_INCOME_ASSETS_FDIC">"c6729"</definedName>
    <definedName name="IQ_NET_RENTAL_EXP_FN">"c780"</definedName>
    <definedName name="IQ_NET_SECURITIZATION_INCOME_FDIC">"c6669"</definedName>
    <definedName name="IQ_NET_SERVICING_FEES_FDIC">"c6668"</definedName>
    <definedName name="IQ_NET_TO_GROSS_EARNED">"c2750"</definedName>
    <definedName name="IQ_NET_TO_GROSS_WRITTEN">"c2729"</definedName>
    <definedName name="IQ_NET_WRITTEN">"c2728"</definedName>
    <definedName name="IQ_NEW_PREM">"c2785"</definedName>
    <definedName name="IQ_NI">"c781"</definedName>
    <definedName name="IQ_NI_10YR_ANN_GROWTH">"c782"</definedName>
    <definedName name="IQ_NI_1YR_ANN_GROWTH">"c783"</definedName>
    <definedName name="IQ_NI_2YR_ANN_GROWTH">"c784"</definedName>
    <definedName name="IQ_NI_3YR_ANN_GROWTH">"c785"</definedName>
    <definedName name="IQ_NI_5YR_ANN_GROWTH">"c786"</definedName>
    <definedName name="IQ_NI_7YR_ANN_GROWTH">"c787"</definedName>
    <definedName name="IQ_NI_ACT_OR_EST">"c2222"</definedName>
    <definedName name="IQ_NI_ACT_OR_EST_REUT">"c5468"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BEFORE_CAPITALIZED">"c792"</definedName>
    <definedName name="IQ_NI_CF">"c793"</definedName>
    <definedName name="IQ_NI_EST">"c1716"</definedName>
    <definedName name="IQ_NI_EST_REUT">"c5368"</definedName>
    <definedName name="IQ_NI_GW_EST">"c1723"</definedName>
    <definedName name="IQ_NI_GW_EST_REUT">"c5375"</definedName>
    <definedName name="IQ_NI_GW_HIGH_EST">"c1725"</definedName>
    <definedName name="IQ_NI_GW_HIGH_EST_REUT">"c5377"</definedName>
    <definedName name="IQ_NI_GW_LOW_EST">"c1726"</definedName>
    <definedName name="IQ_NI_GW_LOW_EST_REUT">"c5378"</definedName>
    <definedName name="IQ_NI_GW_MEDIAN_EST">"c1724"</definedName>
    <definedName name="IQ_NI_GW_MEDIAN_EST_REUT">"c5376"</definedName>
    <definedName name="IQ_NI_GW_NUM_EST">"c1727"</definedName>
    <definedName name="IQ_NI_GW_NUM_EST_REUT">"c5379"</definedName>
    <definedName name="IQ_NI_GW_STDDEV_EST">"c1728"</definedName>
    <definedName name="IQ_NI_GW_STDDEV_EST_REUT">"c5380"</definedName>
    <definedName name="IQ_NI_HIGH_EST">"c1718"</definedName>
    <definedName name="IQ_NI_HIGH_EST_REUT">"c5370"</definedName>
    <definedName name="IQ_NI_LOW_EST">"c1719"</definedName>
    <definedName name="IQ_NI_LOW_EST_REUT">"c5371"</definedName>
    <definedName name="IQ_NI_MARGIN">"c794"</definedName>
    <definedName name="IQ_NI_MEDIAN_EST">"c1717"</definedName>
    <definedName name="IQ_NI_MEDIAN_EST_REUT">"c5369"</definedName>
    <definedName name="IQ_NI_NORM">"c1901"</definedName>
    <definedName name="IQ_NI_NORM_10YR_ANN_GROWTH">"c1960"</definedName>
    <definedName name="IQ_NI_NORM_1YR_ANN_GROWTH">"c1955"</definedName>
    <definedName name="IQ_NI_NORM_2YR_ANN_GROWTH">"c1956"</definedName>
    <definedName name="IQ_NI_NORM_3YR_ANN_GROWTH">"c1957"</definedName>
    <definedName name="IQ_NI_NORM_5YR_ANN_GROWTH">"c1958"</definedName>
    <definedName name="IQ_NI_NORM_7YR_ANN_GROWTH">"c1959"</definedName>
    <definedName name="IQ_NI_NORM_MARGIN">"c1964"</definedName>
    <definedName name="IQ_NI_NUM_EST">"c1720"</definedName>
    <definedName name="IQ_NI_NUM_EST_REUT">"c5372"</definedName>
    <definedName name="IQ_NI_REPORTED_EST">"c1730"</definedName>
    <definedName name="IQ_NI_REPORTED_EST_REUT">"c5382"</definedName>
    <definedName name="IQ_NI_REPORTED_HIGH_EST">"c1732"</definedName>
    <definedName name="IQ_NI_REPORTED_HIGH_EST_REUT">"c5384"</definedName>
    <definedName name="IQ_NI_REPORTED_LOW_EST">"c1733"</definedName>
    <definedName name="IQ_NI_REPORTED_LOW_EST_REUT">"c5385"</definedName>
    <definedName name="IQ_NI_REPORTED_MEDIAN_EST">"c1731"</definedName>
    <definedName name="IQ_NI_REPORTED_MEDIAN_EST_REUT">"c5383"</definedName>
    <definedName name="IQ_NI_REPORTED_NUM_EST">"c1734"</definedName>
    <definedName name="IQ_NI_REPORTED_NUM_EST_REUT">"c5386"</definedName>
    <definedName name="IQ_NI_REPORTED_STDDEV_EST">"c1735"</definedName>
    <definedName name="IQ_NI_REPORTED_STDDEV_EST_REUT">"c5387"</definedName>
    <definedName name="IQ_NI_SFAS">"c795"</definedName>
    <definedName name="IQ_NI_STDDEV_EST">"c1721"</definedName>
    <definedName name="IQ_NI_STDDEV_EST_REUT">"c5373"</definedName>
    <definedName name="IQ_NON_ACCRUAL_LOANS">"c796"</definedName>
    <definedName name="IQ_NON_CASH">"c1399"</definedName>
    <definedName name="IQ_NON_CASH_ITEMS">"c797"</definedName>
    <definedName name="IQ_NON_INS_EXP">"c798"</definedName>
    <definedName name="IQ_NON_INS_REV">"c799"</definedName>
    <definedName name="IQ_NON_INT_BEAR_CD">"c800"</definedName>
    <definedName name="IQ_NON_INT_EXP">"c801"</definedName>
    <definedName name="IQ_NON_INT_EXP_FDIC">"c6579"</definedName>
    <definedName name="IQ_NON_INT_INC">"c802"</definedName>
    <definedName name="IQ_NON_INT_INC_10YR_ANN_GROWTH">"c803"</definedName>
    <definedName name="IQ_NON_INT_INC_1YR_ANN_GROWTH">"c804"</definedName>
    <definedName name="IQ_NON_INT_INC_2YR_ANN_GROWTH">"c805"</definedName>
    <definedName name="IQ_NON_INT_INC_3YR_ANN_GROWTH">"c806"</definedName>
    <definedName name="IQ_NON_INT_INC_5YR_ANN_GROWTH">"c807"</definedName>
    <definedName name="IQ_NON_INT_INC_7YR_ANN_GROWTH">"c808"</definedName>
    <definedName name="IQ_NON_INT_INC_FDIC">"c6575"</definedName>
    <definedName name="IQ_NON_INTEREST_EXP">"c1400"</definedName>
    <definedName name="IQ_NON_INTEREST_INC">"c1401"</definedName>
    <definedName name="IQ_NON_OPER_EXP">"c809"</definedName>
    <definedName name="IQ_NON_OPER_INC">"c810"</definedName>
    <definedName name="IQ_NON_PERF_ASSETS_10YR_ANN_GROWTH">"c811"</definedName>
    <definedName name="IQ_NON_PERF_ASSETS_1YR_ANN_GROWTH">"c812"</definedName>
    <definedName name="IQ_NON_PERF_ASSETS_2YR_ANN_GROWTH">"c813"</definedName>
    <definedName name="IQ_NON_PERF_ASSETS_3YR_ANN_GROWTH">"c814"</definedName>
    <definedName name="IQ_NON_PERF_ASSETS_5YR_ANN_GROWTH">"c815"</definedName>
    <definedName name="IQ_NON_PERF_ASSETS_7YR_ANN_GROWTH">"c816"</definedName>
    <definedName name="IQ_NON_PERF_ASSETS_TOTAL_ASSETS">"c817"</definedName>
    <definedName name="IQ_NON_PERF_LOANS_10YR_ANN_GROWTH">"c818"</definedName>
    <definedName name="IQ_NON_PERF_LOANS_1YR_ANN_GROWTH">"c819"</definedName>
    <definedName name="IQ_NON_PERF_LOANS_2YR_ANN_GROWTH">"c820"</definedName>
    <definedName name="IQ_NON_PERF_LOANS_3YR_ANN_GROWTH">"c821"</definedName>
    <definedName name="IQ_NON_PERF_LOANS_5YR_ANN_GROWTH">"c822"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LOANS">"c827"</definedName>
    <definedName name="IQ_NON_US_ADDRESSEES_TOTAL_LOANS_FOREIGN_FDIC">"c6443"</definedName>
    <definedName name="IQ_NON_US_CHARGE_OFFS_AND_RECOVERIES_FDIC">"c6650"</definedName>
    <definedName name="IQ_NON_US_CHARGE_OFFS_FDIC">"c6648"</definedName>
    <definedName name="IQ_NON_US_COMMERCIAL_INDUSTRIAL_CHARGE_OFFS_FDIC">"c6651"</definedName>
    <definedName name="IQ_NON_US_NET_LOANS_FDIC">"c6376"</definedName>
    <definedName name="IQ_NON_US_RECOVERIES_FDIC">"c6649"</definedName>
    <definedName name="IQ_NONCASH_PENSION_EXP">"c3000"</definedName>
    <definedName name="IQ_NONCURRENT_LOANS_1_4_FAMILY_FDIC">"c6770"</definedName>
    <definedName name="IQ_NONCURRENT_LOANS_COMMERCIAL_INDUSTRIAL_FDIC">"c6773"</definedName>
    <definedName name="IQ_NONCURRENT_LOANS_COMMERCIAL_RE_FDIC">"c6768"</definedName>
    <definedName name="IQ_NONCURRENT_LOANS_COMMERCIAL_RE_NOT_SECURED_FDIC">"c6778"</definedName>
    <definedName name="IQ_NONCURRENT_LOANS_CONSTRUCTION_LAND_DEV_FDIC">"c6767"</definedName>
    <definedName name="IQ_NONCURRENT_LOANS_CREDIT_CARD_FDIC">"c6775"</definedName>
    <definedName name="IQ_NONCURRENT_LOANS_GUARANTEED_FDIC">"c6358"</definedName>
    <definedName name="IQ_NONCURRENT_LOANS_HOME_EQUITY_FDIC">"c6771"</definedName>
    <definedName name="IQ_NONCURRENT_LOANS_INDIVIDUALS_FDIC">"c6774"</definedName>
    <definedName name="IQ_NONCURRENT_LOANS_LEASES_FDIC">"c6357"</definedName>
    <definedName name="IQ_NONCURRENT_LOANS_MULTIFAMILY_FDIC">"c6769"</definedName>
    <definedName name="IQ_NONCURRENT_LOANS_OTHER_FAMILY_FDIC">"c6772"</definedName>
    <definedName name="IQ_NONCURRENT_LOANS_OTHER_INDIVIDUAL_FDIC">"c6776"</definedName>
    <definedName name="IQ_NONCURRENT_LOANS_OTHER_LOANS_FDIC">"c6777"</definedName>
    <definedName name="IQ_NONCURRENT_LOANS_RE_FDIC">"c6766"</definedName>
    <definedName name="IQ_NONCURRENT_LOANS_TOTAL_LOANS_FDIC">"c6765"</definedName>
    <definedName name="IQ_NONCURRENT_OREO_ASSETS_FDIC">"c6741"</definedName>
    <definedName name="IQ_NONINTEREST_BEARING_BALANCES_FDIC">"c6394"</definedName>
    <definedName name="IQ_NONINTEREST_BEARING_DEPOSITS_DOMESTIC_FDIC">"c6477"</definedName>
    <definedName name="IQ_NONINTEREST_BEARING_DEPOSITS_FOREIGN_FDIC">"c6484"</definedName>
    <definedName name="IQ_NONINTEREST_EXPENSE_EARNING_ASSETS_FDIC">"c6728"</definedName>
    <definedName name="IQ_NONINTEREST_INCOME_EARNING_ASSETS_FDIC">"c6727"</definedName>
    <definedName name="IQ_NONMORTGAGE_SERVICING_FDIC">"c6336"</definedName>
    <definedName name="IQ_NONRECOURSE_DEBT">"c2550"</definedName>
    <definedName name="IQ_NONRECOURSE_DEBT_PCT">"c2551"</definedName>
    <definedName name="IQ_NONRES_FIXED_INVEST_PRIV_APR_FC_UNUSED_UNUSED_UNUSED">"c8468"</definedName>
    <definedName name="IQ_NONRES_FIXED_INVEST_PRIV_APR_UNUSED_UNUSED_UNUSED">"c7588"</definedName>
    <definedName name="IQ_NONRES_FIXED_INVEST_PRIV_FC_UNUSED_UNUSED_UNUSED">"c7808"</definedName>
    <definedName name="IQ_NONRES_FIXED_INVEST_PRIV_POP_FC_UNUSED_UNUSED_UNUSED">"c8028"</definedName>
    <definedName name="IQ_NONRES_FIXED_INVEST_PRIV_POP_UNUSED_UNUSED_UNUSED">"c7148"</definedName>
    <definedName name="IQ_NONRES_FIXED_INVEST_PRIV_UNUSED_UNUSED_UNUSED">"c6928"</definedName>
    <definedName name="IQ_NONRES_FIXED_INVEST_PRIV_YOY_FC_UNUSED_UNUSED_UNUSED">"c8248"</definedName>
    <definedName name="IQ_NONRES_FIXED_INVEST_PRIV_YOY_UNUSED_UNUSED_UNUSED">"c7368"</definedName>
    <definedName name="IQ_NONTRANSACTION_ACCOUNTS_FDIC">"c6552"</definedName>
    <definedName name="IQ_NONUTIL_REV">"c2089"</definedName>
    <definedName name="IQ_NORM_EPS_ACT_OR_EST">"c2249"</definedName>
    <definedName name="IQ_NORM_EPS_ACT_OR_EST_REUT">"c5472"</definedName>
    <definedName name="IQ_NORMAL_INC_AFTER">"c1605"</definedName>
    <definedName name="IQ_NORMAL_INC_AVAIL">"c1606"</definedName>
    <definedName name="IQ_NORMAL_INC_BEFORE">"c1607"</definedName>
    <definedName name="IQ_NOTES_PAY">"c1423"</definedName>
    <definedName name="IQ_NOTIONAL_AMOUNT_CREDIT_DERIVATIVES_FDIC">"c6507"</definedName>
    <definedName name="IQ_NOTIONAL_VALUE_EXCHANGE_SWAPS_FDIC">"c6516"</definedName>
    <definedName name="IQ_NOTIONAL_VALUE_OTHER_SWAPS_FDIC">"c6521"</definedName>
    <definedName name="IQ_NOTIONAL_VALUE_RATE_SWAPS_FDIC">"c6511"</definedName>
    <definedName name="IQ_NOW_ACCOUNT">"c828"</definedName>
    <definedName name="IQ_NPPE">"c829"</definedName>
    <definedName name="IQ_NPPE_10YR_ANN_GROWTH">"c830"</definedName>
    <definedName name="IQ_NPPE_1YR_ANN_GROWTH">"c831"</definedName>
    <definedName name="IQ_NPPE_2YR_ANN_GROWTH">"c832"</definedName>
    <definedName name="IQ_NPPE_3YR_ANN_GROWTH">"c833"</definedName>
    <definedName name="IQ_NPPE_5YR_ANN_GROWTH">"c834"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NUM_BRANCHES">"c2088"</definedName>
    <definedName name="IQ_NUM_OFFICES">"c2088"</definedName>
    <definedName name="IQ_NUMBER_ADRHOLDERS">"c1970"</definedName>
    <definedName name="IQ_NUMBER_DAYS">"c1904"</definedName>
    <definedName name="IQ_NUMBER_DEPOSITS_LESS_THAN_100K_FDIC">"c6495"</definedName>
    <definedName name="IQ_NUMBER_DEPOSITS_MORE_THAN_100K_FDIC">"c6493"</definedName>
    <definedName name="IQ_NUMBER_SHAREHOLDERS">"c1967"</definedName>
    <definedName name="IQ_NUMBER_SHAREHOLDERS_CLASSA">"c1968"</definedName>
    <definedName name="IQ_NUMBER_SHAREHOLDERS_CLASSB">"c1969"</definedName>
    <definedName name="IQ_NUMBER_SHAREHOLDERS_OTHER">"c1969"</definedName>
    <definedName name="IQ_OBLIGATIONS_OF_STATES_TOTAL_LOANS_FOREIGN_FDIC">"c6447"</definedName>
    <definedName name="IQ_OBLIGATIONS_STATES_FDIC">"c6431"</definedName>
    <definedName name="IQ_OCCUPY_EXP">"c839"</definedName>
    <definedName name="IQ_OG_10DISC">"c1998"</definedName>
    <definedName name="IQ_OG_10DISC_GAS">"c2018"</definedName>
    <definedName name="IQ_OG_10DISC_OIL">"c2008"</definedName>
    <definedName name="IQ_OG_ACQ_COST_PROVED">"c1975"</definedName>
    <definedName name="IQ_OG_ACQ_COST_PROVED_GAS">"c1987"</definedName>
    <definedName name="IQ_OG_ACQ_COST_PROVED_OIL">"c1981"</definedName>
    <definedName name="IQ_OG_ACQ_COST_UNPROVED">"c1976"</definedName>
    <definedName name="IQ_OG_ACQ_COST_UNPROVED_GAS">"c1988"</definedName>
    <definedName name="IQ_OG_ACQ_COST_UNPROVED_OIL">"c1982"</definedName>
    <definedName name="IQ_OG_AVG_DAILY_PROD_GAS">"c2910"</definedName>
    <definedName name="IQ_OG_AVG_DAILY_PROD_NGL">"c2911"</definedName>
    <definedName name="IQ_OG_AVG_DAILY_PROD_OIL">"c2909"</definedName>
    <definedName name="IQ_OG_CLOSE_BALANCE_GAS">"c2049"</definedName>
    <definedName name="IQ_OG_CLOSE_BALANCE_NGL">"c2920"</definedName>
    <definedName name="IQ_OG_CLOSE_BALANCE_OIL">"c2037"</definedName>
    <definedName name="IQ_OG_DCF_BEFORE_TAXES">"c2023"</definedName>
    <definedName name="IQ_OG_DCF_BEFORE_TAXES_GAS">"c2025"</definedName>
    <definedName name="IQ_OG_DCF_BEFORE_TAXES_OIL">"c2024"</definedName>
    <definedName name="IQ_OG_DEVELOPED_RESERVES_GAS">"c2053"</definedName>
    <definedName name="IQ_OG_DEVELOPED_RESERVES_NGL">"c2922"</definedName>
    <definedName name="IQ_OG_DEVELOPED_RESERVES_OIL">"c2054"</definedName>
    <definedName name="IQ_OG_DEVELOPMENT_COSTS">"c1978"</definedName>
    <definedName name="IQ_OG_DEVELOPMENT_COSTS_GAS">"c1990"</definedName>
    <definedName name="IQ_OG_DEVELOPMENT_COSTS_OIL">"c1984"</definedName>
    <definedName name="IQ_OG_EQUITY_DCF">"c2002"</definedName>
    <definedName name="IQ_OG_EQUITY_DCF_GAS">"c2022"</definedName>
    <definedName name="IQ_OG_EQUITY_DCF_OIL">"c2012"</definedName>
    <definedName name="IQ_OG_EQUTY_RESERVES_GAS">"c2050"</definedName>
    <definedName name="IQ_OG_EQUTY_RESERVES_NGL">"c2921"</definedName>
    <definedName name="IQ_OG_EQUTY_RESERVES_OIL">"c2038"</definedName>
    <definedName name="IQ_OG_EXPLORATION_COSTS">"c1977"</definedName>
    <definedName name="IQ_OG_EXPLORATION_COSTS_GAS">"c1989"</definedName>
    <definedName name="IQ_OG_EXPLORATION_COSTS_OIL">"c1983"</definedName>
    <definedName name="IQ_OG_EXT_DISC_GAS">"c2043"</definedName>
    <definedName name="IQ_OG_EXT_DISC_NGL">"c2914"</definedName>
    <definedName name="IQ_OG_EXT_DISC_OIL">"c2031"</definedName>
    <definedName name="IQ_OG_FUTURE_CASH_INFLOWS">"c1993"</definedName>
    <definedName name="IQ_OG_FUTURE_CASH_INFLOWS_GAS">"c2013"</definedName>
    <definedName name="IQ_OG_FUTURE_CASH_INFLOWS_OIL">"c2003"</definedName>
    <definedName name="IQ_OG_FUTURE_DEVELOPMENT_COSTS">"c1995"</definedName>
    <definedName name="IQ_OG_FUTURE_DEVELOPMENT_COSTS_GAS">"c2015"</definedName>
    <definedName name="IQ_OG_FUTURE_DEVELOPMENT_COSTS_OIL">"c2005"</definedName>
    <definedName name="IQ_OG_FUTURE_INC_TAXES">"c1997"</definedName>
    <definedName name="IQ_OG_FUTURE_INC_TAXES_GAS">"c2017"</definedName>
    <definedName name="IQ_OG_FUTURE_INC_TAXES_OIL">"c2007"</definedName>
    <definedName name="IQ_OG_FUTURE_PRODUCTION_COSTS">"c1994"</definedName>
    <definedName name="IQ_OG_FUTURE_PRODUCTION_COSTS_GAS">"c2014"</definedName>
    <definedName name="IQ_OG_FUTURE_PRODUCTION_COSTS_OIL">"c2004"</definedName>
    <definedName name="IQ_OG_GAS_PRICE_HEDGED">"c2056"</definedName>
    <definedName name="IQ_OG_GAS_PRICE_UNHEDGED">"c2058"</definedName>
    <definedName name="IQ_OG_IMPROVED_RECOVERY_GAS">"c2044"</definedName>
    <definedName name="IQ_OG_IMPROVED_RECOVERY_NGL">"c2915"</definedName>
    <definedName name="IQ_OG_IMPROVED_RECOVERY_OIL">"c2032"</definedName>
    <definedName name="IQ_OG_LIQUID_GAS_PRICE_HEDGED">"c2233"</definedName>
    <definedName name="IQ_OG_LIQUID_GAS_PRICE_UNHEDGED">"c2234"</definedName>
    <definedName name="IQ_OG_NET_FUTURE_CASH_FLOWS">"c1996"</definedName>
    <definedName name="IQ_OG_NET_FUTURE_CASH_FLOWS_GAS">"c2016"</definedName>
    <definedName name="IQ_OG_NET_FUTURE_CASH_FLOWS_OIL">"c2006"</definedName>
    <definedName name="IQ_OG_OIL_PRICE_HEDGED">"c2055"</definedName>
    <definedName name="IQ_OG_OIL_PRICE_UNHEDGED">"c2057"</definedName>
    <definedName name="IQ_OG_OPEN_BALANCE_GAS">"c2041"</definedName>
    <definedName name="IQ_OG_OPEN_BALANCE_NGL">"c2912"</definedName>
    <definedName name="IQ_OG_OPEN_BALANCE_OIL">"c2029"</definedName>
    <definedName name="IQ_OG_OTHER_ADJ">"c1999"</definedName>
    <definedName name="IQ_OG_OTHER_ADJ_FCF">"c1999"</definedName>
    <definedName name="IQ_OG_OTHER_ADJ_FCF_GAS">"c2019"</definedName>
    <definedName name="IQ_OG_OTHER_ADJ_FCF_OIL">"c2009"</definedName>
    <definedName name="IQ_OG_OTHER_ADJ_GAS">"c2048"</definedName>
    <definedName name="IQ_OG_OTHER_ADJ_NGL">"c2919"</definedName>
    <definedName name="IQ_OG_OTHER_ADJ_OIL">"c2036"</definedName>
    <definedName name="IQ_OG_OTHER_COSTS">"c1979"</definedName>
    <definedName name="IQ_OG_OTHER_COSTS_GAS">"c1991"</definedName>
    <definedName name="IQ_OG_OTHER_COSTS_OIL">"c1985"</definedName>
    <definedName name="IQ_OG_PRODUCTION_GAS">"c2047"</definedName>
    <definedName name="IQ_OG_PRODUCTION_NGL">"c2918"</definedName>
    <definedName name="IQ_OG_PRODUCTION_OIL">"c2035"</definedName>
    <definedName name="IQ_OG_PURCHASES_GAS">"c2045"</definedName>
    <definedName name="IQ_OG_PURCHASES_NGL">"c2916"</definedName>
    <definedName name="IQ_OG_PURCHASES_OIL">"c2033"</definedName>
    <definedName name="IQ_OG_REVISIONS_GAS">"c2042"</definedName>
    <definedName name="IQ_OG_REVISIONS_NGL">"c2913"</definedName>
    <definedName name="IQ_OG_REVISIONS_OIL">"c2030"</definedName>
    <definedName name="IQ_OG_SALES_IN_PLACE_GAS">"c2046"</definedName>
    <definedName name="IQ_OG_SALES_IN_PLACE_NGL">"c2917"</definedName>
    <definedName name="IQ_OG_SALES_IN_PLACE_OIL">"c2034"</definedName>
    <definedName name="IQ_OG_STANDARDIZED_DCF">"c2000"</definedName>
    <definedName name="IQ_OG_STANDARDIZED_DCF_GAS">"c2020"</definedName>
    <definedName name="IQ_OG_STANDARDIZED_DCF_HEDGED">"c2001"</definedName>
    <definedName name="IQ_OG_STANDARDIZED_DCF_HEDGED_GAS">"c2021"</definedName>
    <definedName name="IQ_OG_STANDARDIZED_DCF_HEDGED_OIL">"c2011"</definedName>
    <definedName name="IQ_OG_STANDARDIZED_DCF_OIL">"c2010"</definedName>
    <definedName name="IQ_OG_TAXES">"c2026"</definedName>
    <definedName name="IQ_OG_TAXES_GAS">"c2028"</definedName>
    <definedName name="IQ_OG_TAXES_OIL">"c2027"</definedName>
    <definedName name="IQ_OG_TOTAL_COSTS">"c1980"</definedName>
    <definedName name="IQ_OG_TOTAL_COSTS_GAS">"c1992"</definedName>
    <definedName name="IQ_OG_TOTAL_COSTS_OIL">"c1986"</definedName>
    <definedName name="IQ_OG_TOTAL_EST_PROVED_RESERVES_GAS">"c2052"</definedName>
    <definedName name="IQ_OG_TOTAL_GAS_PRODUCTION">"c2060"</definedName>
    <definedName name="IQ_OG_TOTAL_LIQUID_GAS_PRODUCTION">"c2235"</definedName>
    <definedName name="IQ_OG_TOTAL_OIL_PRODUCTION">"c2059"</definedName>
    <definedName name="IQ_OG_TOTAL_OIL_PRODUCTON">"c2059"</definedName>
    <definedName name="IQ_OG_UNDEVELOPED_RESERVES_GAS">"c2051"</definedName>
    <definedName name="IQ_OG_UNDEVELOPED_RESERVES_NGL">"c2923"</definedName>
    <definedName name="IQ_OG_UNDEVELOPED_RESERVES_OIL">"c2039"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NED55">1</definedName>
    <definedName name="IQ_OPENPRICE">"c848"</definedName>
    <definedName name="IQ_OPER_INC">"c849"</definedName>
    <definedName name="IQ_OPER_INC_ACT_OR_EST">"c2220"</definedName>
    <definedName name="IQ_OPER_INC_ACT_OR_EST_REUT">"c5466"</definedName>
    <definedName name="IQ_OPER_INC_BR">"c850"</definedName>
    <definedName name="IQ_OPER_INC_EST">"c1688"</definedName>
    <definedName name="IQ_OPER_INC_EST_REUT">"c5340"</definedName>
    <definedName name="IQ_OPER_INC_FIN">"c851"</definedName>
    <definedName name="IQ_OPER_INC_HIGH_EST">"c1690"</definedName>
    <definedName name="IQ_OPER_INC_HIGH_EST_REUT">"c5342"</definedName>
    <definedName name="IQ_OPER_INC_INS">"c852"</definedName>
    <definedName name="IQ_OPER_INC_LOW_EST">"c1691"</definedName>
    <definedName name="IQ_OPER_INC_LOW_EST_REUT">"c5343"</definedName>
    <definedName name="IQ_OPER_INC_MARGIN">"c1448"</definedName>
    <definedName name="IQ_OPER_INC_MEDIAN_EST">"c1689"</definedName>
    <definedName name="IQ_OPER_INC_MEDIAN_EST_REUT">"c5341"</definedName>
    <definedName name="IQ_OPER_INC_NUM_EST">"c1692"</definedName>
    <definedName name="IQ_OPER_INC_NUM_EST_REUT">"c5344"</definedName>
    <definedName name="IQ_OPER_INC_REIT">"c853"</definedName>
    <definedName name="IQ_OPER_INC_STDDEV_EST">"c1693"</definedName>
    <definedName name="IQ_OPER_INC_STDDEV_EST_REUT">"c5345"</definedName>
    <definedName name="IQ_OPER_INC_UTI">"c854"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EXCERCISED">"c2116"</definedName>
    <definedName name="IQ_OPTIONS_EXERCISED">"c2116"</definedName>
    <definedName name="IQ_OPTIONS_GRANTED">"c2673"</definedName>
    <definedName name="IQ_OPTIONS_ISSUED">"c857"</definedName>
    <definedName name="IQ_OPTIONS_OS">"c858"</definedName>
    <definedName name="IQ_OPTIONS_STRIKE_PRICE_GRANTED">"c2678"</definedName>
    <definedName name="IQ_OPTIONS_STRIKE_PRICE_OS">"c2677"</definedName>
    <definedName name="IQ_ORDER_BACKLOG">"c2090"</definedName>
    <definedName name="IQ_OREO_1_4_RESIDENTIAL_FDIC">"c6454"</definedName>
    <definedName name="IQ_OREO_COMMERCIAL_RE_FDIC">"c6456"</definedName>
    <definedName name="IQ_OREO_CONSTRUCTION_DEVELOPMENT_FDIC">"c6457"</definedName>
    <definedName name="IQ_OREO_FARMLAND_FDIC">"c6458"</definedName>
    <definedName name="IQ_OREO_FOREIGN_FDIC">"c6460"</definedName>
    <definedName name="IQ_OREO_MULTI_FAMILY_RESIDENTIAL_FDIC">"c6455"</definedName>
    <definedName name="IQ_OTHER_ADJUST_GROSS_LOANS">"c859"</definedName>
    <definedName name="IQ_OTHER_AMORT_BR">"c5566"</definedName>
    <definedName name="IQ_OTHER_ASSETS">"c860"</definedName>
    <definedName name="IQ_OTHER_ASSETS_BNK">"c861"</definedName>
    <definedName name="IQ_OTHER_ASSETS_BR">"c862"</definedName>
    <definedName name="IQ_OTHER_ASSETS_FDIC">"c6338"</definedName>
    <definedName name="IQ_OTHER_ASSETS_FIN">"c863"</definedName>
    <definedName name="IQ_OTHER_ASSETS_INS">"c864"</definedName>
    <definedName name="IQ_OTHER_ASSETS_REIT">"c865"</definedName>
    <definedName name="IQ_OTHER_ASSETS_SERV_RIGHTS">"c2243"</definedName>
    <definedName name="IQ_OTHER_ASSETS_UTI">"c866"</definedName>
    <definedName name="IQ_OTHER_BEARING_LIAB">"c1608"</definedName>
    <definedName name="IQ_OTHER_BENEFITS_OBLIGATION">"c867"</definedName>
    <definedName name="IQ_OTHER_BORROWED_FUNDS_FDIC">"c6345"</definedName>
    <definedName name="IQ_OTHER_CA">"c868"</definedName>
    <definedName name="IQ_OTHER_CA_SUPPL">"c869"</definedName>
    <definedName name="IQ_OTHER_CA_SUPPL_BNK">"c870"</definedName>
    <definedName name="IQ_OTHER_CA_SUPPL_BR">"c871"</definedName>
    <definedName name="IQ_OTHER_CA_SUPPL_FIN">"c872"</definedName>
    <definedName name="IQ_OTHER_CA_SUPPL_INS">"c873"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>"c880"</definedName>
    <definedName name="IQ_OTHER_CL_SUPPL_FIN">"c881"</definedName>
    <definedName name="IQ_OTHER_CL_SUPPL_REIT">"c882"</definedName>
    <definedName name="IQ_OTHER_CL_SUPPL_UTI">"c883"</definedName>
    <definedName name="IQ_OTHER_CL_UTI">"c884"</definedName>
    <definedName name="IQ_OTHER_COMPREHENSIVE_INCOME_FDIC">"c6503"</definedName>
    <definedName name="IQ_OTHER_CURRENT_ASSETS">"c1403"</definedName>
    <definedName name="IQ_OTHER_CURRENT_LIAB">"c1404"</definedName>
    <definedName name="IQ_OTHER_DEBT">"c2507"</definedName>
    <definedName name="IQ_OTHER_DEBT_PCT">"c2508"</definedName>
    <definedName name="IQ_OTHER_DEP">"c885"</definedName>
    <definedName name="IQ_OTHER_DEPOSITORY_INSTITUTIONS_LOANS_FDIC">"c6436"</definedName>
    <definedName name="IQ_OTHER_DEPOSITORY_INSTITUTIONS_TOTAL_LOANS_FOREIGN_FDIC">"c6442"</definedName>
    <definedName name="IQ_OTHER_DOMESTIC_DEBT_SECURITIES_FDIC">"c6302"</definedName>
    <definedName name="IQ_OTHER_EARNING">"c1609"</definedName>
    <definedName name="IQ_OTHER_EQUITY">"c886"</definedName>
    <definedName name="IQ_OTHER_EQUITY_BNK">"c887"</definedName>
    <definedName name="IQ_OTHER_EQUITY_BR">"c888"</definedName>
    <definedName name="IQ_OTHER_EQUITY_FIN">"c889"</definedName>
    <definedName name="IQ_OTHER_EQUITY_INS">"c890"</definedName>
    <definedName name="IQ_OTHER_EQUITY_REIT">"c891"</definedName>
    <definedName name="IQ_OTHER_EQUITY_UTI">"c892"</definedName>
    <definedName name="IQ_OTHER_FINANCE_ACT">"c893"</definedName>
    <definedName name="IQ_OTHER_FINANCE_ACT_BNK">"c894"</definedName>
    <definedName name="IQ_OTHER_FINANCE_ACT_BR">"c895"</definedName>
    <definedName name="IQ_OTHER_FINANCE_ACT_FIN">"c896"</definedName>
    <definedName name="IQ_OTHER_FINANCE_ACT_INS">"c897"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>"c901"</definedName>
    <definedName name="IQ_OTHER_FINANCE_ACT_SUPPL_FIN">"c902"</definedName>
    <definedName name="IQ_OTHER_FINANCE_ACT_SUPPL_INS">"c903"</definedName>
    <definedName name="IQ_OTHER_FINANCE_ACT_SUPPL_REIT">"c904"</definedName>
    <definedName name="IQ_OTHER_FINANCE_ACT_SUPPL_UTI">"c905"</definedName>
    <definedName name="IQ_OTHER_FINANCE_ACT_UTI">"c906"</definedName>
    <definedName name="IQ_OTHER_INSURANCE_FEES_FDIC">"c6672"</definedName>
    <definedName name="IQ_OTHER_INTAN">"c907"</definedName>
    <definedName name="IQ_OTHER_INTAN_BNK">"c908"</definedName>
    <definedName name="IQ_OTHER_INTAN_BR">"c909"</definedName>
    <definedName name="IQ_OTHER_INTAN_FIN">"c910"</definedName>
    <definedName name="IQ_OTHER_INTAN_INS">"c911"</definedName>
    <definedName name="IQ_OTHER_INTAN_REIT">"c912"</definedName>
    <definedName name="IQ_OTHER_INTAN_UTI">"c913"</definedName>
    <definedName name="IQ_OTHER_INTANGIBLE_FDIC">"c6337"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>"c918"</definedName>
    <definedName name="IQ_OTHER_INVEST_ACT_FIN">"c919"</definedName>
    <definedName name="IQ_OTHER_INVEST_ACT_INS">"c920"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>"c924"</definedName>
    <definedName name="IQ_OTHER_INVEST_ACT_SUPPL_FIN">"c925"</definedName>
    <definedName name="IQ_OTHER_INVEST_ACT_SUPPL_INS">"c926"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"c1408"</definedName>
    <definedName name="IQ_OTHER_LIAB">"c930"</definedName>
    <definedName name="IQ_OTHER_LIAB_BNK">"c931"</definedName>
    <definedName name="IQ_OTHER_LIAB_BR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>"c937"</definedName>
    <definedName name="IQ_OTHER_LIAB_LT_FIN">"c938"</definedName>
    <definedName name="IQ_OTHER_LIAB_LT_INS">"c939"</definedName>
    <definedName name="IQ_OTHER_LIAB_LT_REIT">"c940"</definedName>
    <definedName name="IQ_OTHER_LIAB_LT_UTI">"c941"</definedName>
    <definedName name="IQ_OTHER_LIAB_REIT">"c942"</definedName>
    <definedName name="IQ_OTHER_LIAB_UTI">"c943"</definedName>
    <definedName name="IQ_OTHER_LIAB_WRITTEN">"c944"</definedName>
    <definedName name="IQ_OTHER_LIABILITIES_FDIC">"c6347"</definedName>
    <definedName name="IQ_OTHER_LOANS">"c945"</definedName>
    <definedName name="IQ_OTHER_LOANS_CHARGE_OFFS_FDIC">"c6601"</definedName>
    <definedName name="IQ_OTHER_LOANS_FOREIGN_FDIC">"c6446"</definedName>
    <definedName name="IQ_OTHER_LOANS_LEASES_FDIC">"c6322"</definedName>
    <definedName name="IQ_OTHER_LOANS_NET_CHARGE_OFFS_FDIC">"c6639"</definedName>
    <definedName name="IQ_OTHER_LOANS_RECOVERIES_FDIC">"c6620"</definedName>
    <definedName name="IQ_OTHER_LOANS_TOTAL_FDIC">"c6432"</definedName>
    <definedName name="IQ_OTHER_LONG_TERM">"c1409"</definedName>
    <definedName name="IQ_OTHER_LT_ASSETS">"c946"</definedName>
    <definedName name="IQ_OTHER_LT_ASSETS_BNK">"c947"</definedName>
    <definedName name="IQ_OTHER_LT_ASSETS_BR">"c948"</definedName>
    <definedName name="IQ_OTHER_LT_ASSETS_FIN">"c949"</definedName>
    <definedName name="IQ_OTHER_LT_ASSETS_INS">"c950"</definedName>
    <definedName name="IQ_OTHER_LT_ASSETS_REIT">"c951"</definedName>
    <definedName name="IQ_OTHER_LT_ASSETS_UTI">"c952"</definedName>
    <definedName name="IQ_OTHER_MINING_REVENUE_COAL">"c15931"</definedName>
    <definedName name="IQ_OTHER_NET">"c1453"</definedName>
    <definedName name="IQ_OTHER_NON_INT_EXP">"c953"</definedName>
    <definedName name="IQ_OTHER_NON_INT_EXP_FDIC">"c6578"</definedName>
    <definedName name="IQ_OTHER_NON_INT_EXP_TOTAL">"c954"</definedName>
    <definedName name="IQ_OTHER_NON_INT_EXPENSE_FDIC">"c6679"</definedName>
    <definedName name="IQ_OTHER_NON_INT_INC">"c955"</definedName>
    <definedName name="IQ_OTHER_NON_INT_INC_FDIC">"c6676"</definedName>
    <definedName name="IQ_OTHER_NON_OPER_EXP">"c956"</definedName>
    <definedName name="IQ_OTHER_NON_OPER_EXP_BR">"c957"</definedName>
    <definedName name="IQ_OTHER_NON_OPER_EXP_FIN">"c958"</definedName>
    <definedName name="IQ_OTHER_NON_OPER_EXP_INS">"c959"</definedName>
    <definedName name="IQ_OTHER_NON_OPER_EXP_REIT">"c960"</definedName>
    <definedName name="IQ_OTHER_NON_OPER_EXP_SUPPL">"c961"</definedName>
    <definedName name="IQ_OTHER_NON_OPER_EXP_SUPPL_BR">"c962"</definedName>
    <definedName name="IQ_OTHER_NON_OPER_EXP_SUPPL_FIN">"c963"</definedName>
    <definedName name="IQ_OTHER_NON_OPER_EXP_SUPPL_INS">"c964"</definedName>
    <definedName name="IQ_OTHER_NON_OPER_EXP_SUPPL_REIT">"c965"</definedName>
    <definedName name="IQ_OTHER_NON_OPER_EXP_SUPPL_UTI">"c966"</definedName>
    <definedName name="IQ_OTHER_NON_OPER_EXP_UTI">"c967"</definedName>
    <definedName name="IQ_OTHER_OFF_BS_LIAB_FDIC">"c6533"</definedName>
    <definedName name="IQ_OTHER_OPER">"c982"</definedName>
    <definedName name="IQ_OTHER_OPER_ACT">"c983"</definedName>
    <definedName name="IQ_OTHER_OPER_ACT_BNK">"c984"</definedName>
    <definedName name="IQ_OTHER_OPER_ACT_BR">"c985"</definedName>
    <definedName name="IQ_OTHER_OPER_ACT_FIN">"c986"</definedName>
    <definedName name="IQ_OTHER_OPER_ACT_INS">"c987"</definedName>
    <definedName name="IQ_OTHER_OPER_ACT_REIT">"c988"</definedName>
    <definedName name="IQ_OTHER_OPER_ACT_UTI">"c989"</definedName>
    <definedName name="IQ_OTHER_OPER_BR">"c990"</definedName>
    <definedName name="IQ_OTHER_OPER_FIN">"c991"</definedName>
    <definedName name="IQ_OTHER_OPER_INS">"c992"</definedName>
    <definedName name="IQ_OTHER_OPER_REIT">"c993"</definedName>
    <definedName name="IQ_OTHER_OPER_SUPPL_BR">"c994"</definedName>
    <definedName name="IQ_OTHER_OPER_SUPPL_FIN">"c995"</definedName>
    <definedName name="IQ_OTHER_OPER_SUPPL_INS">"c996"</definedName>
    <definedName name="IQ_OTHER_OPER_SUPPL_REIT">"c997"</definedName>
    <definedName name="IQ_OTHER_OPER_SUPPL_UTI">"c998"</definedName>
    <definedName name="IQ_OTHER_OPER_TOT_BNK">"c999"</definedName>
    <definedName name="IQ_OTHER_OPER_TOT_BR">"c1000"</definedName>
    <definedName name="IQ_OTHER_OPER_TOT_FIN">"c1001"</definedName>
    <definedName name="IQ_OTHER_OPER_TOT_INS">"c1002"</definedName>
    <definedName name="IQ_OTHER_OPER_TOT_REIT">"c1003"</definedName>
    <definedName name="IQ_OTHER_OPER_TOT_UTI">"c1004"</definedName>
    <definedName name="IQ_OTHER_OPER_UTI">"c1005"</definedName>
    <definedName name="IQ_OTHER_OPTIONS_BEG_OS">"c2686"</definedName>
    <definedName name="IQ_OTHER_OPTIONS_CANCELLED">"c2689"</definedName>
    <definedName name="IQ_OTHER_OPTIONS_END_OS">"c2690"</definedName>
    <definedName name="IQ_OTHER_OPTIONS_EXERCISED">"c2688"</definedName>
    <definedName name="IQ_OTHER_OPTIONS_GRANTED">"c2687"</definedName>
    <definedName name="IQ_OTHER_OPTIONS_STRIKE_PRICE_OS">"c2691"</definedName>
    <definedName name="IQ_OTHER_OUTSTANDING_BS_DATE">"c1972"</definedName>
    <definedName name="IQ_OTHER_OUTSTANDING_FILING_DATE">"c1974"</definedName>
    <definedName name="IQ_OTHER_PC_WRITTEN">"c1006"</definedName>
    <definedName name="IQ_OTHER_RE_OWNED_FDIC">"c6330"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>"c1011"</definedName>
    <definedName name="IQ_OTHER_REV_FIN">"c1012"</definedName>
    <definedName name="IQ_OTHER_REV_INS">"c1013"</definedName>
    <definedName name="IQ_OTHER_REV_REIT">"c1014"</definedName>
    <definedName name="IQ_OTHER_REV_SUPPL">"c1015"</definedName>
    <definedName name="IQ_OTHER_REV_SUPPL_BR">"c1016"</definedName>
    <definedName name="IQ_OTHER_REV_SUPPL_FIN">"c1017"</definedName>
    <definedName name="IQ_OTHER_REV_SUPPL_INS">"c1018"</definedName>
    <definedName name="IQ_OTHER_REV_SUPPL_REIT">"c1019"</definedName>
    <definedName name="IQ_OTHER_REV_SUPPL_UTI">"c1020"</definedName>
    <definedName name="IQ_OTHER_REV_UTI">"c1021"</definedName>
    <definedName name="IQ_OTHER_REVENUE">"c1410"</definedName>
    <definedName name="IQ_OTHER_SAVINGS_DEPOSITS_FDIC">"c6554"</definedName>
    <definedName name="IQ_OTHER_STRIKE_PRICE_GRANTED">"c2692"</definedName>
    <definedName name="IQ_OTHER_TRANSACTIONS_FDIC">"c6504"</definedName>
    <definedName name="IQ_OTHER_UNDRAWN">"c2522"</definedName>
    <definedName name="IQ_OTHER_UNUSED_COMMITMENTS_FDIC">"c6530"</definedName>
    <definedName name="IQ_OTHER_UNUSUAL">"c1488"</definedName>
    <definedName name="IQ_OTHER_UNUSUAL_BNK">"c1560"</definedName>
    <definedName name="IQ_OTHER_UNUSUAL_BR">"c1561"</definedName>
    <definedName name="IQ_OTHER_UNUSUAL_FIN">"c1562"</definedName>
    <definedName name="IQ_OTHER_UNUSUAL_INS">"c1563"</definedName>
    <definedName name="IQ_OTHER_UNUSUAL_REIT">"c1564"</definedName>
    <definedName name="IQ_OTHER_UNUSUAL_SUPPL">"c1494"</definedName>
    <definedName name="IQ_OTHER_UNUSUAL_SUPPL_BNK">"c1495"</definedName>
    <definedName name="IQ_OTHER_UNUSUAL_SUPPL_BR">"c1496"</definedName>
    <definedName name="IQ_OTHER_UNUSUAL_SUPPL_FIN">"c1497"</definedName>
    <definedName name="IQ_OTHER_UNUSUAL_SUPPL_INS">"c1498"</definedName>
    <definedName name="IQ_OTHER_UNUSUAL_SUPPL_REIT">"c1499"</definedName>
    <definedName name="IQ_OTHER_UNUSUAL_SUPPL_UTI">"c1500"</definedName>
    <definedName name="IQ_OTHER_UNUSUAL_UTI">"c1565"</definedName>
    <definedName name="IQ_OTHER_WARRANTS_BEG_OS">"c2712"</definedName>
    <definedName name="IQ_OTHER_WARRANTS_CANCELLED">"c2715"</definedName>
    <definedName name="IQ_OTHER_WARRANTS_END_OS">"c2716"</definedName>
    <definedName name="IQ_OTHER_WARRANTS_EXERCISED">"c2714"</definedName>
    <definedName name="IQ_OTHER_WARRANTS_ISSUED">"c2713"</definedName>
    <definedName name="IQ_OTHER_WARRANTS_STRIKE_PRICE_ISSUED">"c2718"</definedName>
    <definedName name="IQ_OTHER_WARRANTS_STRIKE_PRICE_OS">"c2717"</definedName>
    <definedName name="IQ_OUTSTANDING_BS_DATE">"c2128"</definedName>
    <definedName name="IQ_OUTSTANDING_FILING_DATE">"c2127"</definedName>
    <definedName name="IQ_OUTSTANDING_FILING_DATE_TOTAL">"c2107"</definedName>
    <definedName name="IQ_OVER_FIFETEEN_YEAR_MORTGAGE_PASS_THROUGHS_FDIC">"c6416"</definedName>
    <definedName name="IQ_OVER_FIFTEEN_YEAR_FIXED_AND_FLOATING_RATE_FDIC">"c6424"</definedName>
    <definedName name="IQ_OVER_THREE_YEARS_FDIC">"c6418"</definedName>
    <definedName name="IQ_PART_TIME">"c1024"</definedName>
    <definedName name="IQ_PARTICIPATION_POOLS_RESIDENTIAL_MORTGAGES_FDIC">"c6403"</definedName>
    <definedName name="IQ_PAST_DUE_30_1_4_FAMILY_LOANS_FDIC">"c6693"</definedName>
    <definedName name="IQ_PAST_DUE_30_AUTO_LOANS_FDIC">"c6687"</definedName>
    <definedName name="IQ_PAST_DUE_30_CL_LOANS_FDIC">"c6688"</definedName>
    <definedName name="IQ_PAST_DUE_30_CREDIT_CARDS_RECEIVABLES_FDIC">"c6690"</definedName>
    <definedName name="IQ_PAST_DUE_30_HOME_EQUITY_LINES_FDIC">"c6691"</definedName>
    <definedName name="IQ_PAST_DUE_30_OTHER_CONSUMER_LOANS_FDIC">"c6689"</definedName>
    <definedName name="IQ_PAST_DUE_30_OTHER_LOANS_FDIC">"c6692"</definedName>
    <definedName name="IQ_PAST_DUE_90_1_4_FAMILY_LOANS_FDIC">"c6700"</definedName>
    <definedName name="IQ_PAST_DUE_90_AUTO_LOANS_FDIC">"c6694"</definedName>
    <definedName name="IQ_PAST_DUE_90_CL_LOANS_FDIC">"c6695"</definedName>
    <definedName name="IQ_PAST_DUE_90_CREDIT_CARDS_RECEIVABLES_FDIC">"c6697"</definedName>
    <definedName name="IQ_PAST_DUE_90_HOME_EQUITY_LINES_FDIC">"c6698"</definedName>
    <definedName name="IQ_PAST_DUE_90_OTHER_CONSUMER_LOANS_FDIC">"c6696"</definedName>
    <definedName name="IQ_PAST_DUE_90_OTHER_LOANS_FDIC">"c6699"</definedName>
    <definedName name="IQ_PAY_ACCRUED">"c1457"</definedName>
    <definedName name="IQ_PAYOUT_RATIO">"c1900"</definedName>
    <definedName name="IQ_PBV">"c1025"</definedName>
    <definedName name="IQ_PBV_AVG">"c1026"</definedName>
    <definedName name="IQ_PC_EARNED">"c2749"</definedName>
    <definedName name="IQ_PC_GAAP_COMBINED_RATIO">"c2781"</definedName>
    <definedName name="IQ_PC_GAAP_COMBINED_RATIO_EXCL_CL">"c2782"</definedName>
    <definedName name="IQ_PC_GAAP_EXPENSE_RATIO">"c2780"</definedName>
    <definedName name="IQ_PC_GAAP_LOSS">"c2779"</definedName>
    <definedName name="IQ_PC_POLICY_BENEFITS_EXP">"c2790"</definedName>
    <definedName name="IQ_PC_STAT_COMBINED_RATIO">"c2778"</definedName>
    <definedName name="IQ_PC_STAT_COMBINED_RATIO_EXCL_DIV">"c2777"</definedName>
    <definedName name="IQ_PC_STAT_DIVIDEND_RATIO">"c2776"</definedName>
    <definedName name="IQ_PC_STAT_EXPENSE_RATIO">"c2775"</definedName>
    <definedName name="IQ_PC_STAT_LOSS_RATIO">"c2774"</definedName>
    <definedName name="IQ_PC_STATUTORY_SURPLUS">"c2770"</definedName>
    <definedName name="IQ_PC_WRITTEN">"c1027"</definedName>
    <definedName name="IQ_PE_EXCL">"c1028"</definedName>
    <definedName name="IQ_PE_EXCL_AVG">"c1029"</definedName>
    <definedName name="IQ_PE_EXCL_FWD">"c1030"</definedName>
    <definedName name="IQ_PE_EXCL_FWD_REUT">"c4049"</definedName>
    <definedName name="IQ_PE_NORMALIZED">"c2207"</definedName>
    <definedName name="IQ_PE_RATIO">"c1610"</definedName>
    <definedName name="IQ_PEG_FWD">"c1863"</definedName>
    <definedName name="IQ_PEG_FWD_REUT">"c4052"</definedName>
    <definedName name="IQ_PENSION">"c1031"</definedName>
    <definedName name="IQ_PERCENT_CHANGE_EST_5YR_GROWTH_RATE_12MONTHS">"c1852"</definedName>
    <definedName name="IQ_PERCENT_CHANGE_EST_5YR_GROWTH_RATE_12MONTHS_REUT">"c3959"</definedName>
    <definedName name="IQ_PERCENT_CHANGE_EST_5YR_GROWTH_RATE_18MONTHS">"c1853"</definedName>
    <definedName name="IQ_PERCENT_CHANGE_EST_5YR_GROWTH_RATE_18MONTHS_REUT">"c3960"</definedName>
    <definedName name="IQ_PERCENT_CHANGE_EST_5YR_GROWTH_RATE_3MONTHS">"c1849"</definedName>
    <definedName name="IQ_PERCENT_CHANGE_EST_5YR_GROWTH_RATE_3MONTHS_REUT">"c3956"</definedName>
    <definedName name="IQ_PERCENT_CHANGE_EST_5YR_GROWTH_RATE_6MONTHS">"c1850"</definedName>
    <definedName name="IQ_PERCENT_CHANGE_EST_5YR_GROWTH_RATE_6MONTHS_REUT">"c3957"</definedName>
    <definedName name="IQ_PERCENT_CHANGE_EST_5YR_GROWTH_RATE_9MONTHS">"c1851"</definedName>
    <definedName name="IQ_PERCENT_CHANGE_EST_5YR_GROWTH_RATE_9MONTHS_REUT">"c3958"</definedName>
    <definedName name="IQ_PERCENT_CHANGE_EST_5YR_GROWTH_RATE_DAY">"c1846"</definedName>
    <definedName name="IQ_PERCENT_CHANGE_EST_5YR_GROWTH_RATE_DAY_REUT">"c3954"</definedName>
    <definedName name="IQ_PERCENT_CHANGE_EST_5YR_GROWTH_RATE_MONTH">"c1848"</definedName>
    <definedName name="IQ_PERCENT_CHANGE_EST_5YR_GROWTH_RATE_MONTH_REUT">"c3955"</definedName>
    <definedName name="IQ_PERCENT_CHANGE_EST_5YR_GROWTH_RATE_WEEK">"c1847"</definedName>
    <definedName name="IQ_PERCENT_CHANGE_EST_5YR_GROWTH_RATE_WEEK_REUT">"c5435"</definedName>
    <definedName name="IQ_PERCENT_CHANGE_EST_CFPS_12MONTHS">"c1812"</definedName>
    <definedName name="IQ_PERCENT_CHANGE_EST_CFPS_12MONTHS_REUT">"c3924"</definedName>
    <definedName name="IQ_PERCENT_CHANGE_EST_CFPS_18MONTHS">"c1813"</definedName>
    <definedName name="IQ_PERCENT_CHANGE_EST_CFPS_18MONTHS_REUT">"c3925"</definedName>
    <definedName name="IQ_PERCENT_CHANGE_EST_CFPS_3MONTHS">"c1809"</definedName>
    <definedName name="IQ_PERCENT_CHANGE_EST_CFPS_3MONTHS_REUT">"c3921"</definedName>
    <definedName name="IQ_PERCENT_CHANGE_EST_CFPS_6MONTHS">"c1810"</definedName>
    <definedName name="IQ_PERCENT_CHANGE_EST_CFPS_6MONTHS_REUT">"c3922"</definedName>
    <definedName name="IQ_PERCENT_CHANGE_EST_CFPS_9MONTHS">"c1811"</definedName>
    <definedName name="IQ_PERCENT_CHANGE_EST_CFPS_9MONTHS_REUT">"c3923"</definedName>
    <definedName name="IQ_PERCENT_CHANGE_EST_CFPS_DAY">"c1806"</definedName>
    <definedName name="IQ_PERCENT_CHANGE_EST_CFPS_DAY_REUT">"c3919"</definedName>
    <definedName name="IQ_PERCENT_CHANGE_EST_CFPS_MONTH">"c1808"</definedName>
    <definedName name="IQ_PERCENT_CHANGE_EST_CFPS_MONTH_REUT">"c3920"</definedName>
    <definedName name="IQ_PERCENT_CHANGE_EST_CFPS_WEEK">"c1807"</definedName>
    <definedName name="IQ_PERCENT_CHANGE_EST_CFPS_WEEK_REUT">"c3962"</definedName>
    <definedName name="IQ_PERCENT_CHANGE_EST_DPS_12MONTHS">"c1820"</definedName>
    <definedName name="IQ_PERCENT_CHANGE_EST_DPS_12MONTHS_REUT">"c3931"</definedName>
    <definedName name="IQ_PERCENT_CHANGE_EST_DPS_18MONTHS">"c1821"</definedName>
    <definedName name="IQ_PERCENT_CHANGE_EST_DPS_18MONTHS_REUT">"c3932"</definedName>
    <definedName name="IQ_PERCENT_CHANGE_EST_DPS_3MONTHS">"c1817"</definedName>
    <definedName name="IQ_PERCENT_CHANGE_EST_DPS_3MONTHS_REUT">"c3928"</definedName>
    <definedName name="IQ_PERCENT_CHANGE_EST_DPS_6MONTHS">"c1818"</definedName>
    <definedName name="IQ_PERCENT_CHANGE_EST_DPS_6MONTHS_REUT">"c3929"</definedName>
    <definedName name="IQ_PERCENT_CHANGE_EST_DPS_9MONTHS">"c1819"</definedName>
    <definedName name="IQ_PERCENT_CHANGE_EST_DPS_9MONTHS_REUT">"c3930"</definedName>
    <definedName name="IQ_PERCENT_CHANGE_EST_DPS_DAY">"c1814"</definedName>
    <definedName name="IQ_PERCENT_CHANGE_EST_DPS_DAY_REUT">"c3926"</definedName>
    <definedName name="IQ_PERCENT_CHANGE_EST_DPS_MONTH">"c1816"</definedName>
    <definedName name="IQ_PERCENT_CHANGE_EST_DPS_MONTH_REUT">"c3927"</definedName>
    <definedName name="IQ_PERCENT_CHANGE_EST_DPS_WEEK">"c1815"</definedName>
    <definedName name="IQ_PERCENT_CHANGE_EST_DPS_WEEK_REUT">"c3963"</definedName>
    <definedName name="IQ_PERCENT_CHANGE_EST_EBITDA_12MONTHS">"c1804"</definedName>
    <definedName name="IQ_PERCENT_CHANGE_EST_EBITDA_12MONTHS_REUT">"c3917"</definedName>
    <definedName name="IQ_PERCENT_CHANGE_EST_EBITDA_18MONTHS">"c1805"</definedName>
    <definedName name="IQ_PERCENT_CHANGE_EST_EBITDA_18MONTHS_REUT">"c3918"</definedName>
    <definedName name="IQ_PERCENT_CHANGE_EST_EBITDA_3MONTHS">"c1801"</definedName>
    <definedName name="IQ_PERCENT_CHANGE_EST_EBITDA_3MONTHS_REUT">"c3914"</definedName>
    <definedName name="IQ_PERCENT_CHANGE_EST_EBITDA_6MONTHS">"c1802"</definedName>
    <definedName name="IQ_PERCENT_CHANGE_EST_EBITDA_6MONTHS_REUT">"c3915"</definedName>
    <definedName name="IQ_PERCENT_CHANGE_EST_EBITDA_9MONTHS">"c1803"</definedName>
    <definedName name="IQ_PERCENT_CHANGE_EST_EBITDA_9MONTHS_REUT">"c3916"</definedName>
    <definedName name="IQ_PERCENT_CHANGE_EST_EBITDA_DAY">"c1798"</definedName>
    <definedName name="IQ_PERCENT_CHANGE_EST_EBITDA_DAY_REUT">"c3912"</definedName>
    <definedName name="IQ_PERCENT_CHANGE_EST_EBITDA_MONTH">"c1800"</definedName>
    <definedName name="IQ_PERCENT_CHANGE_EST_EBITDA_MONTH_REUT">"c3913"</definedName>
    <definedName name="IQ_PERCENT_CHANGE_EST_EBITDA_WEEK">"c1799"</definedName>
    <definedName name="IQ_PERCENT_CHANGE_EST_EBITDA_WEEK_REUT">"c3961"</definedName>
    <definedName name="IQ_PERCENT_CHANGE_EST_EPS_12MONTHS">"c1788"</definedName>
    <definedName name="IQ_PERCENT_CHANGE_EST_EPS_12MONTHS_REUT">"c3902"</definedName>
    <definedName name="IQ_PERCENT_CHANGE_EST_EPS_18MONTHS">"c1789"</definedName>
    <definedName name="IQ_PERCENT_CHANGE_EST_EPS_18MONTHS_REUT">"c3903"</definedName>
    <definedName name="IQ_PERCENT_CHANGE_EST_EPS_3MONTHS">"c1785"</definedName>
    <definedName name="IQ_PERCENT_CHANGE_EST_EPS_3MONTHS_REUT">"c3899"</definedName>
    <definedName name="IQ_PERCENT_CHANGE_EST_EPS_6MONTHS">"c1786"</definedName>
    <definedName name="IQ_PERCENT_CHANGE_EST_EPS_6MONTHS_REUT">"c3900"</definedName>
    <definedName name="IQ_PERCENT_CHANGE_EST_EPS_9MONTHS">"c1787"</definedName>
    <definedName name="IQ_PERCENT_CHANGE_EST_EPS_9MONTHS_REUT">"c3901"</definedName>
    <definedName name="IQ_PERCENT_CHANGE_EST_EPS_DAY">"c1782"</definedName>
    <definedName name="IQ_PERCENT_CHANGE_EST_EPS_DAY_REUT">"c3896"</definedName>
    <definedName name="IQ_PERCENT_CHANGE_EST_EPS_MONTH">"c1784"</definedName>
    <definedName name="IQ_PERCENT_CHANGE_EST_EPS_MONTH_REUT">"c3898"</definedName>
    <definedName name="IQ_PERCENT_CHANGE_EST_EPS_WEEK">"c1783"</definedName>
    <definedName name="IQ_PERCENT_CHANGE_EST_EPS_WEEK_REUT">"c3897"</definedName>
    <definedName name="IQ_PERCENT_CHANGE_EST_FFO_12MONTHS">"c1828"</definedName>
    <definedName name="IQ_PERCENT_CHANGE_EST_FFO_12MONTHS_CIQ">"c3769"</definedName>
    <definedName name="IQ_PERCENT_CHANGE_EST_FFO_12MONTHS_REUT">"c3938"</definedName>
    <definedName name="IQ_PERCENT_CHANGE_EST_FFO_12MONTHS_THOM">"c5248"</definedName>
    <definedName name="IQ_PERCENT_CHANGE_EST_FFO_18MONTHS">"c1829"</definedName>
    <definedName name="IQ_PERCENT_CHANGE_EST_FFO_18MONTHS_CIQ">"c3770"</definedName>
    <definedName name="IQ_PERCENT_CHANGE_EST_FFO_18MONTHS_REUT">"c3939"</definedName>
    <definedName name="IQ_PERCENT_CHANGE_EST_FFO_18MONTHS_THOM">"c5249"</definedName>
    <definedName name="IQ_PERCENT_CHANGE_EST_FFO_3MONTHS">"c1825"</definedName>
    <definedName name="IQ_PERCENT_CHANGE_EST_FFO_3MONTHS_CIQ">"c3766"</definedName>
    <definedName name="IQ_PERCENT_CHANGE_EST_FFO_3MONTHS_REUT">"c3935"</definedName>
    <definedName name="IQ_PERCENT_CHANGE_EST_FFO_3MONTHS_THOM">"c5245"</definedName>
    <definedName name="IQ_PERCENT_CHANGE_EST_FFO_6MONTHS">"c1826"</definedName>
    <definedName name="IQ_PERCENT_CHANGE_EST_FFO_6MONTHS_CIQ">"c3767"</definedName>
    <definedName name="IQ_PERCENT_CHANGE_EST_FFO_6MONTHS_REUT">"c3936"</definedName>
    <definedName name="IQ_PERCENT_CHANGE_EST_FFO_6MONTHS_THOM">"c5246"</definedName>
    <definedName name="IQ_PERCENT_CHANGE_EST_FFO_9MONTHS">"c1827"</definedName>
    <definedName name="IQ_PERCENT_CHANGE_EST_FFO_9MONTHS_CIQ">"c3768"</definedName>
    <definedName name="IQ_PERCENT_CHANGE_EST_FFO_9MONTHS_REUT">"c3937"</definedName>
    <definedName name="IQ_PERCENT_CHANGE_EST_FFO_9MONTHS_THOM">"c5247"</definedName>
    <definedName name="IQ_PERCENT_CHANGE_EST_FFO_DAY">"c1822"</definedName>
    <definedName name="IQ_PERCENT_CHANGE_EST_FFO_DAY_CIQ">"c3764"</definedName>
    <definedName name="IQ_PERCENT_CHANGE_EST_FFO_DAY_REUT">"c3933"</definedName>
    <definedName name="IQ_PERCENT_CHANGE_EST_FFO_DAY_THOM">"c5243"</definedName>
    <definedName name="IQ_PERCENT_CHANGE_EST_FFO_MONTH">"c1824"</definedName>
    <definedName name="IQ_PERCENT_CHANGE_EST_FFO_MONTH_CIQ">"c3765"</definedName>
    <definedName name="IQ_PERCENT_CHANGE_EST_FFO_MONTH_REUT">"c3934"</definedName>
    <definedName name="IQ_PERCENT_CHANGE_EST_FFO_MONTH_THOM">"c5244"</definedName>
    <definedName name="IQ_PERCENT_CHANGE_EST_FFO_SHARE_SHARE_12MONTHS">"c1828"</definedName>
    <definedName name="IQ_PERCENT_CHANGE_EST_FFO_SHARE_SHARE_12MONTHS_CIQ">"c3769"</definedName>
    <definedName name="IQ_PERCENT_CHANGE_EST_FFO_SHARE_SHARE_12MONTHS_REUT">"c3938"</definedName>
    <definedName name="IQ_PERCENT_CHANGE_EST_FFO_SHARE_SHARE_12MONTHS_THOM">"c5248"</definedName>
    <definedName name="IQ_PERCENT_CHANGE_EST_FFO_SHARE_SHARE_18MONTHS">"c1829"</definedName>
    <definedName name="IQ_PERCENT_CHANGE_EST_FFO_SHARE_SHARE_18MONTHS_CIQ">"c3770"</definedName>
    <definedName name="IQ_PERCENT_CHANGE_EST_FFO_SHARE_SHARE_18MONTHS_REUT">"c3939"</definedName>
    <definedName name="IQ_PERCENT_CHANGE_EST_FFO_SHARE_SHARE_18MONTHS_THOM">"c5249"</definedName>
    <definedName name="IQ_PERCENT_CHANGE_EST_FFO_SHARE_SHARE_3MONTHS">"c1825"</definedName>
    <definedName name="IQ_PERCENT_CHANGE_EST_FFO_SHARE_SHARE_3MONTHS_CIQ">"c3766"</definedName>
    <definedName name="IQ_PERCENT_CHANGE_EST_FFO_SHARE_SHARE_3MONTHS_REUT">"c3935"</definedName>
    <definedName name="IQ_PERCENT_CHANGE_EST_FFO_SHARE_SHARE_3MONTHS_THOM">"c5245"</definedName>
    <definedName name="IQ_PERCENT_CHANGE_EST_FFO_SHARE_SHARE_6MONTHS">"c1826"</definedName>
    <definedName name="IQ_PERCENT_CHANGE_EST_FFO_SHARE_SHARE_6MONTHS_CIQ">"c3767"</definedName>
    <definedName name="IQ_PERCENT_CHANGE_EST_FFO_SHARE_SHARE_6MONTHS_REUT">"c3936"</definedName>
    <definedName name="IQ_PERCENT_CHANGE_EST_FFO_SHARE_SHARE_6MONTHS_THOM">"c5246"</definedName>
    <definedName name="IQ_PERCENT_CHANGE_EST_FFO_SHARE_SHARE_9MONTHS">"c1827"</definedName>
    <definedName name="IQ_PERCENT_CHANGE_EST_FFO_SHARE_SHARE_9MONTHS_CIQ">"c3768"</definedName>
    <definedName name="IQ_PERCENT_CHANGE_EST_FFO_SHARE_SHARE_9MONTHS_REUT">"c3937"</definedName>
    <definedName name="IQ_PERCENT_CHANGE_EST_FFO_SHARE_SHARE_9MONTHS_THOM">"c5247"</definedName>
    <definedName name="IQ_PERCENT_CHANGE_EST_FFO_SHARE_SHARE_DAY">"c1822"</definedName>
    <definedName name="IQ_PERCENT_CHANGE_EST_FFO_SHARE_SHARE_DAY_CIQ">"c3764"</definedName>
    <definedName name="IQ_PERCENT_CHANGE_EST_FFO_SHARE_SHARE_DAY_REUT">"c3933"</definedName>
    <definedName name="IQ_PERCENT_CHANGE_EST_FFO_SHARE_SHARE_DAY_THOM">"c5243"</definedName>
    <definedName name="IQ_PERCENT_CHANGE_EST_FFO_SHARE_SHARE_MONTH">"c1824"</definedName>
    <definedName name="IQ_PERCENT_CHANGE_EST_FFO_SHARE_SHARE_MONTH_CIQ">"c3765"</definedName>
    <definedName name="IQ_PERCENT_CHANGE_EST_FFO_SHARE_SHARE_MONTH_REUT">"c3934"</definedName>
    <definedName name="IQ_PERCENT_CHANGE_EST_FFO_SHARE_SHARE_MONTH_THOM">"c5244"</definedName>
    <definedName name="IQ_PERCENT_CHANGE_EST_FFO_SHARE_SHARE_WEEK">"c1823"</definedName>
    <definedName name="IQ_PERCENT_CHANGE_EST_FFO_SHARE_SHARE_WEEK_CIQ">"c3795"</definedName>
    <definedName name="IQ_PERCENT_CHANGE_EST_FFO_SHARE_SHARE_WEEK_REUT">"c3964"</definedName>
    <definedName name="IQ_PERCENT_CHANGE_EST_FFO_SHARE_SHARE_WEEK_THOM">"c5274"</definedName>
    <definedName name="IQ_PERCENT_CHANGE_EST_FFO_WEEK">"c1823"</definedName>
    <definedName name="IQ_PERCENT_CHANGE_EST_FFO_WEEK_CIQ">"c3795"</definedName>
    <definedName name="IQ_PERCENT_CHANGE_EST_FFO_WEEK_REUT">"c3964"</definedName>
    <definedName name="IQ_PERCENT_CHANGE_EST_FFO_WEEK_THOM">"c5274"</definedName>
    <definedName name="IQ_PERCENT_CHANGE_EST_PRICE_TARGET_12MONTHS">"c1844"</definedName>
    <definedName name="IQ_PERCENT_CHANGE_EST_PRICE_TARGET_12MONTHS_REUT">"c3952"</definedName>
    <definedName name="IQ_PERCENT_CHANGE_EST_PRICE_TARGET_18MONTHS">"c1845"</definedName>
    <definedName name="IQ_PERCENT_CHANGE_EST_PRICE_TARGET_18MONTHS_REUT">"c3953"</definedName>
    <definedName name="IQ_PERCENT_CHANGE_EST_PRICE_TARGET_3MONTHS">"c1841"</definedName>
    <definedName name="IQ_PERCENT_CHANGE_EST_PRICE_TARGET_3MONTHS_REUT">"c3949"</definedName>
    <definedName name="IQ_PERCENT_CHANGE_EST_PRICE_TARGET_6MONTHS">"c1842"</definedName>
    <definedName name="IQ_PERCENT_CHANGE_EST_PRICE_TARGET_6MONTHS_REUT">"c3950"</definedName>
    <definedName name="IQ_PERCENT_CHANGE_EST_PRICE_TARGET_9MONTHS">"c1843"</definedName>
    <definedName name="IQ_PERCENT_CHANGE_EST_PRICE_TARGET_9MONTHS_REUT">"c3951"</definedName>
    <definedName name="IQ_PERCENT_CHANGE_EST_PRICE_TARGET_DAY">"c1838"</definedName>
    <definedName name="IQ_PERCENT_CHANGE_EST_PRICE_TARGET_DAY_REUT">"c3947"</definedName>
    <definedName name="IQ_PERCENT_CHANGE_EST_PRICE_TARGET_MONTH">"c1840"</definedName>
    <definedName name="IQ_PERCENT_CHANGE_EST_PRICE_TARGET_MONTH_REUT">"c3948"</definedName>
    <definedName name="IQ_PERCENT_CHANGE_EST_PRICE_TARGET_WEEK">"c1839"</definedName>
    <definedName name="IQ_PERCENT_CHANGE_EST_PRICE_TARGET_WEEK_REUT">"c3967"</definedName>
    <definedName name="IQ_PERCENT_CHANGE_EST_RECO_12MONTHS">"c1836"</definedName>
    <definedName name="IQ_PERCENT_CHANGE_EST_RECO_12MONTHS_REUT">"c3945"</definedName>
    <definedName name="IQ_PERCENT_CHANGE_EST_RECO_18MONTHS">"c1837"</definedName>
    <definedName name="IQ_PERCENT_CHANGE_EST_RECO_18MONTHS_REUT">"c3946"</definedName>
    <definedName name="IQ_PERCENT_CHANGE_EST_RECO_3MONTHS">"c1833"</definedName>
    <definedName name="IQ_PERCENT_CHANGE_EST_RECO_3MONTHS_REUT">"c3942"</definedName>
    <definedName name="IQ_PERCENT_CHANGE_EST_RECO_6MONTHS">"c1834"</definedName>
    <definedName name="IQ_PERCENT_CHANGE_EST_RECO_6MONTHS_REUT">"c3943"</definedName>
    <definedName name="IQ_PERCENT_CHANGE_EST_RECO_9MONTHS">"c1835"</definedName>
    <definedName name="IQ_PERCENT_CHANGE_EST_RECO_9MONTHS_REUT">"c3944"</definedName>
    <definedName name="IQ_PERCENT_CHANGE_EST_RECO_DAY">"c1830"</definedName>
    <definedName name="IQ_PERCENT_CHANGE_EST_RECO_DAY_REUT">"c3940"</definedName>
    <definedName name="IQ_PERCENT_CHANGE_EST_RECO_MONTH">"c1832"</definedName>
    <definedName name="IQ_PERCENT_CHANGE_EST_RECO_MONTH_REUT">"c3941"</definedName>
    <definedName name="IQ_PERCENT_CHANGE_EST_RECO_WEEK">"c1831"</definedName>
    <definedName name="IQ_PERCENT_CHANGE_EST_RECO_WEEK_REUT">"c3966"</definedName>
    <definedName name="IQ_PERCENT_CHANGE_EST_REV_12MONTHS">"c1796"</definedName>
    <definedName name="IQ_PERCENT_CHANGE_EST_REV_12MONTHS_REUT">"c3910"</definedName>
    <definedName name="IQ_PERCENT_CHANGE_EST_REV_18MONTHS">"c1797"</definedName>
    <definedName name="IQ_PERCENT_CHANGE_EST_REV_18MONTHS_REUT">"c3911"</definedName>
    <definedName name="IQ_PERCENT_CHANGE_EST_REV_3MONTHS">"c1793"</definedName>
    <definedName name="IQ_PERCENT_CHANGE_EST_REV_3MONTHS_REUT">"c3907"</definedName>
    <definedName name="IQ_PERCENT_CHANGE_EST_REV_6MONTHS">"c1794"</definedName>
    <definedName name="IQ_PERCENT_CHANGE_EST_REV_6MONTHS_REUT">"c3908"</definedName>
    <definedName name="IQ_PERCENT_CHANGE_EST_REV_9MONTHS">"c1795"</definedName>
    <definedName name="IQ_PERCENT_CHANGE_EST_REV_9MONTHS_REUT">"c3909"</definedName>
    <definedName name="IQ_PERCENT_CHANGE_EST_REV_DAY">"c1790"</definedName>
    <definedName name="IQ_PERCENT_CHANGE_EST_REV_DAY_REUT">"c3904"</definedName>
    <definedName name="IQ_PERCENT_CHANGE_EST_REV_MONTH">"c1792"</definedName>
    <definedName name="IQ_PERCENT_CHANGE_EST_REV_MONTH_REUT">"c3906"</definedName>
    <definedName name="IQ_PERCENT_CHANGE_EST_REV_WEEK">"c1791"</definedName>
    <definedName name="IQ_PERCENT_CHANGE_EST_REV_WEEK_REUT">"c3905"</definedName>
    <definedName name="IQ_PERCENT_INSURED_FDIC">"c6374"</definedName>
    <definedName name="IQ_PERIODDATE">"c1414"</definedName>
    <definedName name="IQ_PERIODDATE_BS">"c1032"</definedName>
    <definedName name="IQ_PERIODDATE_CF">"c1033"</definedName>
    <definedName name="IQ_PERIODDATE_FDIC">"c13646"</definedName>
    <definedName name="IQ_PERIODDATE_IS">"c1034"</definedName>
    <definedName name="IQ_PERIODLENGTH_CF">"c1502"</definedName>
    <definedName name="IQ_PERIODLENGTH_IS">"c1503"</definedName>
    <definedName name="IQ_PERTYPE">"c1611"</definedName>
    <definedName name="IQ_PLEDGED_SECURITIES_FDIC">"c6401"</definedName>
    <definedName name="IQ_PLL">"c2114"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ST_RETIRE_EXP">"c1039"</definedName>
    <definedName name="IQ_POSTPAID_CHURN">"c2121"</definedName>
    <definedName name="IQ_POSTPAID_SUBS">"c2118"</definedName>
    <definedName name="IQ_POTENTIAL_UPSIDE">"c1855"</definedName>
    <definedName name="IQ_POTENTIAL_UPSIDE_REUT">"c3968"</definedName>
    <definedName name="IQ_PRE_OPEN_COST">"c1040"</definedName>
    <definedName name="IQ_PRE_TAX_ACT_OR_EST">"c2221"</definedName>
    <definedName name="IQ_PRE_TAX_ACT_OR_EST_REUT">"c5467"</definedName>
    <definedName name="IQ_PRE_TAX_INCOME_FDIC">"c6581"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>"c1047"</definedName>
    <definedName name="IQ_PREF_ISSUED_FIN">"c1048"</definedName>
    <definedName name="IQ_PREF_ISSUED_INS">"c1049"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>"c1055"</definedName>
    <definedName name="IQ_PREF_OTHER_FIN">"c1056"</definedName>
    <definedName name="IQ_PREF_OTHER_INS">"c1057"</definedName>
    <definedName name="IQ_PREF_OTHER_REIT">"c1058"</definedName>
    <definedName name="IQ_PREF_REDEEM">"c1059"</definedName>
    <definedName name="IQ_PREF_REP">"c1060"</definedName>
    <definedName name="IQ_PREF_REP_BNK">"c1061"</definedName>
    <definedName name="IQ_PREF_REP_BR">"c1062"</definedName>
    <definedName name="IQ_PREF_REP_FIN">"c1063"</definedName>
    <definedName name="IQ_PREF_REP_INS">"c1064"</definedName>
    <definedName name="IQ_PREF_REP_REIT">"c1065"</definedName>
    <definedName name="IQ_PREF_REP_UTI">"c1066"</definedName>
    <definedName name="IQ_PREF_STOCK">"c1416"</definedName>
    <definedName name="IQ_PREF_TOT">"c1415"</definedName>
    <definedName name="IQ_PREFERRED_FDIC">"c6349"</definedName>
    <definedName name="IQ_PREMISES_EQUIPMENT_FDIC">"c6577"</definedName>
    <definedName name="IQ_PREMIUMS_ANNUITY_REV">"c1067"</definedName>
    <definedName name="IQ_PREPAID_CHURN">"c2120"</definedName>
    <definedName name="IQ_PREPAID_EXP">"c1068"</definedName>
    <definedName name="IQ_PREPAID_EXPEN">"c1418"</definedName>
    <definedName name="IQ_PREPAID_SUBS">"c2117"</definedName>
    <definedName name="IQ_PRETAX_GW_INC_EST">"c1702"</definedName>
    <definedName name="IQ_PRETAX_GW_INC_EST_REUT">"c5354"</definedName>
    <definedName name="IQ_PRETAX_GW_INC_HIGH_EST">"c1704"</definedName>
    <definedName name="IQ_PRETAX_GW_INC_HIGH_EST_REUT">"c5356"</definedName>
    <definedName name="IQ_PRETAX_GW_INC_LOW_EST">"c1705"</definedName>
    <definedName name="IQ_PRETAX_GW_INC_LOW_EST_REUT">"c5357"</definedName>
    <definedName name="IQ_PRETAX_GW_INC_MEDIAN_EST">"c1703"</definedName>
    <definedName name="IQ_PRETAX_GW_INC_MEDIAN_EST_REUT">"c5355"</definedName>
    <definedName name="IQ_PRETAX_GW_INC_NUM_EST">"c1706"</definedName>
    <definedName name="IQ_PRETAX_GW_INC_NUM_EST_REUT">"c5358"</definedName>
    <definedName name="IQ_PRETAX_GW_INC_STDDEV_EST">"c1707"</definedName>
    <definedName name="IQ_PRETAX_GW_INC_STDDEV_EST_REUT">"c5359"</definedName>
    <definedName name="IQ_PRETAX_INC">"IQ_PRETAX_INC"</definedName>
    <definedName name="IQ_PRETAX_INC_10K">"IQ_PRETAX_INC_10K"</definedName>
    <definedName name="IQ_PRETAX_INC_10Q">"IQ_PRETAX_INC_10Q"</definedName>
    <definedName name="IQ_PRETAX_INC_10Q1">"IQ_PRETAX_INC_10Q1"</definedName>
    <definedName name="IQ_PRETAX_INC_EST">"c1695"</definedName>
    <definedName name="IQ_PRETAX_INC_EST_REUT">"c5347"</definedName>
    <definedName name="IQ_PRETAX_INC_HIGH_EST">"c1697"</definedName>
    <definedName name="IQ_PRETAX_INC_HIGH_EST_REUT">"c5349"</definedName>
    <definedName name="IQ_PRETAX_INC_LOW_EST">"c1698"</definedName>
    <definedName name="IQ_PRETAX_INC_LOW_EST_REUT">"c5350"</definedName>
    <definedName name="IQ_PRETAX_INC_MEDIAN_EST">"c1696"</definedName>
    <definedName name="IQ_PRETAX_INC_MEDIAN_EST_REUT">"c5348"</definedName>
    <definedName name="IQ_PRETAX_INC_NUM_EST">"c1699"</definedName>
    <definedName name="IQ_PRETAX_INC_NUM_EST_REUT">"c5351"</definedName>
    <definedName name="IQ_PRETAX_INC_STDDEV_EST">"c1700"</definedName>
    <definedName name="IQ_PRETAX_INC_STDDEV_EST_REUT">"c5352"</definedName>
    <definedName name="IQ_PRETAX_REPORT_INC_EST">"c1709"</definedName>
    <definedName name="IQ_PRETAX_REPORT_INC_EST_REUT">"c5361"</definedName>
    <definedName name="IQ_PRETAX_REPORT_INC_HIGH_EST">"c1711"</definedName>
    <definedName name="IQ_PRETAX_REPORT_INC_HIGH_EST_REUT">"c5363"</definedName>
    <definedName name="IQ_PRETAX_REPORT_INC_LOW_EST">"c1712"</definedName>
    <definedName name="IQ_PRETAX_REPORT_INC_LOW_EST_REUT">"c5364"</definedName>
    <definedName name="IQ_PRETAX_REPORT_INC_MEDIAN_EST">"c1710"</definedName>
    <definedName name="IQ_PRETAX_REPORT_INC_MEDIAN_EST_REUT">"c5362"</definedName>
    <definedName name="IQ_PRETAX_REPORT_INC_NUM_EST">"c1713"</definedName>
    <definedName name="IQ_PRETAX_REPORT_INC_NUM_EST_REUT">"c5365"</definedName>
    <definedName name="IQ_PRETAX_REPORT_INC_STDDEV_EST">"c1714"</definedName>
    <definedName name="IQ_PRETAX_REPORT_INC_STDDEV_EST_REUT">"c5366"</definedName>
    <definedName name="IQ_PRETAX_RETURN_ASSETS_FDIC">"c6731"</definedName>
    <definedName name="IQ_PRICE_CFPS_FWD">"c2237"</definedName>
    <definedName name="IQ_PRICE_CFPS_FWD_REUT">"c4053"</definedName>
    <definedName name="IQ_PRICE_OVER_BVPS">"c1412"</definedName>
    <definedName name="IQ_PRICE_OVER_EPS_EST">"IQ_PRICE_OVER_EPS_EST"</definedName>
    <definedName name="IQ_PRICE_OVER_EPS_EST_1">"IQ_PRICE_OVER_EPS_EST_1"</definedName>
    <definedName name="IQ_PRICE_OVER_LTM_EPS">"c1413"</definedName>
    <definedName name="IQ_PRICE_TARGET">"c82"</definedName>
    <definedName name="IQ_PRICE_TARGET_BOTTOM_UP_REUT">"c5494"</definedName>
    <definedName name="IQ_PRICE_TARGET_REUT">"c3631"</definedName>
    <definedName name="IQ_PRICEDATE">"c1069"</definedName>
    <definedName name="IQ_PRICEDATETIME">"IQ_PRICEDATETIME"</definedName>
    <definedName name="IQ_PRICING_DATE">"c1613"</definedName>
    <definedName name="IQ_PRIMARY_EPS_TYPE_REUT">"c5481"</definedName>
    <definedName name="IQ_PRIMARY_EPS_TYPE_THOM">"c5297"</definedName>
    <definedName name="IQ_PRIMARY_INDUSTRY">"c1070"</definedName>
    <definedName name="IQ_PRIVATE_CONST_TOTAL_APR_FC_UNUSED_UNUSED_UNUSED">"c8559"</definedName>
    <definedName name="IQ_PRIVATE_CONST_TOTAL_APR_UNUSED_UNUSED_UNUSED">"c7679"</definedName>
    <definedName name="IQ_PRIVATE_CONST_TOTAL_FC_UNUSED_UNUSED_UNUSED">"c7899"</definedName>
    <definedName name="IQ_PRIVATE_CONST_TOTAL_POP_FC_UNUSED_UNUSED_UNUSED">"c8119"</definedName>
    <definedName name="IQ_PRIVATE_CONST_TOTAL_POP_UNUSED_UNUSED_UNUSED">"c7239"</definedName>
    <definedName name="IQ_PRIVATE_CONST_TOTAL_UNUSED_UNUSED_UNUSED">"c7019"</definedName>
    <definedName name="IQ_PRIVATE_CONST_TOTAL_YOY_FC_UNUSED_UNUSED_UNUSED">"c8339"</definedName>
    <definedName name="IQ_PRIVATE_CONST_TOTAL_YOY_UNUSED_UNUSED_UNUSED">"c7459"</definedName>
    <definedName name="IQ_PRIVATE_RES_CONST_REAL_APR_FC_UNUSED_UNUSED_UNUSED">"c8535"</definedName>
    <definedName name="IQ_PRIVATE_RES_CONST_REAL_APR_UNUSED_UNUSED_UNUSED">"c7655"</definedName>
    <definedName name="IQ_PRIVATE_RES_CONST_REAL_FC_UNUSED_UNUSED_UNUSED">"c7875"</definedName>
    <definedName name="IQ_PRIVATE_RES_CONST_REAL_POP_FC_UNUSED_UNUSED_UNUSED">"c8095"</definedName>
    <definedName name="IQ_PRIVATE_RES_CONST_REAL_POP_UNUSED_UNUSED_UNUSED">"c7215"</definedName>
    <definedName name="IQ_PRIVATE_RES_CONST_REAL_UNUSED_UNUSED_UNUSED">"c6995"</definedName>
    <definedName name="IQ_PRIVATE_RES_CONST_REAL_YOY_FC_UNUSED_UNUSED_UNUSED">"c8315"</definedName>
    <definedName name="IQ_PRIVATE_RES_CONST_REAL_YOY_UNUSED_UNUSED_UNUSED">"c7435"</definedName>
    <definedName name="IQ_PRIVATELY_ISSUED_MORTGAGE_BACKED_SECURITIES_FDIC">"c6407"</definedName>
    <definedName name="IQ_PRIVATELY_ISSUED_MORTGAGE_PASS_THROUGHS_FDIC">"c6405"</definedName>
    <definedName name="IQ_PRO_FORMA_BASIC_EPS">"c1614"</definedName>
    <definedName name="IQ_PRO_FORMA_DILUT_EPS">"c1615"</definedName>
    <definedName name="IQ_PRO_FORMA_NET_INC">"c1452"</definedName>
    <definedName name="IQ_PROFESSIONAL">"c1071"</definedName>
    <definedName name="IQ_PROFESSIONAL_TITLE">"c1072"</definedName>
    <definedName name="IQ_PROJECTED_PENSION_OBLIGATION">"c1292"</definedName>
    <definedName name="IQ_PROJECTED_PENSION_OBLIGATION_DOMESTIC">"c2656"</definedName>
    <definedName name="IQ_PROJECTED_PENSION_OBLIGATION_FOREIGN">"c2664"</definedName>
    <definedName name="IQ_PROPERTY_EXP">"c1073"</definedName>
    <definedName name="IQ_PROPERTY_GROSS">"c1379"</definedName>
    <definedName name="IQ_PROPERTY_MGMT_FEE">"c1074"</definedName>
    <definedName name="IQ_PROPERTY_NET">"c1402"</definedName>
    <definedName name="IQ_PROV_BAD_DEBTS">"c1075"</definedName>
    <definedName name="IQ_PROV_BAD_DEBTS_CF">"c1076"</definedName>
    <definedName name="IQ_PROVISION_10YR_ANN_GROWTH">"c1077"</definedName>
    <definedName name="IQ_PROVISION_1YR_ANN_GROWTH">"c1078"</definedName>
    <definedName name="IQ_PROVISION_2YR_ANN_GROWTH">"c1079"</definedName>
    <definedName name="IQ_PROVISION_3YR_ANN_GROWTH">"c1080"</definedName>
    <definedName name="IQ_PROVISION_5YR_ANN_GROWTH">"c1081"</definedName>
    <definedName name="IQ_PROVISION_7YR_ANN_GROWTH">"c1082"</definedName>
    <definedName name="IQ_PROVISION_CHARGE_OFFS">"c1083"</definedName>
    <definedName name="IQ_PTBV">"c1084"</definedName>
    <definedName name="IQ_PTBV_AVG">"c1085"</definedName>
    <definedName name="IQ_PURCHASE_FOREIGN_CURRENCIES_FDIC">"c6513"</definedName>
    <definedName name="IQ_PURCHASED_OPTION_CONTRACTS_FDIC">"c6510"</definedName>
    <definedName name="IQ_PURCHASED_OPTION_CONTRACTS_FX_RISK_FDIC">"c6515"</definedName>
    <definedName name="IQ_PURCHASED_OPTION_CONTRACTS_NON_FX_IR_FDIC">"c6520"</definedName>
    <definedName name="IQ_PURCHASES_EQUIP_NONRES_SAAR_APR_FC_UNUSED_UNUSED_UNUSED">"c8491"</definedName>
    <definedName name="IQ_PURCHASES_EQUIP_NONRES_SAAR_APR_UNUSED_UNUSED_UNUSED">"c7611"</definedName>
    <definedName name="IQ_PURCHASES_EQUIP_NONRES_SAAR_FC_UNUSED_UNUSED_UNUSED">"c7831"</definedName>
    <definedName name="IQ_PURCHASES_EQUIP_NONRES_SAAR_POP_FC_UNUSED_UNUSED_UNUSED">"c8051"</definedName>
    <definedName name="IQ_PURCHASES_EQUIP_NONRES_SAAR_POP_UNUSED_UNUSED_UNUSED">"c7171"</definedName>
    <definedName name="IQ_PURCHASES_EQUIP_NONRES_SAAR_UNUSED_UNUSED_UNUSED">"c6951"</definedName>
    <definedName name="IQ_PURCHASES_EQUIP_NONRES_SAAR_YOY_FC_UNUSED_UNUSED_UNUSED">"c8271"</definedName>
    <definedName name="IQ_PURCHASES_EQUIP_NONRES_SAAR_YOY_UNUSED_UNUSED_UNUSED">"c7391"</definedName>
    <definedName name="IQ_QTD">750000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C">"c2497"</definedName>
    <definedName name="IQ_RC_PCT">"c2498"</definedName>
    <definedName name="IQ_RD_EXP">"c1090"</definedName>
    <definedName name="IQ_RD_EXP_FN">"c1091"</definedName>
    <definedName name="IQ_RE">"c1092"</definedName>
    <definedName name="IQ_RE_FORECLOSURE_FDIC">"c6332"</definedName>
    <definedName name="IQ_RE_INVEST_FDIC">"c6331"</definedName>
    <definedName name="IQ_RE_LOANS_DOMESTIC_CHARGE_OFFS_FDIC">"c6589"</definedName>
    <definedName name="IQ_RE_LOANS_DOMESTIC_FDIC">"c6309"</definedName>
    <definedName name="IQ_RE_LOANS_DOMESTIC_NET_CHARGE_OFFS_FDIC">"c6627"</definedName>
    <definedName name="IQ_RE_LOANS_DOMESTIC_RECOVERIES_FDIC">"c6608"</definedName>
    <definedName name="IQ_RE_LOANS_FDIC">"c6308"</definedName>
    <definedName name="IQ_RE_LOANS_FOREIGN_CHARGE_OFFS_FDIC">"c6595"</definedName>
    <definedName name="IQ_RE_LOANS_FOREIGN_NET_CHARGE_OFFS_FDIC">"c6633"</definedName>
    <definedName name="IQ_RE_LOANS_FOREIGN_RECOVERIES_FDIC">"c6614"</definedName>
    <definedName name="IQ_REAL_ESTATE">"c1093"</definedName>
    <definedName name="IQ_REAL_ESTATE_ASSETS">"c1094"</definedName>
    <definedName name="IQ_RECOVERIES_1_4_FAMILY_LOANS_FDIC">"c6707"</definedName>
    <definedName name="IQ_RECOVERIES_AUTO_LOANS_FDIC">"c6701"</definedName>
    <definedName name="IQ_RECOVERIES_CL_LOANS_FDIC">"c6702"</definedName>
    <definedName name="IQ_RECOVERIES_CREDIT_CARDS_RECEIVABLES_FDIC">"c6704"</definedName>
    <definedName name="IQ_RECOVERIES_HOME_EQUITY_LINES_FDIC">"c6705"</definedName>
    <definedName name="IQ_RECOVERIES_OTHER_CONSUMER_LOANS_FDIC">"c6703"</definedName>
    <definedName name="IQ_RECOVERIES_OTHER_LOANS_FDIC">"c6706"</definedName>
    <definedName name="IQ_REDEEM_PREF_STOCK">"c1417"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LATED_PLANS_FDIC">"c6320"</definedName>
    <definedName name="IQ_RENTAL_REV">"c1101"</definedName>
    <definedName name="IQ_RES_CONST_REAL_APR_FC_UNUSED_UNUSED_UNUSED">"c8536"</definedName>
    <definedName name="IQ_RES_CONST_REAL_APR_UNUSED_UNUSED_UNUSED">"c7656"</definedName>
    <definedName name="IQ_RES_CONST_REAL_FC_UNUSED_UNUSED_UNUSED">"c7876"</definedName>
    <definedName name="IQ_RES_CONST_REAL_POP_FC_UNUSED_UNUSED_UNUSED">"c8096"</definedName>
    <definedName name="IQ_RES_CONST_REAL_POP_UNUSED_UNUSED_UNUSED">"c7216"</definedName>
    <definedName name="IQ_RES_CONST_REAL_SAAR_APR_FC_UNUSED_UNUSED_UNUSED">"c8537"</definedName>
    <definedName name="IQ_RES_CONST_REAL_SAAR_APR_UNUSED_UNUSED_UNUSED">"c7657"</definedName>
    <definedName name="IQ_RES_CONST_REAL_SAAR_FC_UNUSED_UNUSED_UNUSED">"c7877"</definedName>
    <definedName name="IQ_RES_CONST_REAL_SAAR_POP_FC_UNUSED_UNUSED_UNUSED">"c8097"</definedName>
    <definedName name="IQ_RES_CONST_REAL_SAAR_POP_UNUSED_UNUSED_UNUSED">"c7217"</definedName>
    <definedName name="IQ_RES_CONST_REAL_SAAR_UNUSED_UNUSED_UNUSED">"c6997"</definedName>
    <definedName name="IQ_RES_CONST_REAL_SAAR_YOY_FC_UNUSED_UNUSED_UNUSED">"c8317"</definedName>
    <definedName name="IQ_RES_CONST_REAL_SAAR_YOY_UNUSED_UNUSED_UNUSED">"c7437"</definedName>
    <definedName name="IQ_RES_CONST_REAL_UNUSED_UNUSED_UNUSED">"c6996"</definedName>
    <definedName name="IQ_RES_CONST_REAL_YOY_FC_UNUSED_UNUSED_UNUSED">"c8316"</definedName>
    <definedName name="IQ_RES_CONST_REAL_YOY_UNUSED_UNUSED_UNUSED">"c7436"</definedName>
    <definedName name="IQ_RES_CONST_SAAR_APR_FC_UNUSED_UNUSED_UNUSED">"c8540"</definedName>
    <definedName name="IQ_RES_CONST_SAAR_APR_UNUSED_UNUSED_UNUSED">"c7660"</definedName>
    <definedName name="IQ_RES_CONST_SAAR_FC_UNUSED_UNUSED_UNUSED">"c7880"</definedName>
    <definedName name="IQ_RES_CONST_SAAR_POP_FC_UNUSED_UNUSED_UNUSED">"c8100"</definedName>
    <definedName name="IQ_RES_CONST_SAAR_POP_UNUSED_UNUSED_UNUSED">"c7220"</definedName>
    <definedName name="IQ_RES_CONST_SAAR_UNUSED_UNUSED_UNUSED">"c7000"</definedName>
    <definedName name="IQ_RES_CONST_SAAR_YOY_FC_UNUSED_UNUSED_UNUSED">"c8320"</definedName>
    <definedName name="IQ_RES_CONST_SAAR_YOY_UNUSED_UNUSED_UNUSED">"c7440"</definedName>
    <definedName name="IQ_RESEARCH_DEV">"c1419"</definedName>
    <definedName name="IQ_RESIDENTIAL_LOANS">"c1102"</definedName>
    <definedName name="IQ_RESTATEMENT_BS">"c1643"</definedName>
    <definedName name="IQ_RESTATEMENT_CF">"c1644"</definedName>
    <definedName name="IQ_RESTATEMENT_IS">"c1642"</definedName>
    <definedName name="IQ_RESTATEMENTS_NET_FDIC">"c6500"</definedName>
    <definedName name="IQ_RESTRICTED_CASH">"c1103"</definedName>
    <definedName name="IQ_RESTRUCTURE">"c1104"</definedName>
    <definedName name="IQ_RESTRUCTURE_BNK">"c1105"</definedName>
    <definedName name="IQ_RESTRUCTURE_BR">"c1106"</definedName>
    <definedName name="IQ_RESTRUCTURE_CF">"c1107"</definedName>
    <definedName name="IQ_RESTRUCTURE_FIN">"c1108"</definedName>
    <definedName name="IQ_RESTRUCTURE_INS">"c1109"</definedName>
    <definedName name="IQ_RESTRUCTURE_REIT">"c1110"</definedName>
    <definedName name="IQ_RESTRUCTURE_UTI">"c1111"</definedName>
    <definedName name="IQ_RESTRUCTURED_LOANS">"c1112"</definedName>
    <definedName name="IQ_RESTRUCTURED_LOANS_1_4_RESIDENTIAL_FDIC">"c6378"</definedName>
    <definedName name="IQ_RESTRUCTURED_LOANS_LEASES_FDIC">"c6377"</definedName>
    <definedName name="IQ_RESTRUCTURED_LOANS_NON_1_4_FDIC">"c6379"</definedName>
    <definedName name="IQ_RETAIL_ACQUIRED_FRANCHISE_STORES">"c2903"</definedName>
    <definedName name="IQ_RETAIL_ACQUIRED_OWNED_STORES">"c2895"</definedName>
    <definedName name="IQ_RETAIL_ACQUIRED_STORES">"c2887"</definedName>
    <definedName name="IQ_RETAIL_AVG_STORE_SIZE_GROSS">"c2066"</definedName>
    <definedName name="IQ_RETAIL_AVG_STORE_SIZE_NET">"c2067"</definedName>
    <definedName name="IQ_RETAIL_AVG_WK_SALES">"c2891"</definedName>
    <definedName name="IQ_RETAIL_AVG_WK_SALES_FRANCHISE">"c2899"</definedName>
    <definedName name="IQ_RETAIL_AVG_WK_SALES_OWNED">"c2907"</definedName>
    <definedName name="IQ_RETAIL_CLOSED_FRANCHISE_STORES">"c2896"</definedName>
    <definedName name="IQ_RETAIL_CLOSED_OWNED_STORES">"c2904"</definedName>
    <definedName name="IQ_RETAIL_CLOSED_STORES">"c2063"</definedName>
    <definedName name="IQ_RETAIL_DEPOSITS_FDIC">"c6488"</definedName>
    <definedName name="IQ_RETAIL_FRANCHISE_STORES_BEG">"c2893"</definedName>
    <definedName name="IQ_RETAIL_OPENED_FRANCHISE_STORES">"c2894"</definedName>
    <definedName name="IQ_RETAIL_OPENED_OWNED_STORES">"c2902"</definedName>
    <definedName name="IQ_RETAIL_OPENED_STORES">"c2062"</definedName>
    <definedName name="IQ_RETAIL_OWNED_STORES_BEG">"c2901"</definedName>
    <definedName name="IQ_RETAIL_SALES_SQFT_ALL_GROSS">"c2138"</definedName>
    <definedName name="IQ_RETAIL_SALES_SQFT_ALL_NET">"c2139"</definedName>
    <definedName name="IQ_RETAIL_SALES_SQFT_COMPARABLE_GROSS">"c2136"</definedName>
    <definedName name="IQ_RETAIL_SALES_SQFT_COMPARABLE_NET">"c2137"</definedName>
    <definedName name="IQ_RETAIL_SALES_SQFT_OWNED_GROSS">"c2134"</definedName>
    <definedName name="IQ_RETAIL_SALES_SQFT_OWNED_NET">"c2135"</definedName>
    <definedName name="IQ_RETAIL_SOLD_FRANCHISE_STORES">"c2897"</definedName>
    <definedName name="IQ_RETAIL_SOLD_OWNED_STORES">"c2905"</definedName>
    <definedName name="IQ_RETAIL_SOLD_STORES">"c2889"</definedName>
    <definedName name="IQ_RETAIL_SQ_FOOTAGE">"c2064"</definedName>
    <definedName name="IQ_RETAIL_STORE_SELLING_AREA">"c2065"</definedName>
    <definedName name="IQ_RETAIL_STORES_BEG">"c2885"</definedName>
    <definedName name="IQ_RETAIL_TOTAL_FRANCHISE_STORES">"c2898"</definedName>
    <definedName name="IQ_RETAIL_TOTAL_OWNED_STORES">"c2906"</definedName>
    <definedName name="IQ_RETAIL_TOTAL_STORES">"c2061"</definedName>
    <definedName name="IQ_RETAINED_EARN">"c1420"</definedName>
    <definedName name="IQ_RETAINED_EARNINGS_AVERAGE_EQUITY_FDIC">"c6733"</definedName>
    <definedName name="IQ_RETURN_ASSETS">"c1113"</definedName>
    <definedName name="IQ_RETURN_ASSETS_ACT_OR_EST_REUT">"c5475"</definedName>
    <definedName name="IQ_RETURN_ASSETS_BANK">"c1114"</definedName>
    <definedName name="IQ_RETURN_ASSETS_BROK">"c1115"</definedName>
    <definedName name="IQ_RETURN_ASSETS_EST_REUT">"c3990"</definedName>
    <definedName name="IQ_RETURN_ASSETS_FDIC">"c6730"</definedName>
    <definedName name="IQ_RETURN_ASSETS_FS">"c1116"</definedName>
    <definedName name="IQ_RETURN_ASSETS_HIGH_EST_REUT">"c3992"</definedName>
    <definedName name="IQ_RETURN_ASSETS_LOW_EST_REUT">"c3993"</definedName>
    <definedName name="IQ_RETURN_ASSETS_MEDIAN_EST_REUT">"c3991"</definedName>
    <definedName name="IQ_RETURN_ASSETS_NUM_EST_REUT">"c3994"</definedName>
    <definedName name="IQ_RETURN_ASSETS_STDDEV_EST_REUT">"c3995"</definedName>
    <definedName name="IQ_RETURN_CAPITAL">"c1117"</definedName>
    <definedName name="IQ_RETURN_EQUITY">"c1118"</definedName>
    <definedName name="IQ_RETURN_EQUITY_ACT_OR_EST_REUT">"c5476"</definedName>
    <definedName name="IQ_RETURN_EQUITY_BANK">"c1119"</definedName>
    <definedName name="IQ_RETURN_EQUITY_BROK">"c1120"</definedName>
    <definedName name="IQ_RETURN_EQUITY_EST_REUT">"c3983"</definedName>
    <definedName name="IQ_RETURN_EQUITY_FDIC">"c6732"</definedName>
    <definedName name="IQ_RETURN_EQUITY_FS">"c1121"</definedName>
    <definedName name="IQ_RETURN_EQUITY_HIGH_EST_REUT">"c3985"</definedName>
    <definedName name="IQ_RETURN_EQUITY_LOW_EST_REUT">"c3986"</definedName>
    <definedName name="IQ_RETURN_EQUITY_MEDIAN_EST_REUT">"c3984"</definedName>
    <definedName name="IQ_RETURN_EQUITY_NUM_EST_REUT">"c3987"</definedName>
    <definedName name="IQ_RETURN_EQUITY_STDDEV_EST_REUT">"c3988"</definedName>
    <definedName name="IQ_RETURN_INVESTMENT">"c1421"</definedName>
    <definedName name="IQ_REV">"c1122"</definedName>
    <definedName name="IQ_REV_BEFORE_LL">"c1123"</definedName>
    <definedName name="IQ_REV_STDDEV_EST">"c1124"</definedName>
    <definedName name="IQ_REV_STDDEV_EST_REUT">"c3639"</definedName>
    <definedName name="IQ_REV_UTI">"c1125"</definedName>
    <definedName name="IQ_REVALUATION_GAINS_FDIC">"c6428"</definedName>
    <definedName name="IQ_REVALUATION_LOSSES_FDIC">"c6429"</definedName>
    <definedName name="IQ_REVENUE">"c1422"</definedName>
    <definedName name="IQ_REVENUE_10K">"IQ_REVENUE_10K"</definedName>
    <definedName name="IQ_REVENUE_10Q">"IQ_REVENUE_10Q"</definedName>
    <definedName name="IQ_REVENUE_10Q1">"IQ_REVENUE_10Q1"</definedName>
    <definedName name="IQ_REVENUE_ACT_OR_EST">"c2214"</definedName>
    <definedName name="IQ_REVENUE_ACT_OR_EST_REUT">"c5461"</definedName>
    <definedName name="IQ_REVENUE_EST">"c1126"</definedName>
    <definedName name="IQ_REVENUE_EST_1">"IQ_REVENUE_EST_1"</definedName>
    <definedName name="IQ_REVENUE_EST_BOTTOM_UP_REUT">"c5496"</definedName>
    <definedName name="IQ_REVENUE_EST_REUT">"c3634"</definedName>
    <definedName name="IQ_REVENUE_GROWTH_1">"IQ_REVENUE_GROWTH_1"</definedName>
    <definedName name="IQ_REVENUE_GROWTH_2">"IQ_REVENUE_GROWTH_2"</definedName>
    <definedName name="IQ_REVENUE_HIGH_EST">"c1127"</definedName>
    <definedName name="IQ_REVENUE_HIGH_EST_REUT">"c3636"</definedName>
    <definedName name="IQ_REVENUE_LOW_EST">"c1128"</definedName>
    <definedName name="IQ_REVENUE_LOW_EST_REUT">"c3637"</definedName>
    <definedName name="IQ_REVENUE_MEDIAN_EST">"c1662"</definedName>
    <definedName name="IQ_REVENUE_MEDIAN_EST_REUT">"c3635"</definedName>
    <definedName name="IQ_REVENUE_NO_EST">"c263"</definedName>
    <definedName name="IQ_REVENUE_NUM_EST">"c1129"</definedName>
    <definedName name="IQ_REVENUE_NUM_EST_REUT">"c3638"</definedName>
    <definedName name="IQ_REVISION_DATE_">39198.8768865741</definedName>
    <definedName name="IQ_RISK_ADJ_BANK_ASSETS">"c2670"</definedName>
    <definedName name="IQ_RISK_WEIGHTED_ASSETS_FDIC">"c6370"</definedName>
    <definedName name="IQ_ROYALTY_REVENUE_COAL">"c15932"</definedName>
    <definedName name="IQ_SALARY">"c1130"</definedName>
    <definedName name="IQ_SALARY_FDIC">"c6576"</definedName>
    <definedName name="IQ_SALE_CONVERSION_RETIREMENT_STOCK_FDIC">"c6661"</definedName>
    <definedName name="IQ_SALE_INTAN_CF">"c1131"</definedName>
    <definedName name="IQ_SALE_INTAN_CF_BNK">"c1132"</definedName>
    <definedName name="IQ_SALE_INTAN_CF_BR">"c1133"</definedName>
    <definedName name="IQ_SALE_INTAN_CF_FIN">"c1134"</definedName>
    <definedName name="IQ_SALE_INTAN_CF_INS">"c1135"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>"c1139"</definedName>
    <definedName name="IQ_SALE_PPE_CF_FIN">"c1140"</definedName>
    <definedName name="IQ_SALE_PPE_CF_INS">"c1141"</definedName>
    <definedName name="IQ_SALE_PPE_CF_UTI">"c1142"</definedName>
    <definedName name="IQ_SALE_RE_ASSETS">"c1629"</definedName>
    <definedName name="IQ_SALE_REAL_ESTATE_CF">"c1143"</definedName>
    <definedName name="IQ_SALE_REAL_ESTATE_CF_BNK">"c1144"</definedName>
    <definedName name="IQ_SALE_REAL_ESTATE_CF_BR">"c1145"</definedName>
    <definedName name="IQ_SALE_REAL_ESTATE_CF_FIN">"c1146"</definedName>
    <definedName name="IQ_SALE_REAL_ESTATE_CF_INS">"c1147"</definedName>
    <definedName name="IQ_SALE_REAL_ESTATE_CF_UTI">"c1148"</definedName>
    <definedName name="IQ_SALES_MARKETING">"c2240"</definedName>
    <definedName name="IQ_SAME_STORE">"c1149"</definedName>
    <definedName name="IQ_SAME_STORE_FRANCHISE">"c2900"</definedName>
    <definedName name="IQ_SAME_STORE_OWNED">"c2908"</definedName>
    <definedName name="IQ_SAME_STORE_TOTAL">"c2892"</definedName>
    <definedName name="IQ_SAVING_DEP">"c1150"</definedName>
    <definedName name="IQ_SECUR_RECEIV">"c1151"</definedName>
    <definedName name="IQ_SECURED_1_4_FAMILY_RESIDENTIAL_CHARGE_OFFS_FDIC">"c6590"</definedName>
    <definedName name="IQ_SECURED_1_4_FAMILY_RESIDENTIAL_NET_CHARGE_OFFS_FDIC">"c6628"</definedName>
    <definedName name="IQ_SECURED_1_4_FAMILY_RESIDENTIAL_RECOVERIES_FDIC">"c6609"</definedName>
    <definedName name="IQ_SECURED_DEBT">"c2546"</definedName>
    <definedName name="IQ_SECURED_DEBT_PCT">"c2547"</definedName>
    <definedName name="IQ_SECURED_FARMLAND_CHARGE_OFFS_FDIC">"c6593"</definedName>
    <definedName name="IQ_SECURED_FARMLAND_NET_CHARGE_OFFS_FDIC">"c6631"</definedName>
    <definedName name="IQ_SECURED_FARMLAND_RECOVERIES_FDIC">"c6612"</definedName>
    <definedName name="IQ_SECURED_MULTIFAMILY_RESIDENTIAL_CHARGE_OFFS_FDIC">"c6591"</definedName>
    <definedName name="IQ_SECURED_MULTIFAMILY_RESIDENTIAL_NET_CHARGE_OFFS_FDIC">"c6629"</definedName>
    <definedName name="IQ_SECURED_MULTIFAMILY_RESIDENTIAL_RECOVERIES_FDIC">"c6610"</definedName>
    <definedName name="IQ_SECURED_NONFARM_NONRESIDENTIAL_CHARGE_OFFS_FDIC">"c6592"</definedName>
    <definedName name="IQ_SECURED_NONFARM_NONRESIDENTIAL_NET_CHARGE_OFFS_FDIC">"c6630"</definedName>
    <definedName name="IQ_SECURED_NONFARM_NONRESIDENTIAL_RECOVERIES_FDIC">"c6611"</definedName>
    <definedName name="IQ_SECURITIES_GAINS_FDIC">"c6584"</definedName>
    <definedName name="IQ_SECURITIES_ISSUED_STATES_FDIC">"c6300"</definedName>
    <definedName name="IQ_SECURITIES_LENT_FDIC">"c6532"</definedName>
    <definedName name="IQ_SECURITIES_UNDERWRITING_FDIC">"c6529"</definedName>
    <definedName name="IQ_SECURITY_BORROW">"c1152"</definedName>
    <definedName name="IQ_SECURITY_OWN">"c1153"</definedName>
    <definedName name="IQ_SECURITY_RESELL">"c1154"</definedName>
    <definedName name="IQ_SEMI_BACKLOG_UNITS">"c10005"</definedName>
    <definedName name="IQ_SEMI_BOOKINGS_AVG_PRICE">"c10002"</definedName>
    <definedName name="IQ_SEMI_BOOKINGS_UNITS">"c10001"</definedName>
    <definedName name="IQ_SEMI_BOOKINGS_VALUE">"c10003"</definedName>
    <definedName name="IQ_SEMI_BOOKINGS_VALUE_CHANGE">"c10004"</definedName>
    <definedName name="IQ_SEPARATE_ACCT_ASSETS">"c1155"</definedName>
    <definedName name="IQ_SEPARATE_ACCT_LIAB">"c1156"</definedName>
    <definedName name="IQ_SERV_CHARGE_DEPOSITS">"c1157"</definedName>
    <definedName name="IQ_SERVICE_CHARGES_FDIC">"c6572"</definedName>
    <definedName name="IQ_SGA">"c1158"</definedName>
    <definedName name="IQ_SGA_BNK">"c1159"</definedName>
    <definedName name="IQ_SGA_INS">"c1160"</definedName>
    <definedName name="IQ_SGA_MARGIN">"c1898"</definedName>
    <definedName name="IQ_SGA_REIT">"c1161"</definedName>
    <definedName name="IQ_SGA_SUPPL">"c1162"</definedName>
    <definedName name="IQ_SGA_UTI">"c1163"</definedName>
    <definedName name="IQ_SHAREOUTSTANDING">"c1347"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TERM_INVEST">"c1425"</definedName>
    <definedName name="IQ_SMALL_INT_BEAR_CD">"c1166"</definedName>
    <definedName name="IQ_SOFTWARE">"c1167"</definedName>
    <definedName name="IQ_SOURCE">"c1168"</definedName>
    <definedName name="IQ_SP_ISSUE_LC_ACTION">"c2644"</definedName>
    <definedName name="IQ_SP_ISSUE_LC_DATE">"c2643"</definedName>
    <definedName name="IQ_SP_ISSUE_LC_LT">"c2645"</definedName>
    <definedName name="IQ_SPECIAL_DIV_CF">"c1169"</definedName>
    <definedName name="IQ_SPECIAL_DIV_CF_BNK">"c1170"</definedName>
    <definedName name="IQ_SPECIAL_DIV_CF_BR">"c1171"</definedName>
    <definedName name="IQ_SPECIAL_DIV_CF_FIN">"c1172"</definedName>
    <definedName name="IQ_SPECIAL_DIV_CF_INS">"c1173"</definedName>
    <definedName name="IQ_SPECIAL_DIV_CF_REIT">"c1174"</definedName>
    <definedName name="IQ_SPECIAL_DIV_CF_UTI">"c1175"</definedName>
    <definedName name="IQ_SPECIAL_DIV_SHARE">"c3007"</definedName>
    <definedName name="IQ_SR_BONDS_NOTES">"c2501"</definedName>
    <definedName name="IQ_SR_BONDS_NOTES_PCT">"c2502"</definedName>
    <definedName name="IQ_SR_DEBT">"c2526"</definedName>
    <definedName name="IQ_SR_DEBT_EBITDA">"c2552"</definedName>
    <definedName name="IQ_SR_DEBT_EBITDA_CAPEX">"c2553"</definedName>
    <definedName name="IQ_SR_DEBT_PCT">"c2527"</definedName>
    <definedName name="IQ_SR_SUB_DEBT">"c2530"</definedName>
    <definedName name="IQ_SR_SUB_DEBT_EBITDA">"c2556"</definedName>
    <definedName name="IQ_SR_SUB_DEBT_EBITDA_CAPEX">"c2557"</definedName>
    <definedName name="IQ_SR_SUB_DEBT_PCT">"c2531"</definedName>
    <definedName name="IQ_ST_DEBT">"c1176"</definedName>
    <definedName name="IQ_ST_DEBT_BNK">"c1177"</definedName>
    <definedName name="IQ_ST_DEBT_BR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>"c1183"</definedName>
    <definedName name="IQ_ST_DEBT_ISSUED_FIN">"c1184"</definedName>
    <definedName name="IQ_ST_DEBT_ISSUED_INS">"c1185"</definedName>
    <definedName name="IQ_ST_DEBT_ISSUED_REIT">"c1186"</definedName>
    <definedName name="IQ_ST_DEBT_ISSUED_UTI">"c1187"</definedName>
    <definedName name="IQ_ST_DEBT_PCT">"c2539"</definedName>
    <definedName name="IQ_ST_DEBT_REIT">"c1188"</definedName>
    <definedName name="IQ_ST_DEBT_REPAID">"c1189"</definedName>
    <definedName name="IQ_ST_DEBT_REPAID_BNK">"c1190"</definedName>
    <definedName name="IQ_ST_DEBT_REPAID_BR">"c1191"</definedName>
    <definedName name="IQ_ST_DEBT_REPAID_FIN">"c1192"</definedName>
    <definedName name="IQ_ST_DEBT_REPAID_INS">"c1193"</definedName>
    <definedName name="IQ_ST_DEBT_REPAID_REIT">"c1194"</definedName>
    <definedName name="IQ_ST_DEBT_REPAID_UTI">"c1195"</definedName>
    <definedName name="IQ_ST_DEBT_UTI">"c1196"</definedName>
    <definedName name="IQ_ST_INVEST">"c1197"</definedName>
    <definedName name="IQ_ST_INVEST_UTI">"c1198"</definedName>
    <definedName name="IQ_ST_NOTE_RECEIV">"c1199"</definedName>
    <definedName name="IQ_STATE">"c1200"</definedName>
    <definedName name="IQ_STATES_NONTRANSACTION_ACCOUNTS_FDIC">"c6547"</definedName>
    <definedName name="IQ_STATES_TOTAL_DEPOSITS_FDIC">"c6473"</definedName>
    <definedName name="IQ_STATES_TRANSACTION_ACCOUNTS_FDIC">"c6539"</definedName>
    <definedName name="IQ_STATUTORY_SURPLUS">"c1201"</definedName>
    <definedName name="IQ_STOCK_BASED">"c1202"</definedName>
    <definedName name="IQ_STOCK_BASED_AT">"c2999"</definedName>
    <definedName name="IQ_STOCK_BASED_CF">"c1203"</definedName>
    <definedName name="IQ_STOCK_BASED_COGS">"c2990"</definedName>
    <definedName name="IQ_STOCK_BASED_COGS_FIN">"c2998"</definedName>
    <definedName name="IQ_STOCK_BASED_COGS_UTIL">"c2997"</definedName>
    <definedName name="IQ_STOCK_BASED_GA">"c2993"</definedName>
    <definedName name="IQ_STOCK_BASED_OTHER">"c2995"</definedName>
    <definedName name="IQ_STOCK_BASED_RD">"c2991"</definedName>
    <definedName name="IQ_STOCK_BASED_SGA">"c2994"</definedName>
    <definedName name="IQ_STOCK_BASED_SM">"c2992"</definedName>
    <definedName name="IQ_STOCK_BASED_TOTAL">"c3040"</definedName>
    <definedName name="IQ_STRIKE_PRICE_ISSUED">"c1645"</definedName>
    <definedName name="IQ_STRIKE_PRICE_OS">"c1646"</definedName>
    <definedName name="IQ_SUB_BONDS_NOTES">"c2503"</definedName>
    <definedName name="IQ_SUB_BONDS_NOTES_PCT">"c2504"</definedName>
    <definedName name="IQ_SUB_DEBT">"c2532"</definedName>
    <definedName name="IQ_SUB_DEBT_EBITDA">"c2558"</definedName>
    <definedName name="IQ_SUB_DEBT_EBITDA_CAPEX">"c2559"</definedName>
    <definedName name="IQ_SUB_DEBT_FDIC">"c6346"</definedName>
    <definedName name="IQ_SUB_DEBT_PCT">"c2533"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URPLUS_FDIC">"c6351"</definedName>
    <definedName name="IQ_SVA">"c1214"</definedName>
    <definedName name="IQ_TARGET_PRICE_LASTCLOSE">"c1855"</definedName>
    <definedName name="IQ_TARGET_PRICE_NUM">"c1653"</definedName>
    <definedName name="IQ_TARGET_PRICE_NUM_REUT">"c5319"</definedName>
    <definedName name="IQ_TARGET_PRICE_STDDEV">"c1654"</definedName>
    <definedName name="IQ_TARGET_PRICE_STDDEV_REUT">"c5320"</definedName>
    <definedName name="IQ_TAX_BENEFIT_OPTIONS">"c1215"</definedName>
    <definedName name="IQ_TAX_EQUIV_NET_INT_INC">"c1216"</definedName>
    <definedName name="IQ_TBV">"c1906"</definedName>
    <definedName name="IQ_TBV_10YR_ANN_GROWTH">"c1936"</definedName>
    <definedName name="IQ_TBV_1YR_ANN_GROWTH">"c1931"</definedName>
    <definedName name="IQ_TBV_2YR_ANN_GROWTH">"c1932"</definedName>
    <definedName name="IQ_TBV_3YR_ANN_GROWTH">"c1933"</definedName>
    <definedName name="IQ_TBV_5YR_ANN_GROWTH">"c1934"</definedName>
    <definedName name="IQ_TBV_7YR_ANN_GROWTH">"c1935"</definedName>
    <definedName name="IQ_TBV_SHARE">"c1217"</definedName>
    <definedName name="IQ_TEMPLATE">"c1521"</definedName>
    <definedName name="IQ_TENANT">"c1218"</definedName>
    <definedName name="IQ_TERM_LOANS">"c2499"</definedName>
    <definedName name="IQ_TERM_LOANS_PCT">"c2500"</definedName>
    <definedName name="IQ_TEV">"c1219"</definedName>
    <definedName name="IQ_TEV_EBIT">"c1220"</definedName>
    <definedName name="IQ_TEV_EBIT_AVG">"c1221"</definedName>
    <definedName name="IQ_TEV_EBIT_FWD">"c2238"</definedName>
    <definedName name="IQ_TEV_EBIT_FWD_REUT">"c4054"</definedName>
    <definedName name="IQ_TEV_EBITDA">"c1222"</definedName>
    <definedName name="IQ_TEV_EBITDA_AVG">"c1223"</definedName>
    <definedName name="IQ_TEV_EBITDA_FWD">"c1224"</definedName>
    <definedName name="IQ_TEV_EBITDA_FWD_REUT">"c4050"</definedName>
    <definedName name="IQ_TEV_EMPLOYEE_AVG">"c1225"</definedName>
    <definedName name="IQ_TEV_TOTAL_REV">"c1226"</definedName>
    <definedName name="IQ_TEV_TOTAL_REV_AVG">"c1227"</definedName>
    <definedName name="IQ_TEV_TOTAL_REV_FWD">"c1228"</definedName>
    <definedName name="IQ_TEV_TOTAL_REV_FWD_REUT">"c4051"</definedName>
    <definedName name="IQ_TEV_UFCF">"c2208"</definedName>
    <definedName name="IQ_THREE_MONTHS_FIXED_AND_FLOATING_FDIC">"c6419"</definedName>
    <definedName name="IQ_THREE_MONTHS_MORTGAGE_PASS_THROUGHS_FDIC">"c6411"</definedName>
    <definedName name="IQ_THREE_YEAR_FIXED_AND_FLOATING_RATE_FDIC">"c6421"</definedName>
    <definedName name="IQ_THREE_YEAR_MORTGAGE_PASS_THROUGHS_FDIC">"c6413"</definedName>
    <definedName name="IQ_THREE_YEARS_LESS_FDIC">"c6417"</definedName>
    <definedName name="IQ_TIER_1_RISK_BASED_CAPITAL_RATIO_FDIC">"c6746"</definedName>
    <definedName name="IQ_TIER_ONE_CAPITAL">"c2667"</definedName>
    <definedName name="IQ_TIER_ONE_FDIC">"c6369"</definedName>
    <definedName name="IQ_TIER_ONE_RATIO">"c1229"</definedName>
    <definedName name="IQ_TIER_TWO_CAPITAL">"c2669"</definedName>
    <definedName name="IQ_TIME_DEP">"c1230"</definedName>
    <definedName name="IQ_TIME_DEPOSITS_LESS_THAN_100K_FDIC">"c6465"</definedName>
    <definedName name="IQ_TIME_DEPOSITS_MORE_THAN_100K_FDIC">"c6470"</definedName>
    <definedName name="IQ_TODAY">0</definedName>
    <definedName name="IQ_TOT_ADJ_INC">"c1616"</definedName>
    <definedName name="IQ_TOTAL_AR_BR">"c1231"</definedName>
    <definedName name="IQ_TOTAL_AR_REIT">"c1232"</definedName>
    <definedName name="IQ_TOTAL_AR_UTI">"c1233"</definedName>
    <definedName name="IQ_TOTAL_ASSETS">"c1234"</definedName>
    <definedName name="IQ_TOTAL_ASSETS_10YR_ANN_GROWTH">"c1235"</definedName>
    <definedName name="IQ_TOTAL_ASSETS_1YR_ANN_GROWTH">"c1236"</definedName>
    <definedName name="IQ_TOTAL_ASSETS_2YR_ANN_GROWTH">"c1237"</definedName>
    <definedName name="IQ_TOTAL_ASSETS_3YR_ANN_GROWTH">"c1238"</definedName>
    <definedName name="IQ_TOTAL_ASSETS_5YR_ANN_GROWTH">"c1239"</definedName>
    <definedName name="IQ_TOTAL_ASSETS_7YR_ANN_GROWTH">"c1240"</definedName>
    <definedName name="IQ_TOTAL_ASSETS_FDIC">"c6339"</definedName>
    <definedName name="IQ_TOTAL_AVG_CE_TOTAL_AVG_ASSETS">"c1241"</definedName>
    <definedName name="IQ_TOTAL_AVG_EQUITY_TOTAL_AVG_ASSETS">"c1242"</definedName>
    <definedName name="IQ_TOTAL_BANK_CAPITAL">"c2668"</definedName>
    <definedName name="IQ_TOTAL_CA">"c1243"</definedName>
    <definedName name="IQ_TOTAL_CAP">"c1507"</definedName>
    <definedName name="IQ_TOTAL_CAPITAL_RATIO">"c1244"</definedName>
    <definedName name="IQ_TOTAL_CASH_DIVID">"c1455"</definedName>
    <definedName name="IQ_TOTAL_CASH_FINAN">"c1352"</definedName>
    <definedName name="IQ_TOTAL_CASH_INVEST">"c1353"</definedName>
    <definedName name="IQ_TOTAL_CASH_OPER">"c1354"</definedName>
    <definedName name="IQ_TOTAL_CHARGE_OFFS_FDIC">"c6603"</definedName>
    <definedName name="IQ_TOTAL_CHURN">"c2122"</definedName>
    <definedName name="IQ_TOTAL_CL">"c1245"</definedName>
    <definedName name="IQ_TOTAL_COMMON">"c1411"</definedName>
    <definedName name="IQ_TOTAL_COMMON_EQUITY">"c1246"</definedName>
    <definedName name="IQ_TOTAL_CURRENT_ASSETS">"c1430"</definedName>
    <definedName name="IQ_TOTAL_CURRENT_LIAB">"c1431"</definedName>
    <definedName name="IQ_TOTAL_DEBT">"c1247"</definedName>
    <definedName name="IQ_TOTAL_DEBT_CAPITAL">"c1248"</definedName>
    <definedName name="IQ_TOTAL_DEBT_DUE">"c2509"</definedName>
    <definedName name="IQ_TOTAL_DEBT_EBITDA">"c1249"</definedName>
    <definedName name="IQ_TOTAL_DEBT_EBITDA_CAPEX">"c2948"</definedName>
    <definedName name="IQ_TOTAL_DEBT_EQUITY">"c1250"</definedName>
    <definedName name="IQ_TOTAL_DEBT_EXCL_FIN">"c2937"</definedName>
    <definedName name="IQ_TOTAL_DEBT_ISSUED">"c1251"</definedName>
    <definedName name="IQ_TOTAL_DEBT_ISSUED_BNK">"c1252"</definedName>
    <definedName name="IQ_TOTAL_DEBT_ISSUED_BR">"c1253"</definedName>
    <definedName name="IQ_TOTAL_DEBT_ISSUED_FIN">"c1254"</definedName>
    <definedName name="IQ_TOTAL_DEBT_ISSUED_REIT">"c1255"</definedName>
    <definedName name="IQ_TOTAL_DEBT_ISSUED_UTI">"c1256"</definedName>
    <definedName name="IQ_TOTAL_DEBT_ISSUES_INS">"c1257"</definedName>
    <definedName name="IQ_TOTAL_DEBT_OVER_EBITDA">"c1433"</definedName>
    <definedName name="IQ_TOTAL_DEBT_OVER_TOTAL_BV">"c1434"</definedName>
    <definedName name="IQ_TOTAL_DEBT_OVER_TOTAL_CAP">"c1432"</definedName>
    <definedName name="IQ_TOTAL_DEBT_REPAID">"c1258"</definedName>
    <definedName name="IQ_TOTAL_DEBT_REPAID_BNK">"c1259"</definedName>
    <definedName name="IQ_TOTAL_DEBT_REPAID_BR">"c1260"</definedName>
    <definedName name="IQ_TOTAL_DEBT_REPAID_FIN">"c1261"</definedName>
    <definedName name="IQ_TOTAL_DEBT_REPAID_INS">"c1262"</definedName>
    <definedName name="IQ_TOTAL_DEBT_REPAID_REIT">"c1263"</definedName>
    <definedName name="IQ_TOTAL_DEBT_REPAID_UTI">"c1264"</definedName>
    <definedName name="IQ_TOTAL_DEBT_SECURITIES_FDIC">"c6410"</definedName>
    <definedName name="IQ_TOTAL_DEPOSITS">"c1265"</definedName>
    <definedName name="IQ_TOTAL_DEPOSITS_FDIC">"c6342"</definedName>
    <definedName name="IQ_TOTAL_DIV_PAID_CF">"c1266"</definedName>
    <definedName name="IQ_TOTAL_EMPLOYEE">"c2141"</definedName>
    <definedName name="IQ_TOTAL_EMPLOYEES">"c1522"</definedName>
    <definedName name="IQ_TOTAL_EMPLOYEES_FDIC">"c6355"</definedName>
    <definedName name="IQ_TOTAL_EQUITY">"c1267"</definedName>
    <definedName name="IQ_TOTAL_EQUITY_10YR_ANN_GROWTH">"c1268"</definedName>
    <definedName name="IQ_TOTAL_EQUITY_1YR_ANN_GROWTH">"c1269"</definedName>
    <definedName name="IQ_TOTAL_EQUITY_2YR_ANN_GROWTH">"c1270"</definedName>
    <definedName name="IQ_TOTAL_EQUITY_3YR_ANN_GROWTH">"c1271"</definedName>
    <definedName name="IQ_TOTAL_EQUITY_5YR_ANN_GROWTH">"c1272"</definedName>
    <definedName name="IQ_TOTAL_EQUITY_7YR_ANN_GROWTH">"c1273"</definedName>
    <definedName name="IQ_TOTAL_EQUITY_ALLOWANCE_TOTAL_LOANS">"c1274"</definedName>
    <definedName name="IQ_TOTAL_INTEREST_EXP">"c1382"</definedName>
    <definedName name="IQ_TOTAL_INVENTORY">"c1385"</definedName>
    <definedName name="IQ_TOTAL_INVEST">"c1275"</definedName>
    <definedName name="IQ_TOTAL_LIAB">"c1276"</definedName>
    <definedName name="IQ_TOTAL_LIAB_BNK">"c1277"</definedName>
    <definedName name="IQ_TOTAL_LIAB_BR">"c1278"</definedName>
    <definedName name="IQ_TOTAL_LIAB_EQUITY">"c1279"</definedName>
    <definedName name="IQ_TOTAL_LIAB_EQUITY_FDIC">"c6354"</definedName>
    <definedName name="IQ_TOTAL_LIAB_FIN">"c1280"</definedName>
    <definedName name="IQ_TOTAL_LIAB_INS">"c1281"</definedName>
    <definedName name="IQ_TOTAL_LIAB_REIT">"c1282"</definedName>
    <definedName name="IQ_TOTAL_LIAB_SHAREHOLD">"c1435"</definedName>
    <definedName name="IQ_TOTAL_LIAB_TOTAL_ASSETS">"c1283"</definedName>
    <definedName name="IQ_TOTAL_LIABILITIES_FDIC">"c6348"</definedName>
    <definedName name="IQ_TOTAL_LONG_DEBT">"c1617"</definedName>
    <definedName name="IQ_TOTAL_NON_REC">"c1444"</definedName>
    <definedName name="IQ_TOTAL_OPER_EXP_BR">"c1284"</definedName>
    <definedName name="IQ_TOTAL_OPER_EXP_FIN">"c1285"</definedName>
    <definedName name="IQ_TOTAL_OPER_EXP_INS">"c1286"</definedName>
    <definedName name="IQ_TOTAL_OPER_EXP_REIT">"c1287"</definedName>
    <definedName name="IQ_TOTAL_OPER_EXP_UTI">"c1288"</definedName>
    <definedName name="IQ_TOTAL_OPER_EXPEN">"c1445"</definedName>
    <definedName name="IQ_TOTAL_OPTIONS_BEG_OS">"c2693"</definedName>
    <definedName name="IQ_TOTAL_OPTIONS_CANCELLED">"c2696"</definedName>
    <definedName name="IQ_TOTAL_OPTIONS_END_OS">"c2697"</definedName>
    <definedName name="IQ_TOTAL_OPTIONS_EXERCISED">"c2695"</definedName>
    <definedName name="IQ_TOTAL_OPTIONS_GRANTED">"c2694"</definedName>
    <definedName name="IQ_TOTAL_OTHER_OPER">"c1289"</definedName>
    <definedName name="IQ_TOTAL_OUTSTANDING_BS_DATE">"c1022"</definedName>
    <definedName name="IQ_TOTAL_OUTSTANDING_FILING_DATE">"c2107"</definedName>
    <definedName name="IQ_TOTAL_PENSION_ASSETS">"c1290"</definedName>
    <definedName name="IQ_TOTAL_PENSION_ASSETS_DOMESTIC">"c2658"</definedName>
    <definedName name="IQ_TOTAL_PENSION_ASSETS_FOREIGN">"c2666"</definedName>
    <definedName name="IQ_TOTAL_PENSION_EXP">"c1291"</definedName>
    <definedName name="IQ_TOTAL_PENSION_OBLIGATION">"c1292"</definedName>
    <definedName name="IQ_TOTAL_PRINCIPAL">"c2509"</definedName>
    <definedName name="IQ_TOTAL_PRINCIPAL_PCT">"c2510"</definedName>
    <definedName name="IQ_TOTAL_PROVED_RESERVES_NGL">"c2924"</definedName>
    <definedName name="IQ_TOTAL_PROVED_RESERVES_OIL">"c2040"</definedName>
    <definedName name="IQ_TOTAL_RECEIV">"c1293"</definedName>
    <definedName name="IQ_TOTAL_RECOVERIES_FDIC">"c6622"</definedName>
    <definedName name="IQ_TOTAL_REV">"c1294"</definedName>
    <definedName name="IQ_TOTAL_REV_10YR_ANN_GROWTH">"c1295"</definedName>
    <definedName name="IQ_TOTAL_REV_1YR_ANN_GROWTH">"c1296"</definedName>
    <definedName name="IQ_TOTAL_REV_2YR_ANN_GROWTH">"c1297"</definedName>
    <definedName name="IQ_TOTAL_REV_3YR_ANN_GROWTH">"c1298"</definedName>
    <definedName name="IQ_TOTAL_REV_5YR_ANN_GROWTH">"c1299"</definedName>
    <definedName name="IQ_TOTAL_REV_7YR_ANN_GROWTH">"c1300"</definedName>
    <definedName name="IQ_TOTAL_REV_AS_REPORTED">"c1301"</definedName>
    <definedName name="IQ_TOTAL_REV_BNK">"c1302"</definedName>
    <definedName name="IQ_TOTAL_REV_BNK_FDIC">"c6786"</definedName>
    <definedName name="IQ_TOTAL_REV_BR">"c1303"</definedName>
    <definedName name="IQ_TOTAL_REV_EMPLOYEE">"c1304"</definedName>
    <definedName name="IQ_TOTAL_REV_FIN">"c1305"</definedName>
    <definedName name="IQ_TOTAL_REV_INS">"c1306"</definedName>
    <definedName name="IQ_TOTAL_REV_REIT">"c1307"</definedName>
    <definedName name="IQ_TOTAL_REV_SHARE">"c1912"</definedName>
    <definedName name="IQ_TOTAL_REV_UTI">"c1308"</definedName>
    <definedName name="IQ_TOTAL_REVENUE">"c1436"</definedName>
    <definedName name="IQ_TOTAL_RISK_BASED_CAPITAL_RATIO_FDIC">"c6747"</definedName>
    <definedName name="IQ_TOTAL_SECURITIES_FDIC">"c6306"</definedName>
    <definedName name="IQ_TOTAL_SPECIAL">"c1618"</definedName>
    <definedName name="IQ_TOTAL_ST_BORROW">"c1424"</definedName>
    <definedName name="IQ_TOTAL_SUB_DEBT">"c2528"</definedName>
    <definedName name="IQ_TOTAL_SUB_DEBT_EBITDA">"c2554"</definedName>
    <definedName name="IQ_TOTAL_SUB_DEBT_EBITDA_CAPEX">"c2555"</definedName>
    <definedName name="IQ_TOTAL_SUB_DEBT_PCT">"c2529"</definedName>
    <definedName name="IQ_TOTAL_SUBS">"c2119"</definedName>
    <definedName name="IQ_TOTAL_TIME_DEPOSITS_FDIC">"c6497"</definedName>
    <definedName name="IQ_TOTAL_TIME_SAVINGS_DEPOSITS_FDIC">"c6498"</definedName>
    <definedName name="IQ_TOTAL_UNUSED_COMMITMENTS_FDIC">"c6536"</definedName>
    <definedName name="IQ_TOTAL_UNUSUAL">"c1508"</definedName>
    <definedName name="IQ_TOTAL_UNUSUAL_BR">"c5517"</definedName>
    <definedName name="IQ_TOTAL_WARRANTS_BEG_OS">"c2719"</definedName>
    <definedName name="IQ_TOTAL_WARRANTS_CANCELLED">"c2722"</definedName>
    <definedName name="IQ_TOTAL_WARRANTS_END_OS">"c2723"</definedName>
    <definedName name="IQ_TOTAL_WARRANTS_EXERCISED">"c2721"</definedName>
    <definedName name="IQ_TOTAL_WARRANTS_ISSUED">"c2720"</definedName>
    <definedName name="IQ_TR_ACCT_METHOD">"c2363"</definedName>
    <definedName name="IQ_TR_ACQ_52_WK_HI_PCT">"c2348"</definedName>
    <definedName name="IQ_TR_ACQ_52_WK_LOW_PCT">"c2347"</definedName>
    <definedName name="IQ_TR_ACQ_CASH_ST_INVEST">"c2372"</definedName>
    <definedName name="IQ_TR_ACQ_CLOSEPRICE_1D">"c3027"</definedName>
    <definedName name="IQ_TR_ACQ_DILUT_EPS_EXCL">"c3028"</definedName>
    <definedName name="IQ_TR_ACQ_EARNING_CO">"c2379"</definedName>
    <definedName name="IQ_TR_ACQ_EBIT">"c2380"</definedName>
    <definedName name="IQ_TR_ACQ_EBITDA">"c2381"</definedName>
    <definedName name="IQ_TR_ACQ_FILING_CURRENCY">"c3033"</definedName>
    <definedName name="IQ_TR_ACQ_MCAP_1DAY">"c2345"</definedName>
    <definedName name="IQ_TR_ACQ_MIN_INT">"c2374"</definedName>
    <definedName name="IQ_TR_ACQ_NET_DEBT">"c2373"</definedName>
    <definedName name="IQ_TR_ACQ_NI">"c2378"</definedName>
    <definedName name="IQ_TR_ACQ_PRICEDATE_1D">"c2346"</definedName>
    <definedName name="IQ_TR_ACQ_RETURN">"c2349"</definedName>
    <definedName name="IQ_TR_ACQ_STOCKYEARHIGH_1D">"c2343"</definedName>
    <definedName name="IQ_TR_ACQ_STOCKYEARLOW_1D">"c2344"</definedName>
    <definedName name="IQ_TR_ACQ_TOTAL_ASSETS">"c2371"</definedName>
    <definedName name="IQ_TR_ACQ_TOTAL_COMMON_EQ">"c2377"</definedName>
    <definedName name="IQ_TR_ACQ_TOTAL_DEBT">"c2376"</definedName>
    <definedName name="IQ_TR_ACQ_TOTAL_PREF">"c2375"</definedName>
    <definedName name="IQ_TR_ACQ_TOTAL_REV">"c2382"</definedName>
    <definedName name="IQ_TR_ADJ_SIZE">"c3024"</definedName>
    <definedName name="IQ_TR_ANN_DATE">"c2395"</definedName>
    <definedName name="IQ_TR_ANN_DATE_BL">"c2394"</definedName>
    <definedName name="IQ_TR_BID_DATE">"c2357"</definedName>
    <definedName name="IQ_TR_BLUESKY_FEES">"c2277"</definedName>
    <definedName name="IQ_TR_BUY_ACC_ADVISORS">"c3048"</definedName>
    <definedName name="IQ_TR_BUY_ADVISORS">"c2387"</definedName>
    <definedName name="IQ_TR_BUY_FIN_ADVISORS">"c3045"</definedName>
    <definedName name="IQ_TR_BUY_LEG_ADVISORS">"c2387"</definedName>
    <definedName name="IQ_TR_BUYER_ID">"c2404"</definedName>
    <definedName name="IQ_TR_BUYERNAME">"c2401"</definedName>
    <definedName name="IQ_TR_CANCELLED_DATE">"c2284"</definedName>
    <definedName name="IQ_TR_CASH_CONSID_PCT">"c2296"</definedName>
    <definedName name="IQ_TR_CASH_ST_INVEST">"c3025"</definedName>
    <definedName name="IQ_TR_CHANGE_CONTROL">"c2365"</definedName>
    <definedName name="IQ_TR_CLOSED_DATE">"c2283"</definedName>
    <definedName name="IQ_TR_CO_NET_PROCEEDS">"c2268"</definedName>
    <definedName name="IQ_TR_CO_NET_PROCEEDS_PCT">"c2270"</definedName>
    <definedName name="IQ_TR_COMMENTS">"c2383"</definedName>
    <definedName name="IQ_TR_CURRENCY">"c3016"</definedName>
    <definedName name="IQ_TR_DEAL_ATTITUDE">"c2364"</definedName>
    <definedName name="IQ_TR_DEAL_CONDITIONS">"c2367"</definedName>
    <definedName name="IQ_TR_DEAL_RESOLUTION">"c2391"</definedName>
    <definedName name="IQ_TR_DEAL_RESPONSES">"c2366"</definedName>
    <definedName name="IQ_TR_DEBT_CONSID_PCT">"c2299"</definedName>
    <definedName name="IQ_TR_DEF_AGRMT_DATE">"c2285"</definedName>
    <definedName name="IQ_TR_DISCLOSED_FEES_EXP">"c2288"</definedName>
    <definedName name="IQ_TR_EARNOUTS">"c3023"</definedName>
    <definedName name="IQ_TR_EXPIRED_DATE">"c2412"</definedName>
    <definedName name="IQ_TR_GROSS_OFFERING_AMT">"c2262"</definedName>
    <definedName name="IQ_TR_HYBRID_CONSID_PCT">"c2300"</definedName>
    <definedName name="IQ_TR_IMPLIED_EQ">"c3018"</definedName>
    <definedName name="IQ_TR_IMPLIED_EQ_BV">"c3019"</definedName>
    <definedName name="IQ_TR_IMPLIED_EQ_NI_LTM">"c3020"</definedName>
    <definedName name="IQ_TR_IMPLIED_EV">"c2301"</definedName>
    <definedName name="IQ_TR_IMPLIED_EV_BV">"c2306"</definedName>
    <definedName name="IQ_TR_IMPLIED_EV_EBIT">"c2302"</definedName>
    <definedName name="IQ_TR_IMPLIED_EV_EBITDA">"c2303"</definedName>
    <definedName name="IQ_TR_IMPLIED_EV_NI_LTM">"c2307"</definedName>
    <definedName name="IQ_TR_IMPLIED_EV_REV">"c2304"</definedName>
    <definedName name="IQ_TR_LOI_DATE">"c2282"</definedName>
    <definedName name="IQ_TR_MAJ_MIN_STAKE">"c2389"</definedName>
    <definedName name="IQ_TR_NEGOTIATED_BUYBACK_PRICE">"c2414"</definedName>
    <definedName name="IQ_TR_NET_ASSUM_LIABILITIES">"c2308"</definedName>
    <definedName name="IQ_TR_NET_PROCEEDS">"c2267"</definedName>
    <definedName name="IQ_TR_OFFER_DATE">"c2265"</definedName>
    <definedName name="IQ_TR_OFFER_DATE_MA">"c3035"</definedName>
    <definedName name="IQ_TR_OFFER_PER_SHARE">"c3017"</definedName>
    <definedName name="IQ_TR_OPTIONS_CONSID_PCT">"c2311"</definedName>
    <definedName name="IQ_TR_OTHER_CONSID">"c3022"</definedName>
    <definedName name="IQ_TR_PCT_SOUGHT">"c2309"</definedName>
    <definedName name="IQ_TR_PFEATURES">"c2384"</definedName>
    <definedName name="IQ_TR_PIPE_CONV_PRICE_SHARE">"c2292"</definedName>
    <definedName name="IQ_TR_PIPE_CPN_PCT">"c2291"</definedName>
    <definedName name="IQ_TR_PIPE_NUMBER_SHARES">"c2293"</definedName>
    <definedName name="IQ_TR_PIPE_PPS">"c2290"</definedName>
    <definedName name="IQ_TR_POSTMONEY_VAL">"c2286"</definedName>
    <definedName name="IQ_TR_PREDEAL_SITUATION">"c2390"</definedName>
    <definedName name="IQ_TR_PREF_CONSID_PCT">"c2310"</definedName>
    <definedName name="IQ_TR_PREMONEY_VAL">"c2287"</definedName>
    <definedName name="IQ_TR_PRINTING_FEES">"c2276"</definedName>
    <definedName name="IQ_TR_PT_MONETARY_VALUES">"c2415"</definedName>
    <definedName name="IQ_TR_PT_NUMBER_SHARES">"c2417"</definedName>
    <definedName name="IQ_TR_PT_PCT_SHARES">"c2416"</definedName>
    <definedName name="IQ_TR_RATING_FEES">"c2275"</definedName>
    <definedName name="IQ_TR_REG_EFFECT_DATE">"c2264"</definedName>
    <definedName name="IQ_TR_REG_FILED_DATE">"c2263"</definedName>
    <definedName name="IQ_TR_RENEWAL_BUYBACK">"c2413"</definedName>
    <definedName name="IQ_TR_ROUND_NUMBER">"c2295"</definedName>
    <definedName name="IQ_TR_SEC_FEES">"c2274"</definedName>
    <definedName name="IQ_TR_SECURITY_TYPE_REG">"c2279"</definedName>
    <definedName name="IQ_TR_SELL_ACC_ADVISORS">"c3049"</definedName>
    <definedName name="IQ_TR_SELL_ADVISORS">"c2388"</definedName>
    <definedName name="IQ_TR_SELL_FIN_ADVISORS">"c3046"</definedName>
    <definedName name="IQ_TR_SELL_LEG_ADVISORS">"c2388"</definedName>
    <definedName name="IQ_TR_SELLER_ID">"c2406"</definedName>
    <definedName name="IQ_TR_SELLERNAME">"c2402"</definedName>
    <definedName name="IQ_TR_SFEATURES">"c2385"</definedName>
    <definedName name="IQ_TR_SH_NET_PROCEEDS">"c2269"</definedName>
    <definedName name="IQ_TR_SH_NET_PROCEEDS_PCT">"c2271"</definedName>
    <definedName name="IQ_TR_SPECIAL_COMMITTEE">"c2362"</definedName>
    <definedName name="IQ_TR_STATUS">"c2399"</definedName>
    <definedName name="IQ_TR_STOCK_CONSID_PCT">"c2312"</definedName>
    <definedName name="IQ_TR_SUBDEBT">"c2370"</definedName>
    <definedName name="IQ_TR_SUSPENDED_DATE">"c2407"</definedName>
    <definedName name="IQ_TR_TARGET_52WKHI_PCT">"c2351"</definedName>
    <definedName name="IQ_TR_TARGET_52WKLOW_PCT">"c2350"</definedName>
    <definedName name="IQ_TR_TARGET_ACC_ADVISORS">"c3047"</definedName>
    <definedName name="IQ_TR_TARGET_ADVISORS">"c2386"</definedName>
    <definedName name="IQ_TR_TARGET_CASH_ST_INVEST">"c2327"</definedName>
    <definedName name="IQ_TR_TARGET_CLOSEPRICE_1D">"c2352"</definedName>
    <definedName name="IQ_TR_TARGET_CLOSEPRICE_1M">"c2354"</definedName>
    <definedName name="IQ_TR_TARGET_CLOSEPRICE_1W">"c2353"</definedName>
    <definedName name="IQ_TR_TARGET_DILUT_EPS_EXCL">"c2324"</definedName>
    <definedName name="IQ_TR_TARGET_EARNING_CO">"c2332"</definedName>
    <definedName name="IQ_TR_TARGET_EBIT">"c2333"</definedName>
    <definedName name="IQ_TR_TARGET_EBITDA">"c2334"</definedName>
    <definedName name="IQ_TR_TARGET_FILING_CURRENCY">"c3034"</definedName>
    <definedName name="IQ_TR_TARGET_FIN_ADVISORS">"c3044"</definedName>
    <definedName name="IQ_TR_TARGET_ID">"c2405"</definedName>
    <definedName name="IQ_TR_TARGET_LEG_ADVISORS">"c2386"</definedName>
    <definedName name="IQ_TR_TARGET_MARKETCAP">"c2342"</definedName>
    <definedName name="IQ_TR_TARGET_MIN_INT">"c2328"</definedName>
    <definedName name="IQ_TR_TARGET_NET_DEBT">"c2326"</definedName>
    <definedName name="IQ_TR_TARGET_NI">"c2331"</definedName>
    <definedName name="IQ_TR_TARGET_PRICEDATE_1D">"c2341"</definedName>
    <definedName name="IQ_TR_TARGET_RETURN">"c2355"</definedName>
    <definedName name="IQ_TR_TARGET_SEC_DETAIL">"c3021"</definedName>
    <definedName name="IQ_TR_TARGET_SEC_TI_ID">"c2368"</definedName>
    <definedName name="IQ_TR_TARGET_SEC_TYPE">"c2369"</definedName>
    <definedName name="IQ_TR_TARGET_SPD">"c2313"</definedName>
    <definedName name="IQ_TR_TARGET_SPD_PCT">"c2314"</definedName>
    <definedName name="IQ_TR_TARGET_STOCKPREMIUM_1D">"c2336"</definedName>
    <definedName name="IQ_TR_TARGET_STOCKPREMIUM_1M">"c2337"</definedName>
    <definedName name="IQ_TR_TARGET_STOCKPREMIUM_1W">"c2338"</definedName>
    <definedName name="IQ_TR_TARGET_STOCKYEARHIGH_1D">"c2339"</definedName>
    <definedName name="IQ_TR_TARGET_STOCKYEARLOW_1D">"c2340"</definedName>
    <definedName name="IQ_TR_TARGET_TOTAL_ASSETS">"c2325"</definedName>
    <definedName name="IQ_TR_TARGET_TOTAL_COMMON_EQ">"c2421"</definedName>
    <definedName name="IQ_TR_TARGET_TOTAL_DEBT">"c2330"</definedName>
    <definedName name="IQ_TR_TARGET_TOTAL_PREF">"c2329"</definedName>
    <definedName name="IQ_TR_TARGET_TOTAL_REV">"c2335"</definedName>
    <definedName name="IQ_TR_TARGETNAME">"c2403"</definedName>
    <definedName name="IQ_TR_TERM_FEE">"c2298"</definedName>
    <definedName name="IQ_TR_TERM_FEE_PCT">"c2297"</definedName>
    <definedName name="IQ_TR_TODATE">"c3036"</definedName>
    <definedName name="IQ_TR_TODATE_MONETARY_VALUE">"c2418"</definedName>
    <definedName name="IQ_TR_TODATE_NUMBER_SHARES">"c2420"</definedName>
    <definedName name="IQ_TR_TODATE_PCT_SHARES">"c2419"</definedName>
    <definedName name="IQ_TR_TOTAL_ACCT_FEES">"c2273"</definedName>
    <definedName name="IQ_TR_TOTAL_CASH">"c2315"</definedName>
    <definedName name="IQ_TR_TOTAL_CONSID_SH">"c2316"</definedName>
    <definedName name="IQ_TR_TOTAL_DEBT">"c2317"</definedName>
    <definedName name="IQ_TR_TOTAL_GROSS_TV">"c2318"</definedName>
    <definedName name="IQ_TR_TOTAL_HYBRID">"c2319"</definedName>
    <definedName name="IQ_TR_TOTAL_LEGAL_FEES">"c2272"</definedName>
    <definedName name="IQ_TR_TOTAL_NET_TV">"c2320"</definedName>
    <definedName name="IQ_TR_TOTAL_NEWMONEY">"c2289"</definedName>
    <definedName name="IQ_TR_TOTAL_OPTIONS">"c2322"</definedName>
    <definedName name="IQ_TR_TOTAL_OPTIONS_BUYER">"c3026"</definedName>
    <definedName name="IQ_TR_TOTAL_PREFERRED">"c2321"</definedName>
    <definedName name="IQ_TR_TOTAL_REG_AMT">"c2261"</definedName>
    <definedName name="IQ_TR_TOTAL_STOCK">"c2323"</definedName>
    <definedName name="IQ_TR_TOTAL_TAKEDOWNS">"c2278"</definedName>
    <definedName name="IQ_TR_TOTAL_UW_COMP">"c2280"</definedName>
    <definedName name="IQ_TR_TOTALVALUE">"c2400"</definedName>
    <definedName name="IQ_TR_TRANSACTION_TYPE">"c2398"</definedName>
    <definedName name="IQ_TR_WITHDRAWN_DTE">"c2266"</definedName>
    <definedName name="IQ_TRADE_AR">"c1345"</definedName>
    <definedName name="IQ_TRADE_PRINCIPAL">"c1309"</definedName>
    <definedName name="IQ_TRADING_ACCOUNT_GAINS_FEES_FDIC">"c6573"</definedName>
    <definedName name="IQ_TRADING_ASSETS">"c1310"</definedName>
    <definedName name="IQ_TRADING_ASSETS_FDIC">"c6328"</definedName>
    <definedName name="IQ_TRADING_CURRENCY">"c2212"</definedName>
    <definedName name="IQ_TRADING_LIABILITIES_FDIC">"c6344"</definedName>
    <definedName name="IQ_TRANSACTION_ACCOUNTS_FDIC">"c6544"</definedName>
    <definedName name="IQ_TREASURY">"c1311"</definedName>
    <definedName name="IQ_TREASURY_OTHER_EQUITY">"c1312"</definedName>
    <definedName name="IQ_TREASURY_OTHER_EQUITY_BNK">"c1313"</definedName>
    <definedName name="IQ_TREASURY_OTHER_EQUITY_BR">"c1314"</definedName>
    <definedName name="IQ_TREASURY_OTHER_EQUITY_FIN">"c1315"</definedName>
    <definedName name="IQ_TREASURY_OTHER_EQUITY_INS">"c1316"</definedName>
    <definedName name="IQ_TREASURY_OTHER_EQUITY_REIT">"c1317"</definedName>
    <definedName name="IQ_TREASURY_OTHER_EQUITY_UTI">"c1318"</definedName>
    <definedName name="IQ_TREASURY_STOCK">"c1438"</definedName>
    <definedName name="IQ_TREASURY_STOCK_TRANSACTIONS_FDIC">"c6501"</definedName>
    <definedName name="IQ_TRUST_INC">"c1319"</definedName>
    <definedName name="IQ_TRUST_PREF">"c1320"</definedName>
    <definedName name="IQ_TRUST_PREFERRED">"c3029"</definedName>
    <definedName name="IQ_TRUST_PREFERRED_PCT">"c3030"</definedName>
    <definedName name="IQ_TWELVE_MONTHS_FIXED_AND_FLOATING_FDIC">"c6420"</definedName>
    <definedName name="IQ_TWELVE_MONTHS_MORTGAGE_PASS_THROUGHS_FDIC">"c6412"</definedName>
    <definedName name="IQ_UFCF_10YR_ANN_GROWTH">"c1948"</definedName>
    <definedName name="IQ_UFCF_1YR_ANN_GROWTH">"c1943"</definedName>
    <definedName name="IQ_UFCF_2YR_ANN_GROWTH">"c1944"</definedName>
    <definedName name="IQ_UFCF_3YR_ANN_GROWTH">"c1945"</definedName>
    <definedName name="IQ_UFCF_5YR_ANN_GROWTH">"c1946"</definedName>
    <definedName name="IQ_UFCF_7YR_ANN_GROWTH">"c1947"</definedName>
    <definedName name="IQ_UFCF_MARGIN">"c1962"</definedName>
    <definedName name="IQ_UNAMORT_DISC">"c2513"</definedName>
    <definedName name="IQ_UNAMORT_DISC_PCT">"c2514"</definedName>
    <definedName name="IQ_UNAMORT_PREMIUM">"c2511"</definedName>
    <definedName name="IQ_UNAMORT_PREMIUM_PCT">"c2512"</definedName>
    <definedName name="IQ_UNDIVIDED_PROFITS_FDIC">"c6352"</definedName>
    <definedName name="IQ_UNDRAWN_CP">"c2518"</definedName>
    <definedName name="IQ_UNDRAWN_CREDIT">"c3032"</definedName>
    <definedName name="IQ_UNDRAWN_RC">"c2517"</definedName>
    <definedName name="IQ_UNDRAWN_TL">"c2519"</definedName>
    <definedName name="IQ_UNEARN_PREMIUM">"c1321"</definedName>
    <definedName name="IQ_UNEARN_REV_CURRENT">"c1322"</definedName>
    <definedName name="IQ_UNEARN_REV_CURRENT_BNK">"c1323"</definedName>
    <definedName name="IQ_UNEARN_REV_CURRENT_BR">"c1324"</definedName>
    <definedName name="IQ_UNEARN_REV_CURRENT_FIN">"c1325"</definedName>
    <definedName name="IQ_UNEARN_REV_CURRENT_INS">"c1326"</definedName>
    <definedName name="IQ_UNEARN_REV_CURRENT_REIT">"c1327"</definedName>
    <definedName name="IQ_UNEARN_REV_CURRENT_UTI">"c1328"</definedName>
    <definedName name="IQ_UNEARN_REV_LT">"c1329"</definedName>
    <definedName name="IQ_UNEARNED_INCOME_FDIC">"c6324"</definedName>
    <definedName name="IQ_UNEARNED_INCOME_FOREIGN_FDIC">"c6385"</definedName>
    <definedName name="IQ_UNLEVERED_FCF">"c1908"</definedName>
    <definedName name="IQ_UNPAID_CLAIMS">"c1330"</definedName>
    <definedName name="IQ_UNPROFITABLE_INSTITUTIONS_FDIC">"c6722"</definedName>
    <definedName name="IQ_UNREALIZED_GAIN">"c1619"</definedName>
    <definedName name="IQ_UNSECURED_DEBT">"c2548"</definedName>
    <definedName name="IQ_UNSECURED_DEBT_PCT">"c2549"</definedName>
    <definedName name="IQ_UNUSED_LOAN_COMMITMENTS_FDIC">"c6368"</definedName>
    <definedName name="IQ_UNUSUAL_EXP">"c1456"</definedName>
    <definedName name="IQ_US_BRANCHES_FOREIGN_BANK_LOANS_FDIC">"c6435"</definedName>
    <definedName name="IQ_US_BRANCHES_FOREIGN_BANKS_FDIC">"c6390"</definedName>
    <definedName name="IQ_US_GAAP">"c1331"</definedName>
    <definedName name="IQ_US_GAAP_BASIC_EPS_EXCL">"c2984"</definedName>
    <definedName name="IQ_US_GAAP_BASIC_EPS_INCL">"c2982"</definedName>
    <definedName name="IQ_US_GAAP_BASIC_WEIGHT">"c2980"</definedName>
    <definedName name="IQ_US_GAAP_CA">"c2930"</definedName>
    <definedName name="IQ_US_GAAP_CA_ADJ">"c2925"</definedName>
    <definedName name="IQ_US_GAAP_CASH_FINAN">"c2945"</definedName>
    <definedName name="IQ_US_GAAP_CASH_FINAN_ADJ">"c2941"</definedName>
    <definedName name="IQ_US_GAAP_CASH_INVEST">"c2944"</definedName>
    <definedName name="IQ_US_GAAP_CASH_INVEST_ADJ">"c2940"</definedName>
    <definedName name="IQ_US_GAAP_CASH_OPER">"c2943"</definedName>
    <definedName name="IQ_US_GAAP_CASH_OPER_ADJ">"c2939"</definedName>
    <definedName name="IQ_US_GAAP_CL">"c2932"</definedName>
    <definedName name="IQ_US_GAAP_CL_ADJ">"c2927"</definedName>
    <definedName name="IQ_US_GAAP_COST_REV">"c2965"</definedName>
    <definedName name="IQ_US_GAAP_DILUT_EPS_EXCL">"c2985"</definedName>
    <definedName name="IQ_US_GAAP_DILUT_EPS_INCL">"c2983"</definedName>
    <definedName name="IQ_US_GAAP_DILUT_NI">"c2979"</definedName>
    <definedName name="IQ_US_GAAP_DILUT_WEIGHT">"c2981"</definedName>
    <definedName name="IQ_US_GAAP_DO">"c2973"</definedName>
    <definedName name="IQ_US_GAAP_DO_ADJ">"c2959"</definedName>
    <definedName name="IQ_US_GAAP_EXTRA_ACC_ITEMS">"c2972"</definedName>
    <definedName name="IQ_US_GAAP_EXTRA_ACC_ITEMS_ADJ">"c2958"</definedName>
    <definedName name="IQ_US_GAAP_INC_TAX">"c2975"</definedName>
    <definedName name="IQ_US_GAAP_INC_TAX_ADJ">"c2961"</definedName>
    <definedName name="IQ_US_GAAP_INTEREST_EXP">"c2971"</definedName>
    <definedName name="IQ_US_GAAP_INTEREST_EXP_ADJ">"c2957"</definedName>
    <definedName name="IQ_US_GAAP_LIAB_LT">"c2933"</definedName>
    <definedName name="IQ_US_GAAP_LIAB_LT_ADJ">"c2928"</definedName>
    <definedName name="IQ_US_GAAP_LIAB_TOTAL_LIAB">"c2933"</definedName>
    <definedName name="IQ_US_GAAP_MINORITY_INTEREST_IS">"c2974"</definedName>
    <definedName name="IQ_US_GAAP_MINORITY_INTEREST_IS_ADJ">"c2960"</definedName>
    <definedName name="IQ_US_GAAP_NCA">"c2931"</definedName>
    <definedName name="IQ_US_GAAP_NCA_ADJ">"c2926"</definedName>
    <definedName name="IQ_US_GAAP_NET_CHANGE">"c2946"</definedName>
    <definedName name="IQ_US_GAAP_NET_CHANGE_ADJ">"c2942"</definedName>
    <definedName name="IQ_US_GAAP_NI">"c2976"</definedName>
    <definedName name="IQ_US_GAAP_NI_ADJ">"c2963"</definedName>
    <definedName name="IQ_US_GAAP_NI_AVAIL_EXCL">"c2977"</definedName>
    <definedName name="IQ_US_GAAP_NI_AVAIL_INCL">"c2978"</definedName>
    <definedName name="IQ_US_GAAP_OTHER_ADJ_ADJ">"c2962"</definedName>
    <definedName name="IQ_US_GAAP_OTHER_NON_OPER">"c2969"</definedName>
    <definedName name="IQ_US_GAAP_OTHER_NON_OPER_ADJ">"c2955"</definedName>
    <definedName name="IQ_US_GAAP_OTHER_OPER">"c2968"</definedName>
    <definedName name="IQ_US_GAAP_OTHER_OPER_ADJ">"c2954"</definedName>
    <definedName name="IQ_US_GAAP_RD">"c2967"</definedName>
    <definedName name="IQ_US_GAAP_RD_ADJ">"c2953"</definedName>
    <definedName name="IQ_US_GAAP_SGA">"c2966"</definedName>
    <definedName name="IQ_US_GAAP_SGA_ADJ">"c2952"</definedName>
    <definedName name="IQ_US_GAAP_TOTAL_ASSETS">"c2931"</definedName>
    <definedName name="IQ_US_GAAP_TOTAL_EQUITY">"c2934"</definedName>
    <definedName name="IQ_US_GAAP_TOTAL_EQUITY_ADJ">"c2929"</definedName>
    <definedName name="IQ_US_GAAP_TOTAL_REV">"c2964"</definedName>
    <definedName name="IQ_US_GAAP_TOTAL_REV_ADJ">"c2950"</definedName>
    <definedName name="IQ_US_GAAP_TOTAL_UNUSUAL">"c2970"</definedName>
    <definedName name="IQ_US_GAAP_TOTAL_UNUSUAL_ADJ">"c2956"</definedName>
    <definedName name="IQ_US_GOV_AGENCIES_FDIC">"c6395"</definedName>
    <definedName name="IQ_US_GOV_DEPOSITS_FDIC">"c6483"</definedName>
    <definedName name="IQ_US_GOV_ENTERPRISES_FDIC">"c6396"</definedName>
    <definedName name="IQ_US_GOV_NONCURRENT_LOANS_TOTAL_NONCURRENT_FDIC">"c6779"</definedName>
    <definedName name="IQ_US_GOV_NONTRANSACTION_ACCOUNTS_FDIC">"c6546"</definedName>
    <definedName name="IQ_US_GOV_OBLIGATIONS_FDIC">"c6299"</definedName>
    <definedName name="IQ_US_GOV_SECURITIES_FDIC">"c6297"</definedName>
    <definedName name="IQ_US_GOV_TOTAL_DEPOSITS_FDIC">"c6472"</definedName>
    <definedName name="IQ_US_GOV_TRANSACTION_ACCOUNTS_FDIC">"c6538"</definedName>
    <definedName name="IQ_US_TREASURY_SECURITIES_FDIC">"c6298"</definedName>
    <definedName name="IQ_UTIL_PPE_NET">"c1620"</definedName>
    <definedName name="IQ_UTIL_REV">"c2091"</definedName>
    <definedName name="IQ_UV_PENSION_LIAB">"c1332"</definedName>
    <definedName name="IQ_VALUATION_ALLOWANCES_FDIC">"c6400"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C_REVENUE_FDIC">"c6667"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ATILE_LIABILITIES_FDIC">"c6364"</definedName>
    <definedName name="IQ_VOLUME">"c1333"</definedName>
    <definedName name="IQ_WARRANTS_BEG_OS">"c2698"</definedName>
    <definedName name="IQ_WARRANTS_CANCELLED">"c2701"</definedName>
    <definedName name="IQ_WARRANTS_END_OS">"c2702"</definedName>
    <definedName name="IQ_WARRANTS_EXERCISED">"c2700"</definedName>
    <definedName name="IQ_WARRANTS_ISSUED">"c2699"</definedName>
    <definedName name="IQ_WARRANTS_STRIKE_PRICE_ISSUED">"c2704"</definedName>
    <definedName name="IQ_WARRANTS_STRIKE_PRICE_OS">"c2703"</definedName>
    <definedName name="IQ_WEEK">50000</definedName>
    <definedName name="IQ_WEIGHTED_AVG_PRICE">"c1334"</definedName>
    <definedName name="IQ_WIP_INV">"c1335"</definedName>
    <definedName name="IQ_WORKMEN_WRITTEN">"c1336"</definedName>
    <definedName name="IQ_WRITTEN_OPTION_CONTRACTS_FDIC">"c6509"</definedName>
    <definedName name="IQ_WRITTEN_OPTION_CONTRACTS_FX_RISK_FDIC">"c6514"</definedName>
    <definedName name="IQ_WRITTEN_OPTION_CONTRACTS_NON_FX_IR_FDIC">"c6519"</definedName>
    <definedName name="IQ_XDIV_DATE">"c2104"</definedName>
    <definedName name="IQ_YEARHIGH">"c1337"</definedName>
    <definedName name="IQ_YEARHIGH_DATE">"c2250"</definedName>
    <definedName name="IQ_YEARLOW">"c1338"</definedName>
    <definedName name="IQ_YEARLOW_DATE">"c2251"</definedName>
    <definedName name="IQ_YTD">3000</definedName>
    <definedName name="IQ_YTDMONTH">130000</definedName>
    <definedName name="IQ_Z_SCORE">"c1339"</definedName>
    <definedName name="IQB_BOOKMARK_COUNT">1</definedName>
    <definedName name="IQRA5">"$A$6:$A$131"</definedName>
    <definedName name="IQRA8">"$A$9:$A$260"</definedName>
    <definedName name="IQRAF17">"$AF$18:$AF$259"</definedName>
    <definedName name="IQRAP17">"$AP$18"</definedName>
    <definedName name="IQRAP89">"$AP$90:$AP$97"</definedName>
    <definedName name="IQRAQ17">"$AQ$18"</definedName>
    <definedName name="IQRAQ89">"$AQ$90"</definedName>
    <definedName name="IQRAR89">"$AR$90:$AR$97"</definedName>
    <definedName name="IQRAS17">"$AS$18:$AS$25"</definedName>
    <definedName name="IQRAS89">"$AS$90:$AS$93"</definedName>
    <definedName name="IQRAT17">"$AT$18:$AT$25"</definedName>
    <definedName name="IQRAT89">"$AT$90:$AT$97"</definedName>
    <definedName name="IQRAU17">"$AU$18"</definedName>
    <definedName name="IQRAV89">"$AV$90:$AV$97"</definedName>
    <definedName name="IQRAX89">"$AX$90:$AX$97"</definedName>
    <definedName name="IQRAZ17">"$AZ$18:$AZ$19"</definedName>
    <definedName name="IQRB5">"$B$6:$B$131"</definedName>
    <definedName name="IQRB8">"$B$9:$B$260"</definedName>
    <definedName name="IQRC8">"$C$9:$C$260"</definedName>
    <definedName name="IQRX10">"$X$11:$X$114"</definedName>
    <definedName name="IRI_WorkspaceId">"bccdb1c1af0e4ad2930bd3379ca5d267"</definedName>
    <definedName name="IsColHidden">FALSE</definedName>
    <definedName name="IsLTMColHidden">FALSE</definedName>
    <definedName name="iv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jason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jeyj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jh">{#N/A,#N/A,FALSE,"Assump";#N/A,#N/A,FALSE,"Income";#N/A,#N/A,FALSE,"Balance";#N/A,#N/A,FALSE,"DCF Pump";#N/A,#N/A,FALSE,"Trans Assump";#N/A,#N/A,FALSE,"Combined Income";#N/A,#N/A,FALSE,"Combined Balance"}</definedName>
    <definedName name="jimwrn.network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JJJJJJJJJJJJJJJJJJJJJ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jklhjk">{#N/A,#N/A,FALSE,"Sheet1"}</definedName>
    <definedName name="ju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key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pr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2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j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kjhhh">{"cvr",#N/A,FALSE,"CVR";"sum",#N/A,FALSE,"SUM";"obal",#N/A,FALSE,"OBAL";#N/A,#N/A,FALSE,"INC1";#N/A,#N/A,FALSE,"INC2";"bal1",#N/A,FALSE,"BAL1";"inc",#N/A,FALSE,"INC";"bal",#N/A,FALSE,"BAL";"cash",#N/A,FALSE,"CASH";"debt",#N/A,FALSE,"DEBT";"eqty",#N/A,FALSE,"EQTY";"tax",#N/A,FALSE,"TAX";"depr",#N/A,FALSE,"DEPR";#N/A,#N/A,FALSE,"IRR";"strip1",#N/A,FALSE,"STRP";"fee",#N/A,FALSE,"FEE"}</definedName>
    <definedName name="KKK">{#N/A,#N/A,FALSE,"Assessment";#N/A,#N/A,FALSE,"Staffing";#N/A,#N/A,FALSE,"Hires";#N/A,#N/A,FALSE,"Assumptions"}</definedName>
    <definedName name="l">40296.6534606482</definedName>
    <definedName name="LBO">{#N/A,#N/A,FALSE,"Summary";#N/A,#N/A,FALSE,"Projections";#N/A,#N/A,FALSE,"Mkt Mults";#N/A,#N/A,FALSE,"DCF";#N/A,#N/A,FALSE,"Accr Dil";#N/A,#N/A,FALSE,"PIC LBO";#N/A,#N/A,FALSE,"MULT10_4";#N/A,#N/A,FALSE,"CBI LBO"}</definedName>
    <definedName name="limcount">1</definedName>
    <definedName name="ListOffset">1</definedName>
    <definedName name="lkjlkj">{"Final",#N/A,FALSE,"Feb-96"}</definedName>
    <definedName name="ll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lll">{#N/A,#N/A,FALSE,"Summary";#N/A,#N/A,FALSE,"proj1";#N/A,#N/A,FALSE,"proj2"}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_PlaceofPath">"F:\GCAPPELL\VDF_Model_Backups\Education\STRA_VDF.xls"</definedName>
    <definedName name="Med_prod">{#N/A,#N/A,FALSE,"Prem_Sum";#N/A,#N/A,FALSE,"Prem"}</definedName>
    <definedName name="Med_prod.xls">{#N/A,#N/A,FALSE,"FACTSHEETS";#N/A,#N/A,FALSE,"pump";#N/A,#N/A,FALSE,"filter"}</definedName>
    <definedName name="Med_products">{#N/A,#N/A,FALSE,"FACTSHEETS";#N/A,#N/A,FALSE,"pump";#N/A,#N/A,FALSE,"filter"}</definedName>
    <definedName name="MEWarning">1</definedName>
    <definedName name="mj">{#N/A,#N/A,FALSE,"Heat";#N/A,#N/A,FALSE,"DCF";#N/A,#N/A,FALSE,"LBO";#N/A,#N/A,FALSE,"A";#N/A,#N/A,FALSE,"C";#N/A,#N/A,FALSE,"impd";#N/A,#N/A,FALSE,"Accr-Dilu"}</definedName>
    <definedName name="mmjj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mn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Moses">{"FCB_ALL",#N/A,FALSE,"FCB"}</definedName>
    <definedName name="Mults02">{#N/A,#N/A,FALSE,"Projections";#N/A,#N/A,FALSE,"Multiples Valuation";#N/A,#N/A,FALSE,"LBO";#N/A,#N/A,FALSE,"Multiples_Sensitivity";#N/A,#N/A,FALSE,"Summary"}</definedName>
    <definedName name="New">{"Outflow 1",#N/A,FALSE,"Outflows-Inflows";"Outflow 2",#N/A,FALSE,"Outflows-Inflows";"Inflow 1",#N/A,FALSE,"Outflows-Inflows";"Inflow 2",#N/A,FALSE,"Outflows-Inflows"}</definedName>
    <definedName name="new.network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newa">{"COM1996",#N/A,FALSE,"ANNUAL COMMISSIONS";"COM1997",#N/A,FALSE,"ANNUAL COMMISSIONS"}</definedName>
    <definedName name="newb">{"COM1996",#N/A,FALSE,"ANNUAL COMMISSIONS";"COM1997",#N/A,FALSE,"ANNUAL COMMISSIONS"}</definedName>
    <definedName name="newd">{"COM1996",#N/A,FALSE,"ANNUAL COMMISSIONS";"COM1997",#N/A,FALSE,"ANNUAL COMMISSIONS"}</definedName>
    <definedName name="newe">{"COM1996",#N/A,FALSE,"ANNUAL COMMISSIONS";"COM1997",#N/A,FALSE,"ANNUAL COMMISSIONS"}</definedName>
    <definedName name="newnewnew">{"COM1996",#N/A,FALSE,"ANNUAL COMMISSIONS";"COM1997",#N/A,FALSE,"ANNUAL COMMISSIONS"}</definedName>
    <definedName name="newnewnewnew">{"COM1996",#N/A,FALSE,"ANNUAL COMMISSIONS";"COM1997",#N/A,FALSE,"ANNUAL COMMISSIONS"}</definedName>
    <definedName name="newview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a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3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z">{"COM1996",#N/A,FALSE,"ANNUAL COMMISSIONS";"COM1997",#N/A,FALSE,"ANNUAL COMMISSIONS"}</definedName>
    <definedName name="nnnnnnn">{#N/A,#N/A,TRUE,"TS";#N/A,#N/A,TRUE,"Combo";#N/A,#N/A,TRUE,"FAIR";#N/A,#N/A,TRUE,"RBC";#N/A,#N/A,TRUE,"xxxx"}</definedName>
    <definedName name="NO">{"'Sheet1'!$A$1:$J$121"}</definedName>
    <definedName name="noname">{"TOP",#N/A,TRUE,"TRIPLE OPTION EXPERIENCE";"actives",#N/A,TRUE,"TRIPLE OPTION EXPERIENCE";"experience",#N/A,TRUE,"TRIPLE OPTION EXPERIENCE";"Outacomp",#N/A,TRUE,"FEE FOR SERVICE EXPERIENCE ";"Outacomp",#N/A,TRUE,"FEE FOR SERVICE EXPERIENCE ";"Outret",#N/A,TRUE,"FEE FOR SERVICE EXPERIENCE ";"Outact",#N/A,TRUE,"FEE FOR SERVICE EXPERIENCE ";"OutRcomp",#N/A,TRUE,"FEE FOR SERVICE EXPERIENCE ";"Outact",#N/A,TRUE,"FEE FOR SERVICE EXPERIENCE ";"OutRcomp",#N/A,TRUE,"FEE FOR SERVICE EXPERIENCE ";"Outret",#N/A,TRUE,"FEE FOR SERVICE EXPERIENCE ";"actives",#N/A,TRUE,"TRIPLE OPTION EXPERIENCE";"TOP",#N/A,TRUE,"TRIPLE OPTION EXPERIENCE"}</definedName>
    <definedName name="noname2">{"TOP",#N/A,TRUE,"TRIPLE OPTION EXPERIENCE";"actives",#N/A,TRUE,"TRIPLE OPTION EXPERIENCE";"experience",#N/A,TRUE,"TRIPLE OPTION EXPERIENCE";"Outacomp",#N/A,TRUE,"FEE FOR SERVICE EXPERIENCE ";"Outacomp",#N/A,TRUE,"FEE FOR SERVICE EXPERIENCE ";"Outret",#N/A,TRUE,"FEE FOR SERVICE EXPERIENCE ";"Outact",#N/A,TRUE,"FEE FOR SERVICE EXPERIENCE ";"OutRcomp",#N/A,TRUE,"FEE FOR SERVICE EXPERIENCE ";"Outact",#N/A,TRUE,"FEE FOR SERVICE EXPERIENCE ";"OutRcomp",#N/A,TRUE,"FEE FOR SERVICE EXPERIENCE ";"Outret",#N/A,TRUE,"FEE FOR SERVICE EXPERIENCE ";"actives",#N/A,TRUE,"TRIPLE OPTION EXPERIENCE";"TOP",#N/A,TRUE,"TRIPLE OPTION EXPERIENCE"}</definedName>
    <definedName name="noname3">{"TOP",#N/A,TRUE,"TRIPLE OPTION EXPERIENCE";"actives",#N/A,TRUE,"TRIPLE OPTION EXPERIENCE";"experience",#N/A,TRUE,"TRIPLE OPTION EXPERIENCE";"Outacomp",#N/A,TRUE,"FEE FOR SERVICE EXPERIENCE ";"Outacomp",#N/A,TRUE,"FEE FOR SERVICE EXPERIENCE ";"Outret",#N/A,TRUE,"FEE FOR SERVICE EXPERIENCE ";"Outact",#N/A,TRUE,"FEE FOR SERVICE EXPERIENCE ";"OutRcomp",#N/A,TRUE,"FEE FOR SERVICE EXPERIENCE ";"Outact",#N/A,TRUE,"FEE FOR SERVICE EXPERIENCE ";"OutRcomp",#N/A,TRUE,"FEE FOR SERVICE EXPERIENCE ";"Outret",#N/A,TRUE,"FEE FOR SERVICE EXPERIENCE ";"actives",#N/A,TRUE,"TRIPLE OPTION EXPERIENCE";"TOP",#N/A,TRUE,"TRIPLE OPTION EXPERIENCE"}</definedName>
    <definedName name="NoteTextNames">{"Text 9";"Text 10";"Text 11";"Text 12"}</definedName>
    <definedName name="old">{"Period 5 Income Statements",#N/A,FALSE,"Income Statement";"Period 5 Balance Sheets",#N/A,FALSE,"Balance Sheet";"Period 5 Cashflow Statements",#N/A,FALSE,"Cashflow Statement";"Period 5 Financial Ratios",#N/A,FALSE,"Financial Ratios"}</definedName>
    <definedName name="OO_Book_Settings_AllowResize">"0"</definedName>
    <definedName name="OO_Book_Settings_BGColor">""</definedName>
    <definedName name="OO_Book_Settings_CellBGColor">""</definedName>
    <definedName name="OO_Book_Settings_Destination">"\\cdsrv3\TM1\TM1WebFolder\Reports\Mfg Income Statement by Cost Center.xml"</definedName>
    <definedName name="OO_Book_Settings_Footer">""</definedName>
    <definedName name="OO_Book_Settings_Header">""</definedName>
    <definedName name="OO_Book_Settings_HorizontalCenter">"0"</definedName>
    <definedName name="OO_Book_Settings_IgnoreNoPublishWarning">"0"</definedName>
    <definedName name="OO_Book_Settings_Menu">"Menu:All.dim"</definedName>
    <definedName name="OO_Book_Settings_MenuType">"Dim"</definedName>
    <definedName name="OO_Book_Settings_RecalOnDropDownChange">"1"</definedName>
    <definedName name="OO_Book_Settings_RecalOnInputCellChange">"0"</definedName>
    <definedName name="OO_Book_Settings_SynchDestination">"1"</definedName>
    <definedName name="OO_Book_Settings_TBExport">"1"</definedName>
    <definedName name="OO_Book_Settings_TBPaste">"1"</definedName>
    <definedName name="OO_Book_Settings_TBUpdate">"1"</definedName>
    <definedName name="OO_Book_Settings_TBWorksheets">"0"</definedName>
    <definedName name="OO_Book_Settings_TBZoomIn">"1"</definedName>
    <definedName name="OO_Book_Settings_TBZoomOut">"1"</definedName>
    <definedName name="OO_Book_Settings_Toolbar">"1"</definedName>
    <definedName name="OO_Book_Settings_UpdateButton">""</definedName>
    <definedName name="OO_Book_Settings_UseNamedRanges">"1"</definedName>
    <definedName name="OO_Book_Settings_UseWorkbookSettings">"0"</definedName>
    <definedName name="OO_Book_Settings_WorksheetTabs">"0"</definedName>
    <definedName name="OO_Book_Settings_XCDestination">"Y:\TM1WebFolder\Production Workbooks\Mfg Income Statement_xCelsius.xls"</definedName>
    <definedName name="ooo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otherb">{"COM1996",#N/A,FALSE,"ANNUAL COMMISSIONS";"COM1997",#N/A,FALSE,"ANNUAL COMMISSIONS"}</definedName>
    <definedName name="p.kh">{#N/A,#N/A,FALSE,"Heat";#N/A,#N/A,FALSE,"DCF";#N/A,#N/A,FALSE,"LBO";#N/A,#N/A,FALSE,"A";#N/A,#N/A,FALSE,"C";#N/A,#N/A,FALSE,"impd";#N/A,#N/A,FALSE,"Accr-Dilu"}</definedName>
    <definedName name="PL5YRP">{"ebitda",#N/A,FALSE,"EBITDA";"consolidated",#N/A,FALSE,"CCC PL";"divisions",#N/A,FALSE,"Divisions"}</definedName>
    <definedName name="ploi">{#N/A,#N/A,FALSE,"Assump2";#N/A,#N/A,FALSE,"Income2";#N/A,#N/A,FALSE,"Balance2";#N/A,#N/A,FALSE,"DCF Filter";#N/A,#N/A,FALSE,"Trans Assump2";#N/A,#N/A,FALSE,"Combined Income2";#N/A,#N/A,FALSE,"Combined Balance2"}</definedName>
    <definedName name="pp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PremiumPaidSUmmary">{#N/A,#N/A,FALSE,"Projections";#N/A,#N/A,FALSE,"Multiples Valuation";#N/A,#N/A,FALSE,"LBO";#N/A,#N/A,FALSE,"Multiples_Sensitivity";#N/A,#N/A,FALSE,"Summary"}</definedName>
    <definedName name="q">{#N/A,#N/A,FALSE,"Projections";#N/A,#N/A,FALSE,"Multiples Valuation";#N/A,#N/A,FALSE,"LBO";#N/A,#N/A,FALSE,"Multiples_Sensitivity";#N/A,#N/A,FALSE,"Summary"}</definedName>
    <definedName name="qe5yh">{#N/A,#N/A,FALSE,"Summary";#N/A,#N/A,FALSE,"Projections";#N/A,#N/A,FALSE,"Mkt Mults";#N/A,#N/A,FALSE,"DCF";#N/A,#N/A,FALSE,"Accr Dil";#N/A,#N/A,FALSE,"PIC LBO";#N/A,#N/A,FALSE,"MULT10_4";#N/A,#N/A,FALSE,"CBI LBO"}</definedName>
    <definedName name="qw">{#N/A,#N/A,FALSE,"Pooling";#N/A,#N/A,FALSE,"income";#N/A,#N/A,FALSE,"valuation"}</definedName>
    <definedName name="qwe">{#N/A,#N/A,FALSE,"Projections";#N/A,#N/A,FALSE,"Multiples Valuation";#N/A,#N/A,FALSE,"LBO";#N/A,#N/A,FALSE,"Multiples_Sensitivity";#N/A,#N/A,FALSE,"Summary"}</definedName>
    <definedName name="qwq">"c4444"</definedName>
    <definedName name="ray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Recap">{#N/A,#N/A,FALSE,"IPO";#N/A,#N/A,FALSE,"DCF";#N/A,#N/A,FALSE,"LBO";#N/A,#N/A,FALSE,"MULT_VAL";#N/A,#N/A,FALSE,"Status Quo";#N/A,#N/A,FALSE,"Recap"}</definedName>
    <definedName name="ReportGroup">0</definedName>
    <definedName name="resources">{#N/A,#N/A,FALSE,"Assessment";#N/A,#N/A,FALSE,"Staffing";#N/A,#N/A,FALSE,"Hires";#N/A,#N/A,FALSE,"Assumptions"}</definedName>
    <definedName name="Retail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yu">{#N/A,#N/A,FALSE,"AD_Purchase";#N/A,#N/A,FALSE,"Credit";#N/A,#N/A,FALSE,"PF Acquisition";#N/A,#N/A,FALSE,"PF Offering"}</definedName>
    <definedName name="rfgg">{#N/A,#N/A,FALSE,"sum-don";#N/A,#N/A,FALSE,"inc-don"}</definedName>
    <definedName name="rt">{#N/A,#N/A,FALSE,"Second";#N/A,#N/A,FALSE,"ownership";#N/A,#N/A,FALSE,"Valuation";#N/A,#N/A,FALSE,"Eqiv";#N/A,#N/A,FALSE,"Mults";#N/A,#N/A,FALSE,"ISCG Graphics"}</definedName>
    <definedName name="Rwvu.Final._.Day._.1.">#REF!,#REF!,#REF!</definedName>
    <definedName name="Rwvu.Full.">#REF!,#REF!</definedName>
    <definedName name="ry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s">{"page1",#N/A,FALSE,"GIRLBO";"page2",#N/A,FALSE,"GIRLBO";"page3",#N/A,FALSE,"GIRLBO";"page4",#N/A,FALSE,"GIRLBO";"page5",#N/A,FALSE,"GIRLBO"}</definedName>
    <definedName name="sa">{#N/A,#N/A,FALSE,"IPO";#N/A,#N/A,FALSE,"DCF";#N/A,#N/A,FALSE,"LBO";#N/A,#N/A,FALSE,"MULT_VAL";#N/A,#N/A,FALSE,"Status Quo";#N/A,#N/A,FALSE,"Recap"}</definedName>
    <definedName name="saa">{"rtn",#N/A,FALSE,"RTN";"tables",#N/A,FALSE,"RTN";"cf",#N/A,FALSE,"CF";"stats",#N/A,FALSE,"Stats";"prop",#N/A,FALSE,"Prop"}</definedName>
    <definedName name="saf">{#N/A,#N/A,FALSE,"Projections";#N/A,#N/A,FALSE,"Contribution_Stock";#N/A,#N/A,FALSE,"PF_Combo_Stock";#N/A,#N/A,FALSE,"Projections";#N/A,#N/A,FALSE,"Contribution_Cash";#N/A,#N/A,FALSE,"PF_Combo_Cash";#N/A,#N/A,FALSE,"IPO_Cash"}</definedName>
    <definedName name="SAPBEXhrIndnt">"Wide"</definedName>
    <definedName name="SAPsysID">"708C5W7SBKP804JT78WJ0JNKI"</definedName>
    <definedName name="SAPwbID">"ARS"</definedName>
    <definedName name="sas">{"Outflow 1",#N/A,FALSE,"Outflows-Inflows";"Outflow 2",#N/A,FALSE,"Outflows-Inflows";"Inflow 1",#N/A,FALSE,"Outflows-Inflows";"Inflow 2",#N/A,FALSE,"Outflows-Inflows"}</definedName>
    <definedName name="scott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sd">{#N/A,#N/A,FALSE,"IPO";#N/A,#N/A,FALSE,"DCF";#N/A,#N/A,FALSE,"LBO";#N/A,#N/A,FALSE,"MULT_VAL";#N/A,#N/A,FALSE,"Status Quo";#N/A,#N/A,FALSE,"Recap"}</definedName>
    <definedName name="sda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f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sdfasdfsd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ass">{"Outflow 1",#N/A,FALSE,"Outflows-Inflows";"Outflow 2",#N/A,FALSE,"Outflows-Inflows";"Inflow 1",#N/A,FALSE,"Outflows-Inflows";"Inflow 2",#N/A,FALSE,"Outflows-Inflows"}</definedName>
    <definedName name="sdfd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sdfds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sdfs">{#N/A,#N/A,FALSE,"Projections";#N/A,#N/A,FALSE,"Multiples Valuation";#N/A,#N/A,FALSE,"LBO";#N/A,#N/A,FALSE,"Multiples_Sensitivity";#N/A,#N/A,FALSE,"Summary"}</definedName>
    <definedName name="sdfsd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sdhdhfdfhh">{#N/A,#N/A,FALSE,"Balance Sheet";#N/A,#N/A,FALSE,"Income Statement";#N/A,#N/A,FALSE,"Changes in Financial Position"}</definedName>
    <definedName name="sencount">1</definedName>
    <definedName name="Sheet2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Sheet3">{#N/A,#N/A,FALSE,"Projections";#N/A,#N/A,FALSE,"Multiples Valuation";#N/A,#N/A,FALSE,"LBO";#N/A,#N/A,FALSE,"Multiples_Sensitivity";#N/A,#N/A,FALSE,"Summary"}</definedName>
    <definedName name="Sheet4">{#N/A,#N/A,FALSE,"Projections";#N/A,#N/A,FALSE,"Multiples Valuation";#N/A,#N/A,FALSE,"LBO";#N/A,#N/A,FALSE,"Multiples_Sensitivity";#N/A,#N/A,FALSE,"Summary"}</definedName>
    <definedName name="Sheet6">{#N/A,#N/A,FALSE,"Projections";#N/A,#N/A,FALSE,"Multiples Valuation";#N/A,#N/A,FALSE,"LBO";#N/A,#N/A,FALSE,"Multiples_Sensitivity";#N/A,#N/A,FALSE,"Summary"}</definedName>
    <definedName name="SleepmasterIncome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LEVIN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MPS">{#N/A,#N/A,FALSE,"AD_Purchase";#N/A,#N/A,FALSE,"Credit";#N/A,#N/A,FALSE,"PF Acquisition";#N/A,#N/A,FALSE,"PF Offering"}</definedName>
    <definedName name="solver_cvg">0.001</definedName>
    <definedName name="solver_drv">1</definedName>
    <definedName name="solver_est">1</definedName>
    <definedName name="solver_itr">100</definedName>
    <definedName name="solver_lin">0</definedName>
    <definedName name="solver_neg">2</definedName>
    <definedName name="solver_num">0</definedName>
    <definedName name="solver_nwt">1</definedName>
    <definedName name="solver_pre">0.000001</definedName>
    <definedName name="solver_scl">2</definedName>
    <definedName name="solver_sho">2</definedName>
    <definedName name="solver_tim">100</definedName>
    <definedName name="solver_tol">0.05</definedName>
    <definedName name="solver_typ">3</definedName>
    <definedName name="solver_val">0.6</definedName>
    <definedName name="ss">{#N/A,#N/A,FALSE,"Debt Accr";#N/A,#N/A,FALSE,"Stock Accr";#N/A,#N/A,FALSE,"Debt Stock Accr"}</definedName>
    <definedName name="ssss">{#N/A,#N/A,FALSE,"Proj. Summary FS";#N/A,#N/A,FALSE,"Proj. Detail IS";#N/A,#N/A,FALSE,"Proj. Detail BS";#N/A,#N/A,FALSE,"Proj. Detail CF";#N/A,#N/A,FALSE,"Proj. Detail % IS";#N/A,#N/A,FALSE,"Covenants and Census";#N/A,#N/A,FALSE,"Mo. Summary FS";#N/A,#N/A,FALSE,"Mo. Summary IS";#N/A,#N/A,FALSE,"Mo. Summary BS";#N/A,#N/A,FALSE,"Mo. Summary CF";#N/A,#N/A,FALSE,"Mo. Summary % IS";#N/A,#N/A,FALSE,"Mo. Sum. Covenants";#N/A,#N/A,FALSE,"Mo-YTD Summary IS ";#N/A,#N/A,FALSE,"Quarterly  Consol.";#N/A,#N/A,FALSE,"Monthly Consol.";#N/A,#N/A,FALSE,"Y E Projection"}</definedName>
    <definedName name="staffing2">{#N/A,#N/A,FALSE,"Assessment";#N/A,#N/A,FALSE,"Staffing";#N/A,#N/A,FALSE,"Hires";#N/A,#N/A,FALSE,"Assumptions"}</definedName>
    <definedName name="Staffing3">{#N/A,#N/A,FALSE,"Assessment";#N/A,#N/A,FALSE,"Staffing";#N/A,#N/A,FALSE,"Hires";#N/A,#N/A,FALSE,"Assumptions"}</definedName>
    <definedName name="Summary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SUMMARY_BOOK">{"page1",#N/A,FALSE,"GIRLBO";"page2",#N/A,FALSE,"GIRLBO";"page3",#N/A,FALSE,"GIRLBO";"page4",#N/A,FALSE,"GIRLBO";"page5",#N/A,FALSE,"GIRLBO"}</definedName>
    <definedName name="Summary2">{#N/A,#N/A,FALSE,"FACTSHEETS";#N/A,#N/A,FALSE,"pump";#N/A,#N/A,FALSE,"filter"}</definedName>
    <definedName name="TargetDCF2">{#N/A,#N/A,FALSE,"Sheet1"}</definedName>
    <definedName name="temp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_2">{#N/A,#N/A,FALSE,"Assessment";#N/A,#N/A,FALSE,"Staffing";#N/A,#N/A,FALSE,"Hires";#N/A,#N/A,FALSE,"Assumptions"}</definedName>
    <definedName name="Temp_3">{#N/A,#N/A,FALSE,"Assessment";#N/A,#N/A,FALSE,"Staffing";#N/A,#N/A,FALSE,"Hires";#N/A,#N/A,FALSE,"Assumptions"}</definedName>
    <definedName name="temp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2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2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3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4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5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6">{#N/A,#N/A,TRUE,"FD IV Portfolio Summary ";#N/A,#N/A,TRUE,"Western";#N/A,#N/A,TRUE,"Kranson";#N/A,#N/A,TRUE,"ARC";#N/A,#N/A,TRUE,"Precise";#N/A,#N/A,TRUE,"WNA"}</definedName>
    <definedName name="tempq7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8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st1">{#N/A,#N/A,TRUE,"MAIN FT TERM";#N/A,#N/A,TRUE,"MCI  FT TERM ";#N/A,#N/A,TRUE,"OC12 EQV"}</definedName>
    <definedName name="TextRefCopyRangeCount">1</definedName>
    <definedName name="Total_Payment">Scheduled_Payment+Extra_Payment</definedName>
    <definedName name="tou">{#N/A,#N/A,TRUE,"TransPrcd 1";#N/A,#N/A,TRUE,"TransPrcd 2";#N/A,#N/A,TRUE,"TransPrcd 3"}</definedName>
    <definedName name="treeList">"00000000000000000000000000000000000000000000000000000000000000000000000000000000000000000000000000000000000000000000000000000000000000000000000000000000000000000000000000000000000000000000000000000000"</definedName>
    <definedName name="trial">{"Outflow 1",#N/A,FALSE,"Outflows-Inflows";"Outflow 2",#N/A,FALSE,"Outflows-Inflows";"Inflow 1",#N/A,FALSE,"Outflows-Inflows";"Inflow 2",#N/A,FALSE,"Outflows-Inflows"}</definedName>
    <definedName name="tttoot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ty">{"Assumptions",#N/A,TRUE,"Assumptions";"Income",#N/A,TRUE,"Income";"Balance",#N/A,TRUE,"Balance"}</definedName>
    <definedName name="tyr">{#N/A,#N/A,FALSE,"AD_Purch";#N/A,#N/A,FALSE,"Projections";#N/A,#N/A,FALSE,"DCF";#N/A,#N/A,FALSE,"Mkt Val"}</definedName>
    <definedName name="tyryu">{#N/A,#N/A,FALSE,"Sheet1";#N/A,#N/A,FALSE,"Summary";#N/A,#N/A,FALSE,"proj1";#N/A,#N/A,FALSE,"proj2"}</definedName>
    <definedName name="uiknu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United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PDATESUMMARY">{#N/A,#N/A,FALSE,"FACTSHEETS";#N/A,#N/A,FALSE,"pump";#N/A,#N/A,FALSE,"filter"}</definedName>
    <definedName name="uu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v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vcvc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rrr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c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wew32">{"Assumptions",#N/A,TRUE,"Assumptions";"Income",#N/A,TRUE,"Income";"Balance",#N/A,TRUE,"Balance"}</definedName>
    <definedName name="vzssw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w5y2367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adasd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werrr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erwe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estburne">{#N/A,#N/A,FALSE,"Projections";#N/A,#N/A,FALSE,"Multiples Valuation";#N/A,#N/A,FALSE,"LBO";#N/A,#N/A,FALSE,"Multiples_Sensitivity";#N/A,#N/A,FALSE,"Summary"}</definedName>
    <definedName name="what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HATEVER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2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3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S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isthis">{#N/A,#N/A,FALSE,"Summary";#N/A,#N/A,FALSE,"Projections";#N/A,#N/A,FALSE,"Mkt Mults";#N/A,#N/A,FALSE,"DCF";#N/A,#N/A,FALSE,"Accr Dil";#N/A,#N/A,FALSE,"PIC LBO";#N/A,#N/A,FALSE,"MULT10_4";#N/A,#N/A,FALSE,"CBI LBO"}</definedName>
    <definedName name="whatisthissss">{#N/A,#N/A,FALSE,"IPO";#N/A,#N/A,FALSE,"DCF";#N/A,#N/A,FALSE,"LBO";#N/A,#N/A,FALSE,"MULT_VAL";#N/A,#N/A,FALSE,"Status Quo";#N/A,#N/A,FALSE,"Recap"}</definedName>
    <definedName name="whatisthisssss">{#N/A,#N/A,FALSE,"Summary";#N/A,#N/A,FALSE,"Projections";#N/A,#N/A,FALSE,"Mkt Mults";#N/A,#N/A,FALSE,"DCF";#N/A,#N/A,FALSE,"Accr Dil";#N/A,#N/A,FALSE,"PIC LBO";#N/A,#N/A,FALSE,"MULT10_4";#N/A,#N/A,FALSE,"CBI LBO"}</definedName>
    <definedName name="wqwt">{#N/A,#N/A,FALSE,"Projections";#N/A,#N/A,FALSE,"Contribution_Stock";#N/A,#N/A,FALSE,"PF_Combo_Stock";#N/A,#N/A,FALSE,"Projections";#N/A,#N/A,FALSE,"Contribution_Cash";#N/A,#N/A,FALSE,"PF_Combo_Cash";#N/A,#N/A,FALSE,"IPO_Cash"}</definedName>
    <definedName name="wrn.12_30._.Adv._.Book.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3100._.Port._.Review.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IRR";#N/A,#N/A,TRUE,"Western";#N/A,#N/A,TRUE,"Kranson";#N/A,#N/A,TRUE,"ARC";#N/A,#N/A,TRUE,"Precise";#N/A,#N/A,TRUE,"WNA"}</definedName>
    <definedName name="wrn.1996._.BUDGET.">{"SUMMARY",#N/A,TRUE,"SUMMARY";"compare",#N/A,TRUE,"Vs. Bus Plan";"ratios",#N/A,TRUE,"Ratios";"REVENUE",#N/A,TRUE,"Revenue";"expenses",#N/A,TRUE,"1996 budget";"payroll",#N/A,TRUE,"Payroll"}</definedName>
    <definedName name="wrn.1996._.TO._.2004.">{"ten year ratios",#N/A,TRUE,"PROFIT_LOSS";"ten year ratios",#N/A,TRUE,"Ratios";"ten yr opex and capex",#N/A,TRUE,"1996 budget";"ten year revenues",#N/A,TRUE,"Revenue_1996-2004";"ten year payroll",#N/A,TRUE,"Payroll"}</definedName>
    <definedName name="wrn.1998._.Budget.">{#N/A,#N/A,FALSE,"Inc. Statement";#N/A,#N/A,FALSE,"Balance Sheet";#N/A,#N/A,FALSE,"Cash Flow";#N/A,#N/A,FALSE,"Manufacturing";#N/A,#N/A,FALSE,"Quality";#N/A,#N/A,FALSE,"Sales";#N/A,#N/A,FALSE,"Marketing";#N/A,#N/A,FALSE,"R &amp; D";#N/A,#N/A,FALSE,"G &amp; A";#N/A,#N/A,FALSE,"Prof. Fees";#N/A,#N/A,FALSE,"Mfg. Wages";#N/A,#N/A,FALSE,"Mfg. Salaries";#N/A,#N/A,FALSE,"Quality Salaries";#N/A,#N/A,FALSE,"Sales Salaries";#N/A,#N/A,FALSE,"Mktg. Salaries";#N/A,#N/A,FALSE,"R &amp; D Salaries";#N/A,#N/A,FALSE,"G &amp; A Salaries"}</definedName>
    <definedName name="wrn.1999._.Budget.">{#N/A,#N/A,FALSE,"Inc. Statement";#N/A,#N/A,FALSE,"Balance Sheet";#N/A,#N/A,FALSE,"Cash Flow";#N/A,#N/A,FALSE,"Manufacturing";#N/A,#N/A,FALSE,"Quality";#N/A,#N/A,FALSE,"Sales";#N/A,#N/A,FALSE,"Marketing";#N/A,#N/A,FALSE,"R &amp; D";#N/A,#N/A,FALSE,"G &amp; A";#N/A,#N/A,FALSE,"Prof. Fees";#N/A,#N/A,FALSE,"Mfg. Wages";#N/A,#N/A,FALSE,"Mfg. Salaries";#N/A,#N/A,FALSE,"Quality Salaries";#N/A,#N/A,FALSE,"Sales Salaries";#N/A,#N/A,FALSE,"Parker sal.";#N/A,#N/A,FALSE,"Sheets sal.";#N/A,#N/A,FALSE,"Muntean sal.";#N/A,#N/A,FALSE,"G &amp; A Salaries";#N/A,#N/A,FALSE,"P&amp;L Consol.";#N/A,#N/A,FALSE,"P&amp;L Consol. (2)";#N/A,#N/A,FALSE,"P&amp;L Consol. (3)"}</definedName>
    <definedName name="wrn.3.00._.Adv.._.Board.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9_30._.Adv._.Board.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LP._.Meeting.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Per.";#N/A,#N/A,TRUE,"Western";#N/A,#N/A,TRUE,"Kranson";#N/A,#N/A,TRUE,"ARC";#N/A,#N/A,TRUE,"Precise";#N/A,#N/A,TRUE,"WNA"}</definedName>
    <definedName name="wrn.A_B_workpapers.">{"field_exam_cover_page",#N/A,FALSE,"Input";"workpaper_contents",#N/A,FALSE,"Input";"ar_stats_B_1",#N/A,FALSE,"AR";"ar_aging_trends",#N/A,FALSE,"AR";"availability_comparison",#N/A,FALSE,"AR";"ineligible_summary",#N/A,FALSE,"AR";"ineligible_breakdown",#N/A,FALSE,"AR";"reconciliations",#N/A,FALSE,"AR";"ar_concentrations",#N/A,FALSE,"AR";"bbr_B_13",#N/A,FALSE,"AR";"bbr_questionnair",#N/A,FALSE,"AR"}</definedName>
    <definedName name="wrn.A_VALUATION.">{#N/A,#N/A,FALSE,"A_D";#N/A,#N/A,FALSE,"WACC";#N/A,#N/A,FALSE,"DCF";#N/A,#N/A,FALSE,"A";#N/A,#N/A,FALSE,"LBO";#N/A,#N/A,FALSE,"C";#N/A,#N/A,FALSE,"impd";#N/A,#N/A,FALSE,"comps"}</definedName>
    <definedName name="wrn.Accr_Dil.">{#N/A,#N/A,FALSE,"Debt Accr";#N/A,#N/A,FALSE,"Stock Accr";#N/A,#N/A,FALSE,"Debt Stock Accr"}</definedName>
    <definedName name="wrn.Acquisition_matrix.">{"Acq_matrix",#N/A,FALSE,"Acquisition Matrix"}</definedName>
    <definedName name="wrn.Active._.Stores.">{#N/A,#N/A,FALSE,"RH";#N/A,#N/A,FALSE,"SP";#N/A,#N/A,FALSE,"MB";#N/A,#N/A,FALSE,"WV";#N/A,#N/A,FALSE,"LB";#N/A,#N/A,FALSE,"NB";#N/A,#N/A,FALSE,"MV"}</definedName>
    <definedName name="wrn.adj95.">{"adj95mult",#N/A,FALSE,"COMPCO";"adj95est",#N/A,FALSE,"COMPCO"}</definedName>
    <definedName name="wrn.adj95a">{"adj95mult",#N/A,FALSE,"COMPCO";"adj95est",#N/A,FALSE,"COMPCO"}</definedName>
    <definedName name="wrn.AEA.">{#N/A,#N/A,FALSE,"Proj. Summary FS";#N/A,#N/A,FALSE,"Proj. Detail IS";#N/A,#N/A,FALSE,"Proj. Detail BS";#N/A,#N/A,FALSE,"Proj. Detail CF";#N/A,#N/A,FALSE,"Proj. Detail % IS";#N/A,#N/A,FALSE,"Covenants and Census";#N/A,#N/A,FALSE,"Mo. Summary FS";#N/A,#N/A,FALSE,"Mo. Summary IS";#N/A,#N/A,FALSE,"Mo. Summary BS";#N/A,#N/A,FALSE,"Mo. Summary CF";#N/A,#N/A,FALSE,"Mo. Summary % IS";#N/A,#N/A,FALSE,"Mo. Sum. Covenants";#N/A,#N/A,FALSE,"Mo-YTD Summary IS ";#N/A,#N/A,FALSE,"Quarterly  Consol.";#N/A,#N/A,FALSE,"Monthly Consol.";#N/A,#N/A,FALSE,"Y E Projection"}</definedName>
    <definedName name="wrn.Aging._.and._.Trend._.Analysis.">{#N/A,#N/A,FALSE,"Aging Summary";#N/A,#N/A,FALSE,"Ratio Analysis";#N/A,#N/A,FALSE,"Test 120 Day Accts";#N/A,#N/A,FALSE,"Tickmarks"}</definedName>
    <definedName name="wrn.ALAN.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l.">{"Matrix",#N/A,FALSE,"ACQMTRX";"Fees",#N/A,FALSE,"ACQMTRX"}</definedName>
    <definedName name="wrn.all._.gulp._.sheets.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>{#N/A,#N/A,FALSE,"puboff";#N/A,#N/A,FALSE,"financials";#N/A,#N/A,FALSE,"valuation";#N/A,#N/A,FALSE,"split"}</definedName>
    <definedName name="wrn.ALL._.SHEETS.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Views.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_charts.">{"chart_ar_stats",#N/A,FALSE,"AR Chart1";"chart_percent_AR_past_due",#N/A,FALSE,"AR Chart2";"chart_ap_trends_only",#N/A,FALSE,"AP Chart"}</definedName>
    <definedName name="wrn.All_Models.">{#N/A,#N/A,FALSE,"Summary";#N/A,#N/A,FALSE,"Projections";#N/A,#N/A,FALSE,"Mkt Mults";#N/A,#N/A,FALSE,"DCF";#N/A,#N/A,FALSE,"Accr Dil";#N/A,#N/A,FALSE,"PIC LBO";#N/A,#N/A,FALSE,"MULT10_4";#N/A,#N/A,FALSE,"CBI LBO"}</definedName>
    <definedName name="wrn.All_Models2">{#N/A,#N/A,FALSE,"Projections";#N/A,#N/A,FALSE,"Multiples Valuation";#N/A,#N/A,FALSE,"LBO";#N/A,#N/A,FALSE,"Multiples_Sensitivity";#N/A,#N/A,FALSE,"Summary"}</definedName>
    <definedName name="wrn.All_Sheets.">{#N/A,#N/A,FALSE,"Projections";#N/A,#N/A,FALSE,"Contribution_Stock";#N/A,#N/A,FALSE,"PF_Combo_Stock";#N/A,#N/A,FALSE,"Projections";#N/A,#N/A,FALSE,"Contribution_Cash";#N/A,#N/A,FALSE,"PF_Combo_Cash";#N/A,#N/A,FALSE,"IPO_Cash"}</definedName>
    <definedName name="wrn.ALL4">{#N/A,#N/A,FALSE,"ASSUMPTIONS";#N/A,#N/A,FALSE,"Valuation Summary";"page1",#N/A,FALSE,"PRESENTATION";"page2",#N/A,FALSE,"PRESENTATION";#N/A,#N/A,FALSE,"ORIGINAL_ROLLBACK"}</definedName>
    <definedName name="wrn.ALL5">{#N/A,#N/A,FALSE,"ASSUMPTIONS";#N/A,#N/A,FALSE,"Valuation Summary";"page1",#N/A,FALSE,"PRESENTATION";"page2",#N/A,FALSE,"PRESENTATION";#N/A,#N/A,FALSE,"ORIGINAL_ROLLBACK"}</definedName>
    <definedName name="wrn.ALL6">{#N/A,#N/A,FALSE,"ASSUMPTIONS";#N/A,#N/A,FALSE,"Valuation Summary";"page1",#N/A,FALSE,"PRESENTATION";"page2",#N/A,FALSE,"PRESENTATION";#N/A,#N/A,FALSE,"ORIGINAL_ROLLBACK"}</definedName>
    <definedName name="wrn.ALL8">{#N/A,#N/A,FALSE,"ASSUMPTIONS";#N/A,#N/A,FALSE,"Valuation Summary";"page1",#N/A,FALSE,"PRESENTATION";"page2",#N/A,FALSE,"PRESENTATION";#N/A,#N/A,FALSE,"ORIGINAL_ROLLBACK"}</definedName>
    <definedName name="wrn.ALLbutPREMIUM.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UIM2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DataPages.">{#N/A,#N/A,FALSE,"Balance Sheet";#N/A,#N/A,FALSE,"Income Statement";#N/A,#N/A,FALSE,"Changes in Financial Position"}</definedName>
    <definedName name="wrn.AllModels.">{#N/A,#N/A,FALSE,"AD_Purchase";#N/A,#N/A,FALSE,"Credit";#N/A,#N/A,FALSE,"PF Acquisition";#N/A,#N/A,FALSE,"PF Offering"}</definedName>
    <definedName name="wrn.Analytic.">{#N/A,#N/A,FALSE,"Fisons_Sci_Instr";#N/A,#N/A,FALSE,"Fisons_Lab_Supplies";#N/A,#N/A,FALSE,"Nunc";#N/A,#N/A,FALSE,"Sorvall";#N/A,#N/A,FALSE,"Dynatech";#N/A,#N/A,FALSE,"Hach"}</definedName>
    <definedName name="wrn.AnnualRentRoll.">{"AnnualRentRoll",#N/A,FALSE,"RentRoll"}</definedName>
    <definedName name="wrn.AQUIROR._.DCF.">{"AQUIRORDCF",#N/A,FALSE,"Merger consequences";"Acquirorassns",#N/A,FALSE,"Merger consequences"}</definedName>
    <definedName name="wrn.Assumptions._.and._.Results.">{"CV_1",#N/A,TRUE,"Assumptions and Results"}</definedName>
    <definedName name="wrn.Auto._.Comp.">{#N/A,#N/A,FALSE,"Sheet1"}</definedName>
    <definedName name="wrn.Auto._.Comp.1">{#N/A,#N/A,FALSE,"Sheet1"}</definedName>
    <definedName name="wrn.balance._.sheet.">{"bs",#N/A,FALSE,"SCF"}</definedName>
    <definedName name="wrn.Bank._.Report.">{"Title Page",#N/A,FALSE,"Title Page";"Table of Contents",#N/A,FALSE,"Table of Contents";"Balance Sheet",#N/A,FALSE,"Balance Sheet";"Inc Stmt (Bank Version)",#N/A,FALSE,"Income Stmt &amp; RE";"Notes to FS (Bank Version)",#N/A,FALSE,"Notes to FS";"Notes to FS-Loans (Bank Version)",#N/A,FALSE,"Notes to FS-Loans";"Schedules (Bank Version)",#N/A,FALSE,"Schedules"}</definedName>
    <definedName name="wrn.basics.">{#N/A,#N/A,FALSE,"TSUM";#N/A,#N/A,FALSE,"shares";#N/A,#N/A,FALSE,"earnout";#N/A,#N/A,FALSE,"Heaty";#N/A,#N/A,FALSE,"self-tend";#N/A,#N/A,FALSE,"self-sum"}</definedName>
    <definedName name="wrn.BidCo.">{#N/A,#N/A,FALSE,"BidCo Assumptions";#N/A,#N/A,FALSE,"Credit Stats";#N/A,#N/A,FALSE,"Bidco Summary";#N/A,#N/A,FALSE,"BIDCO Consolidated"}</definedName>
    <definedName name="wrn.BROKER._.COMMISSIONS.">{"COM1996",#N/A,FALSE,"ANNUAL COMMISSIONS";"COM1997",#N/A,FALSE,"ANNUAL COMMISSIONS"}</definedName>
    <definedName name="wrn.BSAnnualModel.">{"BSAnnualModel",#N/A,FALSE,"BS"}</definedName>
    <definedName name="wrn.Budget.">{#N/A,#N/A,FALSE,"QSum";#N/A,#N/A,FALSE,"1Q";#N/A,#N/A,FALSE,"2Q";#N/A,#N/A,FALSE,"3Q";#N/A,#N/A,FALSE,"4Q";#N/A,#N/A,FALSE,"Mthly";#N/A,#N/A,FALSE,"Cur.vs.Prior"}</definedName>
    <definedName name="wrn.Budget._.Detail.">{#N/A,#N/A,FALSE,"Salaries";#N/A,#N/A,FALSE,"Carmen";#N/A,#N/A,FALSE,"Bonus";#N/A,#N/A,FALSE,"Benefits1";#N/A,#N/A,FALSE,"Benefits2";#N/A,#N/A,FALSE,"Benefits3";#N/A,#N/A,FALSE,"Benefits4";#N/A,#N/A,FALSE,"Other1";#N/A,#N/A,FALSE,"Other2";#N/A,#N/A,FALSE,"Other3";#N/A,#N/A,FALSE,"Other4";#N/A,#N/A,FALSE,"Other5";#N/A,#N/A,FALSE,"MIS Other"}</definedName>
    <definedName name="wrn.Buildups.">{"ACQ",#N/A,FALSE,"ACQUISITIONS";"ACQF",#N/A,FALSE,"ACQUISITIONS";"PF",#N/A,FALSE,"PROYECTOVILA";"PV",#N/A,FALSE,"PROYECTOVILA";"Fee Dev",#N/A,FALSE,"DEVELOPMENT GROWTH";"gd",#N/A,FALSE,"DEVELOPMENT GROWTH"}</definedName>
    <definedName name="wrn.bullshit1.">{#N/A,#N/A,FALSE,"Sheet1";#N/A,#N/A,FALSE,"Summary";#N/A,#N/A,FALSE,"proj1";#N/A,#N/A,FALSE,"proj2"}</definedName>
    <definedName name="wrn.C_D_E_O_workpapers.">{"cash_1",#N/A,FALSE,"Cash";"cash_1.1",#N/A,FALSE,"Cash";"ap_aging_trends",#N/A,FALSE,"AP";"ap_concentrations",#N/A,FALSE,"AP";"payroll_tax_E_1",#N/A,FALSE,"Tax";"property_tax",#N/A,FALSE,"Tax";"sales_tax",#N/A,FALSE,"Tax";"sign off sheet",#N/A,FALSE,"O-14"}</definedName>
    <definedName name="wrn.CASHFLOW._.WP.">{#N/A,#N/A,FALSE,"CASHFLOW BS";#N/A,#N/A,FALSE,"CASHFLOW DETAIL"}</definedName>
    <definedName name="wrn.CFSModel.">{"CFSModel",#N/A,FALSE,"CFS"}</definedName>
    <definedName name="wrn.clientcopy.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OMPCO.">{"Page1",#N/A,FALSE,"CompCo";"Page2",#N/A,FALSE,"CompCo"}</definedName>
    <definedName name="wrn.compco2">{"mult96",#N/A,FALSE,"PETCOMP";"est96",#N/A,FALSE,"PETCOMP";"mult95",#N/A,FALSE,"PETCOMP";"est95",#N/A,FALSE,"PETCOMP";"multltm",#N/A,FALSE,"PETCOMP";"resultltm",#N/A,FALSE,"PETCOMP"}</definedName>
    <definedName name="wrn.compco3">{"mult96",#N/A,FALSE,"PETCOMP";"est96",#N/A,FALSE,"PETCOMP";"mult95",#N/A,FALSE,"PETCOMP";"est95",#N/A,FALSE,"PETCOMP";"multltm",#N/A,FALSE,"PETCOMP";"resultltm",#N/A,FALSE,"PETCOMP"}</definedName>
    <definedName name="wrn.CONSENTRY.">{#N/A,#N/A,FALSE,"CONENTRY"}</definedName>
    <definedName name="wrn.cotop.">{"ReportTop",#N/A,FALSE,"report top"}</definedName>
    <definedName name="wrn.dcf.">{"mgmt forecast",#N/A,FALSE,"Mgmt Forecast";"dcf table",#N/A,FALSE,"Mgmt Forecast";"sensitivity",#N/A,FALSE,"Mgmt Forecast";"table inputs",#N/A,FALSE,"Mgmt Forecast";"calculations",#N/A,FALSE,"Mgmt Forecast"}</definedName>
    <definedName name="wrn.dcf._.backup.">{"dcf_rev",#N/A,FALSE,"Assumptions";"dcf_rev_growth",#N/A,FALSE,"Assumptions";"dcf_exp",#N/A,FALSE,"Assumptions";"dcf_exp_growth",#N/A,FALSE,"Assumptions";"headcount",#N/A,FALSE,"Assumptions";"dcf_capx_breakdown",#N/A,FALSE,"Assumptions";"dcf_capacity",#N/A,FALSE,"Assumptions";"dcf_capacity_toCapx",#N/A,FALSE,"Assumptions";"dcf_D&amp;A",#N/A,FALSE,"Assumptions";"dcf_workingcap",#N/A,FALSE,"Assumptions"}</definedName>
    <definedName name="wrn.DCF._.Valuation.">{"value box",#N/A,TRUE,"DPL Inc. Fin Statements";"unlevered free cash flows",#N/A,TRUE,"DPL Inc. Fin Statements"}</definedName>
    <definedName name="wrn.DCF_Terminal_Value_qchm.">{"qchm_dcf",#N/A,FALSE,"QCHMDCF2";"qchm_terminal",#N/A,FALSE,"QCHMDCF2"}</definedName>
    <definedName name="wrn.DCFEpervier.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EB.">{"BSDEB",#N/A,FALSE,"Jun 98";"ISDEB",#N/A,FALSE,"Jun 98";"CFDEB",#N/A,FALSE,"Jun 98";"WP1DEB",#N/A,FALSE,"Jun 98";"WP2DEB",#N/A,FALSE,"Jun 98";"WP3EB",#N/A,FALSE,"Jun 98";"EQUITYDEB",#N/A,FALSE,"Jun 98"}</definedName>
    <definedName name="wrn.debt.">{"CFA",#N/A,FALSE,"CF";"CFQ",#N/A,FALSE,"CF";"dbt.all.anl",#N/A,FALSE,"CF";"dbt.all.qt",#N/A,FALSE,"CF";"dbt.pt1.anl",#N/A,FALSE,"CF";"debt.pt2.anl",#N/A,FALSE,"CF";"dbt.pt1.qt",#N/A,FALSE,"CF";"dbt.pt2.qt",#N/A,FALSE,"CF";"BSA",#N/A,FALSE,"B"}</definedName>
    <definedName name="wrn.Development._.Hours.">{#N/A,#N/A,FALSE,"July 95";#N/A,#N/A,FALSE,"Aug 95";#N/A,#N/A,FALSE,"Sep 95";#N/A,#N/A,FALSE,"October 95"}</definedName>
    <definedName name="wrn.dir.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DIR._.TEMP.">{#N/A,#N/A,FALSE,"TOTAL";#N/A,#N/A,FALSE,"DEPT20";#N/A,#N/A,FALSE,"DEPT21";#N/A,#N/A,FALSE,"DEPT22";#N/A,#N/A,FALSE,"DEPT23";#N/A,#N/A,FALSE,"DEPT24";#N/A,#N/A,FALSE,"DEPT25"}</definedName>
    <definedName name="wrn.Draft.">{"Draft",#N/A,FALSE,"Feb-96"}</definedName>
    <definedName name="wrn.ebitda.">{#N/A,#N/A,FALSE,"2003_Input - P&amp;L"}</definedName>
    <definedName name="wrn.Economic._.Value._.Added._.Analysis.">{"EVA",#N/A,FALSE,"EVA";"WACC",#N/A,FALSE,"WACC"}</definedName>
    <definedName name="wrn.Entire._.Model.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Model.">{"cvr",#N/A,FALSE,"CVR";"sum",#N/A,FALSE,"SUM";"obal",#N/A,FALSE,"OBAL";#N/A,#N/A,FALSE,"INC1";#N/A,#N/A,FALSE,"INC2";"bal1",#N/A,FALSE,"BAL1";"inc",#N/A,FALSE,"INC";"bal",#N/A,FALSE,"BAL";"cash",#N/A,FALSE,"CASH";"debt",#N/A,FALSE,"DEBT";"eqty",#N/A,FALSE,"EQTY";"tax",#N/A,FALSE,"TAX";"depr",#N/A,FALSE,"DEPR";#N/A,#N/A,FALSE,"IRR";"strip1",#N/A,FALSE,"STRP";"fee",#N/A,FALSE,"FEE"}</definedName>
    <definedName name="wrn.ENTRYDET.">{#N/A,#N/A,FALSE,"ENTRYDET"}</definedName>
    <definedName name="wrn.EPS.">{#N/A,#N/A,FALSE,"EPS"}</definedName>
    <definedName name="wrn.Everything.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xhibits.">{#N/A,#N/A,TRUE,"Contents";#N/A,#N/A,TRUE,"Current Plans";#N/A,#N/A,TRUE," EE State";#N/A,#N/A,TRUE,"EE Age";#N/A,#N/A,TRUE,"HPHC HMO";#N/A,#N/A,TRUE,"Tufts HMO";#N/A,#N/A,TRUE,"Tufts POS";#N/A,#N/A,TRUE,"UHC OOA";#N/A,#N/A,TRUE,"UHC CAT";#N/A,#N/A,TRUE,"UHC POS";#N/A,#N/A,TRUE,"UHC Retiree";#N/A,#N/A,TRUE,"Coventry POS";#N/A,#N/A,TRUE,"Coventry HMO";#N/A,#N/A,TRUE,"UHC Princeton POS 1";#N/A,#N/A,TRUE,"UHC Princeton POS 2";#N/A,#N/A,TRUE,"UHC Princeton PPO 1";#N/A,#N/A,TRUE,"UHC Princeton PPO 2";#N/A,#N/A,TRUE,"PacifiCare HMO";#N/A,#N/A,TRUE,"Rate History";#N/A,#N/A,TRUE,"Large Claims"}</definedName>
    <definedName name="wrn.ExitAndSalesAssumptions.">{#N/A,#N/A,FALSE,"ExitStratigy"}</definedName>
    <definedName name="wrn.FCB.">{"FCB_ALL",#N/A,FALSE,"FCB"}</definedName>
    <definedName name="wrn.fcb2">{"FCB_ALL",#N/A,FALSE,"FCB"}</definedName>
    <definedName name="wrn.FDII6_01PortReview.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I6_30_01PortRev..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ilecopy.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ter.">{#N/A,#N/A,FALSE,"Assump2";#N/A,#N/A,FALSE,"Income2";#N/A,#N/A,FALSE,"Balance2";#N/A,#N/A,FALSE,"DCF Filter";#N/A,#N/A,FALSE,"Trans Assump2";#N/A,#N/A,FALSE,"Combined Income2";#N/A,#N/A,FALSE,"Combined Balance2"}</definedName>
    <definedName name="wrn.fin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al.">{"Final",#N/A,FALSE,"Feb-96"}</definedName>
    <definedName name="wrn.Financial.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ancial._.Statements.">{"Consolidated Balance Sheet",#N/A,FALSE,"Sheet2";"Consolidating Balance Sheet",#N/A,FALSE,"Sheet2";"Consolidated Income Statement",#N/A,FALSE,"Sheet2";"Consolidating Income Statement",#N/A,FALSE,"Sheet2";"Statement of Stockholders equity",#N/A,FALSE,"Sheet2"}</definedName>
    <definedName name="wrn.Financial._.Statements._.Wrk.">{#N/A,#N/A,FALSE,"Sep 98";"Bal Sheet CY - Legal",#N/A,FALSE,"Sep 98";"Bal Sheet PY - Legal",#N/A,FALSE,"Sep 98";"Inc Stmt - Legal",#N/A,FALSE,"Sep 98";"Cash Flow - Legal",#N/A,FALSE,"Sep 98"}</definedName>
    <definedName name="wrn.Financials.">{#N/A,#N/A,TRUE,"Income Statement";#N/A,#N/A,TRUE,"Balance Sheet";#N/A,#N/A,TRUE,"Cash Flow"}</definedName>
    <definedName name="wrn.Financials_long.">{"IS",#N/A,FALSE,"Financials2 (Expanded)";"bsa",#N/A,FALSE,"Financials2 (Expanded)";"BS",#N/A,FALSE,"Financials2 (Expanded)";"CF",#N/A,FALSE,"Financials2 (Expanded)"}</definedName>
    <definedName name="wrn.first2.">{#N/A,#N/A,FALSE,"sum-don";#N/A,#N/A,FALSE,"inc-don"}</definedName>
    <definedName name="wrn.first3.">{#N/A,#N/A,FALSE,"Summary";#N/A,#N/A,FALSE,"proj1";#N/A,#N/A,FALSE,"proj2"}</definedName>
    <definedName name="wrn.first4.">{#N/A,#N/A,FALSE,"Summary";#N/A,#N/A,FALSE,"proj1";#N/A,#N/A,FALSE,"proj2";#N/A,#N/A,FALSE,"DCF"}</definedName>
    <definedName name="wrn.Five._.Year._.Model.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rn.FIVE._.YEAR._.PROJECTION.">{"FIVEYEAR",#N/A,TRUE,"SUMMARY";"FIVEYEAR",#N/A,TRUE,"Ratios";"FIVEYEAR",#N/A,TRUE,"Revenue";"FIVEYEAR",#N/A,TRUE,"DETAIL";"FIVEYEAR",#N/A,TRUE,"Payroll"}</definedName>
    <definedName name="wrn.fleck.">{"first",#N/A,FALSE,"FLEXPAC2";"second",#N/A,FALSE,"FLEXPAC2"}</definedName>
    <definedName name="wrn.fleckcompac.">{"one",#N/A,FALSE,"FLEXPAC2";"two",#N/A,FALSE,"FLEXPAC2";"three",#N/A,FALSE,"FLEXPAC2"}</definedName>
    <definedName name="wrn.formula._.pages.">{"field_exam_formula_summary",#N/A,FALSE,"Input";"multi_co_formula",#N/A,FALSE,"Input";"availability_comparison",#N/A,FALSE,"AR";"general_input_area",#N/A,FALSE,"Input";"ineligible_summary",#N/A,FALSE,"AR"}</definedName>
    <definedName name="wrn.Full._.Monty.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Report.">{#N/A,#N/A,TRUE,"Income Statement";#N/A,#N/A,TRUE,"Gas Assumptions";#N/A,#N/A,TRUE,"DCF";#N/A,#N/A,TRUE,"Depreciation Matrix";#N/A,#N/A,TRUE,"Matrix";#N/A,#N/A,TRUE,"Matrix_Perpetuity"}</definedName>
    <definedName name="wrn.Fund._.II.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_.Adv.._.Brd._.June._.2000.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Adv._.Mtg..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Mtg..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I.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_.Adv.._.Brd.._.June._.2000.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II._.Adv._.Mtg..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V._.Adv.._.Brd.._.June._.2000.">{#N/A,#N/A,TRUE,"FD IV Portfolio Summary ";#N/A,#N/A,TRUE,"Western";#N/A,#N/A,TRUE,"Kranson";#N/A,#N/A,TRUE,"ARC";#N/A,#N/A,TRUE,"Precise";#N/A,#N/A,TRUE,"WNA"}</definedName>
    <definedName name="wrn.FY97SBP.">{#N/A,#N/A,FALSE,"FY97";#N/A,#N/A,FALSE,"FY98";#N/A,#N/A,FALSE,"FY99";#N/A,#N/A,FALSE,"FY00";#N/A,#N/A,FALSE,"FY01"}</definedName>
    <definedName name="wrn.FY97SBP.1">{#N/A,#N/A,FALSE,"FY97";#N/A,#N/A,FALSE,"FY98";#N/A,#N/A,FALSE,"FY99";#N/A,#N/A,FALSE,"FY00";#N/A,#N/A,FALSE,"FY01"}</definedName>
    <definedName name="wrn.graphs.">{"mkt cap",#N/A,FALSE,"Graph-market-cap";"price",#N/A,FALSE,"Graph-Price";"ebit",#N/A,FALSE,"Graph-EBIT-DA";"ebitda",#N/A,FALSE,"Graph-EBIT-DA"}</definedName>
    <definedName name="wrn.HEAT.">{#N/A,#N/A,FALSE,"Heat";#N/A,#N/A,FALSE,"DCF";#N/A,#N/A,FALSE,"LBO";#N/A,#N/A,FALSE,"A";#N/A,#N/A,FALSE,"C";#N/A,#N/A,FALSE,"impd";#N/A,#N/A,FALSE,"Accr-Dilu"}</definedName>
    <definedName name="wrn.historical.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is";"historical_ratios_1",#N/A,FALSE,"historical is";"historical_ratios_2",#N/A,FALSE,"historical is";"historical_ratios_3",#N/A,FALSE,"historical is"}</definedName>
    <definedName name="wrn.historical._.backup.">{"hist_rev",#N/A,FALSE,"Revenue buildup-hist";"hist_rev_growth",#N/A,FALSE,"Revenue buildup-hist";"hist_exp",#N/A,FALSE,"Revenue buildup-hist";"hist_exp_growth",#N/A,FALSE,"Revenue buildup-hist";"historical_workcap",#N/A,FALSE,"Assumptions"}</definedName>
    <definedName name="wrn.Hydraulic.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_1._.thru._.I_6._.workpapers.">{"inventory detail I_1",#N/A,FALSE,"I-01";"inventory detail I_1.1",#N/A,FALSE,"I-01";"inventory detail I_1.2",#N/A,FALSE,"I-01";"Source Comparison I_2",#N/A,FALSE,"I-02";"source comparison I_2.1",#N/A,FALSE,"I-02";"source comparison I_2.2",#N/A,FALSE,"I-02";"reporting analysis I_3",#N/A,FALSE,"I-03";"test count I_4",#N/A,FALSE,"I-04";"test count I_4.1",#N/A,FALSE,"I-04";"costing test I_5",#N/A,FALSE,"I-05";"costing test I_5.1",#N/A,FALSE,"I-05";"turns I_6",#N/A,FALSE,"I-06";"turns I_6.1",#N/A,FALSE,"I-06"}</definedName>
    <definedName name="wrn.I_7._.thru._.I_21._.workpapers.">{"inventory mix I_11",#N/A,FALSE,"I-11";"inventory mix I_11.1",#N/A,FALSE,"I-11";"physical results I_12",#N/A,FALSE,"I-12";"questionnaire I_14",#N/A,FALSE,"I-14";"questionnaire I_14.1",#N/A,FALSE,"I-14";"questionnaire I_14.2",#N/A,FALSE,"I-14";"risk analysis I_15",#N/A,FALSE,"I-15";"risk analysis I_15.1",#N/A,FALSE,"I-15";"risk analysis I_15.2",#N/A,FALSE,"I-15";"liquidation alternatives I_18",#N/A,FALSE,"I-18"}</definedName>
    <definedName name="wrn.icem.">{#N/A,#N/A,FALSE,"Exb 2";#N/A,#N/A,FALSE,"Exb 3(a)";#N/A,#N/A,FALSE,"WACC";#N/A,#N/A,FALSE,"Exh 4(a)";#N/A,#N/A,FALSE,"Exh 4(b)";#N/A,#N/A,FALSE,"Exb 5(a)";#N/A,#N/A,FALSE,"Exb 5(b)"}</definedName>
    <definedName name="wrn.II._.PortRev33102.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nfo.">{#N/A,#N/A,FALSE,"IT_Summary";#N/A,#N/A,FALSE,"Renaissance";#N/A,#N/A,FALSE,"Intermetrics";#N/A,#N/A,FALSE,"Systems";#N/A,#N/A,FALSE,"IMI";#N/A,#N/A,FALSE,"Landmark";#N/A,#N/A,FALSE,"Rational";#N/A,#N/A,FALSE,"AGS";#N/A,#N/A,FALSE,"GE"}</definedName>
    <definedName name="wrn.input._.and._.output.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TERNAL._.COV._.PG.">{#N/A,#N/A,FALSE,"YE INT COV";#N/A,#N/A,FALSE,"YE INT COV B"}</definedName>
    <definedName name="wrn.Internal._.Report._.for._.Martha.">{"Title Page",#N/A,FALSE,"Title Page";"Table of Contents",#N/A,FALSE,"Table of Contents";"Balance Sheet",#N/A,FALSE,"Balance Sheet";"Inc Stmt - Internal",#N/A,FALSE,"Income Stmt &amp; RE";"Inc Stmt (Bank Version)",#N/A,FALSE,"Income Stmt &amp; RE";"Schedules - Internal Version",#N/A,FALSE,"Schedules";"Schedules (Bank Version)",#N/A,FALSE,"Schedules";"Notes to FS - Internal",#N/A,FALSE,"Notes to FS";"Notes to FS (Bank Version)",#N/A,FALSE,"Notes to FS";"Notes to FS-Loans (Internal)",#N/A,FALSE,"Notes to FS-Loans";"Notes to FS-Loans (Bank Version)",#N/A,FALSE,"Notes to FS-Loans"}</definedName>
    <definedName name="wrn.Investor._.Cash._.Flows.">{"CV_2",#N/A,TRUE,"Investor Cash Flows"}</definedName>
    <definedName name="wrn.ipovalue.">{#N/A,#N/A,FALSE,"puboff";#N/A,#N/A,FALSE,"valuation";#N/A,#N/A,FALSE,"finanalsis";#N/A,#N/A,FALSE,"split";#N/A,#N/A,FALSE,"ownership"}</definedName>
    <definedName name="wrn.ISAnnualModel.">{"AnnModel",#N/A,FALSE,"IS"}</definedName>
    <definedName name="wrn.ISCG._.model.">{#N/A,#N/A,FALSE,"Second";#N/A,#N/A,FALSE,"ownership";#N/A,#N/A,FALSE,"Valuation";#N/A,#N/A,FALSE,"Eqiv";#N/A,#N/A,FALSE,"Mults";#N/A,#N/A,FALSE,"ISCG Graphics"}</definedName>
    <definedName name="wrn.ISQtrModel.">{"QtrModel",#N/A,FALSE,"IS"}</definedName>
    <definedName name="wrn.JODM._.Graphs.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kairen.">{#N/A,#N/A,FALSE,"Non Medicare Results UC";#N/A,#N/A,FALSE,"Non Medicare Projection UC";#N/A,#N/A,FALSE,"Non Medicare Results BOB";#N/A,#N/A,FALSE,"Non Medicare Projection BOB";#N/A,#N/A,FALSE,"Medicare Risk Results UC";#N/A,#N/A,FALSE,"Medicare Risk Projection UC";#N/A,#N/A,FALSE,"Medicare Risk Results BOB";#N/A,#N/A,FALSE,"Medicare Risk Projection BOB";#N/A,#N/A,FALSE,"Medicare Cost Results UC";#N/A,#N/A,FALSE,"Medicare Cost Projection UC";#N/A,#N/A,FALSE,"Medicare Cost Results BOB";#N/A,#N/A,FALSE,"Medicare Cost Projection BOB";#N/A,#N/A,FALSE,"pmpm";#N/A,#N/A,FALSE,"Enrollment by Tier";#N/A,#N/A,FALSE,"Mnthly Mmbershp UC Actives";#N/A,#N/A,FALSE,"Mnthly Mmbershp UC Medicare";#N/A,#N/A,FALSE,"Mnthly Mmbershp BOB Actives";#N/A,#N/A,FALSE,"out_drug";#N/A,#N/A,FALSE,"area_adj";#N/A,#N/A,FALSE,"util_s";#N/A,#N/A,FALSE,"util_p";#N/A,#N/A,FALSE,"Care_Mg";#N/A,#N/A,FALSE,"Large Claims Non Medicare";#N/A,#N/A,FALSE,"Large Claims Medicare";#N/A,#N/A,FALSE,"rx_nmed_uc";#N/A,#N/A,FALSE,"mo_nmed";#N/A,#N/A,FALSE,"rx_med_uc";#N/A,#N/A,FALSE,"mo_med_uc";#N/A,#N/A,FALSE,"rx_diag_uc";#N/A,#N/A,FALSE,"rx_diag_med_uc";#N/A,#N/A,FALSE,"HEDIS";#N/A,#N/A,FALSE,"GHAA"}</definedName>
    <definedName name="wrn.LBO._.Summary.">{"LBO Summary",#N/A,FALSE,"Summary"}</definedName>
    <definedName name="wrn.LoanInformation.">{#N/A,#N/A,FALSE,"LoanAssumptions"}</definedName>
    <definedName name="wrn.LP._.Committee._.Book.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June._.13.._.2000.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M_File_Print_Out.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wrn.Maine.">{"Assumptions",#N/A,TRUE,"Assumptions";"Income",#N/A,TRUE,"Income";"Balance",#N/A,TRUE,"Balance"}</definedName>
    <definedName name="wrn.Maine2.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erge.">{#N/A,#N/A,FALSE,"IPO";#N/A,#N/A,FALSE,"DCF";#N/A,#N/A,FALSE,"LBO";#N/A,#N/A,FALSE,"MULT_VAL";#N/A,#N/A,FALSE,"Status Quo";#N/A,#N/A,FALSE,"Recap"}</definedName>
    <definedName name="wrn.model.">{"page1",#N/A,FALSE,"GIRLBO";"page2",#N/A,FALSE,"GIRLBO";"page3",#N/A,FALSE,"GIRLBO";"page4",#N/A,FALSE,"GIRLBO";"page5",#N/A,FALSE,"GIRLBO"}</definedName>
    <definedName name="wrn.Monica.">{#N/A,#N/A,FALSE,"Revolver";#N/A,#N/A,FALSE,"Term Loan";#N/A,#N/A,FALSE,"Unused Line Fee Term";#N/A,#N/A,FALSE,"Unused Line Fee Revolver"}</definedName>
    <definedName name="wrn.MONTHLY.">{"1999MONTHLY",#N/A,FALSE,"MONTHLY";"2000MONTHLY",#N/A,FALSE,"MONTHLY";"2001MONTHLY",#N/A,FALSE,"MONTHLY"}</definedName>
    <definedName name="wrn.Monthly._.MIFA._.Sheets.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Monthly._.MIFA._.Sheets.1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Monthly._.Reports.">{"Nil","Nil",FALSE,"Detail P&amp;L-M";"Nil","Nil",FALSE,"Dep &amp; Amort-M";"Nil","Nil",FALSE,"Equity-M";"Nil","Nil",FALSE,"Debt &amp; Cash Flow-M";"Nil","Nil",FALSE,"Interest-M"}</definedName>
    <definedName name="wrn.MonthlyRentRoll.">{"MonthlyRentRoll",#N/A,FALSE,"RentRoll"}</definedName>
    <definedName name="wrn.nema.">{#N/A,#N/A,FALSE,"Distbn Ntwrk";#N/A,#N/A,FALSE,"Workforce";#N/A,#N/A,FALSE,"cur-prod1";#N/A,#N/A,FALSE,"in-proc"}</definedName>
    <definedName name="wrn.network.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ew.">{"new1",#N/A,FALSE,"FLEXPAC2";"new2",#N/A,FALSE,"FLEXPAC2"}</definedName>
    <definedName name="wrn.New._.Client._.Report.">{#N/A,#N/A,TRUE,"Cover";#N/A,#N/A,TRUE,"Table of Contents";#N/A,#N/A,TRUE,"Summary";#N/A,#N/A,TRUE,"Detailed Summary";#N/A,#N/A,TRUE,"Value";#N/A,#N/A,TRUE,"Rebates";#N/A,#N/A,TRUE,"Perf. Guar.";#N/A,#N/A,TRUE,"Other Guar.";#N/A,#N/A,TRUE,"Margin";#N/A,#N/A,TRUE,"Savings";#N/A,#N/A,TRUE,"Costs";#N/A,#N/A,TRUE,"PDN";#N/A,#N/A,TRUE,"Drivers"}</definedName>
    <definedName name="wrn.newest.">{#N/A,#N/A,TRUE,"TS";#N/A,#N/A,TRUE,"Combo";#N/A,#N/A,TRUE,"FAIR";#N/A,#N/A,TRUE,"RBC";#N/A,#N/A,TRUE,"xxxx"}</definedName>
    <definedName name="wrn.ntfinance.">{"Rate",#N/A,TRUE,"SUMMARY";"Ratios",#N/A,TRUE,"Ratios";"BUDGETREVENUE",#N/A,TRUE,"Revenue";"TOTALS",#N/A,TRUE,"DETAIL"}</definedName>
    <definedName name="wrn.OperatingAssumtions.">{#N/A,#N/A,FALSE,"OperatingAssumptions"}</definedName>
    <definedName name="wrn.ORIGINALS.">{#N/A,#N/A,FALSE,"BS";#N/A,#N/A,FALSE,"IS";#N/A,#N/A,FALSE,"PI";#N/A,#N/A,FALSE,"CF"}</definedName>
    <definedName name="wrn.OUTPUT.">{"DCF","UPSIDE CASE",FALSE,"Sheet1";"DCF","BASE CASE",FALSE,"Sheet1";"DCF","DOWNSIDE CASE",FALSE,"Sheet1"}</definedName>
    <definedName name="wrn.packer._.1.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eriod._.1._.Financial._.Statements.">{"Period 1 Income Statements",#N/A,FALSE,"Income Statement";"Period 1 Balance Sheets",#N/A,FALSE,"Balance Sheet";"Period 1 Cashflow Statements",#N/A,FALSE,"Cashflow Statement";"Period 1 Financial Ratios",#N/A,FALSE,"Financial Ratios"}</definedName>
    <definedName name="wrn.Period._.10._.Financial._.Statements.">{"Period 10 Income Statements",#N/A,FALSE,"Income Statement";"Period 10 Balance Sheets",#N/A,FALSE,"Balance Sheet";"Period 10 Cashflow Statements",#N/A,FALSE,"Cashflow Statement";"Period 10 Financial Ratios",#N/A,FALSE,"Financial Ratios"}</definedName>
    <definedName name="wrn.Period._.11._.Financial._.Statements.">{"Period 11 Income Statements",#N/A,FALSE,"Income Statement";"Period 11 Balance Sheets",#N/A,FALSE,"Balance Sheet";"Period 11 Cashflow Statements",#N/A,FALSE,"Cashflow Statement";"Period 11 Financial Ratios",#N/A,FALSE,"Financial Ratios"}</definedName>
    <definedName name="wrn.Period._.12._.Financial._.Statements.">{"Period 12 Income Statements",#N/A,FALSE,"Income Statement";"Period 12 Balance Sheets",#N/A,FALSE,"Balance Sheet";"Period 12 Cashflow Statements",#N/A,FALSE,"Cashflow Statement";"Period 12 Financial Ratios",#N/A,FALSE,"Financial Ratios"}</definedName>
    <definedName name="wrn.Period._.2._.Financial._.Statements.">{"Period 2 Income Statements",#N/A,FALSE,"Income Statement";"Period 2 Balance Sheets",#N/A,FALSE,"Balance Sheet";"Period 2 Cashflow Statements",#N/A,FALSE,"Cashflow Statement";"Period 2 Financial Ratios",#N/A,FALSE,"Financial Ratios"}</definedName>
    <definedName name="wrn.Period._.3._.Financial._.Statements.">{"Period 3 Income Statements",#N/A,FALSE,"Income Statement";"Period 3 Balance Sheets",#N/A,FALSE,"Balance Sheet";"Period 3 Cashflow Statements",#N/A,FALSE,"Cashflow Statement";"Period 3 Financial Ratios",#N/A,FALSE,"Financial Ratios"}</definedName>
    <definedName name="wrn.Period._.4._.Financial._.Statements.">{"Period 4 Income Statements",#N/A,FALSE,"Income Statement";"Period 4 Balance Sheets",#N/A,FALSE,"Balance Sheet";"Period 4 Cashflow Statements",#N/A,FALSE,"Cashflow Statement";"Period 4 Financial Ratios",#N/A,FALSE,"Financial Ratios"}</definedName>
    <definedName name="wrn.Period._.5._.Financial._.Statements.">{"Period 5 Income Statements",#N/A,FALSE,"Income Statement";"Period 5 Balance Sheets",#N/A,FALSE,"Balance Sheet";"Period 5 Cashflow Statements",#N/A,FALSE,"Cashflow Statement";"Period 5 Financial Ratios",#N/A,FALSE,"Financial Ratios"}</definedName>
    <definedName name="wrn.Period._.6._.Financial._.Statements.">{"Period 6 Income Statements",#N/A,FALSE,"Income Statement";"Period 6 Balance Sheets",#N/A,FALSE,"Balance Sheet";"Period 6 Cashflow Statements",#N/A,FALSE,"Cashflow Statement";"Period 6 Financial Ratios",#N/A,FALSE,"Financial Ratios"}</definedName>
    <definedName name="wrn.Period._.7._.Financial._.Statements.">{"Period 7 Income Statements",#N/A,FALSE,"Income Statement";"Period 7 Balance Sheets",#N/A,FALSE,"Balance Sheet";"Period 7 Cashflow Statements",#N/A,FALSE,"Cashflow Statement";"Period 7 Financial Ratios",#N/A,FALSE,"Financial Ratios";"Period 7 New Cash Flow",#N/A,FALSE,"New Cashflow Statement"}</definedName>
    <definedName name="wrn.Period._.8._.Financial._.Statements.">{"Period 8 Income Statements",#N/A,FALSE,"Income Statement";"Period 8 Balance Sheets",#N/A,FALSE,"Balance Sheet";"Period 8 Cashflow Statements",#N/A,FALSE,"Cashflow Statement";"Period 8 Financial Ratios",#N/A,FALSE,"Financial Ratios"}</definedName>
    <definedName name="wrn.Period._.9._.Financial._.Statements.">{"Period 9 Income Statements",#N/A,FALSE,"Income Statement";"Period 9 Balance Sheets",#N/A,FALSE,"Balance Sheet";"Period 9 Cashflow Statements",#N/A,FALSE,"Cashflow Statement";"Period 9 Financial Ratios",#N/A,FALSE,"Financial Ratios"}</definedName>
    <definedName name="wrn.PLAN.">{#N/A,#N/A,FALSE,"5YRPL";#N/A,#N/A,FALSE,"3YRPL"}</definedName>
    <definedName name="wrn.Plan._.Sheets.">{#N/A,#N/A,TRUE,"95 Consolidated Forecast";#N/A,#N/A,TRUE,"95 Consolidated Frcst per Gal";#N/A,#N/A,TRUE,"96 Consolidated Plan";#N/A,#N/A,TRUE,"96 Consolidated per Gallon"}</definedName>
    <definedName name="wrn.PLX.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ES_OUT.">{"page1",#N/A,FALSE,"PRESENTATION";"page2",#N/A,FALSE,"PRESENTATION";#N/A,#N/A,FALSE,"Valuation Summary"}</definedName>
    <definedName name="wrn.PRES_OUT2">{"page1",#N/A,FALSE,"PRESENTATION";"page2",#N/A,FALSE,"PRESENTATION";#N/A,#N/A,FALSE,"Valuation Summary"}</definedName>
    <definedName name="wrn.Pres_OUT3">{"page1",#N/A,FALSE,"PRESENTATION";"page2",#N/A,FALSE,"PRESENTATION";#N/A,#N/A,FALSE,"Valuation Summary"}</definedName>
    <definedName name="wrn.PRES_OUT4">{"page1",#N/A,FALSE,"PRESENTATION";"page2",#N/A,FALSE,"PRESENTATION";#N/A,#N/A,FALSE,"Valuation Summary"}</definedName>
    <definedName name="wrn.PRES_OUT5">{"page1",#N/A,FALSE,"PRESENTATION";"page2",#N/A,FALSE,"PRESENTATION";#N/A,#N/A,FALSE,"Valuation Summary"}</definedName>
    <definedName name="wrn.PRES_OUT6">{"page1",#N/A,FALSE,"PRESENTATION";"page2",#N/A,FALSE,"PRESENTATION";#N/A,#N/A,FALSE,"Valuation Summary"}</definedName>
    <definedName name="wrn.PRES_OUT8">{"page1",#N/A,FALSE,"PRESENTATION";"page2",#N/A,FALSE,"PRESENTATION";#N/A,#N/A,FALSE,"Valuation Summary"}</definedName>
    <definedName name="wrn.Presentation.">{#N/A,#N/A,TRUE,"Summary";"AnnualRentRoll",#N/A,TRUE,"RentRoll";#N/A,#N/A,TRUE,"ExitStratigy";#N/A,#N/A,TRUE,"OperatingAssumptions"}</definedName>
    <definedName name="wrn.print.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_.4.">{"Outflow 1",#N/A,FALSE,"Outflows-Inflows";"Outflow 2",#N/A,FALSE,"Outflows-Inflows";"Inflow 1",#N/A,FALSE,"Outflows-Inflows";"Inflow 2",#N/A,FALSE,"Outflows-Inflows"}</definedName>
    <definedName name="wrn.Print._.6.">{"print 1.6",#N/A,FALSE,"Sheet1";"print 2.6",#N/A,FALSE,"Sheet1";"print 3.6",#N/A,FALSE,"Sheet1";"print 4.6",#N/A,FALSE,"Sheet1";"print 5.6",#N/A,FALSE,"Sheet1";"print 6.6",#N/A,FALSE,"Sheet1"}</definedName>
    <definedName name="wrn.Print._.All._.Pages.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>{"cap_structure",#N/A,FALSE,"Graph-Mkt Cap";"price",#N/A,FALSE,"Graph-Price";"ebit",#N/A,FALSE,"Graph-EBITDA";"ebitda",#N/A,FALSE,"Graph-EBITDA"}</definedName>
    <definedName name="wrn.print._.raw._.data._.entry.">{"inputs raw data",#N/A,TRUE,"INPUT"}</definedName>
    <definedName name="wrn.Print._.Report.">{"MPODE 1",#N/A,FALSE,"Scenarios";"CAPEX",#N/A,FALSE,"DEPRECIACIONES";"Trans Costs",#N/A,FALSE,"Transmission";"Trans Revenue",#N/A,FALSE,"Transmission";"Revenues Summary",#N/A,FALSE,"Revenues";"Assumptions General",#N/A,FALSE,"assumptions";"Assumptions Summary",#N/A,FALSE,"assumptions";"Flores 1",#N/A,FALSE,"assumptions";"Tebsa 4",#N/A,FALSE,"assumptions";"Tebsa 7",#N/A,FALSE,"assumptions";"Termoballenas 1",#N/A,FALSE,"assumptions";"Termoballenas 2",#N/A,FALSE,"assumptions";"Termochinu 5",#N/A,FALSE,"assumptions";"Termochinu 6",#N/A,FALSE,"assumptions";"Termochinu 7",#N/A,FALSE,"assumptions";"Termochinu 8",#N/A,FALSE,"assumptions";"Termoguajira 1",#N/A,FALSE,"assumptions";"Termoguajira 2",#N/A,FALSE,"assumptions";"Monetary gain",#N/A,FALSE,"capex &amp; dep";"Income Statement",#N/A,FALSE,"Fin Stmts";"Balance Sheet",#N/A,FALSE,"Fin Stmts";"Cash Flow",#N/A,FALSE,"Fin Stmts";"Labor Personnel\",#N/A,FALSE,"Labor";"TEBSA PPA",#N/A,FALSE,"TEBSA";"Free Cash Flow",#N/A,FALSE,"Valuation";"Valuation",#N/A,FALSE,"Valuation";#N/A,#N/A,FALSE,"Work Cap"}</definedName>
    <definedName name="wrn.print._.standalone.">{"standalone1",#N/A,FALSE,"DCFBase";"standalone2",#N/A,FALSE,"DCFBase"}</definedName>
    <definedName name="wrn.print._.summary._.sheets.">{"summary1",#N/A,TRUE,"Comps";"summary2",#N/A,TRUE,"Comps";"summary3",#N/A,TRUE,"Comps"}</definedName>
    <definedName name="wrn.PRINT1.">{"cf1.xls",#N/A,FALSE,"CF";"cfseg1.xls",#N/A,FALSE,"CF";"REV1.xls",#N/A,FALSE,"Rev";"REVANA1.XLS",#N/A,FALSE,"Rev";"IS1.xls",#N/A,FALSE,"IS";"ISQ1.xls",#N/A,FALSE,"IS"}</definedName>
    <definedName name="wrn.PrintAll.">{"PA1",#N/A,TRUE,"BORDMW";"pa2",#N/A,TRUE,"BORDMW";"PA3",#N/A,TRUE,"BORDMW";"PA4",#N/A,TRUE,"BORDMW"}</definedName>
    <definedName name="wrn.PrintExhibits.">{#N/A,#N/A,TRUE,"Exhibit A1";#N/A,#N/A,TRUE,"Exhibit A2";#N/A,#N/A,TRUE,"Exhibit A3";#N/A,#N/A,TRUE,"Exhibit B - ASO";#N/A,#N/A,TRUE,"Exhibit C - Stop Loss";#N/A,#N/A,TRUE,"Exhibit D - Addl Services"}</definedName>
    <definedName name="wrn.PROFIT_LOSS.">{"רווה_מסכם",#N/A,FALSE,"p&amp;l";"באור_תפעול",#N/A,FALSE,"operation";"באור_מופ",#N/A,FALSE,"R&amp;D";"באור_שיווק",#N/A,FALSE,"M&amp;S";"באור_הנהלה",#N/A,FALSE,"g&amp;a"}</definedName>
    <definedName name="wrn.Projections.">{"Volume",#N/A,FALSE,"volume";"revenue",#N/A,FALSE,"revenue"}</definedName>
    <definedName name="wrn.PropertyInformation.">{#N/A,#N/A,FALSE,"PropertyInfo"}</definedName>
    <definedName name="wrn.PRUD._.QTR._.3.">{#N/A,#N/A,FALSE,"FBS-ASSETS";#N/A,#N/A,FALSE,"FBS-LIAB&amp;SE";#N/A,#N/A,FALSE,"FIS-QTR";#N/A,#N/A,FALSE,"FIS-YTD";#N/A,#N/A,FALSE,"FCF-QTR";#N/A,#N/A,FALSE,"FCF-YTD";#N/A,#N/A,FALSE,"FSE-QTR";#N/A,#N/A,FALSE,"FSE-YTD";#N/A,#N/A,FALSE,"CONSOLIDATING PGS 1";#N/A,#N/A,FALSE,"CONSOLIDATING PGS 2";#N/A,#N/A,FALSE,"ELIMINATIONS"}</definedName>
    <definedName name="wrn.Pump.">{#N/A,#N/A,FALSE,"Assump";#N/A,#N/A,FALSE,"Income";#N/A,#N/A,FALSE,"Balance";#N/A,#N/A,FALSE,"DCF Pump";#N/A,#N/A,FALSE,"Trans Assump";#N/A,#N/A,FALSE,"Combined Income";#N/A,#N/A,FALSE,"Combined Balance"}</definedName>
    <definedName name="wrn.QTRLY.">{"QTRLY1999",#N/A,FALSE,"QTRLY";"QTRLY2000",#N/A,FALSE,"QTRLY";"QTRLY2001",#N/A,FALSE,"QTRLY"}</definedName>
    <definedName name="wrn.Quarterly._.MIFA._.Sheets.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Quarterly._.MIFA._.Sheets.1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Quarterly._.Reports.">{"Nil","Pass1",FALSE,"Rev&amp;OI-Q";"Nil","Pass2",FALSE,"Rev&amp;OI-Q";"Nil","Pass3",FALSE,"Rev&amp;OI-Q";"Nil","Pass1",FALSE,"Summary P&amp;L-Q";"Nil","Pass2",FALSE,"Summary P&amp;L-Q";"Nil","Pass3",FALSE,"Summary P&amp;L-Q";"Nil","Pass1",FALSE,"Bus Seg Summary-Q";"Nil","Pass2",FALSE,"Bus Seg Summary-Q";"Nil","Pass3",FALSE,"Bus Seg Summary-Q";"Nil","Pass1",FALSE,"Bus Seg Detail-Q";"Nil","Pass2",FALSE,"Bus Seg Detail-Q";"Nil","Pass3",FALSE,"Bus Seg Detail-Q";"Nil","Pass1Rev",FALSE,"Unit Detail-Q";"Nil","Pass1OI",FALSE,"Unit Detail-Q";"Nil","Pass2Rev",FALSE,"Unit Detail-Q";"Nil","Pass2OI",FALSE,"Unit Detail-Q";"Nil","Pass3Rev",FALSE,"Unit Detail-Q";"Nil","Pass3OI",FALSE,"Unit Detail-Q"}</definedName>
    <definedName name="wrn.Relevant.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SHEETS.">{#N/A,#N/A,FALSE,"AD_Purch";#N/A,#N/A,FALSE,"Projections";#N/A,#N/A,FALSE,"DCF";#N/A,#N/A,FALSE,"Mkt Val"}</definedName>
    <definedName name="wrn.renewal.">{#N/A,#N/A,FALSE,"Non Medicare Results UC";#N/A,#N/A,FALSE,"Non Medicare Projection UC";#N/A,#N/A,FALSE,"Non Medicare Results BOB";#N/A,#N/A,FALSE,"Non Medicare Projection BOB";#N/A,#N/A,FALSE,"Medicare Risk Results UC";#N/A,#N/A,FALSE,"Medicare Risk Projection UC";#N/A,#N/A,FALSE,"Medicare Risk Results BOB";#N/A,#N/A,FALSE,"Medicare Risk Projection BOB";#N/A,#N/A,FALSE,"Medicare Cost Results UC";#N/A,#N/A,FALSE,"Medicare Cost Projection UC";#N/A,#N/A,FALSE,"Medicare Cost Results BOB";#N/A,#N/A,FALSE,"Medicare Cost Projection BOB";#N/A,#N/A,FALSE,"pmpm";#N/A,#N/A,FALSE,"Trend";#N/A,#N/A,FALSE,"Enrollment by Tier";#N/A,#N/A,FALSE,"Mnthly Mmbershp UC Actives";#N/A,#N/A,FALSE,"Mnthly Mmbershp UC Medicare";#N/A,#N/A,FALSE,"Mnthly Mmbershp BOB Actives";#N/A,#N/A,FALSE,"out_drug";#N/A,#N/A,FALSE,"area_adj";#N/A,#N/A,FALSE,"util_s";#N/A,#N/A,FALSE,"util_p";#N/A,#N/A,FALSE,"Care_Mg";#N/A,#N/A,FALSE,"Large Claims Non Medicare";#N/A,#N/A,FALSE,"Large Claims Medicare";#N/A,#N/A,FALSE,"UC med ctr";#N/A,#N/A,FALSE,"other phys";#N/A,#N/A,FALSE,"util_admit nmed";#N/A,#N/A,FALSE,"util_admit medr";#N/A,#N/A,FALSE,"util_admit_medc";#N/A,#N/A,FALSE,"util_clms nmed";#N/A,#N/A,FALSE,"util_clms medr";#N/A,#N/A,FALSE,"util_clms_medc";#N/A,#N/A,FALSE,"cap_nmed";#N/A,#N/A,FALSE,"cap_med";#N/A,#N/A,FALSE,"cap_medc";#N/A,#N/A,FALSE,"rx_nmed_uc";#N/A,#N/A,FALSE,"mo_nmed";#N/A,#N/A,FALSE,"rx_med_uc";#N/A,#N/A,FALSE,"mo_med_uc";#N/A,#N/A,FALSE,"rx_diag_uc";#N/A,#N/A,FALSE,"rx_diag_med_uc";#N/A,#N/A,FALSE,"GHAA";#N/A,#N/A,FALSE,"HEDIS"}</definedName>
    <definedName name="wrn.report.">{#N/A,#N/A,FALSE,"ValSum";#N/A,#N/A,FALSE,"Market Multiple";#N/A,#N/A,FALSE,"Multiple Analysis";#N/A,#N/A,FALSE,"Representative Levels";#N/A,#N/A,FALSE,"SCF - BS";#N/A,#N/A,FALSE,"SCF - IS";#N/A,#N/A,FALSE,"SCF - CFA";#N/A,#N/A,FALSE,"Market Info1";#N/A,#N/A,FALSE,"Market Info2";#N/A,#N/A,FALSE,"Operating Data";#N/A,#N/A,FALSE,"Balance Sheet Ratios";#N/A,#N/A,FALSE,"Financial";#N/A,#N/A,FALSE,"Trend";#N/A,#N/A,FALSE,"Rankings"}</definedName>
    <definedName name="wrn.Report1.">{#N/A,#N/A,FALSE,"July 95";#N/A,#N/A,FALSE,"Aug 95";#N/A,#N/A,FALSE,"Sep 95";#N/A,#N/A,FALSE,"October 95";#N/A,#N/A,FALSE,"November 95";#N/A,#N/A,FALSE,"December 95";#N/A,#N/A,FALSE,"February 96";#N/A,#N/A,FALSE,"March 96"}</definedName>
    <definedName name="wrn.Restricted._.Rpts.">{"RptRY",#N/A,FALSE,"CDGy";"RptRQ",#N/A,FALSE,"CDGq";"RptRM",#N/A,FALSE,"CDGm"}</definedName>
    <definedName name="wrn.ReviewPack.">{#N/A,#N/A,FALSE,"PCS";#N/A,#N/A,FALSE,"Market Info1";#N/A,#N/A,FALSE,"Market Info2";#N/A,#N/A,FALSE,"Operating Data";#N/A,#N/A,FALSE,"Balance Sheet Ratios";#N/A,#N/A,FALSE,"Financial";#N/A,#N/A,FALSE,"Trend";#N/A,#N/A,FALSE,"Rankings";#N/A,#N/A,FALSE,"Wage Analysis";#N/A,#N/A,FALSE,"SCF - BS";#N/A,#N/A,FALSE,"SCF - IS";#N/A,#N/A,FALSE,"SCF - CFA";#N/A,#N/A,FALSE,"Volatility";#N/A,#N/A,FALSE,"Option Analysis";#N/A,#N/A,FALSE,"Representative Levels";#N/A,#N/A,FALSE,"ValSum";#N/A,#N/A,FALSE,"Market Multiple";#N/A,#N/A,FALSE,"Multiple Analysis";#N/A,#N/A,FALSE,"Market Changes"}</definedName>
    <definedName name="wrn.ReviewPackBrief.">{#N/A,#N/A,FALSE,"Market Info1";#N/A,#N/A,FALSE,"Market Info2";#N/A,#N/A,FALSE,"PCS";#N/A,#N/A,FALSE,"Operating Data";#N/A,#N/A,FALSE,"Balance Sheet Ratios";#N/A,#N/A,FALSE,"Financial";#N/A,#N/A,FALSE,"Trend";#N/A,#N/A,FALSE,"Rankings";#N/A,#N/A,FALSE,"Market Changes";#N/A,#N/A,FALSE,"Other Analysis"}</definedName>
    <definedName name="wrn.Revs.">{"Base_rev",#N/A,FALSE,"Proj_IS_Base";"Projrev",#N/A,FALSE,"Proj_IS_wOTLC";"Delta",#N/A,FALSE,"Delta Rev_PV"}</definedName>
    <definedName name="wrn.sales.">{"sales",#N/A,FALSE,"Sales";"sales existing",#N/A,FALSE,"Sales";"sales rd1",#N/A,FALSE,"Sales";"sales rd2",#N/A,FALSE,"Sales"}</definedName>
    <definedName name="wrn.Sales._.Pres.">{#N/A,#N/A,TRUE,"Cost Comparison";#N/A,#N/A,TRUE,"Plan Design"}</definedName>
    <definedName name="wrn.SalesMarginPages.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alesMarginPages.1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ANDSQUARTERLY.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rn.SCIOH.">{#N/A,#N/A,FALSE,"TOTOH";#N/A,#N/A,FALSE,"TOTMFG";#N/A,#N/A,FALSE,"DEPT31";#N/A,#N/A,FALSE,"DEPT35";#N/A,#N/A,FALSE,"DEPT55";#N/A,#N/A,FALSE,"DEPT62";#N/A,#N/A,FALSE,"DEPT95"}</definedName>
    <definedName name="wrn.sdi.">{#N/A,#N/A,FALSE,"Customer Base";#N/A,#N/A,FALSE,"Workforce";#N/A,#N/A,FALSE,"cur prod";#N/A,#N/A,FALSE,"in-proc";#N/A,#N/A,FALSE,"Trademark"}</definedName>
    <definedName name="wrn.SEGSCH.">{#N/A,#N/A,FALSE,"SEGINC";#N/A,#N/A,FALSE,"INTINCEXP";#N/A,#N/A,FALSE,"SEGSALE";#N/A,#N/A,FALSE,"IDENTASSETS"}</definedName>
    <definedName name="wrn.SHORT.">{"CREDIT STATISTICS",#N/A,FALSE,"STATS";"CF_AND_IS",#N/A,FALSE,"PLAN";"BALSHEET",#N/A,FALSE,"BALANCE SHEET"}</definedName>
    <definedName name="wrn.Short._.Print.">{#N/A,#N/A,FALSE,"Cover";#N/A,#N/A,FALSE,"Stack";#N/A,#N/A,FALSE,"Cost S";#N/A,#N/A,FALSE," CF";#N/A,#N/A,FALSE,"Investor"}</definedName>
    <definedName name="wrn.SKSCS1.">{#N/A,#N/A,FALSE,"Antony Financials";#N/A,#N/A,FALSE,"Cowboy Financials";#N/A,#N/A,FALSE,"Combined";#N/A,#N/A,FALSE,"Valuematrix";#N/A,#N/A,FALSE,"DCFAntony";#N/A,#N/A,FALSE,"DCFCowboy";#N/A,#N/A,FALSE,"DCFCombined"}</definedName>
    <definedName name="wrn.Staffing.">{#N/A,#N/A,FALSE,"Assessment";#N/A,#N/A,FALSE,"Staffing";#N/A,#N/A,FALSE,"Hires";#N/A,#N/A,FALSE,"Assumptions"}</definedName>
    <definedName name="wrn.Staffing1">{#N/A,#N/A,FALSE,"Assessment";#N/A,#N/A,FALSE,"Staffing";#N/A,#N/A,FALSE,"Hires";#N/A,#N/A,FALSE,"Assumptions"}</definedName>
    <definedName name="wrn.STAND_ALONE_BOTH.">{"FCB_ALL",#N/A,FALSE,"FCB";"GREY_ALL",#N/A,FALSE,"GREY"}</definedName>
    <definedName name="wrn.Stanford._.Experience.">{"TOP",#N/A,TRUE,"TRIPLE OPTION EXPERIENCE";"actives",#N/A,TRUE,"TRIPLE OPTION EXPERIENCE";"experience",#N/A,TRUE,"TRIPLE OPTION EXPERIENCE";"Outacomp",#N/A,TRUE,"FEE FOR SERVICE EXPERIENCE ";"Outacomp",#N/A,TRUE,"FEE FOR SERVICE EXPERIENCE ";"Outret",#N/A,TRUE,"FEE FOR SERVICE EXPERIENCE ";"Outact",#N/A,TRUE,"FEE FOR SERVICE EXPERIENCE ";"OutRcomp",#N/A,TRUE,"FEE FOR SERVICE EXPERIENCE ";"Outact",#N/A,TRUE,"FEE FOR SERVICE EXPERIENCE ";"OutRcomp",#N/A,TRUE,"FEE FOR SERVICE EXPERIENCE ";"Outret",#N/A,TRUE,"FEE FOR SERVICE EXPERIENCE ";"actives",#N/A,TRUE,"TRIPLE OPTION EXPERIENCE";"TOP",#N/A,TRUE,"TRIPLE OPTION EXPERIENCE"}</definedName>
    <definedName name="wrn.sum.">{"Opsys",#N/A,FALSE,"NPV_OPsys";"NT",#N/A,FALSE,"NPV_NT";"DevP",#N/A,FALSE,"NPV_DevPdt";"Office",#N/A,FALSE,"NPV_Office"}</definedName>
    <definedName name="wrn.SUMMARY.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.Presentation.">{#N/A,#N/A,FALSE,"Financial Statements";#N/A,#N/A,FALSE,"MM FA &amp; Multiples";#N/A,#N/A,FALSE,"Preliminary Valuation";#N/A,#N/A,FALSE,"WACC"}</definedName>
    <definedName name="wrn.summaryANDbackup.">{#N/A,#N/A,FALSE,"Prem_Sum";#N/A,#N/A,FALSE,"Prem"}</definedName>
    <definedName name="wrn.SummaryPgs.">{#N/A,#N/A,FALSE,"CreditStat";#N/A,#N/A,FALSE,"SPbrkup";#N/A,#N/A,FALSE,"MerSPsyn";#N/A,#N/A,FALSE,"MerSPwKCsyn";#N/A,#N/A,FALSE,"MerSPwKCsyn (2)";#N/A,#N/A,FALSE,"CreditStat (2)"}</definedName>
    <definedName name="wrn.TARGET._.DCF.">{"targetdcf",#N/A,FALSE,"Merger consequences";"TARGETASSU",#N/A,FALSE,"Merger consequences";"TERMINAL VALUE",#N/A,FALSE,"Merger consequences"}</definedName>
    <definedName name="wrn.tel2.">{#N/A,#N/A,FALSE,"FS_Summary";#N/A,#N/A,FALSE,"Tel_Summary";#N/A,#N/A,FALSE,"Tomahawk";#N/A,#N/A,FALSE,"Medical Marketing";#N/A,#N/A,FALSE,"DIMAC";#N/A,#N/A,FALSE,"Epsilon";#N/A,#N/A,FALSE,"Direct";#N/A,#N/A,FALSE,"DIMAC(2)"}</definedName>
    <definedName name="wrn.telem.">{#N/A,#N/A,FALSE,"FS_Summary";#N/A,#N/A,FALSE,"Tomahawk";#N/A,#N/A,FALSE,"Medical Marketing";#N/A,#N/A,FALSE,"Epsilon";#N/A,#N/A,FALSE,"DIMAC";#N/A,#N/A,FALSE,"Direct";#N/A,#N/A,FALSE,"DIMAC(2)"}</definedName>
    <definedName name="wrn.test.">{"Cash Flow",#N/A,FALSE,"Cash Flow"}</definedName>
    <definedName name="wrn.todo.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wrn.TOOL.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Presentation.">{#N/A,#N/A,TRUE,"Financial Statements";#N/A,#N/A,TRUE,"Normalized Salaries";#N/A,#N/A,TRUE,"Valuation";#N/A,#N/A,TRUE,"Beta, Wd, We and Excess WC";#N/A,#N/A,TRUE,"WACC";#N/A,#N/A,TRUE,"MM FA &amp; Multiples"}</definedName>
    <definedName name="wrn.total._.year.">{#N/A,#N/A,FALSE,"2003_Input - P&amp;L"}</definedName>
    <definedName name="wrn.TransPrcd_123.">{#N/A,#N/A,TRUE,"TransPrcd 1";#N/A,#N/A,TRUE,"TransPrcd 2";#N/A,#N/A,TRUE,"TransPrcd 3"}</definedName>
    <definedName name="wrn.Tweety.">{#N/A,#N/A,FALSE,"A&amp;E";#N/A,#N/A,FALSE,"HighTop";#N/A,#N/A,FALSE,"JG";#N/A,#N/A,FALSE,"RI";#N/A,#N/A,FALSE,"woHT";#N/A,#N/A,FALSE,"woHT&amp;JG"}</definedName>
    <definedName name="wrn.Tycon._.Model.">{"rtn",#N/A,FALSE,"RTN";"tables",#N/A,FALSE,"RTN";"cf",#N/A,FALSE,"CF";"stats",#N/A,FALSE,"Stats";"prop",#N/A,FALSE,"Prop"}</definedName>
    <definedName name="wrn.Typhoon.">{"Agg Output",#N/A,FALSE,"Operational Drivers Output";"NW Output",#N/A,FALSE,"Operational Drivers Output";"South Output",#N/A,FALSE,"Operational Drivers Output";"Central Output",#N/A,FALSE,"Operational Drivers Output"}</definedName>
    <definedName name="wrn.upstairs.">{"histincome",#N/A,FALSE,"hyfins";"closing balance",#N/A,FALSE,"hyfins"}</definedName>
    <definedName name="wrn.VALUATION.">{#N/A,#N/A,FALSE,"Pooling";#N/A,#N/A,FALSE,"income";#N/A,#N/A,FALSE,"valuation"}</definedName>
    <definedName name="wrn.Valuation._.Worksheets.">{#N/A,#N/A,FALSE,"ID Page";#N/A,#N/A,FALSE,"Index";#N/A,#N/A,FALSE,"Assumptions";#N/A,#N/A,FALSE,"Equity Summary";#N/A,#N/A,FALSE,"Market";#N/A,#N/A,FALSE,"Description (Comps)";#N/A,#N/A,FALSE,"Comp Ratios";#N/A,#N/A,FALSE,"Sim Tran";#N/A,#N/A,FALSE,"Description (Sim Tran)";#N/A,#N/A,FALSE,"WACC";#N/A,#N/A,FALSE,"Income St";#N/A,#N/A,FALSE,"Balance Sheet";#N/A,#N/A,FALSE,"Working Capital";#N/A,#N/A,FALSE,"WC Trend (1)";#N/A,#N/A,FALSE,"WC trend (2)";#N/A,#N/A,FALSE,"Intangibles Indication"}</definedName>
    <definedName name="wrn.Wacc.">{"Area1",#N/A,FALSE,"OREWACC";"Area2",#N/A,FALSE,"OREWACC"}</definedName>
    <definedName name="wrn.WACHOVIA._.QTR._.5.">{#N/A,#N/A,FALSE,"FBS-ASSETS";#N/A,#N/A,FALSE,"FBS-LIAB&amp;SE";#N/A,#N/A,FALSE,"FIS-QTR";#N/A,#N/A,FALSE,"FIS-YTD";#N/A,#N/A,FALSE,"FCF-QTR";#N/A,#N/A,FALSE,"FCF-YTD";#N/A,#N/A,FALSE,"FSE-QTR";#N/A,#N/A,FALSE,"FSE-YTD"}</definedName>
    <definedName name="wrn.WARCO._.ALPHA.">{#N/A,#N/A,FALSE,"WARCO";#N/A,#N/A,FALSE,"ALPHA"}</definedName>
    <definedName name="wrn.Web._.Portfolio._.Companies._.June._.2000.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wrn.WHOLE.">{#N/A,#N/A,FALSE,"assumptions";#N/A,#N/A,FALSE,"contrib_annual";#N/A,#N/A,FALSE,"historic";#N/A,#N/A,FALSE,"Proforma";#N/A,#N/A,FALSE,"CALENDARIZED";#N/A,#N/A,FALSE,"Has_gets";#N/A,#N/A,FALSE,"DILUTION"}</definedName>
    <definedName name="wrn.wicor.">{#N/A,#N/A,FALSE,"FACTSHEETS";#N/A,#N/A,FALSE,"pump";#N/A,#N/A,FALSE,"filter"}</definedName>
    <definedName name="wrn.Workpapers.">{"Cash Flow Input - Legal",#N/A,FALSE,"Sep 98";"Net Income Adj - Legal",#N/A,FALSE,"Sep 98";"Working Cap Adj - Legal",#N/A,FALSE,"Sep 98";"Equity - Legal",#N/A,FALSE,"Sep 98"}</definedName>
    <definedName name="wrn.YE._.ADDITIONAL._.INFO.">{#N/A,#N/A,FALSE,"FBS-ASSETS";#N/A,#N/A,FALSE,"FBS-LIAB&amp;SE";#N/A,#N/A,FALSE,"FIS-YTD";#N/A,#N/A,FALSE,"FCF-YTD";#N/A,#N/A,FALSE,"FSE-YTD";#N/A,#N/A,FALSE,"CONSOLIDATING PGS 1";#N/A,#N/A,FALSE,"CONSOLIDATING PGS 2";#N/A,#N/A,FALSE,"ELIMINATIONS"}</definedName>
    <definedName name="wrn.YE._.BANK._.COV._.PG.">{#N/A,#N/A,FALSE,"YE BK COV PG"}</definedName>
    <definedName name="wrn.YE._.FINANCIAL._.STAT.">{#N/A,#N/A,FALSE,"FBS-ASSETS";#N/A,#N/A,FALSE,"FBS-LIAB&amp;SE";#N/A,#N/A,FALSE,"FIS-YTD";#N/A,#N/A,FALSE,"FCF-YTD";#N/A,#N/A,FALSE,"FSE-YTD"}</definedName>
    <definedName name="wrn.Yearly._.Reports.">{"CashFlow","Nil",FALSE,"Yearly Reports-Y";"Revenue_OI","Nil",FALSE,"Yearly Reports-Y";"MTVNChannelComp","Nil",FALSE,"Yearly Reports-Y"}</definedName>
    <definedName name="wrn.דוח_מרכז.">{"רווח והפסד",#N/A,FALSE,"תכנית לבנק (2)";"באור_ראשון",#N/A,FALSE,"תכנית לבנק (2)";"באור_שני",#N/A,FALSE,"תכנית לבנק (2)";"מכירות",#N/A,FALSE,"SALES"}</definedName>
    <definedName name="wrn.הערות._.רבעון._.3.">{"הערות",#N/A,FALSE,"תקציב מול ביצוע (2)"}</definedName>
    <definedName name="wrn.השקעות.">{"השקעות",#N/A,FALSE,"investments";"מפעל חדש",#N/A,FALSE,"nf"}</definedName>
    <definedName name="wrn.טבלאות_עזר.">{"ניסוי_אירופה",#N/A,FALSE,"ct-eu";"ניסוי_ארהב",#N/A,FALSE,"ct-us";"רמות",#N/A,FALSE,"RAMOT";"יועצי_מופ",#N/A,FALSE,"r&amp;d_consultants";"יועצים",#N/A,FALSE,"r&amp;d_subcontractors";"הוצאות_רכב",#N/A,FALSE,"car+phone"}</definedName>
    <definedName name="wrn.מאזן.">{"מאזן",#N/A,FALSE,"מאזן בוחן"}</definedName>
    <definedName name="wrn.מאזן_בוחן_כללי.">{#N/A,#N/A,FALSE,"מאזן בוחן";"כל_מאזן_בוחן",#N/A,FALSE,"מאזן בוחן"}</definedName>
    <definedName name="wrn.מופ.">{"באור_מופ",#N/A,FALSE,"R&amp;D";"מופ_לפי_מוצרים",#N/A,FALSE,"R&amp;D"}</definedName>
    <definedName name="wrn.סעיפי_מאזן_בוחן.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.רווה.">{"רווה",#N/A,FALSE,"מאזן בוחן"}</definedName>
    <definedName name="wrn.רווה_לפי_מוצרים.">{"ossix",#N/A,FALSE,"ossix";"דרמיקול",#N/A,FALSE,"dermicol";"reflux",#N/A,FALSE,"reflux";"מופ_לפי_מוצרים",#N/A,FALSE,"R&amp;D"}</definedName>
    <definedName name="wrn.שכר_כולל.">{"שכר_כללי",#N/A,FALSE,"sal_total";"שכר_ייצור1",#N/A,FALSE,"operation_sal";"שכר_ייצור2",#N/A,FALSE,"operation_sal";"שכר_מופ1",#N/A,FALSE,"r&amp;d_sal";"שכר_מופ2",#N/A,FALSE,"r&amp;d_sal";"שכר_שיווק",#N/A,FALSE,"s&amp;m_sal";"שכר_הנהלה",#N/A,FALSE,"G&amp;A_SAL"}</definedName>
    <definedName name="wrn.תזרים.">{"תזרים",#N/A,FALSE,"cf"}</definedName>
    <definedName name="wrn_eva">{"EVA",#N/A,FALSE,"EVA";"WACC",#N/A,FALSE,"WACC"}</definedName>
    <definedName name="wrn_otpt">{"DCF","UPSIDE CASE",FALSE,"Sheet1";"DCF","BASE CASE",FALSE,"Sheet1";"DCF","DOWNSIDE CASE",FALSE,"Sheet1"}</definedName>
    <definedName name="WRN1.ALL">{#N/A,#N/A,FALSE,"RH1";#N/A,#N/A,FALSE,"SP2";#N/A,#N/A,FALSE,"MB3";#N/A,#N/A,FALSE,"WV5";#N/A,#N/A,FALSE,"LB6";#N/A,#N/A,FALSE,"NB7";#N/A,#N/A,FALSE,"MV8";#N/A,#N/A,FALSE,"ALL STORES (7)";#N/A,#N/A,FALSE,"MATURE STORES (3)";#N/A,#N/A,FALSE,"BASE STORES (5)";#N/A,#N/A,FALSE,"NEW STORES (2)"}</definedName>
    <definedName name="wvu.Final._.Day._.1.">{TRUE,TRUE,-1.25,-15.5,604.5,369.75,FALSE,TRUE,TRUE,TRUE,0,1,5,1,7,4,6,4,TRUE,TRUE,3,TRUE,1,TRUE,100,"Swvu.Final._.Day._.1.","ACwvu.Final._.Day._.1.",#N/A,FALSE,FALSE,0,0,0.65,0,2,"&amp;C&amp;""Arial Rounded MT Bold,Bold""&amp;16Simon and Schuster
Consumer Group
Daily Sales Summary","",TRUE,FALSE,FALSE,FALSE,1,#N/A,1,1,"=R1C1:R46C26",FALSE,"Rwvu.Final._.Day._.1.",#N/A,FALSE,FALSE,FALSE,1,#N/A,#N/A,FALSE,FALSE,TRUE,TRUE,TRUE}</definedName>
    <definedName name="wvu.Final._.Day._.2.">{TRUE,TRUE,-1.25,-15.5,604.5,369.75,FALSE,TRUE,TRUE,TRUE,0,1,5,1,7,4,6,4,TRUE,TRUE,3,TRUE,1,TRUE,100,"Swvu.Final._.Day._.1.","ACwvu.Final._.Day._.1.",#N/A,FALSE,FALSE,0,0,0.65,0,2,"&amp;C&amp;""Arial Rounded MT Bold,Bold""&amp;16Simon and Schuster
Consumer Group
Daily Sales Summary","",TRUE,FALSE,FALSE,FALSE,1,#N/A,1,1,"=R1C1:R46C26",FALSE,"Rwvu.Final._.Day._.1.",#N/A,FALSE,FALSE,FALSE,1,#N/A,#N/A,FALSE,FALSE,TRUE,TRUE,TRUE}</definedName>
    <definedName name="wvu.Full.">{TRUE,TRUE,-1.25,-15.5,604.5,369.75,FALSE,TRUE,TRUE,TRUE,0,1,5,1,7,4,6,4,TRUE,TRUE,3,TRUE,1,TRUE,100,"Swvu.Full.","ACwvu.Full.",#N/A,FALSE,FALSE,0,0,0.65,0,2,"&amp;C&amp;""Arial Rounded MT Bold,Bold""&amp;16Simon and Schuster
Consumer Group
Daily Sales Summary","",TRUE,FALSE,FALSE,FALSE,1,#N/A,1,1,"=R1C1:R46C26",FALSE,"Rwvu.Full.",#N/A,FALSE,FALSE,FALSE,1,#N/A,#N/A,FALSE,FALSE,TRUE,TRUE,TRUE}</definedName>
    <definedName name="wvu.Full2.">{TRUE,TRUE,-1.25,-15.5,604.5,369.75,FALSE,TRUE,TRUE,TRUE,0,1,5,1,7,4,6,4,TRUE,TRUE,3,TRUE,1,TRUE,100,"Swvu.Full.","ACwvu.Full.",#N/A,FALSE,FALSE,0,0,0.65,0,2,"&amp;C&amp;""Arial Rounded MT Bold,Bold""&amp;16Simon and Schuster
Consumer Group
Daily Sales Summary","",TRUE,FALSE,FALSE,FALSE,1,#N/A,1,1,"=R1C1:R46C26",FALSE,"Rwvu.Full.",#N/A,FALSE,FALSE,FALSE,1,#N/A,#N/A,FALSE,FALSE,TRUE,TRUE,TRUE}</definedName>
    <definedName name="wvu.inputs._.raw._.data.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.Rele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x">{#N/A,#N/A,FALSE,"FY97";#N/A,#N/A,FALSE,"FY98";#N/A,#N/A,FALSE,"FY99";#N/A,#N/A,FALSE,"FY00";#N/A,#N/A,FALSE,"FY01"}</definedName>
    <definedName name="xcxzc">{#N/A,#N/A,FALSE,"AD_Purchase";#N/A,#N/A,FALSE,"Credit";#N/A,#N/A,FALSE,"PF Acquisition";#N/A,#N/A,FALSE,"PF Offering"}</definedName>
    <definedName name="XRefColumnsCount">15</definedName>
    <definedName name="XRefCopyRangeCount">10</definedName>
    <definedName name="XRefPasteRangeCount">14</definedName>
    <definedName name="xx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xxx">{#N/A,#N/A,FALSE,"2003_Input - P&amp;L"}</definedName>
    <definedName name="xxxx">{#N/A,#N/A,FALSE,"Inc. Statement";#N/A,#N/A,FALSE,"Balance Sheet";#N/A,#N/A,FALSE,"Cash Flow";#N/A,#N/A,FALSE,"Manufacturing";#N/A,#N/A,FALSE,"Quality";#N/A,#N/A,FALSE,"Sales";#N/A,#N/A,FALSE,"Marketing";#N/A,#N/A,FALSE,"R &amp; D";#N/A,#N/A,FALSE,"G &amp; A";#N/A,#N/A,FALSE,"Prof. Fees";#N/A,#N/A,FALSE,"Mfg. Wages";#N/A,#N/A,FALSE,"Mfg. Salaries";#N/A,#N/A,FALSE,"Quality Salaries";#N/A,#N/A,FALSE,"Sales Salaries";#N/A,#N/A,FALSE,"Mktg. Salaries";#N/A,#N/A,FALSE,"R &amp; D Salaries";#N/A,#N/A,FALSE,"G &amp; A Salaries"}</definedName>
    <definedName name="YEAH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AHRIGHT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hn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youh">{#N/A,#N/A,FALSE,"AD_Purchase";#N/A,#N/A,FALSE,"Credit";#N/A,#N/A,FALSE,"PF Acquisition";#N/A,#N/A,FALSE,"PF Offering"}</definedName>
    <definedName name="yu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yyy">{#N/A,#N/A,FALSE,"Inc. Statement";#N/A,#N/A,FALSE,"Balance Sheet";#N/A,#N/A,FALSE,"Cash Flow";#N/A,#N/A,FALSE,"Manufacturing";#N/A,#N/A,FALSE,"Quality";#N/A,#N/A,FALSE,"Sales";#N/A,#N/A,FALSE,"Marketing";#N/A,#N/A,FALSE,"R &amp; D";#N/A,#N/A,FALSE,"G &amp; A";#N/A,#N/A,FALSE,"Prof. Fees";#N/A,#N/A,FALSE,"Mfg. Wages";#N/A,#N/A,FALSE,"Mfg. Salaries";#N/A,#N/A,FALSE,"Quality Salaries";#N/A,#N/A,FALSE,"Sales Salaries";#N/A,#N/A,FALSE,"Mktg. Salaries";#N/A,#N/A,FALSE,"R &amp; D Salaries";#N/A,#N/A,FALSE,"G &amp; A Salaries"}</definedName>
    <definedName name="z">{#N/A,#N/A,FALSE,"Projections";#N/A,#N/A,FALSE,"Multiples Valuation";#N/A,#N/A,FALSE,"LBO";#N/A,#N/A,FALSE,"Multiples_Sensitivity";#N/A,#N/A,FALSE,"Summary"}</definedName>
    <definedName name="Z_75377209_DBB4_11D2_9AEC_0060B0EF0290_.wvu.Cols">#REF!,#REF!</definedName>
    <definedName name="Z_7537720D_DBB4_11D2_9AEC_0060B0EF0290_.wvu.Cols">#REF!,#REF!</definedName>
    <definedName name="Z_9118CF73_A0E0_408F_82FC_D7B84F445576_.wvu.Rows">#REF!,#REF!</definedName>
    <definedName name="Z_A34462A5_C2B0_11D2_9AD9_0060B0EF0290_.wvu.Cols">#REF!,#REF!</definedName>
    <definedName name="Z_A34462AD_C2B0_11D2_9AD9_0060B0EF0290_.wvu.Cols">#REF!,#REF!</definedName>
    <definedName name="Z_A34462B6_C2B0_11D2_9AD9_0060B0EF0290_.wvu.Cols">#REF!,#REF!</definedName>
    <definedName name="Z_A34462BE_C2B0_11D2_9AD9_0060B0EF0290_.wvu.Cols">#REF!,#REF!</definedName>
    <definedName name="Z_A34462C7_C2B0_11D2_9AD9_0060B0EF0290_.wvu.Cols">#REF!,#REF!</definedName>
    <definedName name="Z_A34462CF_C2B0_11D2_9AD9_0060B0EF0290_.wvu.Cols">#REF!,#REF!</definedName>
    <definedName name="zcvqa">{#N/A,#N/A,FALSE,"AD_Purchase";#N/A,#N/A,FALSE,"Credit";#N/A,#N/A,FALSE,"PF Acquisition";#N/A,#N/A,FALSE,"PF Offering"}</definedName>
    <definedName name="zcvzaa">{#N/A,#N/A,FALSE,"Debt Accr";#N/A,#N/A,FALSE,"Stock Accr";#N/A,#N/A,FALSE,"Debt Stock Accr"}</definedName>
    <definedName name="zcxzxva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zscz">{#N/A,#N/A,FALSE,"Pooling";#N/A,#N/A,FALSE,"income";#N/A,#N/A,FALSE,"valuation"}</definedName>
    <definedName name="zx">{#N/A,#N/A,FALSE,"AD_Purchase";#N/A,#N/A,FALSE,"Credit";#N/A,#N/A,FALSE,"PF Acquisition";#N/A,#N/A,FALSE,"PF Offering"}</definedName>
    <definedName name="zxcc">{#N/A,#N/A,FALSE,"Projections";#N/A,#N/A,FALSE,"Contribution_Stock";#N/A,#N/A,FALSE,"PF_Combo_Stock";#N/A,#N/A,FALSE,"Projections";#N/A,#N/A,FALSE,"Contribution_Cash";#N/A,#N/A,FALSE,"PF_Combo_Cash";#N/A,#N/A,FALSE,"IPO_Cash"}</definedName>
    <definedName name="zzz.com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אאא">{#N/A,#N/A,FALSE,"מאזן בוחן";"כל_מאזן_בוחן",#N/A,FALSE,"מאזן בוחן"}</definedName>
    <definedName name="בככ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Med_MDC_amb_paid_05_prior">#REF!</definedName>
    <definedName name="BOB_Med_paid_amt_lab_serv_prior">#REF!</definedName>
    <definedName name="sum_paid_class_D_curr">#REF!</definedName>
    <definedName name="AHF_Med_fund_paid_amt_home_health_curr">#REF!</definedName>
    <definedName name="aex_tier2_paid_amt_tot_prior">#REF!</definedName>
    <definedName name="AHF_Med_fund_paid_amt_male_0_19_curr">#REF!</definedName>
    <definedName name="aex_OON_Util_radiology_services_curr">#REF!</definedName>
    <definedName name="Item6">#REF!</definedName>
    <definedName name="Medicare_Billed_female_mem_85_over_prior">#REF!</definedName>
    <definedName name="dental_not_medically_necess_out_network_prior">#REF!</definedName>
    <definedName name="ahf_termed_tier2_emp_24_1_spend_curr">#REF!</definedName>
    <definedName name="FDP_67_1_aUrv">#REF!</definedName>
    <definedName name="Rx_AHF_num_employees_curr">#REF!</definedName>
    <definedName name="Med_par_phys_office_visits_count_curr">#REF!</definedName>
    <definedName name="e3e">#REF!</definedName>
    <definedName name="ONYX19970501222155">#REF!</definedName>
    <definedName name="EIRCELL">#REF!</definedName>
    <definedName name="Med_MDC_cd_04_curr">#REF!</definedName>
    <definedName name="Med_MDC_cd_10_curr">#REF!</definedName>
    <definedName name="Stat5">#REF!</definedName>
    <definedName name="dental_paid_ben_out_network_curr">#REF!</definedName>
    <definedName name="NetIncMargin">#REF!</definedName>
    <definedName name="aex_OON_Util_er_visits_curr">#REF!</definedName>
    <definedName name="FYE1Other3">#REF!</definedName>
    <definedName name="_Sortb">#REF!</definedName>
    <definedName name="AHF_Med_paid_amt_prim_phys_curr">#REF!</definedName>
    <definedName name="BOB_Med_MDC_days_999_curr">#REF!</definedName>
    <definedName name="Med_unknown_mem_0_19_curr">#REF!</definedName>
    <definedName name="High3">#REF!</definedName>
    <definedName name="Med_billed_amt_home_health_curr">#REF!</definedName>
    <definedName name="ahf_rx_num_gen_subst_claims_y_prior">#REF!</definedName>
    <definedName name="aex_Tier3_Util_med_services_visits_curr">#REF!</definedName>
    <definedName name="FinancialOverviewCurr._6">#REF!</definedName>
    <definedName name="adf_tier2_cr_claim_paid_with_cr_funds_curr">#REF!</definedName>
    <definedName name="BOB_Med_MDC_amb_paid_11_curr">#REF!</definedName>
    <definedName name="Rx_female_mem_65_over_prior">#REF!</definedName>
    <definedName name="Dental_paid_amt_curr">#REF!</definedName>
    <definedName name="sum_specialty_non_brand_formulary_plan_paid_amt_curr">#REF!</definedName>
    <definedName name="aex_Tier3_paid_amt_er_visits_curr">#REF!</definedName>
    <definedName name="sum_specialty_calc_ing_cost_amt_curr">#REF!</definedName>
    <definedName name="FDP_49_1_aUrv">#REF!</definedName>
    <definedName name="_">#REF!</definedName>
    <definedName name="IQRTowersCompTemplateX39">#REF!</definedName>
    <definedName name="Med_paid_amt_spec_office_visits_prior">#REF!</definedName>
    <definedName name="Med_months_prior">#REF!</definedName>
    <definedName name="__MUM16">#REF!</definedName>
    <definedName name="aex_inp_Tier1_admits_02_curr">#REF!</definedName>
    <definedName name="e1e">#REF!</definedName>
    <definedName name="AHF_Med_fund_paid_amt_medical_misc_curr">#REF!</definedName>
    <definedName name="_Regression_X">#REF!</definedName>
    <definedName name="sum_paid_class_K_prior">#REF!</definedName>
    <definedName name="FYE1Other1">#REF!</definedName>
    <definedName name="Medicare_Billed_male_mem_65_69_curr">#REF!</definedName>
    <definedName name="CapExMargin">#REF!</definedName>
    <definedName name="num_util_members_prior">#REF!</definedName>
    <definedName name="AHF_Med_female_mem_45_64_curr">#REF!</definedName>
    <definedName name="BOB_Med_deductible_amt_prior">#REF!</definedName>
    <definedName name="_Low8">#REF!</definedName>
    <definedName name="Med_MDC_paid_20_prior">#REF!</definedName>
    <definedName name="BOB_Med_unknown_mem_20_44_curr">#REF!</definedName>
    <definedName name="aex_Tier2_Util_total_curr">#REF!</definedName>
    <definedName name="SI_Executive_Summary_Page_NoData_Text">#REF!</definedName>
    <definedName name="adf_termed_tier4_active_employee_curr">#REF!</definedName>
    <definedName name="aex_inp_OON_admits_05_curr">#REF!</definedName>
    <definedName name="Med_num_employees_curr">#REF!</definedName>
    <definedName name="aex_Tier2_Util_mental_health_visits_curr">#REF!</definedName>
    <definedName name="num_claims_class_Q_curr">#REF!</definedName>
    <definedName name="Product_56_members">#REF!</definedName>
    <definedName name="Med_MDC_amb_billed_11_prior">#REF!</definedName>
    <definedName name="Sav_Benefit_Dental_Range">#REF!</definedName>
    <definedName name="dental_elig_denials_in_network_curr">#REF!</definedName>
    <definedName name="Med_MDC_cd_18_curr">#REF!</definedName>
    <definedName name="aex_Amb_Tier1_claimants_10_curr">#REF!</definedName>
    <definedName name="Data">#REF!</definedName>
    <definedName name="Remove_Aetna_PPO_Ntwk">#REF!</definedName>
    <definedName name="aex_inp_Tier2_admits_14_curr">#REF!</definedName>
    <definedName name="_bdm.77E3DB1B6A6448A88B71EC33708EDC78.edm">#REF!</definedName>
    <definedName name="EVRevenues2">#REF!</definedName>
    <definedName name="rngLastRefreshOffline">#REF!</definedName>
    <definedName name="num_util_members_class_A_prior">#REF!</definedName>
    <definedName name="adf_tier3_rollover_pr_year_curr">#REF!</definedName>
    <definedName name="AHF_Med_office_visits_count_prior">#REF!</definedName>
    <definedName name="Dental_preventative_svcs_curr">#REF!</definedName>
    <definedName name="SalaryInflation">#REF!</definedName>
    <definedName name="AHF_Med_paid_amt_mental_health_curr">#REF!</definedName>
    <definedName name="aex_Tier2_paid_amt_primary_off_visits_curr">#REF!</definedName>
    <definedName name="ahf_tier1_cr_clm_paid_with_rollover_funds_curr">#REF!</definedName>
    <definedName name="BOB_num_other_generic_claims_prior">#REF!</definedName>
    <definedName name="aex_Amb_Tier2_claimants_15_curr">#REF!</definedName>
    <definedName name="Med_MDC_admits_13_prior">#REF!</definedName>
    <definedName name="aex_Amb_Tier2_paid_amt_14_curr">#REF!</definedName>
    <definedName name="num_rx_claims_non_mac_retail_prior">#REF!</definedName>
    <definedName name="BOB_Med_MDC_days_20_curr">#REF!</definedName>
    <definedName name="Rx_male_mem_65_over_curr">#REF!</definedName>
    <definedName name="FDP_114_1_aUrv">#REF!</definedName>
    <definedName name="num_brand_claims_curr">#REF!</definedName>
    <definedName name="Dental_unknown_mem_45_64_prior">#REF!</definedName>
    <definedName name="Med_MDC_claimants_23_prior">#REF!</definedName>
    <definedName name="Med_MDC_admits_13_curr">#REF!</definedName>
    <definedName name="FOV_SI_Dental_Range">#REF!</definedName>
    <definedName name="Med_paid_amt_rad_serv_curr">#REF!</definedName>
    <definedName name="FDP_130_1_aUrv">#REF!</definedName>
    <definedName name="Med_MDC_billed_15_curr">#REF!</definedName>
    <definedName name="adf_tier1_emp_99_75_spend_curr">#REF!</definedName>
    <definedName name="ahf_total_rollover_pr_year_curr">#REF!</definedName>
    <definedName name="HPD_paid_amt_other_curr">#REF!</definedName>
    <definedName name="medical_sort3">#REF!</definedName>
    <definedName name="Med_claim_count_female_65_over_curr">#REF!</definedName>
    <definedName name="ChangeRange">#REF!</definedName>
    <definedName name="BS_Summary">#REF!</definedName>
    <definedName name="ahf_tier3_cr_claim_paid_with_cr_funds_curr">#REF!</definedName>
    <definedName name="BH_BOB_Med_female_mem_0_19_curr">#REF!</definedName>
    <definedName name="amb_mdc_na_bob_column1">#REF!</definedName>
    <definedName name="Med_MDC_amb_paid_10_prior">#REF!</definedName>
    <definedName name="ConvPref1">#REF!</definedName>
    <definedName name="__123Graph_B">#REF!</definedName>
    <definedName name="_bdm.DBB48143F45048CCBFD4DA6394DBE336.edm">#REF!</definedName>
    <definedName name="HPD_paid_amt_total_curr">#REF!</definedName>
    <definedName name="AHF_Med_count_lab_curr">#REF!</definedName>
    <definedName name="dental_not_medically_necess_in_network_curr">#REF!</definedName>
    <definedName name="aex_Tier3_Util_inp_days_curr">#REF!</definedName>
    <definedName name="BOB_Med_MDC_paid_02_curr">#REF!</definedName>
    <definedName name="IQRCOMPANYBAF17">#REF!</definedName>
    <definedName name="Med_other_discount_billed_amt_curr">#REF!</definedName>
    <definedName name="AmortYear2">#REF!</definedName>
    <definedName name="BookA">#REF!</definedName>
    <definedName name="BOB_Med_MDC_admits_15_curr">#REF!</definedName>
    <definedName name="FDP_92_1_aSrv">#REF!</definedName>
    <definedName name="aex_inp_Tier1_admits_17_curr">#REF!</definedName>
    <definedName name="sum_specialty_generic_plan_paid_amt_curr">#REF!</definedName>
    <definedName name="adf_termed_tier1_active_employee_curr">#REF!</definedName>
    <definedName name="Med_MDC_amb_paid_17_prior">#REF!</definedName>
    <definedName name="Med_paid_amt_female_20_44_prior">#REF!</definedName>
    <definedName name="sum_generic_copay_prior">#REF!</definedName>
    <definedName name="OtherA">#REF!</definedName>
    <definedName name="ahf_termed_tier2_active_employee_curr">#REF!</definedName>
    <definedName name="EBITDAA">#REF!</definedName>
    <definedName name="BOB_Med_male_mem_0_19_curr">#REF!</definedName>
    <definedName name="BH_BOB_Rx_male_members_curr">#REF!</definedName>
    <definedName name="Med_MDC_claimants_22_curr">#REF!</definedName>
    <definedName name="BOBDate">#REF!</definedName>
    <definedName name="adf_termed_tier4_emp_100_spend_curr">#REF!</definedName>
    <definedName name="XRefCopy3Row">#REF!</definedName>
    <definedName name="adf_termed_tier1_cr_claim_paid_with_cr_funds_curr">#REF!</definedName>
    <definedName name="Dental_services_out_network_prior">#REF!</definedName>
    <definedName name="BOB_Rx_female_mem_65_over_prior">#REF!</definedName>
    <definedName name="Med_MDC_admits_23_prior">#REF!</definedName>
    <definedName name="aex_Amb_Tier3_claimants_02_curr">#REF!</definedName>
    <definedName name="BOB_Dental_basic_paid_amt_curr">#REF!</definedName>
    <definedName name="Rx_AHF_num_employees_prior">#REF!</definedName>
    <definedName name="FDP_199_1_aUdv">#REF!</definedName>
    <definedName name="FDP_175_1_aDrv">#REF!</definedName>
    <definedName name="FYE1EBIT">#REF!</definedName>
    <definedName name="Med_MDC_admits_07_curr">#REF!</definedName>
    <definedName name="FYE2CapEx">#REF!</definedName>
    <definedName name="aex_Tier3_Util_lab_services_curr">#REF!</definedName>
    <definedName name="Product_08_delete_prior">#REF!</definedName>
    <definedName name="BOB_num_cross_brand_claims_prior">#REF!</definedName>
    <definedName name="BOB_Med_claim_count_above_threshold_prior">#REF!</definedName>
    <definedName name="num_util_members_class_R_prior">#REF!</definedName>
    <definedName name="aex_TOT_Claimants_curr">#REF!</definedName>
    <definedName name="FundCode">#REF!</definedName>
    <definedName name="Med_male_mem_65_over_prior">#REF!</definedName>
    <definedName name="paid_female_20_44_prior">#REF!</definedName>
    <definedName name="sum_paid_class_O_prior">#REF!</definedName>
    <definedName name="aex_inp_OON_admits_14_curr">#REF!</definedName>
    <definedName name="Dental_paid_amt_male_45_64_prior">#REF!</definedName>
    <definedName name="Med_paid_amt_female_65_over_prior">#REF!</definedName>
    <definedName name="EVEBIT">#REF!</definedName>
    <definedName name="aex_inp_Tier1_paid_amt_09_curr">#REF!</definedName>
    <definedName name="Aex_Amb_MDC_Range">#REF!</definedName>
    <definedName name="Product_42_delete_prior">#REF!</definedName>
    <definedName name="Med_MDC_inp_billed_03_prior">#REF!</definedName>
    <definedName name="AHF_Med_claim_count_male_20_44_curr">#REF!</definedName>
    <definedName name="adf_term_emp_fund_paid_prior">#REF!</definedName>
    <definedName name="BOB_Med_MDC_inp_paid_05_curr">#REF!</definedName>
    <definedName name="aex_inp_Tier2_admits_00_curr">#REF!</definedName>
    <definedName name="SI_ER_VISITS_FOOTNOTE_DESCRIPTION">#REF!</definedName>
    <definedName name="ADF_Fund_Report_Range">#REF!</definedName>
    <definedName name="Med_claim_count_male_0_19_curr">#REF!</definedName>
    <definedName name="num_claims_class_D_curr">#REF!</definedName>
    <definedName name="_PE1">#REF!</definedName>
    <definedName name="FDP_61_1_aUrv">#REF!</definedName>
    <definedName name="CommunityRated_HPD_Row_22_delete">#REF!</definedName>
    <definedName name="dental_prov_netw_sav_disc_out_network_curr">#REF!</definedName>
    <definedName name="Rx_avg_age_members_curr">#REF!</definedName>
    <definedName name="num_mod_brand_formulary_claims_prior">#REF!</definedName>
    <definedName name="aex_Amb_OON_paid_amt_03_curr">#REF!</definedName>
    <definedName name="Med_MDC_admits_06_prior">#REF!</definedName>
    <definedName name="aex_inp_Tier1_admits_13_curr">#REF!</definedName>
    <definedName name="FDP_174_1_aDrv">#REF!</definedName>
    <definedName name="AmortPeriod">#REF!</definedName>
    <definedName name="BOB_Med_MDC_claimants_23_curr">#REF!</definedName>
    <definedName name="_bdm.B91BF0A48D364AFE9B706DF758CA7B5B.edm">#REF!</definedName>
    <definedName name="BOB_Med_female_mem_20_44_prior">#REF!</definedName>
    <definedName name="BOB_Dental_deductible_amt_curr">#REF!</definedName>
    <definedName name="aex_inp_Tier2_days_07_curr">#REF!</definedName>
    <definedName name="ahf_dental_expenses_curr">#REF!</definedName>
    <definedName name="Dental_net_submitted_in_network_curr">#REF!</definedName>
    <definedName name="Med_MDC_inp_paid_07_curr">#REF!</definedName>
    <definedName name="Item3">#REF!</definedName>
    <definedName name="Med_MDC_admits_10_prior">#REF!</definedName>
    <definedName name="BOB_Rx_female_members_curr">#REF!</definedName>
    <definedName name="aex_inp_Tier1_paid_amt_20_curr">#REF!</definedName>
    <definedName name="PageNum">#REF!</definedName>
    <definedName name="Product_06_delete_prior">#REF!</definedName>
    <definedName name="Med_count_amb_visits_prior">#REF!</definedName>
    <definedName name="adf_termed_tier1_rollover_pr_year_curr">#REF!</definedName>
    <definedName name="CSynYear1">#REF!</definedName>
    <definedName name="aex_Tier3_paid_amt_med_rx_curr">#REF!</definedName>
    <definedName name="aex_Tier1_Util_other_spec_off_visits_curr">#REF!</definedName>
    <definedName name="FI_Key_Stats_Ratio_Members_To_Employees">#REF!</definedName>
    <definedName name="CurrentAssets">#REF!</definedName>
    <definedName name="_bdm.635BC897BE9843D6A2C05F29B3D114D3.edm">#REF!</definedName>
    <definedName name="ahf_tier1_rollover_pr_year_curr">#REF!</definedName>
    <definedName name="aex_Amb_OON_claimants_02_curr">#REF!</definedName>
    <definedName name="IQRSheet1P4">#REF!</definedName>
    <definedName name="ahf_ahf_paid_amt_unknown_45_64_curr">#REF!</definedName>
    <definedName name="aex_inp_Tier2_days_18_curr">#REF!</definedName>
    <definedName name="sum_paid_class_K_curr">#REF!</definedName>
    <definedName name="Med_MDC_claimants_03_prior">#REF!</definedName>
    <definedName name="Med_male_mem_45_64_curr">#REF!</definedName>
    <definedName name="sum_mod_brand_formulary_paid_amt_curr">#REF!</definedName>
    <definedName name="dental_prov_netw_sav_disc_in_network_prior">#REF!</definedName>
    <definedName name="BOB_num_util_members_prior">#REF!</definedName>
    <definedName name="aex_OON_Util_total_curr">#REF!</definedName>
    <definedName name="Med_admit_count_curr">#REF!</definedName>
    <definedName name="Med_billed_amt_prim_off_visits_curr">#REF!</definedName>
    <definedName name="AHF_Med_in_network_paid_amt_curr">#REF!</definedName>
    <definedName name="Med_billed_encounter_prim_phys_prior">#REF!</definedName>
    <definedName name="g">#REF!</definedName>
    <definedName name="aex_Med_MDC_cd_10_curr">#REF!</definedName>
    <definedName name="aex_OON_paid_amt_radiology_services_curr">#REF!</definedName>
    <definedName name="Med_paid_encounter_other_curr">#REF!</definedName>
    <definedName name="adf_tier4_emp_0_spend_curr">#REF!</definedName>
    <definedName name="CoverPageBrokerName">#REF!</definedName>
    <definedName name="aex_Amb_Tier2_claimants_21_curr">#REF!</definedName>
    <definedName name="AS2TickmarkLS">#REF!</definedName>
    <definedName name="adf_tier2_cr_fund_remaining_curr">#REF!</definedName>
    <definedName name="_Key1b">#REF!</definedName>
    <definedName name="FDP_42_1_aUrv">#REF!</definedName>
    <definedName name="FDP_151_1_aUrv">#REF!</definedName>
    <definedName name="EBIT">#REF!</definedName>
    <definedName name="FOV_46_Range">#REF!</definedName>
    <definedName name="MinIntInc">#REF!</definedName>
    <definedName name="Med_MDC_inp_paid_18_curr">#REF!</definedName>
    <definedName name="adf_termed_tier2_emp_100_spend_curr">#REF!</definedName>
    <definedName name="BOB_Med_MDC_paid_07_curr">#REF!</definedName>
    <definedName name="DebtSr">#REF!</definedName>
    <definedName name="Dental_paid_amt_female_20_44_curr">#REF!</definedName>
    <definedName name="aex_inp_OON_days_08_curr">#REF!</definedName>
    <definedName name="aex_inp_Tier2_admits_11_curr">#REF!</definedName>
    <definedName name="formulary_prior">#REF!</definedName>
    <definedName name="aex_Tier2_paid_amt_mental_health_visits_curr">#REF!</definedName>
    <definedName name="BOB_Med_MDC_paid_04_curr">#REF!</definedName>
    <definedName name="Med_paid_encounter_spec_phys_curr">#REF!</definedName>
    <definedName name="ItemLabel1">#REF!</definedName>
    <definedName name="dent_tot_services_aetna_ppo_II_ntwk_prior">#REF!</definedName>
    <definedName name="Dental_cost_share_cob_amt_curr">#REF!</definedName>
    <definedName name="ahf_srv_copay_amt_unknown_65_over_curr">#REF!</definedName>
    <definedName name="Med_inp_surgery_count_prior">#REF!</definedName>
    <definedName name="BOB_Med_MDC_admits_03_curr">#REF!</definedName>
    <definedName name="solver_opt">#REF!</definedName>
    <definedName name="sum_svc_copay_amt_non_mac_mod_prior">#REF!</definedName>
    <definedName name="adf_total_emp_99_75_spend_curr">#REF!</definedName>
    <definedName name="Target">#REF!</definedName>
    <definedName name="SharesYear2T">#REF!</definedName>
    <definedName name="Prov_net_total_admits_curr">#REF!</definedName>
    <definedName name="BLPH8">#REF!</definedName>
    <definedName name="ACCRETE">#REF!</definedName>
    <definedName name="Product_03_members">#REF!</definedName>
    <definedName name="aex_inp_OON_paid_amt_21_curr">#REF!</definedName>
    <definedName name="Rx_AHF_female_mem_0_19_curr">#REF!</definedName>
    <definedName name="num_specialty_generic_claims_prior">#REF!</definedName>
    <definedName name="_bdm.BA759280F5E749B5B422ACEA85F12DF4.edm">#REF!</definedName>
    <definedName name="AHF_Med_fund_paid_amt_total_prior">#REF!</definedName>
    <definedName name="AHF_Med_paid_amt_total_prior">#REF!</definedName>
    <definedName name="ahf_srv_copay_amt_female_65_over_curr">#REF!</definedName>
    <definedName name="FDP_59_1_aUrv">#REF!</definedName>
    <definedName name="dental_elig_denials_in_network_prior">#REF!</definedName>
    <definedName name="num_claims_class_H_curr">#REF!</definedName>
    <definedName name="aex_inp_Tier2_paid_amt_13_curr">#REF!</definedName>
    <definedName name="BOB_Med_paid_amt_amb_surgeries_curr">#REF!</definedName>
    <definedName name="BOB_Med_MDC_paid_06_curr">#REF!</definedName>
    <definedName name="AHF_Med_male_mem_0_19_curr">#REF!</definedName>
    <definedName name="Dental_network_discount_in_network_prior">#REF!</definedName>
    <definedName name="BOB_Med_num_members_prior">#REF!</definedName>
    <definedName name="Product_40_members">#REF!</definedName>
    <definedName name="aex_Amb_Tier1_paid_amt_08_curr">#REF!</definedName>
    <definedName name="p">#REF!</definedName>
    <definedName name="Total_Market_Size_Calculations">#REF!</definedName>
    <definedName name="_Low1">#REF!</definedName>
    <definedName name="Description2">#REF!</definedName>
    <definedName name="BOB_Med_male_members_prior">#REF!</definedName>
    <definedName name="Med_MDC_paid_07_curr">#REF!</definedName>
    <definedName name="aex_inp_Tier3_admits_20_curr">#REF!</definedName>
    <definedName name="BOB_Med_MDC_admits_13_curr">#REF!</definedName>
    <definedName name="sum_paid_class_J_prior">#REF!</definedName>
    <definedName name="FDP_80_1_aSrv">#REF!</definedName>
    <definedName name="Med_MDC_amb_billed_04_prior">#REF!</definedName>
    <definedName name="Rx_AHF_female_mem_20_44_prior">#REF!</definedName>
    <definedName name="sum_calcing_cost_amt_mac_mod_curr">#REF!</definedName>
    <definedName name="_bdm.439F92B752CE4140AA16328E16839C0C.edm">#REF!</definedName>
    <definedName name="Rx_AHF_female_mem_45_64_prior">#REF!</definedName>
    <definedName name="sum_mod_brand_formulary_plan_paid_amt_prior">#REF!</definedName>
    <definedName name="aex_OOC_Paid_Amt_curr">#REF!</definedName>
    <definedName name="BOB_sum_formulary_paid_amt_curr">#REF!</definedName>
    <definedName name="FDP_79_1_aUrv">#REF!</definedName>
    <definedName name="FDP_158_1_aUrv">#REF!</definedName>
    <definedName name="BOB_Med_MDC_admits_19_curr">#REF!</definedName>
    <definedName name="Rx_unknown_mem_0_19_prior">#REF!</definedName>
    <definedName name="aex_inp_Tier3_admits_05_curr">#REF!</definedName>
    <definedName name="AHF_Med_claim_count_female_45_64_curr">#REF!</definedName>
    <definedName name="Dental_services_other_curr">#REF!</definedName>
    <definedName name="num_util_members_class_P_curr">#REF!</definedName>
    <definedName name="aex_inp_OON_paid_amt_17_curr">#REF!</definedName>
    <definedName name="FOV_73_Range">#REF!</definedName>
    <definedName name="Med_billed_encounter_other_prior">#REF!</definedName>
    <definedName name="dental_employee_in_network_curr">#REF!</definedName>
    <definedName name="BOB_Med_paid_encounter_other_curr">#REF!</definedName>
    <definedName name="adf_total_termd_cr_fund_remaining_curr">#REF!</definedName>
    <definedName name="StatLabel1">#REF!</definedName>
    <definedName name="Med_MDC_billed_06_curr">#REF!</definedName>
    <definedName name="Med_count_spec_office_visits_curr">#REF!</definedName>
    <definedName name="EBITDAR">#REF!</definedName>
    <definedName name="Existing">#REF!</definedName>
    <definedName name="aex_inp_OON_paid_amt_08_curr">#REF!</definedName>
    <definedName name="Product_RX_delete_prior">#REF!</definedName>
    <definedName name="DLRange01">#REF!</definedName>
    <definedName name="IQRCompsAS140">#REF!</definedName>
    <definedName name="FDP_11_1_aDrv">#REF!</definedName>
    <definedName name="DA_Off_Page_Range">#REF!</definedName>
    <definedName name="sum_total_days_curr">#REF!</definedName>
    <definedName name="aex_OON_paid_amt_er_visits_curr">#REF!</definedName>
    <definedName name="Med_MDC_inp_paid_18_prior">#REF!</definedName>
    <definedName name="aex_Amb_Tier1_paid_amt_10_curr">#REF!</definedName>
    <definedName name="IQRCompsAU183">#REF!</definedName>
    <definedName name="FOV_40_Range">#REF!</definedName>
    <definedName name="___s3">#REF!</definedName>
    <definedName name="aex_Amb_Tier3_paid_amt_08_curr">#REF!</definedName>
    <definedName name="PELTM">#REF!</definedName>
    <definedName name="num_formulary_claims_curr">#REF!</definedName>
    <definedName name="Product_71_delete_prior">#REF!</definedName>
    <definedName name="num_util_members_class_L_prior">#REF!</definedName>
    <definedName name="Rx_AHF_unknown_mem_20_44_prior">#REF!</definedName>
    <definedName name="BOB_Dental_major_svcs_prior">#REF!</definedName>
    <definedName name="dental_cob_out_network_curr">#REF!</definedName>
    <definedName name="Med_paid_amt_male_65_over_prior">#REF!</definedName>
    <definedName name="Median7">#REF!</definedName>
    <definedName name="Med_MDC_billed_04_prior">#REF!</definedName>
    <definedName name="Med_MDC_paid_17_prior">#REF!</definedName>
    <definedName name="adf_termed_tier3_cr_clm_paid_with_rollover_funds_curr">#REF!</definedName>
    <definedName name="BOB_Med_paid_amt_home_health_prior">#REF!</definedName>
    <definedName name="BOB_Med_MDC_amb_paid_17_curr">#REF!</definedName>
    <definedName name="sum_paid_class_B_curr">#REF!</definedName>
    <definedName name="ADYear1">#REF!</definedName>
    <definedName name="dental_cob_in_network_prior">#REF!</definedName>
    <definedName name="ahf_calc_ing_cost_amt_male_45_64_curr">#REF!</definedName>
    <definedName name="Med_MDC_days_18_curr">#REF!</definedName>
    <definedName name="BOB_Med_male_mem_45_64_curr">#REF!</definedName>
    <definedName name="Total_Pay">#REF!</definedName>
    <definedName name="AHF_Med_admit_count_prior">#REF!</definedName>
    <definedName name="Med_inp_network_discount_prior">#REF!</definedName>
    <definedName name="AHF_Med_unknown_mem_45_64_curr">#REF!</definedName>
    <definedName name="aex_inp_Tier1_admits_24_curr">#REF!</definedName>
    <definedName name="FYE2NetInc">#REF!</definedName>
    <definedName name="Check_For_Split_Funded_Medical">#REF!</definedName>
    <definedName name="aex_OON_paid_amt_misc_med_curr">#REF!</definedName>
    <definedName name="AHF_Med_allowed_amt_unknown_45_64_curr">#REF!</definedName>
    <definedName name="aex_Tier3_paid_amt_amb_surgeries_curr">#REF!</definedName>
    <definedName name="StopLightingCostShare">#REF!</definedName>
    <definedName name="FDP_93_1_aUrv">#REF!</definedName>
    <definedName name="Med_MDC_days_10_curr">#REF!</definedName>
    <definedName name="sum_brand_multisource_copay_curr">#REF!</definedName>
    <definedName name="Med_num_members_curr">#REF!</definedName>
    <definedName name="num_specialty_brand_formulary_claims_curr">#REF!</definedName>
    <definedName name="sum_generic_paid_amt_prior">#REF!</definedName>
    <definedName name="ahf_act_emp_plus_fam_fund_paid_curr">#REF!</definedName>
    <definedName name="BOB_Med_MDC_claimants_01_curr">#REF!</definedName>
    <definedName name="AHF_Med_paid_amt_female_65_over_curr">#REF!</definedName>
    <definedName name="Product_58_delete_prior">#REF!</definedName>
    <definedName name="StatLabel9">#REF!</definedName>
    <definedName name="ahf_tier1_cr_claim_paid_with_cr_funds_curr">#REF!</definedName>
    <definedName name="dent_net_avg_sub_charges_ppo_max_cust_spec_ntwk_prior">#REF!</definedName>
    <definedName name="sum_paid_class_A_prior">#REF!</definedName>
    <definedName name="aex_OON_paid_amt_med_services_visits_curr">#REF!</definedName>
    <definedName name="BOB_Med_MDC_amb_paid_09_curr">#REF!</definedName>
    <definedName name="med_cost_space_range2">#REF!</definedName>
    <definedName name="aex_OON_Util_other_spec_off_visits_curr">#REF!</definedName>
    <definedName name="Rx_AHF_unknown_mem_65_over_curr">#REF!</definedName>
    <definedName name="Rx_unknown_mem_45_64_curr">#REF!</definedName>
    <definedName name="aex_OON_Util_spec_off_visits_curr">#REF!</definedName>
    <definedName name="_bdm.E759967588A5442C9B723120C8E73070.edm">#REF!</definedName>
    <definedName name="XRefPaste2Row">#REF!</definedName>
    <definedName name="Med_copay_amt_curr">#REF!</definedName>
    <definedName name="aex_inp_Tier1_admits_11_curr">#REF!</definedName>
    <definedName name="sum_mod_non_brand_formulary_paid_amt_curr">#REF!</definedName>
    <definedName name="aex_inp_Tier2_days_20_curr">#REF!</definedName>
    <definedName name="Product_41_delete_prior">#REF!</definedName>
    <definedName name="IQRCompsAP183">#REF!</definedName>
    <definedName name="Med_phys_par_r_c_savings_amt_prior">#REF!</definedName>
    <definedName name="aex_Amb_Tier2_paid_amt_18_curr">#REF!</definedName>
    <definedName name="num_util_members_class_J_prior">#REF!</definedName>
    <definedName name="BOB_Dental_other_svcs_curr">#REF!</definedName>
    <definedName name="EPSYear2C">#REF!</definedName>
    <definedName name="num_claims_class_M_prior">#REF!</definedName>
    <definedName name="num_util_members_class_N_prior">#REF!</definedName>
    <definedName name="ahf_tier3_emp_24_1_spend_curr">#REF!</definedName>
    <definedName name="BOB_Dental_basic_svcs_curr">#REF!</definedName>
    <definedName name="Cost_Sharing_Analysis_Dental_Range">#REF!</definedName>
    <definedName name="ItemLabel8">#REF!</definedName>
    <definedName name="Data_Availability_Summary_Range">#REF!</definedName>
    <definedName name="Med_MDC_inp_paid_03_prior">#REF!</definedName>
    <definedName name="_bdm.2F7A28C715A34E59ACD47BF4ACFF5BEC.edm">#REF!</definedName>
    <definedName name="Product_44_members">#REF!</definedName>
    <definedName name="HighDate">#REF!</definedName>
    <definedName name="Med_paid_encounter_prim_phys_prior">#REF!</definedName>
    <definedName name="BH_BOB_Rx_female_members_curr">#REF!</definedName>
    <definedName name="__MUM25">#REF!</definedName>
    <definedName name="BOB_Med_MDC_admits_08_curr">#REF!</definedName>
    <definedName name="_MUM32">#REF!</definedName>
    <definedName name="Medic_male_mem_75_79_prior">#REF!</definedName>
    <definedName name="aex_inp_Tier1_paid_amt_01_curr">#REF!</definedName>
    <definedName name="AHF_Med_emp_paid_amt_male_45_64_curr">#REF!</definedName>
    <definedName name="sum_svc_copay_amt_brand_retail_prior">#REF!</definedName>
    <definedName name="aex_Amb_Tier1_paid_amt_01_curr">#REF!</definedName>
    <definedName name="lookup_report_name">#REF!</definedName>
    <definedName name="Product_RX_members">#REF!</definedName>
    <definedName name="AHF_Med_emp_paid_amt_unknown_45_64_curr">#REF!</definedName>
    <definedName name="SBP_Network_Discount_Savings_Percent">#REF!</definedName>
    <definedName name="aex_Amb_Tier3_paid_amt_00_curr">#REF!</definedName>
    <definedName name="SBP_Percent_Allowed_Amount">#REF!</definedName>
    <definedName name="aex_Tier2_paid_amt_lab_services_curr">#REF!</definedName>
    <definedName name="aex_Amb_Tier3_paid_amt_24_curr">#REF!</definedName>
    <definedName name="aex_Tier1_Util_total_curr">#REF!</definedName>
    <definedName name="num_brand_claims_prior">#REF!</definedName>
    <definedName name="LOGINS_Quarter">#REF!</definedName>
    <definedName name="__MUM32">#REF!</definedName>
    <definedName name="aex_inp_Tier3_admits_22_curr">#REF!</definedName>
    <definedName name="ahf_tier3_rollover_fund_remaining_curr">#REF!</definedName>
    <definedName name="IQRCompsAU154">#REF!</definedName>
    <definedName name="aex_inp_Tier1_days_03_curr">#REF!</definedName>
    <definedName name="FDP_163_1_aSrv">#REF!</definedName>
    <definedName name="adf_termed_tier1_cr_clm_paid_with_rollover_funds_curr">#REF!</definedName>
    <definedName name="dental_spouse_out_network_curr">#REF!</definedName>
    <definedName name="FDP_10_1_aUrv">#REF!</definedName>
    <definedName name="adf_term_emp_plus_1_fund_paid_prior">#REF!</definedName>
    <definedName name="aex_Tier1_Util_mental_health_visits_curr">#REF!</definedName>
    <definedName name="EVEBITDA2">#REF!</definedName>
    <definedName name="BOB_Dental_cob_amt_curr">#REF!</definedName>
    <definedName name="BOB_Rx_female_mem_65_over_curr">#REF!</definedName>
    <definedName name="Med_MDC_inp_paid_999_prior">#REF!</definedName>
    <definedName name="dent_tot_services_aetna_ppo_II_ntwk_curr">#REF!</definedName>
    <definedName name="dental_not_medically_necess_out_network_curr">#REF!</definedName>
    <definedName name="aex_Amb_Tier3_claimants_22_curr">#REF!</definedName>
    <definedName name="DebtT">#REF!</definedName>
    <definedName name="adf_tier1_emp_74_50_spend_curr">#REF!</definedName>
    <definedName name="Med_MDC_admits_19_prior">#REF!</definedName>
    <definedName name="aex_Amb_Tier3_paid_amt_21_curr">#REF!</definedName>
    <definedName name="AHF_Med_fund_paid_amt_medical_rx_curr">#REF!</definedName>
    <definedName name="sic2low">#REF!</definedName>
    <definedName name="Company">#REF!</definedName>
    <definedName name="FDP_137_1_aUrv">#REF!</definedName>
    <definedName name="aex_inp_OON_admits_07_curr">#REF!</definedName>
    <definedName name="Product_59_members">#REF!</definedName>
    <definedName name="adf_total_emp_100_spend_curr">#REF!</definedName>
    <definedName name="BrandMultiAverageCopay">#REF!</definedName>
    <definedName name="Dental_unknown_members_prior">#REF!</definedName>
    <definedName name="AHF_Med_fund_paid_amt_male_65_over_curr">#REF!</definedName>
    <definedName name="num_claims_class_I_prior">#REF!</definedName>
    <definedName name="aex_inp_OON_paid_amt_04_curr">#REF!</definedName>
    <definedName name="ls02.Selected">#REF!</definedName>
    <definedName name="PrefT">#REF!</definedName>
    <definedName name="StopLightStart">#REF!</definedName>
    <definedName name="FOV_11_Range">#REF!</definedName>
    <definedName name="Med_MDC_inp_billed_12_prior">#REF!</definedName>
    <definedName name="HPD_paid_amt_other_prior">#REF!</definedName>
    <definedName name="sum_specialty_plan_paid_amt_prior">#REF!</definedName>
    <definedName name="dental_coinsurance_copay_in_network_prior">#REF!</definedName>
    <definedName name="Rx_AHF_male_mem_0_19_prior">#REF!</definedName>
    <definedName name="AHF_Med_unknown_mem_20_44_prior">#REF!</definedName>
    <definedName name="gpi_name_class_E_curr">#REF!</definedName>
    <definedName name="BOB_sum_other_generic_paid_amt_curr">#REF!</definedName>
    <definedName name="Med_amb_paid_amt_above_threshold_curr">#REF!</definedName>
    <definedName name="FDP_133_1_aUrv">#REF!</definedName>
    <definedName name="ahf_tier4_rollover_fund_remaining_curr">#REF!</definedName>
    <definedName name="AHFFamilyDollarsCurr">#REF!</definedName>
    <definedName name="aex_Tier2_Util_primary_off_visits_curr">#REF!</definedName>
    <definedName name="si_exec_summary_row44">#REF!</definedName>
    <definedName name="AHF_Med_inp_paid_amt_prior">#REF!</definedName>
    <definedName name="Scheduled_Monthly_Payment">#REF!</definedName>
    <definedName name="Run_TOC_Switch">#REF!</definedName>
    <definedName name="BH_BOB_Med_num_employees_curr">#REF!</definedName>
    <definedName name="Dental_male_members_curr">#REF!</definedName>
    <definedName name="Dental_male_mem_0_19_curr">#REF!</definedName>
    <definedName name="Footnote2">#REF!</definedName>
    <definedName name="Med_claim_count_unknown_0_19_curr">#REF!</definedName>
    <definedName name="BOB_num_brand_singlesource_claims_prior">#REF!</definedName>
    <definedName name="sum_awp_amt_non_mac_retail_curr">#REF!</definedName>
    <definedName name="AHF_Med_fund_paid_amt_female_65_over_curr">#REF!</definedName>
    <definedName name="ahf_termed_tier2_emp_0_spend_curr">#REF!</definedName>
    <definedName name="aex_tier1_utlilization_tot_prior">#REF!</definedName>
    <definedName name="sum_salestax_amt_non_mac_specialty_prior">#REF!</definedName>
    <definedName name="adf_total_active_employee_curr">#REF!</definedName>
    <definedName name="FOV_10_Range">#REF!</definedName>
    <definedName name="sum_mod_non_brand_formulary_paid_amt_prior">#REF!</definedName>
    <definedName name="_bdm.3803A7941AB5419A8F5B3F22659B0C31.edm">#REF!</definedName>
    <definedName name="FDP_43_1_aUrv">#REF!</definedName>
    <definedName name="BOB_Med_MDC_amb_paid_00_curr">#REF!</definedName>
    <definedName name="FI_Key_Stats_Footnote4_Range">#REF!</definedName>
    <definedName name="adf_termed_tier2_emp_49_25_spend_curr">#REF!</definedName>
    <definedName name="aex_inp_Tier2_paid_amt_09_curr">#REF!</definedName>
    <definedName name="IQRCompsAS241">#REF!</definedName>
    <definedName name="aex_Tier2_paid_amt_med_rx_curr">#REF!</definedName>
    <definedName name="_bdm.FB06355068A6473E8BFD84F095498EEF.edm">#REF!</definedName>
    <definedName name="_MUM10">#REF!</definedName>
    <definedName name="sum_awp_amt_non_mac_retail_prior">#REF!</definedName>
    <definedName name="BadLink">#REF!</definedName>
    <definedName name="dent_tot_services_aetna_ppo_ntwk_prior">#REF!</definedName>
    <definedName name="BOB_Med_MDC_claimants_18_curr">#REF!</definedName>
    <definedName name="AHF_Med_emp_paid_amt_total_prior">#REF!</definedName>
    <definedName name="XREF_COLUMN_9">#REF!</definedName>
    <definedName name="Med_MDC_inp_billed_02_curr">#REF!</definedName>
    <definedName name="Med_paid_amt_prim_off_visits_curr">#REF!</definedName>
    <definedName name="aex_Amb_Tier2_claimants_07_curr">#REF!</definedName>
    <definedName name="sum_paid_class_P_prior">#REF!</definedName>
    <definedName name="RefinTrig">#REF!</definedName>
    <definedName name="aex_inp_Tier2_paid_amt_15_curr">#REF!</definedName>
    <definedName name="Product_72_members">#REF!</definedName>
    <definedName name="Med_par_admit_count_prior">#REF!</definedName>
    <definedName name="BH_BOB_Rx_male_mem_20_44_curr">#REF!</definedName>
    <definedName name="BOB_Med_MDC_paid_13_curr">#REF!</definedName>
    <definedName name="Med_MDC_amb_paid_02_prior">#REF!</definedName>
    <definedName name="aex_inp_Tier3_paid_amt_08_curr">#REF!</definedName>
    <definedName name="ahf_tier2_tot_fund_available_curr">#REF!</definedName>
    <definedName name="Med_MDC_inp_billed_06_curr">#REF!</definedName>
    <definedName name="SizePremiaRange">#REF!</definedName>
    <definedName name="EPSYear1T">#REF!</definedName>
    <definedName name="Conversion_Rate">#REF!</definedName>
    <definedName name="DebtEBITDA">#REF!</definedName>
    <definedName name="FDP_5_1_aDrv">#REF!</definedName>
    <definedName name="Med_MDC_amb_billed_13_curr">#REF!</definedName>
    <definedName name="_Table2_In2">#REF!</definedName>
    <definedName name="Exclude_MDC_Range">#REF!</definedName>
    <definedName name="ahf_total_termd_emp_99_75_spend_curr">#REF!</definedName>
    <definedName name="Dental_male_mem_20_44_prior">#REF!</definedName>
    <definedName name="sum_prof_fee_amt_non_mac_retail_curr">#REF!</definedName>
    <definedName name="Remove_Aetna_Spec_Ntwk">#REF!</definedName>
    <definedName name="ItemLabel9">#REF!</definedName>
    <definedName name="BOB_Med_par_admit_count_prior">#REF!</definedName>
    <definedName name="_bdm.68C63F4515314BF89862B5A20C1BD7F8.edm">#REF!</definedName>
    <definedName name="FDP_123_1_aUrv">#REF!</definedName>
    <definedName name="dent_tot_services_cust_spec_ntwk_prior">#REF!</definedName>
    <definedName name="aex_Amb_OON_claimants_07_curr">#REF!</definedName>
    <definedName name="Med_MDC_billed_14_curr">#REF!</definedName>
    <definedName name="ahf_tier2_rollover_fund_remaining_curr">#REF!</definedName>
    <definedName name="aex_Tier3_Util_total_curr">#REF!</definedName>
    <definedName name="Med_unknown_mem_65_over_curr">#REF!</definedName>
    <definedName name="IQRCompsP140">#REF!</definedName>
    <definedName name="Med_MDC_claimants_09_curr">#REF!</definedName>
    <definedName name="aex_inp_Tier1_admits_08_curr">#REF!</definedName>
    <definedName name="aex_inp_Tier1_admits_06_curr">#REF!</definedName>
    <definedName name="_bdm.4DC3AE1E0F744F5D9EF18EA21D885678.edm">#REF!</definedName>
    <definedName name="ahf_tier4_Incentive_fund_earned_curr">#REF!</definedName>
    <definedName name="AHF_Med_fund_paid_amt_spec_phys_curr">#REF!</definedName>
    <definedName name="num_claims_class_A_prior">#REF!</definedName>
    <definedName name="NIC">#REF!</definedName>
    <definedName name="BOB_Med_MDC_claimants_21_curr">#REF!</definedName>
    <definedName name="DebtEnt">#REF!</definedName>
    <definedName name="Taxes">#REF!</definedName>
    <definedName name="aex_inp_Tier3_days_03_curr">#REF!</definedName>
    <definedName name="source">#REF!</definedName>
    <definedName name="AHF_Medical_Demographics_Range">#REF!</definedName>
    <definedName name="BOB_Med_MDC_inp_paid_09_curr">#REF!</definedName>
    <definedName name="ahf_tier3_cr_year_initial_fund_curr">#REF!</definedName>
    <definedName name="sum_calcing_cost_amt_non_mac_specialty_curr">#REF!</definedName>
    <definedName name="AHF_Med_fund_in_network_paid_amt_curr">#REF!</definedName>
    <definedName name="HPD_number_claimants_coronary_artery_disease_prior">#REF!</definedName>
    <definedName name="Product_41_members">#REF!</definedName>
    <definedName name="BOB_Med_MDC_admits_04_curr">#REF!</definedName>
    <definedName name="aex_Amb_Tier3_claimants_17_curr">#REF!</definedName>
    <definedName name="Rx_GPI_Roll_Up_Categories_Range">#REF!</definedName>
    <definedName name="sum_paid_class_L_curr">#REF!</definedName>
    <definedName name="dental_other_out_network_curr">#REF!</definedName>
    <definedName name="__MUM21">#REF!</definedName>
    <definedName name="FI_Key_Stats_Rows23_Rows27_Range">#REF!</definedName>
    <definedName name="Product_01_delete_prior">#REF!</definedName>
    <definedName name="__MUM12">#REF!</definedName>
    <definedName name="aex_inp_OON_days_18_curr">#REF!</definedName>
    <definedName name="curr_yyyymmdd_incurred_end_date">#REF!</definedName>
    <definedName name="Med_MDC_admits_12_curr">#REF!</definedName>
    <definedName name="Dental_unknown_mem_0_19_curr">#REF!</definedName>
    <definedName name="sum_salestax_amt_mac_specialty_curr">#REF!</definedName>
    <definedName name="gpi_name_class_A_curr">#REF!</definedName>
    <definedName name="BOB_Med_MDC_inp_paid_13_curr">#REF!</definedName>
    <definedName name="ahf_total_termd_cr_year_initial_fund_curr">#REF!</definedName>
    <definedName name="AexcelBOBDate">#REF!</definedName>
    <definedName name="aex_Amb_Tier1_paid_amt_18_curr">#REF!</definedName>
    <definedName name="FYE2CashFlow">#REF!</definedName>
    <definedName name="adf_act_total_fund_paid_curr">#REF!</definedName>
    <definedName name="_MUM23">#REF!</definedName>
    <definedName name="DrillDownBOBSIKeyStats">#REF!</definedName>
    <definedName name="ReportEPS">#REF!</definedName>
    <definedName name="Med_MDC_inp_billed_22_curr">#REF!</definedName>
    <definedName name="_MUM18">#REF!</definedName>
    <definedName name="MDC_CD_16">#REF!</definedName>
    <definedName name="mod_claims_prior">#REF!</definedName>
    <definedName name="aex_inp_Tier1_paid_amt_22_curr">#REF!</definedName>
    <definedName name="mt">#REF!</definedName>
    <definedName name="Med_MDC_inp_billed_11_prior">#REF!</definedName>
    <definedName name="aex_inp_Tier1_days_12_curr">#REF!</definedName>
    <definedName name="num_util_members_class_K_prior">#REF!</definedName>
    <definedName name="Med_MDC_billed_08_curr">#REF!</definedName>
    <definedName name="PretaxItems2">#REF!</definedName>
    <definedName name="sum_mod_non_brand_formulary_plan_paid_amt_prior">#REF!</definedName>
    <definedName name="singlesource_util_curr">#REF!</definedName>
    <definedName name="Product_30_delete_prior">#REF!</definedName>
    <definedName name="__123Graph_XChart1">#REF!</definedName>
    <definedName name="aex_inp_Tier3_admits_15_curr">#REF!</definedName>
    <definedName name="aex_inp_Tier3_paid_amt_09_curr">#REF!</definedName>
    <definedName name="Product_76_delete_prior">#REF!</definedName>
    <definedName name="sum_awp_amt_brand_retail_curr">#REF!</definedName>
    <definedName name="dent_net_avg_sub_charges_ppo_out_ntwk_prior">#REF!</definedName>
    <definedName name="Med_MDC_paid_03_curr">#REF!</definedName>
    <definedName name="PrefA">#REF!</definedName>
    <definedName name="Med_paid_amt_male_45_64_curr">#REF!</definedName>
    <definedName name="BOB_Med_MDC_inp_paid_11_curr">#REF!</definedName>
    <definedName name="BOB_Med_MDC_days_11_curr">#REF!</definedName>
    <definedName name="AHF_Med_claim_count_female_20_44_curr">#REF!</definedName>
    <definedName name="adf_termed_tier1_rollover_fund_remaining_curr">#REF!</definedName>
    <definedName name="DaysInv">#REF!</definedName>
    <definedName name="Med_MDC_days_999_prior">#REF!</definedName>
    <definedName name="highempty">#REF!</definedName>
    <definedName name="dental_non_covered_serv_in_network_prior">#REF!</definedName>
    <definedName name="Med_MDC_days_01_curr">#REF!</definedName>
    <definedName name="OptionsTrig">#REF!</definedName>
    <definedName name="Dental_cost_share_coins_amt_prior">#REF!</definedName>
    <definedName name="aex_Amb_OON_paid_amt_23_curr">#REF!</definedName>
    <definedName name="FDP_53_1_aUrv">#REF!</definedName>
    <definedName name="BOB_Med_MDC_inp_paid_07_curr">#REF!</definedName>
    <definedName name="row_height_current">#REF!</definedName>
    <definedName name="ComDivPaid">#REF!</definedName>
    <definedName name="num_specialty_non_brand_formulary_claims_curr">#REF!</definedName>
    <definedName name="Med_paid_amt_med_visits_curr">#REF!</definedName>
    <definedName name="Footnote3">#REF!</definedName>
    <definedName name="BOB_Med_MDC_days_01_curr">#REF!</definedName>
    <definedName name="Med_avg_age_members_prior">#REF!</definedName>
    <definedName name="Med_MDC_claimants_15_prior">#REF!</definedName>
    <definedName name="FDP_22_1_aDrv">#REF!</definedName>
    <definedName name="dent_tot_services_aetna_ppo_ntwk_curr">#REF!</definedName>
    <definedName name="Rx_male_members_curr">#REF!</definedName>
    <definedName name="dental_alt_ben_in_network_prior">#REF!</definedName>
    <definedName name="Med_MDC_days_05_prior">#REF!</definedName>
    <definedName name="FDP_0_1_aUrv">#REF!</definedName>
    <definedName name="_Sort">#REF!</definedName>
    <definedName name="BOB_Dental_allowed_amt_prior">#REF!</definedName>
    <definedName name="TransExp">#REF!</definedName>
    <definedName name="BOB_Med_MDC_admits_09_curr">#REF!</definedName>
    <definedName name="Med_MDC_admits_03_curr">#REF!</definedName>
    <definedName name="FDP_13_1_aDrv">#REF!</definedName>
    <definedName name="Preferred">#REF!</definedName>
    <definedName name="BOB_Med_MDC_days_23_curr">#REF!</definedName>
    <definedName name="Premium">#REF!</definedName>
    <definedName name="IQRCompsAW225">#REF!</definedName>
    <definedName name="ic">#REF!</definedName>
    <definedName name="Med_billed_amt_home_health_prior">#REF!</definedName>
    <definedName name="aex_Amb_OON_paid_amt_08_curr">#REF!</definedName>
    <definedName name="Cust_Spec_Ntwk_Exp_PPO_Max_Sav_Neg_Arrang">#REF!</definedName>
    <definedName name="BOB_Med_MDC_claimants_04_curr">#REF!</definedName>
    <definedName name="BOB_Med_male_members_curr">#REF!</definedName>
    <definedName name="BH_BOB_Med_unknown_mem_45_64_curr">#REF!</definedName>
    <definedName name="aex_inp_Tier1_paid_amt_11_curr">#REF!</definedName>
    <definedName name="adf_termed_tier4_emp_24_1_spend_curr">#REF!</definedName>
    <definedName name="sum_mod_brand_formulary_plan_paid_amt_curr">#REF!</definedName>
    <definedName name="Med_MDC_admits_23_curr">#REF!</definedName>
    <definedName name="FDP_103_1_aUrv">#REF!</definedName>
    <definedName name="aex_inp_Tier3_paid_amt_23_curr">#REF!</definedName>
    <definedName name="AHF_Med_male_mem_45_64_curr">#REF!</definedName>
    <definedName name="Last_Row">#REF!</definedName>
    <definedName name="BOB_Med_MDC_days_14_curr">#REF!</definedName>
    <definedName name="BOB_sum_brand_multisource_paid_amt_curr">#REF!</definedName>
    <definedName name="_bdm.300AD74A4CB340EC819E80CB01F466A0.edm">#REF!</definedName>
    <definedName name="AHF_Med_num_members_prior">#REF!</definedName>
    <definedName name="BOB_Dental_orthodonic_svcs_prior">#REF!</definedName>
    <definedName name="BV">#REF!</definedName>
    <definedName name="BOB_Med_male_mem_20_44_curr">#REF!</definedName>
    <definedName name="Medicare_Billed_female_mem_70_74_curr">#REF!</definedName>
    <definedName name="IQRCompsAR140">#REF!</definedName>
    <definedName name="MinIntMarket">#REF!</definedName>
    <definedName name="ahf_srv_copay_amt_male_65_over_curr">#REF!</definedName>
    <definedName name="aex_Med_MDC_cd_21_curr">#REF!</definedName>
    <definedName name="Med_MDC_amb_billed_17_prior">#REF!</definedName>
    <definedName name="RevT">#REF!</definedName>
    <definedName name="Med_MDC_cd_12_prior">#REF!</definedName>
    <definedName name="Dental_services_in_network_prior">#REF!</definedName>
    <definedName name="Product_14_members">#REF!</definedName>
    <definedName name="aex_inp_Tier3_days_20_curr">#REF!</definedName>
    <definedName name="aex_Tier1_Util_inp_surgeries_curr">#REF!</definedName>
    <definedName name="Med_MDC_inp_paid_22_curr">#REF!</definedName>
    <definedName name="HPD_bob_prevalence_asthma_prior">#REF!</definedName>
    <definedName name="WarrantPrice">#REF!</definedName>
    <definedName name="Med_paid_amt_prior">#REF!</definedName>
    <definedName name="ahf_srv_copay_amt_unknown_20_44_curr">#REF!</definedName>
    <definedName name="BOB_Med_MDC_admits_20_curr">#REF!</definedName>
    <definedName name="gpi_name_class_P_curr">#REF!</definedName>
    <definedName name="adf_termed_tier4_Incentive_fund_earned_curr">#REF!</definedName>
    <definedName name="ahf_tier3_emp_99_75_spend_curr">#REF!</definedName>
    <definedName name="aex_inp_OON_days_13_curr">#REF!</definedName>
    <definedName name="FOV_42_Range">#REF!</definedName>
    <definedName name="aex_Med_MDC_cd_09_curr">#REF!</definedName>
    <definedName name="__123Graph_D">#REF!</definedName>
    <definedName name="aex_Tier1_Util_amb_surgeries_curr">#REF!</definedName>
    <definedName name="aex_inp_Tier1_paid_amt_08_curr">#REF!</definedName>
    <definedName name="Rx_AHF_unknown_mem_0_19_curr">#REF!</definedName>
    <definedName name="sum_generic_avg_paid_claim_prior">#REF!</definedName>
    <definedName name="AHF_Med_fund_paid_amt_unknown_20_44_curr">#REF!</definedName>
    <definedName name="Med_MDC_amb_paid_16_curr">#REF!</definedName>
    <definedName name="DebtEntInc">#REF!</definedName>
    <definedName name="PB">#REF!</definedName>
    <definedName name="Med_MDC_claimants_07_prior">#REF!</definedName>
    <definedName name="CAGRTrig">#REF!</definedName>
    <definedName name="aex_inp_OON_paid_amt_00_curr">#REF!</definedName>
    <definedName name="Med_MDC_cd_02_curr">#REF!</definedName>
    <definedName name="_25Table2_">#REF!</definedName>
    <definedName name="Dental_basic_paid_amt_curr">#REF!</definedName>
    <definedName name="BOB_Med_MDC_admits_21_curr">#REF!</definedName>
    <definedName name="Med_MDC_days_16_curr">#REF!</definedName>
    <definedName name="HPD_paid_amt_low_back_prior">#REF!</definedName>
    <definedName name="StartMonth">#REF!</definedName>
    <definedName name="ahf_tier4_emp_100_spend_curr">#REF!</definedName>
    <definedName name="Med_MDC_admits_15_curr">#REF!</definedName>
    <definedName name="util_mem_male_0_19_curr">#REF!</definedName>
    <definedName name="BLPH6">#REF!</definedName>
    <definedName name="AHF_Med_allowed_amt_unknown_65_over_curr">#REF!</definedName>
    <definedName name="BOB_Dental_major_svcs_curr">#REF!</definedName>
    <definedName name="Med_MDC_days_999_curr">#REF!</definedName>
    <definedName name="aex_inp_Tier3_admits_09_curr">#REF!</definedName>
    <definedName name="ahf_rx_num_brand_claims_curr">#REF!</definedName>
    <definedName name="Med_MDC_amb_paid_01_curr">#REF!</definedName>
    <definedName name="Med_MDC_days_13_prior">#REF!</definedName>
    <definedName name="Med_female_mem_45_64_curr">#REF!</definedName>
    <definedName name="BOB_Med_MDC_cd_12_curr">#REF!</definedName>
    <definedName name="FDP_33_1_aDrv">#REF!</definedName>
    <definedName name="Med_MDC_admits_09_prior">#REF!</definedName>
    <definedName name="Med_MDC_amb_paid_21_prior">#REF!</definedName>
    <definedName name="XREF_COLUMN_12">#REF!</definedName>
    <definedName name="Rx_AHF_Ind">#REF!</definedName>
    <definedName name="Rx_unknown_members_curr">#REF!</definedName>
    <definedName name="ahf_member_cnt_female_20_44_curr">#REF!</definedName>
    <definedName name="IntExp">#REF!</definedName>
    <definedName name="adf_tier1_emp_0_spend_curr">#REF!</definedName>
    <definedName name="output">#REF!</definedName>
    <definedName name="Med_MDC_inp_paid_23_prior">#REF!</definedName>
    <definedName name="Med_MDC_claimants_10_curr">#REF!</definedName>
    <definedName name="aex_Amb_Tier1_paid_amt_06_curr">#REF!</definedName>
    <definedName name="Med_billed_encounter_prim_phys_curr">#REF!</definedName>
    <definedName name="_bdm.7C94300BA80D11D6B6520010A48BFF38.edm">#REF!</definedName>
    <definedName name="__MUM18">#REF!</definedName>
    <definedName name="Dental_dependent_paid_amt_prior">#REF!</definedName>
    <definedName name="__123Graph_AChart1">#REF!</definedName>
    <definedName name="r.Market">#REF!</definedName>
    <definedName name="FDP_125_1_aUrv">#REF!</definedName>
    <definedName name="__MUM13">#REF!</definedName>
    <definedName name="Med_claim_count_female_45_64_prior">#REF!</definedName>
    <definedName name="BOB_Med_avg_age_members_curr">#REF!</definedName>
    <definedName name="EV2Other2">#REF!</definedName>
    <definedName name="Remove_Aetna_PPO_II_Ntwk">#REF!</definedName>
    <definedName name="adf_tier1_cr_year_initial_fund_curr">#REF!</definedName>
    <definedName name="AdjTaxes">#REF!</definedName>
    <definedName name="adf_termed_tier3_cr_year_initial_fund_curr">#REF!</definedName>
    <definedName name="rngEndDate">#REF!</definedName>
    <definedName name="Med_MDC_amb_paid_13_prior">#REF!</definedName>
    <definedName name="Dental_paid_amt_female_45_64_prior">#REF!</definedName>
    <definedName name="AHF_Med_amb_paid_amt_prior">#REF!</definedName>
    <definedName name="Product_09_delete_prior">#REF!</definedName>
    <definedName name="rngRangeName">#REF!</definedName>
    <definedName name="Med_deductible_amt_curr">#REF!</definedName>
    <definedName name="Check_For_Plan_Selection">#REF!</definedName>
    <definedName name="Med_billed_amt_unknown_20_44_curr">#REF!</definedName>
    <definedName name="aex_inp_Tier1_days_07_curr">#REF!</definedName>
    <definedName name="aex_inp_Tier3_days_14_curr">#REF!</definedName>
    <definedName name="IQRCOMPANYA2AX89">#REF!</definedName>
    <definedName name="Int">#REF!</definedName>
    <definedName name="Med_claim_count_male_45_64_prior">#REF!</definedName>
    <definedName name="Rx_AHF_unknown_mem_20_44_curr">#REF!</definedName>
    <definedName name="Med_paid_amt_misc_med_prior">#REF!</definedName>
    <definedName name="Med_billed_encounter_spec_phys_curr">#REF!</definedName>
    <definedName name="_Yr2">#REF!</definedName>
    <definedName name="sum_generic_calc_ing_prior">#REF!</definedName>
    <definedName name="dental_orthodontic_out_network_prior">#REF!</definedName>
    <definedName name="Item8">#REF!</definedName>
    <definedName name="Num_Pmt_Per_Year">#REF!</definedName>
    <definedName name="FOV_SI_Product_01_Range">#REF!</definedName>
    <definedName name="Med_days_count_prior">#REF!</definedName>
    <definedName name="aex_inp_Tier3_paid_amt_14_curr">#REF!</definedName>
    <definedName name="aex_Amb_Tier3_paid_amt_13_curr">#REF!</definedName>
    <definedName name="Dental_male_mem_45_64_curr">#REF!</definedName>
    <definedName name="ahf_calc_ing_cost_amt_total_prior">#REF!</definedName>
    <definedName name="rngDialogType">#REF!</definedName>
    <definedName name="IQRCompsAV198">#REF!</definedName>
    <definedName name="_MUM29">#REF!</definedName>
    <definedName name="dent_tot_services_cust_spec_ntwk_curr">#REF!</definedName>
    <definedName name="QuickRatio">#REF!</definedName>
    <definedName name="Financial_Overview_Medical_Range">#REF!</definedName>
    <definedName name="MedicalIndemnityProduct">#REF!</definedName>
    <definedName name="FOV_30_Range">#REF!</definedName>
    <definedName name="specialty_paid_amt_prior">#REF!</definedName>
    <definedName name="FDP_189_1_aUdv">#REF!</definedName>
    <definedName name="Product_51_members">#REF!</definedName>
    <definedName name="Dental_paid_amt_female_0_19_prior">#REF!</definedName>
    <definedName name="ahf_total_termd_emp_0_spend_curr">#REF!</definedName>
    <definedName name="FDP_81_1_aUrv">#REF!</definedName>
    <definedName name="BOB_Rx_female_mem_45_64_prior">#REF!</definedName>
    <definedName name="Dental_preventative_svcs_prior">#REF!</definedName>
    <definedName name="IQRCOMPANYA2AT89">#REF!</definedName>
    <definedName name="aex_Tier2_Inp_Paid_Amt_curr">#REF!</definedName>
    <definedName name="paid_female_20_44_curr">#REF!</definedName>
    <definedName name="aex_Med_MDC_cd_02_curr">#REF!</definedName>
    <definedName name="BOB_Rx_unknown_mem_45_64_curr">#REF!</definedName>
    <definedName name="BrandAverageCopay">#REF!</definedName>
    <definedName name="dental_reason_cust_in_network_prior">#REF!</definedName>
    <definedName name="BOB_Med_par_admit_count_curr">#REF!</definedName>
    <definedName name="Dental_net_submitted_other_curr">#REF!</definedName>
    <definedName name="FDP_183_1_aDrv">#REF!</definedName>
    <definedName name="gpi_name_class_B_prior">#REF!</definedName>
    <definedName name="aex_inp_OON_days_24_curr">#REF!</definedName>
    <definedName name="Med_MDC_inp_paid_07_prior">#REF!</definedName>
    <definedName name="AHF_Med_emp_paid_amt_unknown_20_44_curr">#REF!</definedName>
    <definedName name="aex_Amb_OON_claimants_20_curr">#REF!</definedName>
    <definedName name="Med_billed_amt_mental_health_curr">#REF!</definedName>
    <definedName name="aex_OON_Util_primary_off_visits_curr">#REF!</definedName>
    <definedName name="_bdm.F0C4D0A06132474297172E66F1E293D3.edm">#REF!</definedName>
    <definedName name="mdc_na_bob_column1">#REF!</definedName>
    <definedName name="Med_phys_par_r_c_savings_amt_curr">#REF!</definedName>
    <definedName name="AHF_Med_female_mem_65_over_curr">#REF!</definedName>
    <definedName name="ahf_rx_num_claims_curr">#REF!</definedName>
    <definedName name="aex_inp_Tier1_days_24_curr">#REF!</definedName>
    <definedName name="ProcStartDatePrior">#REF!</definedName>
    <definedName name="sum_paid_class_G_prior">#REF!</definedName>
    <definedName name="AHF_Med_office_visits_count_curr">#REF!</definedName>
    <definedName name="aex_inp_Tier3_days_23_curr">#REF!</definedName>
    <definedName name="ahf_total_emp_100_spend_curr">#REF!</definedName>
    <definedName name="HPD_number_claimants_coronary_artery_disease_curr">#REF!</definedName>
    <definedName name="BOB_Med_female_mem_45_64_prior">#REF!</definedName>
    <definedName name="AHF_Med_fund_paid_amt_male_20_44_curr">#REF!</definedName>
    <definedName name="Med_billed_encounter_lab_rad_curr">#REF!</definedName>
    <definedName name="aex_OOC_Inp_Paid_Amt_curr">#REF!</definedName>
    <definedName name="FDP_186_1_aUdv">#REF!</definedName>
    <definedName name="_bdm.FA5944A4D7D644CA8283449B5AE2024F.edm">#REF!</definedName>
    <definedName name="aex_inp_Tier2_paid_amt_11_curr">#REF!</definedName>
    <definedName name="__123Graph_A">#REF!</definedName>
    <definedName name="adf_term_emp_plus_2_fund_paid_prior">#REF!</definedName>
    <definedName name="LFY">#REF!</definedName>
    <definedName name="__MUM19">#REF!</definedName>
    <definedName name="adf_termed_tier2_emp_74_50_spend_curr">#REF!</definedName>
    <definedName name="BH_BOB_Rx_months_curr">#REF!</definedName>
    <definedName name="paid_male_20_44_curr">#REF!</definedName>
    <definedName name="util_mem_male_65_over_curr">#REF!</definedName>
    <definedName name="Med_MDC_admits_05_prior">#REF!</definedName>
    <definedName name="__123Graph_ACurrent">#REF!</definedName>
    <definedName name="BOB_Med_MDC_inp_paid_02_curr">#REF!</definedName>
    <definedName name="Rx_unknown_mem_65_over_curr">#REF!</definedName>
    <definedName name="BOB_Med_MDC_claimants_06_curr">#REF!</definedName>
    <definedName name="Medic_male_mem_0_64_curr">#REF!</definedName>
    <definedName name="BOB_Med_paid_amt_prim_off_visits_prior">#REF!</definedName>
    <definedName name="FDP_27_1_aDrv">#REF!</definedName>
    <definedName name="Medicare_Billed_male_mem_80_84_prior">#REF!</definedName>
    <definedName name="Med_MDC_inp_paid_03_curr">#REF!</definedName>
    <definedName name="aex_inp_OON_paid_amt_23_curr">#REF!</definedName>
    <definedName name="sum_specialty_calc_ing_cost_amt_prior">#REF!</definedName>
    <definedName name="PrefPrice2">#REF!</definedName>
    <definedName name="Med_MDC_claimants_01_curr">#REF!</definedName>
    <definedName name="Med_MDC_cd_20_prior">#REF!</definedName>
    <definedName name="Aex_IP_MDC_Range">#REF!</definedName>
    <definedName name="Med_amb_billed_network_prior">#REF!</definedName>
    <definedName name="_bdm.F16CDE695B5146908E78CDD9F5E25F2C.edm">#REF!</definedName>
    <definedName name="IPO4_Sheet1_List">#REF!</definedName>
    <definedName name="Med_MDC_days_20_prior">#REF!</definedName>
    <definedName name="num_claims_class_G_prior">#REF!</definedName>
    <definedName name="FDP_172_1_aDrv">#REF!</definedName>
    <definedName name="adf_termed_tier1_emp_49_25_spend_curr">#REF!</definedName>
    <definedName name="Adam_capitation_amt_curr">#REF!</definedName>
    <definedName name="AssetsT">#REF!</definedName>
    <definedName name="FDP_184_1_aUdv">#REF!</definedName>
    <definedName name="adf_termed_tier4_emp_0_spend_curr">#REF!</definedName>
    <definedName name="Med_male_members_curr">#REF!</definedName>
    <definedName name="aex_Amb_Tier2_paid_amt_22_curr">#REF!</definedName>
    <definedName name="AHF_Activity_By_Tier_Range">#REF!</definedName>
    <definedName name="HPD_bob_prevalence_other_prior">#REF!</definedName>
    <definedName name="_Low3">#REF!</definedName>
    <definedName name="Med_MDC_claimants_02_prior">#REF!</definedName>
    <definedName name="_bdm.14263D1F2D814D5EB1F95B1D6957384D.edm">#REF!</definedName>
    <definedName name="aex_OON_Util_amb_surgeries_curr">#REF!</definedName>
    <definedName name="SharesConv">#REF!</definedName>
    <definedName name="sum_mod_calc_ing_cost_amt_curr">#REF!</definedName>
    <definedName name="source1">#REF!</definedName>
    <definedName name="adf_tier3_cr_claim_paid_with_cr_funds_curr">#REF!</definedName>
    <definedName name="ahf_paid_amt_unknown_20_44_curr">#REF!</definedName>
    <definedName name="Med_MDC_days_17_curr">#REF!</definedName>
    <definedName name="AHF_Medical_by_Family_Range">#REF!</definedName>
    <definedName name="_bdm.6F44DF6EBF3D4432A71DF03D4DA26537.edm">#REF!</definedName>
    <definedName name="fi_exec_summary_rows52_rows61">#REF!</definedName>
    <definedName name="aex_inp_Tier1_paid_amt_14_curr">#REF!</definedName>
    <definedName name="Med_MDC_inp_billed_15_prior">#REF!</definedName>
    <definedName name="Med_billed_amt_amb_visits_curr">#REF!</definedName>
    <definedName name="Med_MDC_inp_paid_05_prior">#REF!</definedName>
    <definedName name="aex_inp_OON_paid_amt_02_curr">#REF!</definedName>
    <definedName name="Product_44_delete_prior">#REF!</definedName>
    <definedName name="sum_specialty_brand_formulary_copay_amt_curr">#REF!</definedName>
    <definedName name="aex_inp_Tier2_admits_17_curr">#REF!</definedName>
    <definedName name="dental_other_unknown_in_network_prior">#REF!</definedName>
    <definedName name="Med_paid_amt_above_threshold_prior">#REF!</definedName>
    <definedName name="Rx_AHF_num_members_curr">#REF!</definedName>
    <definedName name="sum_paid_class_P_curr">#REF!</definedName>
    <definedName name="DataThrough">#REF!</definedName>
    <definedName name="_bdm.05AD755AE1B644BCB6FF7AF6D6C94EE7.edm">#REF!</definedName>
    <definedName name="MDC_CD_11">#REF!</definedName>
    <definedName name="Rx_AHF_male_mem_20_44_prior">#REF!</definedName>
    <definedName name="e2e">#REF!</definedName>
    <definedName name="aex_inp_OON_paid_amt_12_curr">#REF!</definedName>
    <definedName name="ciq_meta_info_9ec80e37e87c48d29b38e6c33834e884">#REF!</definedName>
    <definedName name="ahf_termed_tier2_cr_claim_paid_with_cr_funds_curr">#REF!</definedName>
    <definedName name="OtherOpExp">#REF!</definedName>
    <definedName name="HPD_bob_prevalence_diabetes_prior">#REF!</definedName>
    <definedName name="dental_paid_ben_in_network_prior">#REF!</definedName>
    <definedName name="EBITT">#REF!</definedName>
    <definedName name="ahf_calc_ing_cost_amt_female_20_44_curr">#REF!</definedName>
    <definedName name="aex_Tier1_paid_amt_primary_off_visits_curr">#REF!</definedName>
    <definedName name="Med_MDC_amb_paid_07_curr">#REF!</definedName>
    <definedName name="_s1">#REF!</definedName>
    <definedName name="dental_other_unknown_out_network_curr">#REF!</definedName>
    <definedName name="AHF_Med_num_employees_curr">#REF!</definedName>
    <definedName name="Med_MDC_inp_paid_08_prior">#REF!</definedName>
    <definedName name="Med_paid_encounter_spec_phys_prior">#REF!</definedName>
    <definedName name="ahf_termed_tier2_emp_49_25_spend_curr">#REF!</definedName>
    <definedName name="sum_paid_class_Q_curr">#REF!</definedName>
    <definedName name="aex_inp_Tier1_days_02_curr">#REF!</definedName>
    <definedName name="AHF_Med_unknown_mem_65_over_curr">#REF!</definedName>
    <definedName name="aex_inp_Tier3_paid_amt_12_curr">#REF!</definedName>
    <definedName name="IQRCOMPANYA2AV89">#REF!</definedName>
    <definedName name="s_2">#REF!</definedName>
    <definedName name="IQRCompsL140">#REF!</definedName>
    <definedName name="IQRCompsR140">#REF!</definedName>
    <definedName name="AHF_Med_emp_paid_amt_male_20_44_curr">#REF!</definedName>
    <definedName name="rngQuery">#REF!</definedName>
    <definedName name="Med_MDC_amb_paid_18_prior">#REF!</definedName>
    <definedName name="aex_Amb_Tier3_claimants_00_curr">#REF!</definedName>
    <definedName name="ahf_tier3_active_employee_curr">#REF!</definedName>
    <definedName name="Product_50_members">#REF!</definedName>
    <definedName name="sum_paid_class_G_curr">#REF!</definedName>
    <definedName name="Med_MDC_inp_paid_13_prior">#REF!</definedName>
    <definedName name="__MUM17">#REF!</definedName>
    <definedName name="aex_OON_paid_amt_inp_days_curr">#REF!</definedName>
    <definedName name="_Table2_In1">#REF!</definedName>
    <definedName name="aex_Amb_Tier1_claimants_01_curr">#REF!</definedName>
    <definedName name="Med_claim_count_male_65_over_prior">#REF!</definedName>
    <definedName name="Med_count_er_visits_curr">#REF!</definedName>
    <definedName name="NetInc">#REF!</definedName>
    <definedName name="Product_DN_delete_prior">#REF!</definedName>
    <definedName name="FDP_78_1_aSrv">#REF!</definedName>
    <definedName name="Med_paid_amt_female_0_19_curr">#REF!</definedName>
    <definedName name="PageNumbers">#REF!</definedName>
    <definedName name="Rx_AHF_months_prior">#REF!</definedName>
    <definedName name="aex_inp_Tier3_paid_amt_15_curr">#REF!</definedName>
    <definedName name="Med_count_encounter_lab_rad_curr">#REF!</definedName>
    <definedName name="BOB_Dental_major_paid_amt_prior">#REF!</definedName>
    <definedName name="CA">#REF!</definedName>
    <definedName name="FOV_68_Range">#REF!</definedName>
    <definedName name="aex_Amb_OON_paid_amt_02_curr">#REF!</definedName>
    <definedName name="Med_total_par_negot_savings_amt_prior">#REF!</definedName>
    <definedName name="num_claims_class_B_curr">#REF!</definedName>
    <definedName name="num_claims_class_OTHER_prior">#REF!</definedName>
    <definedName name="aex_Tier3_paid_amt_inp_days_curr">#REF!</definedName>
    <definedName name="FDP_197_1_aUdv">#REF!</definedName>
    <definedName name="dent_net_avg_sub_charges_ppo_aetna_spec_ntwk_prior">#REF!</definedName>
    <definedName name="adf_tier3_emp_49_25_spend_curr">#REF!</definedName>
    <definedName name="AssetWriteup">#REF!</definedName>
    <definedName name="IQRCompsAW198">#REF!</definedName>
    <definedName name="AHF_Med_paid_amt_male_45_64_curr">#REF!</definedName>
    <definedName name="AttritionMonthly">#REF!</definedName>
    <definedName name="BOB_Med_paid_amt_inp_days_curr">#REF!</definedName>
    <definedName name="aex_inp_OON_admits_21_curr">#REF!</definedName>
    <definedName name="BOB_Med_days_count_curr">#REF!</definedName>
    <definedName name="Med_MDC_amb_paid_16_prior">#REF!</definedName>
    <definedName name="FOV_02_Range">#REF!</definedName>
    <definedName name="CalEPS1">#REF!</definedName>
    <definedName name="XREF_COLUMN_11">#REF!</definedName>
    <definedName name="sum_brand_singlesource_copay_curr">#REF!</definedName>
    <definedName name="Aetna_Spec_Ntwk_Exp_PPO_Max_Sav_Neg_Arrang">#REF!</definedName>
    <definedName name="aaaafff">#REF!</definedName>
    <definedName name="aex_inp_Tier3_paid_amt_24_curr">#REF!</definedName>
    <definedName name="Rx_female_mem_20_44_prior">#REF!</definedName>
    <definedName name="ahf_srv_copay_amt_total_prior">#REF!</definedName>
    <definedName name="Med_billed_amt_amb_surgeries_curr">#REF!</definedName>
    <definedName name="OtherLabel2">#REF!</definedName>
    <definedName name="Payment_Date">#REF!</definedName>
    <definedName name="aex_Tier1_paid_amt_home_health_visits_curr">#REF!</definedName>
    <definedName name="dent_net_avg_sub_charges_ppo_max_aetna_ppo_ntwk_curr">#REF!</definedName>
    <definedName name="Med_MDC_inp_billed_00_prior">#REF!</definedName>
    <definedName name="aex_Tier1_Util_radiology_services_curr">#REF!</definedName>
    <definedName name="sum_mod_calc_ing_cost_amt_prior">#REF!</definedName>
    <definedName name="BOB_Med_MDC_days_09_curr">#REF!</definedName>
    <definedName name="sic2high">#REF!</definedName>
    <definedName name="Hospital_Profile_Medical_Range2">#REF!</definedName>
    <definedName name="Med_MDC_admits_01_curr">#REF!</definedName>
    <definedName name="Med_MDC_amb_paid_05_curr">#REF!</definedName>
    <definedName name="Med_MDC_inp_paid_08_curr">#REF!</definedName>
    <definedName name="BOB_Dental_coinsurance_amt_curr">#REF!</definedName>
    <definedName name="Check_For_Account_Selection">#REF!</definedName>
    <definedName name="StatLabel6">#REF!</definedName>
    <definedName name="Med_billed_amt_male_65_over_curr">#REF!</definedName>
    <definedName name="IQRCompsAQ140">#REF!</definedName>
    <definedName name="adf_termed_tier1_emp_24_1_spend_curr">#REF!</definedName>
    <definedName name="_MUM13">#REF!</definedName>
    <definedName name="FOV_41_Range">#REF!</definedName>
    <definedName name="si_exec_summary_rows7_rows82">#REF!</definedName>
    <definedName name="ahf_ahf_paid_amt_total_prior">#REF!</definedName>
    <definedName name="IQRCompsAQ225">#REF!</definedName>
    <definedName name="Median4">#REF!</definedName>
    <definedName name="aex_inp_Tier1_admits_00_curr">#REF!</definedName>
    <definedName name="aex_Amb_OON_claimants_06_curr">#REF!</definedName>
    <definedName name="IQRCompsAX154">#REF!</definedName>
    <definedName name="Med_MDC_days_21_curr">#REF!</definedName>
    <definedName name="LFQ">#REF!</definedName>
    <definedName name="ahf_tier1_emp_49_25_spend_curr">#REF!</definedName>
    <definedName name="Med_billed_amt_office_surgeries_prior">#REF!</definedName>
    <definedName name="sum_awp_amt_mac_mod_curr">#REF!</definedName>
    <definedName name="sum_total_days_prior">#REF!</definedName>
    <definedName name="BOB_Med_MDC_days_06_curr">#REF!</definedName>
    <definedName name="Product_76_members">#REF!</definedName>
    <definedName name="_bdm.206C2DBCAA3711D6B64A0010A494EFA8.edm">#REF!</definedName>
    <definedName name="LTMGrossProfit">#REF!</definedName>
    <definedName name="Product_53_members">#REF!</definedName>
    <definedName name="ahf_ahf_paid_amt_total_curr">#REF!</definedName>
    <definedName name="aex_OON_paid_amt_amb_surgeries_curr">#REF!</definedName>
    <definedName name="IQRCompsAU140">#REF!</definedName>
    <definedName name="IQRCOMPANYBAX89">#REF!</definedName>
    <definedName name="Med_MDC_cd_15_prior">#REF!</definedName>
    <definedName name="Rx_female_mem_65_over_curr">#REF!</definedName>
    <definedName name="sum_specialty_copay_amt_curr">#REF!</definedName>
    <definedName name="BOB_num_brand_multisource_claims_curr">#REF!</definedName>
    <definedName name="DrillDownRow17Row27SIKeyStats">#REF!</definedName>
    <definedName name="Med_MDC_amb_paid_08_curr">#REF!</definedName>
    <definedName name="Med_MDC_claimants_00_curr">#REF!</definedName>
    <definedName name="ahf_act_emp_fund_paid_curr">#REF!</definedName>
    <definedName name="Med_MDC_admits_15_prior">#REF!</definedName>
    <definedName name="HPD_number_claimants_asthma_prior">#REF!</definedName>
    <definedName name="Med_allowed_amt_prior">#REF!</definedName>
    <definedName name="sum_paid_class_C_prior">#REF!</definedName>
    <definedName name="aex_inp_OON_admits_09_curr">#REF!</definedName>
    <definedName name="ConvTrig">#REF!</definedName>
    <definedName name="aex_OON_paid_amt_inp_surgeries_curr">#REF!</definedName>
    <definedName name="salarys">#REF!</definedName>
    <definedName name="Med_claim_count_male_20_44_curr">#REF!</definedName>
    <definedName name="Medic_female_mem_85_over_curr">#REF!</definedName>
    <definedName name="BH_BOB_Rx_num_employees_curr">#REF!</definedName>
    <definedName name="aex_Amb_Tier2_claimants_13_curr">#REF!</definedName>
    <definedName name="sum_mod_brand_formulary_copay_amt_curr">#REF!</definedName>
    <definedName name="Dental_network_discount_in_network_curr">#REF!</definedName>
    <definedName name="adf_tier4_emp_99_75_spend_curr">#REF!</definedName>
    <definedName name="Dental_network_discount_out_network_curr">#REF!</definedName>
    <definedName name="FOV_13_Range">#REF!</definedName>
    <definedName name="aex_Tier1_paid_amt_off_surgeries_curr">#REF!</definedName>
    <definedName name="sum_specialty_brand_formulary_plan_paid_amt_prior">#REF!</definedName>
    <definedName name="EVEBITLTM">#REF!</definedName>
    <definedName name="ahf_tier4_emp_0_spend_curr">#REF!</definedName>
    <definedName name="__MUM14">#REF!</definedName>
    <definedName name="aex_tier3_paid_amt_tot_prior">#REF!</definedName>
    <definedName name="AHF_Med_days_count_prior">#REF!</definedName>
    <definedName name="aex_OOC_Amb_Paid_Amt_curr">#REF!</definedName>
    <definedName name="Med_MDC_admits_14_curr">#REF!</definedName>
    <definedName name="dent_net_avg_sub_charges_ppo_aetna_ppo_ntwk_prior">#REF!</definedName>
    <definedName name="ahf_tier4_rollover_pr_year_curr">#REF!</definedName>
    <definedName name="Dental_female_mem_0_19_curr">#REF!</definedName>
    <definedName name="ahf_srv_copay_amt_unknown_45_64_curr">#REF!</definedName>
    <definedName name="IQRCompsAN225">#REF!</definedName>
    <definedName name="aex_Tier3_paid_amt_primary_off_visits_curr">#REF!</definedName>
    <definedName name="ahf_total_emp_24_1_spend_curr">#REF!</definedName>
    <definedName name="AHF_Med_specialist_office__visits_count_prior">#REF!</definedName>
    <definedName name="BOB_Dental_paid_amt_curr">#REF!</definedName>
    <definedName name="BOB_Med_paid_amt_er_visits_curr">#REF!</definedName>
    <definedName name="retail_paid_amt_prior">#REF!</definedName>
    <definedName name="Med_paid_amt_male_20_44_prior">#REF!</definedName>
    <definedName name="ahf_termed_tier1_cr_fund_remaining_curr">#REF!</definedName>
    <definedName name="adf_tier1_active_employee_curr">#REF!</definedName>
    <definedName name="Med_MDC_inp_billed_12_curr">#REF!</definedName>
    <definedName name="DebtBook">#REF!</definedName>
    <definedName name="FDP_82_1_aUrv">#REF!</definedName>
    <definedName name="Med_MDC_inp_paid_17_prior">#REF!</definedName>
    <definedName name="ahf_ahf_paid_amt_unknown_65_over_curr">#REF!</definedName>
    <definedName name="Product_73_members">#REF!</definedName>
    <definedName name="BOB_Rx_male_mem_45_64_curr">#REF!</definedName>
    <definedName name="Med_MDC_amb_billed_18_curr">#REF!</definedName>
    <definedName name="Med_paid_amt_amb_surgeries_prior">#REF!</definedName>
    <definedName name="aex_inp_OON_admits_12_curr">#REF!</definedName>
    <definedName name="FDP_34_1_aUrv">#REF!</definedName>
    <definedName name="Goodwill">#REF!</definedName>
    <definedName name="UserEnteredText1">#REF!</definedName>
    <definedName name="FDP_89_1_aUrv">#REF!</definedName>
    <definedName name="FDP_111_1_aUrv">#REF!</definedName>
    <definedName name="Remove_Cust_Spec_Ntwk">#REF!</definedName>
    <definedName name="High6">#REF!</definedName>
    <definedName name="aex_inp_Tier2_admits_09_curr">#REF!</definedName>
    <definedName name="sum_salestax_amt_non_mac_mod_curr">#REF!</definedName>
    <definedName name="paid_male_45_64_prior">#REF!</definedName>
    <definedName name="IQRCOMPANYA2AP89">#REF!</definedName>
    <definedName name="BOB_Med_paid_amt_curr">#REF!</definedName>
    <definedName name="Med_billed_amt_unknown_65_over_curr">#REF!</definedName>
    <definedName name="aex_Amb_OON_claimants_17_curr">#REF!</definedName>
    <definedName name="SharesCurrentT">#REF!</definedName>
    <definedName name="Med_MDC_admits_00_curr">#REF!</definedName>
    <definedName name="FDP_4_1_aSrv">#REF!</definedName>
    <definedName name="BOB_Dental_preventative_paid_amt_prior">#REF!</definedName>
    <definedName name="Med_MDC_paid_23_prior">#REF!</definedName>
    <definedName name="aex_inp_OON_admits_23_curr">#REF!</definedName>
    <definedName name="Med_billed_encounter_other_curr">#REF!</definedName>
    <definedName name="TSLow">#REF!</definedName>
    <definedName name="sum_prof_fee_amt_non_mac_mod_curr">#REF!</definedName>
    <definedName name="BOB_Med_MDC_days_13_curr">#REF!</definedName>
    <definedName name="Dental_rc_savings_out_network_prior">#REF!</definedName>
    <definedName name="Year2">#REF!</definedName>
    <definedName name="SynLTM">#REF!</definedName>
    <definedName name="adf_term_emp_plus_fam_fund_paid_prior">#REF!</definedName>
    <definedName name="Med_MDC_days_22_curr">#REF!</definedName>
    <definedName name="Med_MDC_paid_999_prior">#REF!</definedName>
    <definedName name="aex_Amb_OON_paid_amt_20_curr">#REF!</definedName>
    <definedName name="_pr2">#REF!</definedName>
    <definedName name="aex_Amb_Tier2_claimants_00_curr">#REF!</definedName>
    <definedName name="_10Table2_">#REF!</definedName>
    <definedName name="BOB_Rx_male_mem_20_44_curr">#REF!</definedName>
    <definedName name="aex_inp_Tier1_days_00_curr">#REF!</definedName>
    <definedName name="Med_MDC_inp_paid_14_prior">#REF!</definedName>
    <definedName name="BOB_Med_MDC_days_18_curr">#REF!</definedName>
    <definedName name="HighPrice">#REF!</definedName>
    <definedName name="aex_Amb_Tier1_paid_amt_09_curr">#REF!</definedName>
    <definedName name="ahf_tier4_cr_clm_paid_with_rollover_funds_curr">#REF!</definedName>
    <definedName name="aex_inp_OON_admits_10_curr">#REF!</definedName>
    <definedName name="dental_employee_in_network_prior">#REF!</definedName>
    <definedName name="ahf_paid_amt_male_0_19_curr">#REF!</definedName>
    <definedName name="BOB_Med_MDC_paid_08_curr">#REF!</definedName>
    <definedName name="Medicare_Billed_female_mem_75_79_prior">#REF!</definedName>
    <definedName name="adf_tier4_rollover_pr_year_curr">#REF!</definedName>
    <definedName name="num_claims_class_R_curr">#REF!</definedName>
    <definedName name="Dental_unknown_mem_0_19_prior">#REF!</definedName>
    <definedName name="Demographics_FI_Community_Graph_range">#REF!</definedName>
    <definedName name="Med_MDC_claimants_06_curr">#REF!</definedName>
    <definedName name="adf_tier4_emp_49_25_spend_curr">#REF!</definedName>
    <definedName name="dent_sav_frm_negot_arrangements_ppo_aetna_ppo_II_ntwk_prior">#REF!</definedName>
    <definedName name="sum_specialty_brand_formulary_plan_paid_amt_curr">#REF!</definedName>
    <definedName name="Med_claim_count_above_threshold_curr">#REF!</definedName>
    <definedName name="adf_tier3_active_employee_curr">#REF!</definedName>
    <definedName name="Dental_paid_amt_male_20_44_curr">#REF!</definedName>
    <definedName name="sum_calcing_cost_amt_brand_specialty_prior">#REF!</definedName>
    <definedName name="medical_sorta">#REF!</definedName>
    <definedName name="aex_Tier1_Util_home_health_visits_curr">#REF!</definedName>
    <definedName name="Med_MDC_days_16_prior">#REF!</definedName>
    <definedName name="adf_act_emp_fund_paid_prior">#REF!</definedName>
    <definedName name="aex_OON_paid_amt_med_rx_curr">#REF!</definedName>
    <definedName name="adf_total_termd_cr_year_initial_fund_curr">#REF!</definedName>
    <definedName name="aex_Amb_Tier3_claimants_09_curr">#REF!</definedName>
    <definedName name="First_Time_Switch">#REF!</definedName>
    <definedName name="DaysRec">#REF!</definedName>
    <definedName name="adf_termed_tier3_emp_74_50_spend_curr">#REF!</definedName>
    <definedName name="Med_billed_amt_male_20_44_prior">#REF!</definedName>
    <definedName name="sum_prof_fee_amt_non_mac_mod_prior">#REF!</definedName>
    <definedName name="CapEx">#REF!</definedName>
    <definedName name="AHF_Rx_Key_Statistics_Range">#REF!</definedName>
    <definedName name="sum_paid_class_O_curr">#REF!</definedName>
    <definedName name="num_util_members_class_D_curr">#REF!</definedName>
    <definedName name="BH_BOB_Rx_male_mem_45_64_curr">#REF!</definedName>
    <definedName name="EVCashFlowLTM">#REF!</definedName>
    <definedName name="dent_net_avg_sub_charges_ppo_max_cust_spec_ntwk_curr">#REF!</definedName>
    <definedName name="dent_sav_frm_negot_arrangements_ppo_max_aetna_ppo_II_ntwk_prior">#REF!</definedName>
    <definedName name="BOB_Med_paid_other_prior">#REF!</definedName>
    <definedName name="Med_MDC_days_14_curr">#REF!</definedName>
    <definedName name="Product_04_members">#REF!</definedName>
    <definedName name="Med_MDC_inp_billed_07_prior">#REF!</definedName>
    <definedName name="BLPH3">#REF!</definedName>
    <definedName name="AHF_Med_emp_paid_amt_female_65_over_curr">#REF!</definedName>
    <definedName name="ahf_termed_tier2_Incentive_fund_earned_curr">#REF!</definedName>
    <definedName name="EVCashFlow1">#REF!</definedName>
    <definedName name="Cap_capitation_amt_prior">#REF!</definedName>
    <definedName name="BLPH10">#REF!</definedName>
    <definedName name="PremTrig">#REF!</definedName>
    <definedName name="PoliticalRiskPremium">#REF!</definedName>
    <definedName name="_bdm.5D8D55B204CB487ABFE89E021F786C24.edm">#REF!</definedName>
    <definedName name="aex_Amb_Tier2_paid_amt_24_curr">#REF!</definedName>
    <definedName name="Med_paid_amt_female_45_64_curr">#REF!</definedName>
    <definedName name="_Table1_In2">#REF!</definedName>
    <definedName name="LTMEBITDA">#REF!</definedName>
    <definedName name="Med_MDC_amb_billed_17_curr">#REF!</definedName>
    <definedName name="ahf_rx_num_unique_mem_id_prior">#REF!</definedName>
    <definedName name="ahf_bnft_plan_paid_amt_unknown_0_19_curr">#REF!</definedName>
    <definedName name="FDP_169_1_aDrv">#REF!</definedName>
    <definedName name="Med_coinsurance_amt_prior">#REF!</definedName>
    <definedName name="Med_MDC_billed_19_curr">#REF!</definedName>
    <definedName name="adf_termed_tier1_cr_year_initial_fund_curr">#REF!</definedName>
    <definedName name="fi_exec_summary_rows11">#REF!</definedName>
    <definedName name="rngUnplugged">#REF!</definedName>
    <definedName name="sum_paid_class_A_curr">#REF!</definedName>
    <definedName name="adf_tier2_emp_100_spend_curr">#REF!</definedName>
    <definedName name="ahf_termed_tier1_Incentive_fund_earned_curr">#REF!</definedName>
    <definedName name="aex_Amb_Tier1_paid_amt_13_curr">#REF!</definedName>
    <definedName name="RDMargin">#REF!</definedName>
    <definedName name="__123Graph_EChart1">#REF!</definedName>
    <definedName name="Dental_rc_savings_out_network_curr">#REF!</definedName>
    <definedName name="Med_MDC_amb_paid_17_curr">#REF!</definedName>
    <definedName name="Product_07_members">#REF!</definedName>
    <definedName name="Med_count_encounter_spec_phys_curr">#REF!</definedName>
    <definedName name="BOB_sum_formulary_paid_amt_prior">#REF!</definedName>
    <definedName name="EV3Other1">#REF!</definedName>
    <definedName name="BOB_Med_MDC_inp_paid_12_curr">#REF!</definedName>
    <definedName name="Med_MDC_inp_billed_01_prior">#REF!</definedName>
    <definedName name="FI_comm_rated_gloss_num_of_emp">#REF!</definedName>
    <definedName name="Product_DN_members">#REF!</definedName>
    <definedName name="Rx_female_members_prior">#REF!</definedName>
    <definedName name="ahf_ahf_paid_amt_male_20_44_curr">#REF!</definedName>
    <definedName name="Med_paid_amt_unknown_0_19_prior">#REF!</definedName>
    <definedName name="num_brand_singlesource_claims_curr">#REF!</definedName>
    <definedName name="gpi_name_class_Q_curr">#REF!</definedName>
    <definedName name="sum_calcing_cost_amt_brand_retail_prior">#REF!</definedName>
    <definedName name="gpi_name_class_I_curr">#REF!</definedName>
    <definedName name="MDC_Range_N9_O33">#REF!</definedName>
    <definedName name="FDP_128_1_aUrv">#REF!</definedName>
    <definedName name="BrokerEnteredName">#REF!</definedName>
    <definedName name="AHF_Med_paid_amt_total_curr">#REF!</definedName>
    <definedName name="Product_51_delete_prior">#REF!</definedName>
    <definedName name="BOB_Med_months_prior">#REF!</definedName>
    <definedName name="ahf_termed_tier4_cr_fund_remaining_curr">#REF!</definedName>
    <definedName name="__MUM8">#REF!</definedName>
    <definedName name="aex_OON_paid_amt_spec_off_visits_curr">#REF!</definedName>
    <definedName name="Med_MDC_paid_09_curr">#REF!</definedName>
    <definedName name="NA_Range_Mem">#REF!</definedName>
    <definedName name="AHF_Med_specialist_office_visits_count_curr">#REF!</definedName>
    <definedName name="Medic_male_mem_85_over_curr">#REF!</definedName>
    <definedName name="Product_42_members">#REF!</definedName>
    <definedName name="CostOfDebt">#REF!</definedName>
    <definedName name="BOB_Med_MDC_inp_paid_22_curr">#REF!</definedName>
    <definedName name="Med_MDC_claimants_18_prior">#REF!</definedName>
    <definedName name="Product_68_members">#REF!</definedName>
    <definedName name="STDebt">#REF!</definedName>
    <definedName name="AHF_Med_amb_surgery_count_curr">#REF!</definedName>
    <definedName name="BOB_Rx_unknown_mem_0_19_prior">#REF!</definedName>
    <definedName name="adf_termed_tier2_rollover_fund_remaining_curr">#REF!</definedName>
    <definedName name="XRefPaste5Row">#REF!</definedName>
    <definedName name="Rx_Key_Statistics_by_Generic_Range">#REF!</definedName>
    <definedName name="Medic_female_mem_75_79_curr">#REF!</definedName>
    <definedName name="adf_tier1_cr_claim_paid_with_cr_funds_curr">#REF!</definedName>
    <definedName name="AHF_Med_count_er_curr">#REF!</definedName>
    <definedName name="Med_MDC_admits_03_prior">#REF!</definedName>
    <definedName name="Med_female_members_curr">#REF!</definedName>
    <definedName name="FI_ER_Visits_1000_Members">#REF!</definedName>
    <definedName name="OtherLabel3">#REF!</definedName>
    <definedName name="Med_MDC_amb_billed_999_prior">#REF!</definedName>
    <definedName name="adf_termed_tier2_tot_fund_available_curr">#REF!</definedName>
    <definedName name="FDP_141_1_aSrv">#REF!</definedName>
    <definedName name="fi_exec_summary_rows66_rows74">#REF!</definedName>
    <definedName name="num_util_members_class_M_curr">#REF!</definedName>
    <definedName name="aex_Amb_Tier2_claimants_12_curr">#REF!</definedName>
    <definedName name="dental_spouse_in_network_curr">#REF!</definedName>
    <definedName name="Med_MDC_claimants_00_prior">#REF!</definedName>
    <definedName name="AHF_Med_allowed_amt_female_65_over_curr">#REF!</definedName>
    <definedName name="_bdm.60347E02768C4A9898B4F9F8E4487C68.edm">#REF!</definedName>
    <definedName name="Med_MDC_amb_billed_01_prior">#REF!</definedName>
    <definedName name="__s2">#REF!</definedName>
    <definedName name="CommunityRatedMedicare_HPD_Footnote3_delete">#REF!</definedName>
    <definedName name="BOB_Med_inp_paid_amt_prior">#REF!</definedName>
    <definedName name="Med_MDC_inp_paid_20_curr">#REF!</definedName>
    <definedName name="kdkj">#REF!</definedName>
    <definedName name="IQRSheet2A12">#REF!</definedName>
    <definedName name="adf_tier1_Incentive_fund_earned_curr">#REF!</definedName>
    <definedName name="aex_inp_OON_admits_00_curr">#REF!</definedName>
    <definedName name="BOB_Med_MDC_days_21_curr">#REF!</definedName>
    <definedName name="ahf_total_emp_99_75_spend_curr">#REF!</definedName>
    <definedName name="LTMOther2">#REF!</definedName>
    <definedName name="ItemLabel6">#REF!</definedName>
    <definedName name="IncStartDateCurr">#REF!</definedName>
    <definedName name="_bdm.D5FAA374367241959C322560ED7F8A37.edm">#REF!</definedName>
    <definedName name="Med_MDC_claimants_05_prior">#REF!</definedName>
    <definedName name="NumberOfPlansSelected">#REF!</definedName>
    <definedName name="Print_Area_Reset">#REF!</definedName>
    <definedName name="MDC_MDC_Label">#REF!</definedName>
    <definedName name="EV3Other2">#REF!</definedName>
    <definedName name="ahf_tier4_active_employee_curr">#REF!</definedName>
    <definedName name="AHF_Med_fund_paid_amt_unknown_65_over_curr">#REF!</definedName>
    <definedName name="BH_BOB_Med_female_mem_45_64_curr">#REF!</definedName>
    <definedName name="adf_tier2_emp_74_50_spend_curr">#REF!</definedName>
    <definedName name="AHF_Med_male_mem_0_19_prior">#REF!</definedName>
    <definedName name="Med_count_med_rx_prior">#REF!</definedName>
    <definedName name="BH_BOB_Rx_unknown_mem_65_over_curr">#REF!</definedName>
    <definedName name="EBITR">#REF!</definedName>
    <definedName name="dent_sav_frm_negot_arrangements_ppo_max_cust_spec_ntwk_curr">#REF!</definedName>
    <definedName name="EPSGrowth">#REF!</definedName>
    <definedName name="TaxRate3">#REF!</definedName>
    <definedName name="BOB_sum_brand_multisource_paid_amt_prior">#REF!</definedName>
    <definedName name="CashFlows">#REF!</definedName>
    <definedName name="AHF_Med_count_spec_phys_curr">#REF!</definedName>
    <definedName name="BOB_Dental_other_paid_amt_prior">#REF!</definedName>
    <definedName name="tax">#REF!</definedName>
    <definedName name="_MUM15">#REF!</definedName>
    <definedName name="aex_inp_OON_paid_amt_22_curr">#REF!</definedName>
    <definedName name="AHF_Med_allowed_amt_total_curr">#REF!</definedName>
    <definedName name="aex_Amb_Tier3_paid_amt_09_curr">#REF!</definedName>
    <definedName name="ChangeRange2">#REF!</definedName>
    <definedName name="FDP_202_1_aDdv">#REF!</definedName>
    <definedName name="num_util_members_class_M_prior">#REF!</definedName>
    <definedName name="ahf_termed_tier3_cr_claim_paid_with_cr_funds_curr">#REF!</definedName>
    <definedName name="BOB_Med_MDC_claimants_14_curr">#REF!</definedName>
    <definedName name="sum_specialty_generic_plan_paid_amt_prior">#REF!</definedName>
    <definedName name="aex_Amb_Tier2_paid_amt_21_curr">#REF!</definedName>
    <definedName name="ahf_termed_tier2_cr_year_initial_fund_curr">#REF!</definedName>
    <definedName name="sum_awp_amt_non_mac_mod_prior">#REF!</definedName>
    <definedName name="dental_dup_bills_in_network_prior">#REF!</definedName>
    <definedName name="aex_inp_Tier2_days_04_curr">#REF!</definedName>
    <definedName name="Aexcel_Prof_Exp_Util_Headings">#REF!</definedName>
    <definedName name="aex_Tier1_paid_amt_other_spec_off_visits_curr">#REF!</definedName>
    <definedName name="aex_Med_MDC_cd_14_curr">#REF!</definedName>
    <definedName name="Med_MDC_inp_billed_999_curr">#REF!</definedName>
    <definedName name="Med_paid_amt_med_visits_prior">#REF!</definedName>
    <definedName name="NONAexcelMedicalProduct">#REF!</definedName>
    <definedName name="FDP_117_1_aUrv">#REF!</definedName>
    <definedName name="num_claims_class_P_prior">#REF!</definedName>
    <definedName name="FDP_149_1_aUrv">#REF!</definedName>
    <definedName name="SynYear2">#REF!</definedName>
    <definedName name="AHF_Med_paid_amt_amb_curr">#REF!</definedName>
    <definedName name="dent_net_avg_sub_charges_ppo_max_aetna_ppo_II_ntwk_curr">#REF!</definedName>
    <definedName name="Dental_paid_amt_unknown_45_64_prior">#REF!</definedName>
    <definedName name="Description">#REF!</definedName>
    <definedName name="aex_Amb_Tier1_claimants_23_curr">#REF!</definedName>
    <definedName name="ahf_bnft_plan_paid_amt_female_20_44_curr">#REF!</definedName>
    <definedName name="IntT">#REF!</definedName>
    <definedName name="FI_ExclusionInd">#REF!</definedName>
    <definedName name="Med_MDC_paid_09_prior">#REF!</definedName>
    <definedName name="sum_mod_generic_paid_amt_prior">#REF!</definedName>
    <definedName name="CommunityRatedRow23Row27SIKeyStats">#REF!</definedName>
    <definedName name="aex_Amb_Tier3_paid_amt_22_curr">#REF!</definedName>
    <definedName name="adf_tier2_rollover_fund_remaining_curr">#REF!</definedName>
    <definedName name="dent_net_avg_sub_charges_ppo_aetna_ppo_II_ntwk_prior">#REF!</definedName>
    <definedName name="FYE2Revenues">#REF!</definedName>
    <definedName name="FDP_60_1_aUrv">#REF!</definedName>
    <definedName name="IQRCOMPANYA2AR89">#REF!</definedName>
    <definedName name="sum_paid_class_R_prior">#REF!</definedName>
    <definedName name="_bdm.803667C105C14884B5A6CB9298713468.edm">#REF!</definedName>
    <definedName name="_bdm.C63F07B43E9043C3A41505423865A163.edm">#REF!</definedName>
    <definedName name="Med_par_paid_amt_prior">#REF!</definedName>
    <definedName name="Med_count_inp_days_prior">#REF!</definedName>
    <definedName name="ProcEndDateCurr">#REF!</definedName>
    <definedName name="Product_11_members">#REF!</definedName>
    <definedName name="AHF_Med_days_count_curr">#REF!</definedName>
    <definedName name="Rx_Formulary_Analysis_Range">#REF!</definedName>
    <definedName name="AHF_Med_inp_surgery_count_prior">#REF!</definedName>
    <definedName name="aex_Amb_Tier2_paid_amt_02_curr">#REF!</definedName>
    <definedName name="aex_inp_Tier2_days_10_curr">#REF!</definedName>
    <definedName name="Med_MDC_amb_billed_05_curr">#REF!</definedName>
    <definedName name="__MUM6">#REF!</definedName>
    <definedName name="multisource_util_prior">#REF!</definedName>
    <definedName name="Product_01_members">#REF!</definedName>
    <definedName name="gpi_name_class_M_curr">#REF!</definedName>
    <definedName name="ahf_tier1_emp_0_spend_curr">#REF!</definedName>
    <definedName name="FDP_65_1_aSrv">#REF!</definedName>
    <definedName name="Dental_unknown_mem_65_over_curr">#REF!</definedName>
    <definedName name="Med_other_discount_admin_savings_amt_prior">#REF!</definedName>
    <definedName name="BOB_Dental_major_paid_amt_curr">#REF!</definedName>
    <definedName name="sum_calcing_cost_amt_non_mac_specialty_prior">#REF!</definedName>
    <definedName name="gpi_name_class_H_curr">#REF!</definedName>
    <definedName name="__123Graph_E">#REF!</definedName>
    <definedName name="Med_MDC_amb_billed_15_curr">#REF!</definedName>
    <definedName name="FDP_85_1_aUrv">#REF!</definedName>
    <definedName name="ciq_meta_info_73c8c26de6d24ce0aec99294d9991712">#REF!</definedName>
    <definedName name="ahf_member_cnt_unknown_0_19_curr">#REF!</definedName>
    <definedName name="Change4">#REF!</definedName>
    <definedName name="Med_amb_billed_network_curr">#REF!</definedName>
    <definedName name="UnleveredBetas">#REF!</definedName>
    <definedName name="sum_specialty_non_brand_formulary_paid_amt_prior">#REF!</definedName>
    <definedName name="adf_tier4_active_employee_curr">#REF!</definedName>
    <definedName name="adf_total_termd_tot_fund_available_curr">#REF!</definedName>
    <definedName name="Med_MDC_days_22_prior">#REF!</definedName>
    <definedName name="HPD_paid_amt_diabetes_prior">#REF!</definedName>
    <definedName name="sum_svc_copay_amt_non_mac_retail_curr">#REF!</definedName>
    <definedName name="adf_act_emp_fund_paid_curr">#REF!</definedName>
    <definedName name="aex_TOT_Amb_Paid_Amt_curr">#REF!</definedName>
    <definedName name="FDP_182_1_aDrv">#REF!</definedName>
    <definedName name="BOB_Med_MDC_claimants_15_curr">#REF!</definedName>
    <definedName name="Dental_months_prior">#REF!</definedName>
    <definedName name="sum_mod_brand_formulary_copay_amt_prior">#REF!</definedName>
    <definedName name="aex_inp_OON_paid_amt_05_curr">#REF!</definedName>
    <definedName name="MDC_CD_23">#REF!</definedName>
    <definedName name="ahf_srv_copay_amt_unknown_0_19_curr">#REF!</definedName>
    <definedName name="ahf_member_cnt_female_0_19_curr">#REF!</definedName>
    <definedName name="IQRIndexDataA13">#REF!</definedName>
    <definedName name="Med_billed_amt_misc_med_curr">#REF!</definedName>
    <definedName name="Med_MDC_cd_22_curr">#REF!</definedName>
    <definedName name="aex_Amb_Tier1_claimants_13_curr">#REF!</definedName>
    <definedName name="Med_MDC_days_02_curr">#REF!</definedName>
    <definedName name="UserEnteredText2">#REF!</definedName>
    <definedName name="SharesOptions">#REF!</definedName>
    <definedName name="FI_Provider_Network_Exp_Medical_Range">#REF!</definedName>
    <definedName name="sum_calc_ing_cost_prior">#REF!</definedName>
    <definedName name="singlesource_util_prior">#REF!</definedName>
    <definedName name="BOB_Med_MDC_admits_14_curr">#REF!</definedName>
    <definedName name="aex_Med_MDC_cd_07_curr">#REF!</definedName>
    <definedName name="ahf_termed_tier4_tot_fund_available_curr">#REF!</definedName>
    <definedName name="Values_Entered">#REF!</definedName>
    <definedName name="ahf_ahf_paid_amt_male_45_64_curr">#REF!</definedName>
    <definedName name="NetDebtBook">#REF!</definedName>
    <definedName name="Med_non_facility_network_discount_prior">#REF!</definedName>
    <definedName name="aex_Tier2_paid_amt_amb_visits_curr">#REF!</definedName>
    <definedName name="ahf_calc_ing_cost_amt_unknown_45_64_curr">#REF!</definedName>
    <definedName name="ReportPELTM">#REF!</definedName>
    <definedName name="aex_Tier1_Amb_Paid_Amt_curr">#REF!</definedName>
    <definedName name="aex_Amb_Tier2_claimants_18_curr">#REF!</definedName>
    <definedName name="CapIntExp">#REF!</definedName>
    <definedName name="__s3">#REF!</definedName>
    <definedName name="Med_MDC_paid_00_curr">#REF!</definedName>
    <definedName name="AHF_Med_emp_paid_amt_female_45_64_curr">#REF!</definedName>
    <definedName name="Med_claim_count_unknown_45_64_prior">#REF!</definedName>
    <definedName name="Demographics_Medical_Range">#REF!</definedName>
    <definedName name="AHF_Med_emp_paid_amt_female_0_19_curr">#REF!</definedName>
    <definedName name="Med_MDC_days_21_prior">#REF!</definedName>
    <definedName name="Health_Profile_Top_10_Dis_Med_HPD_Range">#REF!</definedName>
    <definedName name="aex_inp_Tier3_paid_amt_18_curr">#REF!</definedName>
    <definedName name="_bdm.50553AD1FFFB441A8C7A349481F9E45E.edm">#REF!</definedName>
    <definedName name="Key_Statistics_Medical_Range">#REF!</definedName>
    <definedName name="adf_tier3_tot_fund_available_curr">#REF!</definedName>
    <definedName name="num_util_members_class_I_prior">#REF!</definedName>
    <definedName name="dental_elig_denials_out_network_curr">#REF!</definedName>
    <definedName name="FDP_152_1_aUrv">#REF!</definedName>
    <definedName name="Med_Cost_Rows8_19_Range">#REF!</definedName>
    <definedName name="aex_Amb_OON_paid_amt_11_curr">#REF!</definedName>
    <definedName name="Med_MDC_billed_12_prior">#REF!</definedName>
    <definedName name="EPSYear2T">#REF!</definedName>
    <definedName name="Med_inp_paid_amt_curr">#REF!</definedName>
    <definedName name="aex_Tier2_Util_er_visits_curr">#REF!</definedName>
    <definedName name="ahf_tier1_emp_100_spend_curr">#REF!</definedName>
    <definedName name="Med_MDC_inp_billed_04_prior">#REF!</definedName>
    <definedName name="sum_paid_class_OTHER_prior">#REF!</definedName>
    <definedName name="Med_MDC_inp_billed_07_curr">#REF!</definedName>
    <definedName name="FYE1EBITDA">#REF!</definedName>
    <definedName name="BOB_Med_MDC_claimants_07_curr">#REF!</definedName>
    <definedName name="Med_MDC_amb_billed_22_curr">#REF!</definedName>
    <definedName name="Med_MDC_inp_billed_13_prior">#REF!</definedName>
    <definedName name="sum_calcing_cost_amt_non_mac_mod_prior">#REF!</definedName>
    <definedName name="StrPrefLiq">#REF!</definedName>
    <definedName name="Med_phys_discount_billed_amt_curr">#REF!</definedName>
    <definedName name="aex_Med_MDC_cd_13_curr">#REF!</definedName>
    <definedName name="BOB_Med_MDC_paid_16_curr">#REF!</definedName>
    <definedName name="ahf_tier3_emp_100_spend_curr">#REF!</definedName>
    <definedName name="Med_hospital_inp_paid_amt_prior">#REF!</definedName>
    <definedName name="sum_prof_fee_amt_brand_specialty_curr">#REF!</definedName>
    <definedName name="util_mem_male_20_44_curr">#REF!</definedName>
    <definedName name="Med_MDC_amb_billed_18_prior">#REF!</definedName>
    <definedName name="_MUM1">#REF!</definedName>
    <definedName name="num_util_members_class_D_prior">#REF!</definedName>
    <definedName name="Med_MDC_billed_09_prior">#REF!</definedName>
    <definedName name="ahf_termed_tier1_emp_100_spend_curr">#REF!</definedName>
    <definedName name="ItemLabel3">#REF!</definedName>
    <definedName name="aex_inp_Tier1_paid_amt_21_curr">#REF!</definedName>
    <definedName name="BH_BOB_Rx_unknown_mem_20_44_curr">#REF!</definedName>
    <definedName name="SrRate">#REF!</definedName>
    <definedName name="Med_paid_other_prior">#REF!</definedName>
    <definedName name="_bdm.75AEB8ED3BB74DDAAF13881E19CF0474.edm">#REF!</definedName>
    <definedName name="FDP_205_1_aUrv">#REF!</definedName>
    <definedName name="EV2Other1">#REF!</definedName>
    <definedName name="AHF_Med_female_members_curr">#REF!</definedName>
    <definedName name="BOB_Med_female_mem_45_64_curr">#REF!</definedName>
    <definedName name="Rx_male_members_prior">#REF!</definedName>
    <definedName name="XRefPaste13Row">#REF!</definedName>
    <definedName name="Template">#REF!</definedName>
    <definedName name="Rx_female_mem_0_19_curr">#REF!</definedName>
    <definedName name="Med_MDC_days_20_curr">#REF!</definedName>
    <definedName name="Med_billed_amt_misc_med_prior">#REF!</definedName>
    <definedName name="Product_43_delete_prior">#REF!</definedName>
    <definedName name="sum_salestax_amt_non_mac_retail_prior">#REF!</definedName>
    <definedName name="aex_Amb_OON_claimants_13_curr">#REF!</definedName>
    <definedName name="BLPH4">#REF!</definedName>
    <definedName name="p.IRR_Titles">#REF!</definedName>
    <definedName name="PBV">#REF!</definedName>
    <definedName name="dental_dup_bills_in_network_curr">#REF!</definedName>
    <definedName name="NO_BOB_Data">#REF!</definedName>
    <definedName name="aex_Tier3_paid_amt_spec_off_visits_curr">#REF!</definedName>
    <definedName name="num_gen_subst_claims_curr">#REF!</definedName>
    <definedName name="aex_Tier2_Util_inp_surgeries_curr">#REF!</definedName>
    <definedName name="ahf_tier3_tot_fund_available_curr">#REF!</definedName>
    <definedName name="num_util_members_class_L_curr">#REF!</definedName>
    <definedName name="FOV_56_Range">#REF!</definedName>
    <definedName name="Rx_paid_amt_prior">#REF!</definedName>
    <definedName name="BOB_Med_surgery_count_prior">#REF!</definedName>
    <definedName name="FDP_140_1_aUrv">#REF!</definedName>
    <definedName name="aex_Tier1_paid_amt_spec_off_visits_curr">#REF!</definedName>
    <definedName name="BOB_Med_avg_age_members_prior">#REF!</definedName>
    <definedName name="BOB_Med_MDC_claimants_20_curr">#REF!</definedName>
    <definedName name="AHF_Med_emp_paid_amt_unknown_65_over_curr">#REF!</definedName>
    <definedName name="CalEPS3">#REF!</definedName>
    <definedName name="sum_specialty_generic_copay_amt_prior">#REF!</definedName>
    <definedName name="mod_paid_amt_prior">#REF!</definedName>
    <definedName name="Med_count_encounter_other_curr">#REF!</definedName>
    <definedName name="ahf_tier2_cr_clm_paid_with_rollover_funds_curr">#REF!</definedName>
    <definedName name="adf_termed_tier2_active_employee_curr">#REF!</definedName>
    <definedName name="RD">#REF!</definedName>
    <definedName name="aex_OON_paid_amt_mental_health_visits_curr">#REF!</definedName>
    <definedName name="AHF_Med_fund_paid_amt_mental_health_curr">#REF!</definedName>
    <definedName name="_bdm.C9958E9530ED4CCDAC70379EF0987E45.edm">#REF!</definedName>
    <definedName name="aex_inp_Tier3_paid_amt_22_curr">#REF!</definedName>
    <definedName name="Shares">#REF!</definedName>
    <definedName name="FDP_30_1_aUrv">#REF!</definedName>
    <definedName name="FDP_200_1_aDdv">#REF!</definedName>
    <definedName name="FOV_09_Range">#REF!</definedName>
    <definedName name="aex_Amb_Tier2_paid_amt_09_curr">#REF!</definedName>
    <definedName name="EV1Other1">#REF!</definedName>
    <definedName name="BOB_Med_copay_amt_curr">#REF!</definedName>
    <definedName name="BOB_Med_unknown_mem_0_19_prior">#REF!</definedName>
    <definedName name="Med_MDC_claimants_11_prior">#REF!</definedName>
    <definedName name="Med_paid_amt_amb_surgeries_curr">#REF!</definedName>
    <definedName name="AHF_Med_allowed_amt_female_45_64_curr">#REF!</definedName>
    <definedName name="aex_inp_Tier1_admits_14_curr">#REF!</definedName>
    <definedName name="ahf_medical_expenses_curr">#REF!</definedName>
    <definedName name="sum_brand_singlesource_calc_ing_prior">#REF!</definedName>
    <definedName name="rngScenarios">#REF!</definedName>
    <definedName name="FDP_99_1_aUrv">#REF!</definedName>
    <definedName name="BOB_Med_MDC_cd_17_curr">#REF!</definedName>
    <definedName name="MDC_CD_22">#REF!</definedName>
    <definedName name="IQB_BOOKMARK_LOCATION_3">#REF!</definedName>
    <definedName name="template_nm">#REF!</definedName>
    <definedName name="dental_non_covered_serv_out_network_curr">#REF!</definedName>
    <definedName name="SharesYear1T">#REF!</definedName>
    <definedName name="sum_salestax_amt_non_mac_retail_curr">#REF!</definedName>
    <definedName name="aex_Amb_Tier1_paid_amt_21_curr">#REF!</definedName>
    <definedName name="adf_tier1_rollover_fund_remaining_curr">#REF!</definedName>
    <definedName name="adf_term_emp_plus_fam_fund_paid_curr">#REF!</definedName>
    <definedName name="aex_OON_Util_inp_surgeries_curr">#REF!</definedName>
    <definedName name="IQRSheet1S4">#REF!</definedName>
    <definedName name="Medicare_Billed_female_mem_80_84_curr">#REF!</definedName>
    <definedName name="sum_paid_class_H_prior">#REF!</definedName>
    <definedName name="aex_Tier3_paid_amt_home_health_visits_curr">#REF!</definedName>
    <definedName name="AHF_Med_paid_amt_female_0_19_prior">#REF!</definedName>
    <definedName name="ahf_termed_tier4_cr_clm_paid_with_rollover_funds_curr">#REF!</definedName>
    <definedName name="IQRCOMPANYBAV89">#REF!</definedName>
    <definedName name="sum_brand_singlesource_avg_paid_claim_prior">#REF!</definedName>
    <definedName name="Product_08_members">#REF!</definedName>
    <definedName name="_bdm.5C6D0D9D93BD4742A18A5B8A51E9F99E.edm">#REF!</definedName>
    <definedName name="FOV_52_Range">#REF!</definedName>
    <definedName name="ahf_tier3_cr_fund_remaining_curr">#REF!</definedName>
    <definedName name="Rx_AHF_male_mem_65_over_prior">#REF!</definedName>
    <definedName name="__123Graph_C">#REF!</definedName>
    <definedName name="util_mem_male_45_64_prior">#REF!</definedName>
    <definedName name="_MUM21">#REF!</definedName>
    <definedName name="Med_paid_amt_lab_serv_curr">#REF!</definedName>
    <definedName name="Dental_basic_svcs_prior">#REF!</definedName>
    <definedName name="BOB_sum_generic_paid_amt_curr">#REF!</definedName>
    <definedName name="Dental_key_results_network_discount_amt_prior">#REF!</definedName>
    <definedName name="High5">#REF!</definedName>
    <definedName name="HPD_number_claimants_low_back_prior">#REF!</definedName>
    <definedName name="SizePremia">#REF!</definedName>
    <definedName name="BOB_sum_paid_prior">#REF!</definedName>
    <definedName name="FDP_173_1_aDrv">#REF!</definedName>
    <definedName name="IQRCompsAR183">#REF!</definedName>
    <definedName name="ahf_tier1_tot_fund_available_curr">#REF!</definedName>
    <definedName name="BOB_Rx_avg_age_members_curr">#REF!</definedName>
    <definedName name="XRefCopy3">#REF!</definedName>
    <definedName name="Med_MDC_cd_00_prior">#REF!</definedName>
    <definedName name="aex_Med_MDC_cd_16_curr">#REF!</definedName>
    <definedName name="MIA">#REF!</definedName>
    <definedName name="BOB_Med_amb_surgery_count_curr">#REF!</definedName>
    <definedName name="BOB_Dental_orthodonic_paid_amt_curr">#REF!</definedName>
    <definedName name="AHF_Med_avg_age_members_curr">#REF!</definedName>
    <definedName name="dental_orthodontic_in_network_curr">#REF!</definedName>
    <definedName name="Med_MDC_cd_17_curr">#REF!</definedName>
    <definedName name="Med_claim_count_female_20_44_prior">#REF!</definedName>
    <definedName name="Med_MDC_claimants_15_curr">#REF!</definedName>
    <definedName name="adf_termed_tier4_emp_74_50_spend_curr">#REF!</definedName>
    <definedName name="EV3OtherLTM">#REF!</definedName>
    <definedName name="adf_tier2_cr_clm_paid_with_rollover_funds_curr">#REF!</definedName>
    <definedName name="Medicare_Billed_female_mem_0_64_prior">#REF!</definedName>
    <definedName name="sum_awp_amt_non_mac_specialty_prior">#REF!</definedName>
    <definedName name="aex_inp_Tier1_paid_amt_10_curr">#REF!</definedName>
    <definedName name="aex_inp_Tier1_paid_amt_17_curr">#REF!</definedName>
    <definedName name="dent_sav_frm_negot_arrangements_ppo_max_aetna_ppo_ntwk_prior">#REF!</definedName>
    <definedName name="aex_Amb_Tier2_paid_amt_11_curr">#REF!</definedName>
    <definedName name="aex_Amb_Tier1_claimants_21_curr">#REF!</definedName>
    <definedName name="ahf_rx_num_generic_claims_curr">#REF!</definedName>
    <definedName name="Med_Catastrophic_Current_Home">#REF!</definedName>
    <definedName name="adf_termed_tier4_emp_49_25_spend_curr">#REF!</definedName>
    <definedName name="aex_inp_Tier1_admits_15_curr">#REF!</definedName>
    <definedName name="ahf_termed_tier3_emp_49_25_spend_curr">#REF!</definedName>
    <definedName name="PriceDate">#REF!</definedName>
    <definedName name="_PFY2">#REF!</definedName>
    <definedName name="Med_MDC_admits_07_prior">#REF!</definedName>
    <definedName name="Assets">#REF!</definedName>
    <definedName name="FOV_43_Range">#REF!</definedName>
    <definedName name="BOB_Med_MDC_paid_23_curr">#REF!</definedName>
    <definedName name="aex_Tier3_paid_amt_mental_health_visits_curr">#REF!</definedName>
    <definedName name="Med_MDC_billed_17_curr">#REF!</definedName>
    <definedName name="AHF_Med_allowed_amt_male_65_over_curr">#REF!</definedName>
    <definedName name="num_util_members_class_R_curr">#REF!</definedName>
    <definedName name="Rx_male_mem_45_64_curr">#REF!</definedName>
    <definedName name="FYE1GrossProfit">#REF!</definedName>
    <definedName name="ER_Visits_1000_Members">#REF!</definedName>
    <definedName name="Med_MDC_paid_23_curr">#REF!</definedName>
    <definedName name="Stat6">#REF!</definedName>
    <definedName name="BOB_Med_paid_amt_home_health_curr">#REF!</definedName>
    <definedName name="Top25_Services_by_Dollar_Dental_Range">#REF!</definedName>
    <definedName name="BOB_Med_MDC_days_03_curr">#REF!</definedName>
    <definedName name="ahf_paid_amt_female_20_44_curr">#REF!</definedName>
    <definedName name="aex_inp_Tier3_days_19_curr">#REF!</definedName>
    <definedName name="ahf_member_cnt_female_65_over_curr">#REF!</definedName>
    <definedName name="__MUM9">#REF!</definedName>
    <definedName name="ahf_ahf_paid_amt_female_45_64_curr">#REF!</definedName>
    <definedName name="BH_BOB_Rx_female_mem_0_19_curr">#REF!</definedName>
    <definedName name="Med_MDC_days_11_prior">#REF!</definedName>
    <definedName name="aex_inp_Tier3_admits_03_curr">#REF!</definedName>
    <definedName name="ahf_termed_tier1_tot_fund_available_curr">#REF!</definedName>
    <definedName name="num_claims_class_L_curr">#REF!</definedName>
    <definedName name="BOB_Rx_unknown_mem_20_44_prior">#REF!</definedName>
    <definedName name="BOB_Rx_male_mem_65_over_prior">#REF!</definedName>
    <definedName name="p_1">#REF!</definedName>
    <definedName name="Med_MDC_claimants_20_curr">#REF!</definedName>
    <definedName name="sum_retail_calc_ing_cost_amt_prior">#REF!</definedName>
    <definedName name="aex_Amb_Tier2_paid_amt_04_curr">#REF!</definedName>
    <definedName name="Med_billed_amt_unknown_0_19_prior">#REF!</definedName>
    <definedName name="UserReportName">#REF!</definedName>
    <definedName name="aex_Amb_OON_paid_amt_17_curr">#REF!</definedName>
    <definedName name="adf_act_total_fund_paid_prior">#REF!</definedName>
    <definedName name="P4P_claim_paid_curr">#REF!</definedName>
    <definedName name="Whole_Market_Revenue">#REF!</definedName>
    <definedName name="Med_MDC_admits_21_prior">#REF!</definedName>
    <definedName name="gpi_name_class_D_curr">#REF!</definedName>
    <definedName name="Item10">#REF!</definedName>
    <definedName name="BOB_Rx_unknown_mem_20_44_curr">#REF!</definedName>
    <definedName name="sum_retail_prof_fee_amt_curr">#REF!</definedName>
    <definedName name="ciq_meta_info_6b118d6a8d9e4717875fd1c9d9d51ba3">#REF!</definedName>
    <definedName name="AHF_Med_claim_count_male_0_19_curr">#REF!</definedName>
    <definedName name="DebtPrice1">#REF!</definedName>
    <definedName name="NonOpExp">#REF!</definedName>
    <definedName name="Med_MDC_amb_billed_09_curr">#REF!</definedName>
    <definedName name="Dental_key_results_network_discount_amt_curr">#REF!</definedName>
    <definedName name="aex_Amb_Tier1_paid_amt_24_curr">#REF!</definedName>
    <definedName name="Med_MDC_amb_paid_00_curr">#REF!</definedName>
    <definedName name="AHF_Med_claim_count_male_45_64_curr">#REF!</definedName>
    <definedName name="ahf_total_emp_0_spend_curr">#REF!</definedName>
    <definedName name="FI_Executive_Summary_Range">#REF!</definedName>
    <definedName name="MDC_CD_17">#REF!</definedName>
    <definedName name="AHF_Med_unknown_mem_0_19_prior">#REF!</definedName>
    <definedName name="FDP_180_1_aUrv">#REF!</definedName>
    <definedName name="Med_MDC_amb_paid_999_curr">#REF!</definedName>
    <definedName name="Med_billed_amt_female_45_64_curr">#REF!</definedName>
    <definedName name="Med_MDC_admits_18_curr">#REF!</definedName>
    <definedName name="DivYield">#REF!</definedName>
    <definedName name="BOB_Med_MDC_claimants_17_curr">#REF!</definedName>
    <definedName name="HPD_number_claimants_diabetes_curr">#REF!</definedName>
    <definedName name="sum_salestax_amt_brand_retail_prior">#REF!</definedName>
    <definedName name="aex_Amb_Tier3_paid_amt_16_curr">#REF!</definedName>
    <definedName name="BOB_Med_MDC_admits_23_curr">#REF!</definedName>
    <definedName name="Aex_Medical_Cost_Category_Range">#REF!</definedName>
    <definedName name="aex_oon_utlilization_tot_curr">#REF!</definedName>
    <definedName name="adf_termed_tier3_rollover_fund_remaining_curr">#REF!</definedName>
    <definedName name="aex_Tier3_paid_amt_med_services_visits_curr">#REF!</definedName>
    <definedName name="CalPE3">#REF!</definedName>
    <definedName name="ahf_srv_copay_amt_female_45_64_curr">#REF!</definedName>
    <definedName name="Med_MDC_amb_billed_03_curr">#REF!</definedName>
    <definedName name="ahf_bnft_plan_paid_amt_male_45_64_curr">#REF!</definedName>
    <definedName name="aex_Tier1_Inp_Paid_Amt_curr">#REF!</definedName>
    <definedName name="Medicare_Billed_male_mem_75_79_curr">#REF!</definedName>
    <definedName name="aex_Tier2_Util_amb_surgeries_curr">#REF!</definedName>
    <definedName name="Stat1">#REF!</definedName>
    <definedName name="aex_Med_MDC_cd_05_curr">#REF!</definedName>
    <definedName name="sum_mod_prof_fee_amt_prior">#REF!</definedName>
    <definedName name="EPSYear1A">#REF!</definedName>
    <definedName name="BOB_Med_female_mem_20_44_curr">#REF!</definedName>
    <definedName name="gpi_name_class_Q_prior">#REF!</definedName>
    <definedName name="ahf_term_emp_plus_2_fund_paid_curr">#REF!</definedName>
    <definedName name="aex_inp_Tier2_paid_amt_22_curr">#REF!</definedName>
    <definedName name="LTMCapEx">#REF!</definedName>
    <definedName name="Medicare_Billed_female_mem_70_74_prior">#REF!</definedName>
    <definedName name="ahf_termed_tier1_emp_99_75_spend_curr">#REF!</definedName>
    <definedName name="ahf_calc_ing_cost_amt_female_0_19_curr">#REF!</definedName>
    <definedName name="BOB_Dental_preventative_svcs_curr">#REF!</definedName>
    <definedName name="AmortYear1">#REF!</definedName>
    <definedName name="BOB_Med_paid_amt_med_visits_curr">#REF!</definedName>
    <definedName name="Med_MDC_days_05_curr">#REF!</definedName>
    <definedName name="generic_subst_curr">#REF!</definedName>
    <definedName name="ciq_meta_info_901a4c3f0d1d45608ce744b1fd354844">#REF!</definedName>
    <definedName name="aex_Amb_Tier3_paid_amt_05_curr">#REF!</definedName>
    <definedName name="Dental_paid_amt_male_65_over_curr">#REF!</definedName>
    <definedName name="HPD_number_claimants_diabetes_prior">#REF!</definedName>
    <definedName name="util_mem_male_65_over_prior">#REF!</definedName>
    <definedName name="aex_inp_Tier3_paid_amt_01_curr">#REF!</definedName>
    <definedName name="FDP_25_1_aUrv">#REF!</definedName>
    <definedName name="aex_Tier1_paid_amt_med_rx_curr">#REF!</definedName>
    <definedName name="HPD_number_claimants_other_prior">#REF!</definedName>
    <definedName name="sum_specialty_brand_formulary_paid_amt_prior">#REF!</definedName>
    <definedName name="sum_paid_class_M_curr">#REF!</definedName>
    <definedName name="aex_Amb_Tier1_paid_amt_14_curr">#REF!</definedName>
    <definedName name="sum_mod_generic_plan_paid_amt_curr">#REF!</definedName>
    <definedName name="adf_tier2_emp_99_75_spend_curr">#REF!</definedName>
    <definedName name="BOB_Med_MDC_cd_18_curr">#REF!</definedName>
    <definedName name="Product_72_delete_prior">#REF!</definedName>
    <definedName name="Med_claim_count_male_0_19_prior">#REF!</definedName>
    <definedName name="Med_MDC_days_09_curr">#REF!</definedName>
    <definedName name="Medicare_Billed_female_mem_0_64_curr">#REF!</definedName>
    <definedName name="Stub">#REF!</definedName>
    <definedName name="BH_BOB_Med_avg_age_members_curr">#REF!</definedName>
    <definedName name="Medic_female_mem_80_84_prior">#REF!</definedName>
    <definedName name="ahf_rx_num_generic_claims_prior">#REF!</definedName>
    <definedName name="Med_office_visits_count_prior">#REF!</definedName>
    <definedName name="BOB_Dental_orthodonic_paid_amt_prior">#REF!</definedName>
    <definedName name="aex_oon_paid_amt_tot_prior">#REF!</definedName>
    <definedName name="_EPS1">#REF!</definedName>
    <definedName name="sum_awp_amt_brand_mod_prior">#REF!</definedName>
    <definedName name="aex_Amb_Tier2_paid_amt_07_curr">#REF!</definedName>
    <definedName name="BOB_Med_MDC_cd_20_curr">#REF!</definedName>
    <definedName name="BOB_Med_unknown_mem_65_over_prior">#REF!</definedName>
    <definedName name="dent_sav_frm_negot_arrangements_ppo_max_cust_spec_ntwk_prior">#REF!</definedName>
    <definedName name="Med_MDC_claimants_08_curr">#REF!</definedName>
    <definedName name="EPSYear2A">#REF!</definedName>
    <definedName name="Med_MDC_paid_02_curr">#REF!</definedName>
    <definedName name="IQRCompsAN140">#REF!</definedName>
    <definedName name="HPD_bob_prevalence_diabetes_curr">#REF!</definedName>
    <definedName name="ahf_termed_tier3_emp_99_75_spend_curr">#REF!</definedName>
    <definedName name="aex_Amb_Tier2_claimants_10_curr">#REF!</definedName>
    <definedName name="sum_specialty_generic_paid_amt_prior">#REF!</definedName>
    <definedName name="gpi_name_class_F_curr">#REF!</definedName>
    <definedName name="Med_count_misc_med_curr">#REF!</definedName>
    <definedName name="Med_MDC_inp_paid_16_prior">#REF!</definedName>
    <definedName name="Cap_Table">#REF!</definedName>
    <definedName name="Dental_other_svcs_prior">#REF!</definedName>
    <definedName name="paid_female_0_19_prior">#REF!</definedName>
    <definedName name="FOV_05_Range">#REF!</definedName>
    <definedName name="ciq_meta_info_ea8d10edb910490a9fb0186402f32266">#REF!</definedName>
    <definedName name="AHF_Med_paid_amt_lab_curr">#REF!</definedName>
    <definedName name="Dental_unknown_mem_45_64_curr">#REF!</definedName>
    <definedName name="BLPH1">#REF!</definedName>
    <definedName name="FO_Dental_report_has_xml_ind">#REF!</definedName>
    <definedName name="BOB_Med_MDC_admits_17_curr">#REF!</definedName>
    <definedName name="BOB_Rx_male_mem_45_64_prior">#REF!</definedName>
    <definedName name="_P00comps1">#REF!</definedName>
    <definedName name="sum_salestax_amt_brand_retail_curr">#REF!</definedName>
    <definedName name="sum_salestax_amt_brand_mod_curr">#REF!</definedName>
    <definedName name="sum_specialty_brand_formulary_paid_amt_curr">#REF!</definedName>
    <definedName name="BOB_Med_MDC_amb_paid_06_curr">#REF!</definedName>
    <definedName name="BOB_Dental_network_paid_amt_curr">#REF!</definedName>
    <definedName name="dental_freq_limit_out_network_prior">#REF!</definedName>
    <definedName name="aex_inp_OON_days_21_curr">#REF!</definedName>
    <definedName name="aex_Amb_OON_paid_amt_05_curr">#REF!</definedName>
    <definedName name="aex_Amb_Tier1_paid_amt_17_curr">#REF!</definedName>
    <definedName name="aex_Amb_OON_claimants_23_curr">#REF!</definedName>
    <definedName name="dental_spouse_out_network_prior">#REF!</definedName>
    <definedName name="aex_inp_Tier2_paid_amt_18_curr">#REF!</definedName>
    <definedName name="adf_term_total_fund_paid_prior">#REF!</definedName>
    <definedName name="CSynYear2">#REF!</definedName>
    <definedName name="ConvDebtOut">#REF!</definedName>
    <definedName name="FDP_178_1_aDrv">#REF!</definedName>
    <definedName name="MDC_CD_05">#REF!</definedName>
    <definedName name="Med_billed_amt_med_visits_prior">#REF!</definedName>
    <definedName name="Product">#REF!</definedName>
    <definedName name="dental_non_covered_serv_in_network_curr">#REF!</definedName>
    <definedName name="Med_total_network_discount_prior">#REF!</definedName>
    <definedName name="Dental_net_submitted_in_network_prior">#REF!</definedName>
    <definedName name="ServRevF01">#REF!</definedName>
    <definedName name="num_claims_class_K_curr">#REF!</definedName>
    <definedName name="IQRCompsAQ154">#REF!</definedName>
    <definedName name="Med_num_employees_prior">#REF!</definedName>
    <definedName name="aex_inp_Tier1_paid_amt_04_curr">#REF!</definedName>
    <definedName name="BH_BOB_Rx_female_mem_65_over_curr">#REF!</definedName>
    <definedName name="BOB_Med_MDC_amb_paid_20_curr">#REF!</definedName>
    <definedName name="Product_15_members">#REF!</definedName>
    <definedName name="sum_salestax_amt_brand_specialty_curr">#REF!</definedName>
    <definedName name="Med_count_inp_surgeries_curr">#REF!</definedName>
    <definedName name="aex_inp_Tier2_admits_06_curr">#REF!</definedName>
    <definedName name="retail_claims_prior">#REF!</definedName>
    <definedName name="IncEndDatePrior">#REF!</definedName>
    <definedName name="_bdm.2DA9B0C09026420689DBA407C1175013.edm">#REF!</definedName>
    <definedName name="Med_count_encounter_lab_rad_prior">#REF!</definedName>
    <definedName name="Med_days_count_curr">#REF!</definedName>
    <definedName name="_fkjsgf">#REF!</definedName>
    <definedName name="HPD_paid_amt_heart_failure_prior">#REF!</definedName>
    <definedName name="BOB_Med_MDC_claimants_00_curr">#REF!</definedName>
    <definedName name="aex_Amb_Tier3_claimants_04_curr">#REF!</definedName>
    <definedName name="BOB_Rx_num_employees_curr">#REF!</definedName>
    <definedName name="FDP_73_1_aSrv">#REF!</definedName>
    <definedName name="XREF_COLUMN_13">#REF!</definedName>
    <definedName name="retail_plan_paid_amt_curr">#REF!</definedName>
    <definedName name="ahf_ahf_paid_amt_female_65_over_curr">#REF!</definedName>
    <definedName name="BOB_Med_MDC_paid_10_curr">#REF!</definedName>
    <definedName name="adf_total_cr_claim_paid_with_cr_funds_curr">#REF!</definedName>
    <definedName name="LTMNetInc">#REF!</definedName>
    <definedName name="aex_inp_Tier3_days_04_curr">#REF!</definedName>
    <definedName name="Med_Catastrophic_Prior_Home">#REF!</definedName>
    <definedName name="adf_total_cr_year_initial_fund_curr">#REF!</definedName>
    <definedName name="ahf_total_termd_active_employee_curr">#REF!</definedName>
    <definedName name="aex_tier1_paid_amt_tot_prior">#REF!</definedName>
    <definedName name="BOB_Med_MDC_inp_paid_19_curr">#REF!</definedName>
    <definedName name="AHF_Med_amb_surgery_count_prior">#REF!</definedName>
    <definedName name="FDP_118_1_aUrv">#REF!</definedName>
    <definedName name="FDP_139_1_aUrv">#REF!</definedName>
    <definedName name="CashRate">#REF!</definedName>
    <definedName name="Sponsor_Saturation2">#REF!</definedName>
    <definedName name="ConvPrefLiq1">#REF!</definedName>
    <definedName name="aex_Amb_Tier3_paid_amt_23_curr">#REF!</definedName>
    <definedName name="Dental_female_mem_65_over_prior">#REF!</definedName>
    <definedName name="FOV_59_Range">#REF!</definedName>
    <definedName name="Prices">#REF!</definedName>
    <definedName name="paid_male_65_over_prior">#REF!</definedName>
    <definedName name="CurrentLiab">#REF!</definedName>
    <definedName name="BOB_Med_paid_encounter_spec_phys_prior">#REF!</definedName>
    <definedName name="MDC_CD_12">#REF!</definedName>
    <definedName name="num_util_members_class_B_prior">#REF!</definedName>
    <definedName name="ahf_member_cnt_total_curr">#REF!</definedName>
    <definedName name="considmix">#REF!</definedName>
    <definedName name="adf_tier4_Incentive_fund_earned_curr">#REF!</definedName>
    <definedName name="aex_OON_paid_amt_other_spec_off_visits_curr">#REF!</definedName>
    <definedName name="ahf_total_termd_Incentive_fund_earned_curr">#REF!</definedName>
    <definedName name="BH_BOB_Med_unknown_mem_20_44_curr">#REF!</definedName>
    <definedName name="aex_Amb_OON_claimants_08_curr">#REF!</definedName>
    <definedName name="BrokerEnteredTagLine">#REF!</definedName>
    <definedName name="adf_total_termd_emp_49_25_spend_curr">#REF!</definedName>
    <definedName name="BH_BOB_Rx_unknown_mem_45_64_curr">#REF!</definedName>
    <definedName name="Med_admin_savings_amt_curr">#REF!</definedName>
    <definedName name="Over">#REF!</definedName>
    <definedName name="ahf_bnft_plan_paid_amt_total_0_19_curr">#REF!</definedName>
    <definedName name="sum_calcing_cost_amt_non_mac_retail_prior">#REF!</definedName>
    <definedName name="aex_Amb_Tier2_paid_amt_13_curr">#REF!</definedName>
    <definedName name="Aexcel_Prof_Util_Line_Count">#REF!</definedName>
    <definedName name="FDP_204_1_aUrv">#REF!</definedName>
    <definedName name="Med_paid_amt_unknown_45_64_prior">#REF!</definedName>
    <definedName name="ahf_member_cnt_male_20_44_curr">#REF!</definedName>
    <definedName name="num_util_members_class_F_prior">#REF!</definedName>
    <definedName name="AHF_Med_allowed_amt_unknown_20_44_curr">#REF!</definedName>
    <definedName name="sum_paid_class_I_curr">#REF!</definedName>
    <definedName name="___s2">#REF!</definedName>
    <definedName name="_20Table2_">#REF!</definedName>
    <definedName name="Med_MDC_cd_21_curr">#REF!</definedName>
    <definedName name="BOB_Med_inp_paid_amt_curr">#REF!</definedName>
    <definedName name="aex_Amb_Tier3_claimants_01_curr">#REF!</definedName>
    <definedName name="Med_phys_discount_admin_savings_amt_prior">#REF!</definedName>
    <definedName name="Product_45_members">#REF!</definedName>
    <definedName name="Remove_Dental_PPO_Section_Check">#REF!</definedName>
    <definedName name="aex_Tier1_paid_amt_amb_visits_curr">#REF!</definedName>
    <definedName name="ahf_termed_tier3_active_employee_curr">#REF!</definedName>
    <definedName name="BookC">#REF!</definedName>
    <definedName name="Med_MDC_amb_billed_04_curr">#REF!</definedName>
    <definedName name="IQRSheet1R4">#REF!</definedName>
    <definedName name="rngLastQuery">#REF!</definedName>
    <definedName name="level_c_d_user_ind">#REF!</definedName>
    <definedName name="aex_inp_Tier3_days_22_curr">#REF!</definedName>
    <definedName name="sum_brand_multisource_calc_ing_prior">#REF!</definedName>
    <definedName name="Med_MDC_inp_paid_23_curr">#REF!</definedName>
    <definedName name="ahf_termed_tier1_emp_74_50_spend_curr">#REF!</definedName>
    <definedName name="AHF_Med_claim_count_female_65_over_curr">#REF!</definedName>
    <definedName name="FDP_20_1_aDrv">#REF!</definedName>
    <definedName name="IQRCompsAT241">#REF!</definedName>
    <definedName name="sic1high">#REF!</definedName>
    <definedName name="BOB_Med_MDC_cd_04_curr">#REF!</definedName>
    <definedName name="FYE2Shares">#REF!</definedName>
    <definedName name="aex_Amb_Tier1_claimants_17_curr">#REF!</definedName>
    <definedName name="XRefPaste5">#REF!</definedName>
    <definedName name="Med_MDC_days_02_prior">#REF!</definedName>
    <definedName name="aex_Amb_Tier1_paid_amt_00_curr">#REF!</definedName>
    <definedName name="XRefPaste8">#REF!</definedName>
    <definedName name="Med_female_mem_0_19_curr">#REF!</definedName>
    <definedName name="SI_SBP_Total_Prior_Members">#REF!</definedName>
    <definedName name="gpi_name_class_G_curr">#REF!</definedName>
    <definedName name="retail_plan_paid_amt_prior">#REF!</definedName>
    <definedName name="EquityAdj">#REF!</definedName>
    <definedName name="BH_BOB_Rx_unknown_members_curr">#REF!</definedName>
    <definedName name="ahf_bnft_plan_paid_amt_male_0_19_curr">#REF!</definedName>
    <definedName name="aex_inp_Tier3_admits_04_curr">#REF!</definedName>
    <definedName name="Med_allowed_amt_curr">#REF!</definedName>
    <definedName name="FDP_135_1_aUrv">#REF!</definedName>
    <definedName name="Med_MDC_amb_billed_08_prior">#REF!</definedName>
    <definedName name="Check1">#REF!</definedName>
    <definedName name="Med_MDC_inp_paid_15_prior">#REF!</definedName>
    <definedName name="EVRevenuesLTM">#REF!</definedName>
    <definedName name="Med_hospital_amb_paid_amt_prior">#REF!</definedName>
    <definedName name="_bdm.78B77DCD689A43EC883A79537C2E8408.edm">#REF!</definedName>
    <definedName name="adf_termed_tier3_tot_fund_available_curr">#REF!</definedName>
    <definedName name="Med_MDC_billed_12_curr">#REF!</definedName>
    <definedName name="Med_MDC_cd_18_prior">#REF!</definedName>
    <definedName name="Med_count_home_health_curr">#REF!</definedName>
    <definedName name="Stat9">#REF!</definedName>
    <definedName name="FDP_121_1_aUrv">#REF!</definedName>
    <definedName name="FDP_159_1_aSrv">#REF!</definedName>
    <definedName name="BOB_Med_MDC_paid_11_curr">#REF!</definedName>
    <definedName name="_15S">#REF!</definedName>
    <definedName name="aex_inp_Tier2_admits_05_curr">#REF!</definedName>
    <definedName name="OWNER">#REF!</definedName>
    <definedName name="BOB_num_formulary_claims_curr">#REF!</definedName>
    <definedName name="Med_MDC_claimants_19_prior">#REF!</definedName>
    <definedName name="Med_MDC_billed_00_prior">#REF!</definedName>
    <definedName name="dental_prov_netw_sav_disc_in_network_curr">#REF!</definedName>
    <definedName name="Med_MDC_billed_07_curr">#REF!</definedName>
    <definedName name="aex_Tier1_Util_lab_services_curr">#REF!</definedName>
    <definedName name="Med_MDC_inp_paid_04_prior">#REF!</definedName>
    <definedName name="FI_Trend_Analysis_Medical_Range">#REF!</definedName>
    <definedName name="gpi_name_class_L_curr">#REF!</definedName>
    <definedName name="solver_adj">#REF!</definedName>
    <definedName name="_bdm.C0D40696085E49099831902D538DE4D4.edm">#REF!</definedName>
    <definedName name="ciq_meta_info_ae81b4347817487e885836a877fefb46">#REF!</definedName>
    <definedName name="gpi_name_class_D_prior">#REF!</definedName>
    <definedName name="ahf_tier2_emp_49_25_spend_curr">#REF!</definedName>
    <definedName name="util_mem_male_45_64_curr">#REF!</definedName>
    <definedName name="CashT">#REF!</definedName>
    <definedName name="NumberOfNetworksSelected">#REF!</definedName>
    <definedName name="aex_inp_Tier2_days_01_curr">#REF!</definedName>
    <definedName name="Dental_PPO_Max_Section_Check">#REF!</definedName>
    <definedName name="TaxRate1">#REF!</definedName>
    <definedName name="ReportNetInc">#REF!</definedName>
    <definedName name="AHF_Med_paid_amt_male_20_44_curr">#REF!</definedName>
    <definedName name="Pr_all">#REF!</definedName>
    <definedName name="StopLightingKeyStats">#REF!</definedName>
    <definedName name="Stat4">#REF!</definedName>
    <definedName name="Rx_unknown_mem_65_over_prior">#REF!</definedName>
    <definedName name="sum_specialty_copay_amt_prior">#REF!</definedName>
    <definedName name="num_util_members_class_O_prior">#REF!</definedName>
    <definedName name="Med_billed_amt_inp_days_curr">#REF!</definedName>
    <definedName name="Remove_Dental_PPO_Max_Section_Check">#REF!</definedName>
    <definedName name="Product_43_members">#REF!</definedName>
    <definedName name="sum_prof_fee_amt_mac_specialty_prior">#REF!</definedName>
    <definedName name="num_claims_class_M_curr">#REF!</definedName>
    <definedName name="aex_Med_MDC_cd_12_curr">#REF!</definedName>
    <definedName name="DebtCap">#REF!</definedName>
    <definedName name="AHF_Med_claim_count_unknown_65_over_curr">#REF!</definedName>
    <definedName name="IQRCOMPANYBAZ17">#REF!</definedName>
    <definedName name="Med_MDC_days_08_prior">#REF!</definedName>
    <definedName name="MDC_CD_21">#REF!</definedName>
    <definedName name="FDP_7_1_aSrv">#REF!</definedName>
    <definedName name="Dental_major_svcs_prior">#REF!</definedName>
    <definedName name="aex_inp_Tier2_paid_amt_06_curr">#REF!</definedName>
    <definedName name="FDP_86_1_aSrv">#REF!</definedName>
    <definedName name="ahf_termed_tier2_tot_fund_available_curr">#REF!</definedName>
    <definedName name="Med_MDC_amb_billed_23_prior">#REF!</definedName>
    <definedName name="_bdm.29B6C90491534050B2C5F5D0FAC008D1.edm">#REF!</definedName>
    <definedName name="aex_Amb_Tier3_claimants_14_curr">#REF!</definedName>
    <definedName name="CompDebtCap">#REF!</definedName>
    <definedName name="aex_inp_Tier1_days_01_curr">#REF!</definedName>
    <definedName name="ahf_ahf_paid_amt_unknown_0_19_curr">#REF!</definedName>
    <definedName name="HPD_paid_amt_low_back_curr">#REF!</definedName>
    <definedName name="BOB_Med_MDC_days_07_curr">#REF!</definedName>
    <definedName name="AHF_Med_unknown_members_curr">#REF!</definedName>
    <definedName name="HPD_Delete_Range">#REF!</definedName>
    <definedName name="Med_MDC_cd_15_curr">#REF!</definedName>
    <definedName name="dental_alt_ben_out_network_curr">#REF!</definedName>
    <definedName name="adf_term_emp_plus_2_fund_paid_curr">#REF!</definedName>
    <definedName name="Med_amb_network_discount_curr">#REF!</definedName>
    <definedName name="ahf_tier2_emp_24_1_spend_curr">#REF!</definedName>
    <definedName name="EVRevenues1">#REF!</definedName>
    <definedName name="XRefPaste6">#REF!</definedName>
    <definedName name="sfr">#REF!</definedName>
    <definedName name="BH_BOB_Med_unknown_mem_65_over_curr">#REF!</definedName>
    <definedName name="Med_MDC_paid_14_curr">#REF!</definedName>
    <definedName name="aex_TOT_Inp_Paid_Amt_curr">#REF!</definedName>
    <definedName name="gpi_name_class_C_prior">#REF!</definedName>
    <definedName name="aex_Amb_Tier3_claimants_03_curr">#REF!</definedName>
    <definedName name="IQRCompsAV241">#REF!</definedName>
    <definedName name="sum_prof_fee_amt_brand_retail_prior">#REF!</definedName>
    <definedName name="BOB_Med_MDC_amb_paid_18_curr">#REF!</definedName>
    <definedName name="EPSLTMA">#REF!</definedName>
    <definedName name="ahf_termed_tier1_emp_24_1_spend_curr">#REF!</definedName>
    <definedName name="aex_Tier3_Util_er_visits_curr">#REF!</definedName>
    <definedName name="Med_MDC_paid_04_curr">#REF!</definedName>
    <definedName name="aex_Amb_Tier2_claimants_14_curr">#REF!</definedName>
    <definedName name="adf_total_termd_emp_24_1_spend_curr">#REF!</definedName>
    <definedName name="Med_claim_count_curr">#REF!</definedName>
    <definedName name="FDP_144_1_aUrv">#REF!</definedName>
    <definedName name="Med_paid_amt_lab_serv_prior">#REF!</definedName>
    <definedName name="aex_inp_Tier1_days_22_curr">#REF!</definedName>
    <definedName name="adf_tier2_emp_0_spend_curr">#REF!</definedName>
    <definedName name="aex_inp_Tier3_days_10_curr">#REF!</definedName>
    <definedName name="IQRCompsM140">#REF!</definedName>
    <definedName name="Dental_net_submitted_out_network_curr">#REF!</definedName>
    <definedName name="NO_Member_Dental_Data">#REF!</definedName>
    <definedName name="dental_other_unknown_out_network_prior">#REF!</definedName>
    <definedName name="Med_MDC_inp_billed_10_curr">#REF!</definedName>
    <definedName name="mod_plan_paid_amt_curr">#REF!</definedName>
    <definedName name="Med_MDC_inp_paid_01_prior">#REF!</definedName>
    <definedName name="Dental_female_mem_45_64_curr">#REF!</definedName>
    <definedName name="sum_specialty_generic_paid_amt_curr">#REF!</definedName>
    <definedName name="NIYear1A">#REF!</definedName>
    <definedName name="Amb_MDC_Analysis_Medical_Range">#REF!</definedName>
    <definedName name="aex_Amb_OON_claimants_18_curr">#REF!</definedName>
    <definedName name="Med_billed_amt_unknown_0_19_curr">#REF!</definedName>
    <definedName name="Med_MDC_admits_01_prior">#REF!</definedName>
    <definedName name="EquityT">#REF!</definedName>
    <definedName name="aex_Tier3_paid_amt_misc_med_curr">#REF!</definedName>
    <definedName name="ahf_calc_ing_cost_amt_total_curr">#REF!</definedName>
    <definedName name="aex_inp_OON_days_23_curr">#REF!</definedName>
    <definedName name="Med_MDC_paid_12_curr">#REF!</definedName>
    <definedName name="ahf_tier1_Incentive_fund_earned_curr">#REF!</definedName>
    <definedName name="Med_MDC_claimants_23_curr">#REF!</definedName>
    <definedName name="BOB_Rx_female_members_prior">#REF!</definedName>
    <definedName name="FDP_41_1_aUrv">#REF!</definedName>
    <definedName name="FDP_156_1_aUrv">#REF!</definedName>
    <definedName name="num_rx_claims_mac_mod_prior">#REF!</definedName>
    <definedName name="Med_MDC_admits_04_prior">#REF!</definedName>
    <definedName name="BOB_Med_unknown_mem_0_19_curr">#REF!</definedName>
    <definedName name="Item5">#REF!</definedName>
    <definedName name="brand_curr">#REF!</definedName>
    <definedName name="ahf_termed_tier1_cr_year_initial_fund_curr">#REF!</definedName>
    <definedName name="BOB_num_brand_singlesource_claims_curr">#REF!</definedName>
    <definedName name="Dental_female_members_curr">#REF!</definedName>
    <definedName name="aex_inp_Tier2_paid_amt_07_curr">#REF!</definedName>
    <definedName name="ahf_total_termd_emp_100_spend_curr">#REF!</definedName>
    <definedName name="aex_Med_MDC_cd_18_curr">#REF!</definedName>
    <definedName name="ahf_termed_tier3_emp_74_50_spend_curr">#REF!</definedName>
    <definedName name="Growth_Rate">#REF!</definedName>
    <definedName name="Med_MDC_inp_billed_06_prior">#REF!</definedName>
    <definedName name="Med_MDC_billed_22_curr">#REF!</definedName>
    <definedName name="Med_count_encounter_other_prior">#REF!</definedName>
    <definedName name="BOB_Med_paid_amt_med_visits_prior">#REF!</definedName>
    <definedName name="BOB_Dental_basic_paid_amt_prior">#REF!</definedName>
    <definedName name="Med_claim_count_female_45_64_curr">#REF!</definedName>
    <definedName name="num_claims_class_D_prior">#REF!</definedName>
    <definedName name="num_rx_claims_mac_specialty_prior">#REF!</definedName>
    <definedName name="aex_inp_Tier1_days_08_curr">#REF!</definedName>
    <definedName name="FDP_74_1_aDrv">#REF!</definedName>
    <definedName name="AHF_Med_fund_paid_amt_total_mcc_curr">#REF!</definedName>
    <definedName name="BOB_Rx_unknown_members_prior">#REF!</definedName>
    <definedName name="dent_sav_frm_negot_arrangements_ppo_aetna_spec_ntwk_curr">#REF!</definedName>
    <definedName name="num_retail_non_brand_formulary_claims_curr">#REF!</definedName>
    <definedName name="ahf_termed_tier3_emp_0_spend_curr">#REF!</definedName>
    <definedName name="NA_Range_Med">#REF!</definedName>
    <definedName name="util_mem_female_65_over_curr">#REF!</definedName>
    <definedName name="Product_05_delete_prior">#REF!</definedName>
    <definedName name="aex_Amb_Tier3_claimants_05_curr">#REF!</definedName>
    <definedName name="Med_MDC_amb_billed_19_curr">#REF!</definedName>
    <definedName name="Med_par_phys_office_visits_count_prior">#REF!</definedName>
    <definedName name="IQRCompInputU9">#REF!</definedName>
    <definedName name="FDP_97_1_aSrv">#REF!</definedName>
    <definedName name="Med_paid_amt_male_0_19_curr">#REF!</definedName>
    <definedName name="BOB_Rx_female_mem_0_19_prior">#REF!</definedName>
    <definedName name="aex_inp_Tier3_paid_amt_19_curr">#REF!</definedName>
    <definedName name="FDP_16_1_aDrv">#REF!</definedName>
    <definedName name="EPSLTM">#REF!</definedName>
    <definedName name="Med_total_billed_network_curr">#REF!</definedName>
    <definedName name="Med_MDC_amb_paid_20_curr">#REF!</definedName>
    <definedName name="Med_MDC_amb_billed_06_prior">#REF!</definedName>
    <definedName name="MDC_Range_J9_K33">#REF!</definedName>
    <definedName name="BOB_Med_female_members_prior">#REF!</definedName>
    <definedName name="aex_inp_Tier1_admits_12_curr">#REF!</definedName>
    <definedName name="aex_Amb_Tier2_paid_amt_19_curr">#REF!</definedName>
    <definedName name="ahf_bnft_plan_paid_amt_unknown_45_64_curr">#REF!</definedName>
    <definedName name="Exec_SUmmary_Default_text">#REF!</definedName>
    <definedName name="Med_claim_count_above_threshold_prior">#REF!</definedName>
    <definedName name="AHF_Med_male_mem_65_over_prior">#REF!</definedName>
    <definedName name="LTMCashFlow">#REF!</definedName>
    <definedName name="FDP_108_1_aUrv">#REF!</definedName>
    <definedName name="medical_sortc">#REF!</definedName>
    <definedName name="aex_inp_Tier2_days_06_curr">#REF!</definedName>
    <definedName name="Med_MDC_amb_billed_02_prior">#REF!</definedName>
    <definedName name="ahf_bnft_plan_paid_amt_female_45_64_curr">#REF!</definedName>
    <definedName name="aex_inp_Tier2_admits_04_curr">#REF!</definedName>
    <definedName name="num_brand_multisource_claims_curr">#REF!</definedName>
    <definedName name="DAStart">#REF!</definedName>
    <definedName name="aex_Amb_Tier1_claimants_02_curr">#REF!</definedName>
    <definedName name="Med_count_encounter_prim_phys_curr">#REF!</definedName>
    <definedName name="aex_tier3_utlilization_tot_prior">#REF!</definedName>
    <definedName name="ahf_tier3_emp_0_spend_curr">#REF!</definedName>
    <definedName name="Med_MDC_inp_billed_00_curr">#REF!</definedName>
    <definedName name="Med_MDC_amb_paid_04_curr">#REF!</definedName>
    <definedName name="ciq_meta_info_488c7f57bd2349e995535b5813626d38">#REF!</definedName>
    <definedName name="Med_MDC_billed_999_curr">#REF!</definedName>
    <definedName name="BOB_Med_unknown_members_prior">#REF!</definedName>
    <definedName name="num_util_members_class_OTHER_prior">#REF!</definedName>
    <definedName name="_bdm.475844AEC35A11D6B6A80010A4860669.edm">#REF!</definedName>
    <definedName name="EPSLTMT">#REF!</definedName>
    <definedName name="Request_ID">#REF!</definedName>
    <definedName name="aex_Amb_OON_claimants_11_curr">#REF!</definedName>
    <definedName name="aex_Tier1_paid_amt_radiology_services_curr">#REF!</definedName>
    <definedName name="Med_MDC_amb_billed_08_curr">#REF!</definedName>
    <definedName name="BOB_Med_MDC_days_08_curr">#REF!</definedName>
    <definedName name="Med_MDC_days_06_prior">#REF!</definedName>
    <definedName name="Med_MDC_billed_03_curr">#REF!</definedName>
    <definedName name="BOB_Med_MDC_paid_09_curr">#REF!</definedName>
    <definedName name="Rx_Top_30_Drugs_by_Claims_Range">#REF!</definedName>
    <definedName name="rngStartDate">#REF!</definedName>
    <definedName name="sum_retail_prof_fee_amt_prior">#REF!</definedName>
    <definedName name="Med_MDC_paid_10_curr">#REF!</definedName>
    <definedName name="aex_inp_Tier2_days_11_curr">#REF!</definedName>
    <definedName name="FI_Rx_Paid_Current">#REF!</definedName>
    <definedName name="aex_OON_paid_amt_total_curr">#REF!</definedName>
    <definedName name="_MUM28">#REF!</definedName>
    <definedName name="gpi_name_class_O_prior">#REF!</definedName>
    <definedName name="FI_Executive_Summary_Page">#REF!</definedName>
    <definedName name="aex_Tier2_Util_other_spec_off_visits_curr">#REF!</definedName>
    <definedName name="Med_MDC_paid_00_prior">#REF!</definedName>
    <definedName name="ahf_calc_ing_cost_amt_unknown_65_over_curr">#REF!</definedName>
    <definedName name="aex_inp_Tier1_days_23_curr">#REF!</definedName>
    <definedName name="Med_MDC_amb_billed_15_prior">#REF!</definedName>
    <definedName name="util_mem_female_65_over_prior">#REF!</definedName>
    <definedName name="ahf_termed_tier1_rollover_pr_year_curr">#REF!</definedName>
    <definedName name="Med_billed_encounter_lab_rad_prior">#REF!</definedName>
    <definedName name="BOB_num_generic_claims_prior">#REF!</definedName>
    <definedName name="Med_MDC_cd_06_prior">#REF!</definedName>
    <definedName name="dental_deductible_in_network_prior">#REF!</definedName>
    <definedName name="Med_MDC_billed_11_prior">#REF!</definedName>
    <definedName name="aex_inp_OON_days_05_curr">#REF!</definedName>
    <definedName name="sum_retail_generic_plan_paid_amt_prior">#REF!</definedName>
    <definedName name="aex_Tier3_paid_amt_off_surgeries_curr">#REF!</definedName>
    <definedName name="User_Growth">#REF!</definedName>
    <definedName name="Med_claim_count_unknown_20_44_curr">#REF!</definedName>
    <definedName name="Med_billed_amt_curr">#REF!</definedName>
    <definedName name="adf_termed_tier2_emp_99_75_spend_curr">#REF!</definedName>
    <definedName name="PretaxInc">#REF!</definedName>
    <definedName name="Product_74_members">#REF!</definedName>
    <definedName name="Med_paid_amt_unknown_65_over_curr">#REF!</definedName>
    <definedName name="aex_Tier2_paid_amt_misc_med_curr">#REF!</definedName>
    <definedName name="ahf_act_total_fund_paid_curr">#REF!</definedName>
    <definedName name="Med_MDC_cd_02_prior">#REF!</definedName>
    <definedName name="IQRCompsAQ241">#REF!</definedName>
    <definedName name="Med_MDC_amb_billed_14_prior">#REF!</definedName>
    <definedName name="num_claims_class_C_curr">#REF!</definedName>
    <definedName name="_bdm.A5ACD67A37814D1AB59C856D8B6F2DF0.edm">#REF!</definedName>
    <definedName name="DA_Prior_Range">#REF!</definedName>
    <definedName name="FDP_201_1_aDdv">#REF!</definedName>
    <definedName name="BOB_Med_MDC_inp_paid_20_curr">#REF!</definedName>
    <definedName name="AHF_Med_allowed_amt_total_prior">#REF!</definedName>
    <definedName name="HPD_number_claimants_low_back_curr">#REF!</definedName>
    <definedName name="retail_claims_curr">#REF!</definedName>
    <definedName name="Number">#REF!</definedName>
    <definedName name="AHF_Med_fund_paid_amt_inp_curr">#REF!</definedName>
    <definedName name="Product_69_members">#REF!</definedName>
    <definedName name="Acq">#REF!</definedName>
    <definedName name="ciq_meta_info_a2fc0fc09ea74ec59a008f3a2a4b0a20">#REF!</definedName>
    <definedName name="StatLabel3">#REF!</definedName>
    <definedName name="ahf_ahf_paid_amt_male_65_over_curr">#REF!</definedName>
    <definedName name="ahf_srv_copay_amt_female_20_44_curr">#REF!</definedName>
    <definedName name="MDC_CD_09">#REF!</definedName>
    <definedName name="ahf_total_termd_cr_clm_paid_with_rollover_funds_curr">#REF!</definedName>
    <definedName name="FOV_49_Range">#REF!</definedName>
    <definedName name="Div">#REF!</definedName>
    <definedName name="FDP_38_1_aUrv">#REF!</definedName>
    <definedName name="_bdm.6B742AA8359447F69C5B75F7CCB6E3B6.edm">#REF!</definedName>
    <definedName name="CoverPageHome">#REF!</definedName>
    <definedName name="Med_MDC_paid_13_prior">#REF!</definedName>
    <definedName name="Med_MDC_claimants_20_prior">#REF!</definedName>
    <definedName name="Med_MDC_inp_paid_19_prior">#REF!</definedName>
    <definedName name="BOB_Med_paid_other_curr">#REF!</definedName>
    <definedName name="Med_MDC_admits_20_prior">#REF!</definedName>
    <definedName name="Med_billed_amt_male_65_over_prior">#REF!</definedName>
    <definedName name="BOB_Med_paid_amt_prim_off_visits_curr">#REF!</definedName>
    <definedName name="Med_MDC_amb_billed_09_prior">#REF!</definedName>
    <definedName name="IQRCOMPANYBAT89">#REF!</definedName>
    <definedName name="Med_MDC_amb_paid_23_prior">#REF!</definedName>
    <definedName name="BOB_Med_MDC_cd_23_curr">#REF!</definedName>
    <definedName name="adf_total_rollover_fund_remaining_curr">#REF!</definedName>
    <definedName name="BOB_Med_MDC_inp_paid_08_curr">#REF!</definedName>
    <definedName name="Rx_AHF_avg_age_members_curr">#REF!</definedName>
    <definedName name="adf_termed_tier4_cr_year_initial_fund_curr">#REF!</definedName>
    <definedName name="new_name">#REF!</definedName>
    <definedName name="eqvhigh">#REF!</definedName>
    <definedName name="Med_MDC_admits_999_curr">#REF!</definedName>
    <definedName name="aex_inp_Tier2_paid_amt_00_curr">#REF!</definedName>
    <definedName name="adf_term_total_fund_paid_curr">#REF!</definedName>
    <definedName name="Med_MDC_billed_09_curr">#REF!</definedName>
    <definedName name="aex_Amb_Tier3_paid_amt_20_curr">#REF!</definedName>
    <definedName name="BOB_Med_MDC_cd_16_curr">#REF!</definedName>
    <definedName name="ahf_calc_ing_cost_amt_unknown_20_44_curr">#REF!</definedName>
    <definedName name="Med_billed_amt_amb_visits_prior">#REF!</definedName>
    <definedName name="aex_Amb_Tier1_claimants_15_curr">#REF!</definedName>
    <definedName name="BOB_sum_generic_paid_amt_prior">#REF!</definedName>
    <definedName name="DebtBeta">#REF!</definedName>
    <definedName name="FDP_83_1_aUrv">#REF!</definedName>
    <definedName name="Med_female_mem_65_over_prior">#REF!</definedName>
    <definedName name="dent_net_avg_sub_charges_ppo_max_aetna_spec_ntwk_curr">#REF!</definedName>
    <definedName name="CommunityRated_HPD_Row_21_delete">#REF!</definedName>
    <definedName name="BOB_Med_paid_encounter_prim_phys_curr">#REF!</definedName>
    <definedName name="IQRCompsAW154">#REF!</definedName>
    <definedName name="GenericAverageCopay">#REF!</definedName>
    <definedName name="adf_termed_tier4_rollover_fund_remaining_curr">#REF!</definedName>
    <definedName name="ahf_total_termd_emp_24_1_spend_curr">#REF!</definedName>
    <definedName name="BOB_Dental_other_paid_amt_curr">#REF!</definedName>
    <definedName name="Med_MDC_cd_07_prior">#REF!</definedName>
    <definedName name="IQRCustomIndexX10">#REF!</definedName>
    <definedName name="__s1">#REF!</definedName>
    <definedName name="BOB_Med_MDC_cd_10_curr">#REF!</definedName>
    <definedName name="aex_Amb_OON_claimants_12_curr">#REF!</definedName>
    <definedName name="FDP_2_1_aUrv">#REF!</definedName>
    <definedName name="Med_billed_amt_er_visits_prior">#REF!</definedName>
    <definedName name="aex_OOC_Claimants_curr">#REF!</definedName>
    <definedName name="ahf_tier2_cr_year_initial_fund_curr">#REF!</definedName>
    <definedName name="sum_specialty_prof_fee_amt_curr">#REF!</definedName>
    <definedName name="aex_inp_Tier3_days_05_curr">#REF!</definedName>
    <definedName name="aex_Amb_Tier2_claimants_19_curr">#REF!</definedName>
    <definedName name="IQRCOMPANYBAR89">#REF!</definedName>
    <definedName name="adf_termed_tier3_active_employee_curr">#REF!</definedName>
    <definedName name="adf_tier2_rollover_pr_year_curr">#REF!</definedName>
    <definedName name="BOB_Med_paid_encounter_spec_phys_curr">#REF!</definedName>
    <definedName name="TSynYear1">#REF!</definedName>
    <definedName name="Cash">#REF!</definedName>
    <definedName name="IQRCapExofSalesChartV10">#REF!</definedName>
    <definedName name="EVEBITDALTM">#REF!</definedName>
    <definedName name="ahf_calc_ing_cost_amt_unknown_0_19_curr">#REF!</definedName>
    <definedName name="aex_inp_Tier3_days_00_curr">#REF!</definedName>
    <definedName name="FDP_44_1_aUrv">#REF!</definedName>
    <definedName name="FDP_115_1_aUrv">#REF!</definedName>
    <definedName name="PrefDivPaid">#REF!</definedName>
    <definedName name="FI_Key_Stats_Med_Paid_per_Employee">#REF!</definedName>
    <definedName name="EPSSource">#REF!</definedName>
    <definedName name="dental_elig_denials_out_network_prior">#REF!</definedName>
    <definedName name="sum_brand_singlesource_calc_ing_curr">#REF!</definedName>
    <definedName name="aex_inp_OON_days_04_curr">#REF!</definedName>
    <definedName name="MDC_CD_06">#REF!</definedName>
    <definedName name="ahf_bnft_plan_paid_amt_male_65_over_curr">#REF!</definedName>
    <definedName name="dent_tot_services_out_ntwk_curr">#REF!</definedName>
    <definedName name="CSynLTM">#REF!</definedName>
    <definedName name="Aexcel_Structure_Headings">#REF!</definedName>
    <definedName name="Med_MDC_inp_paid_10_prior">#REF!</definedName>
    <definedName name="ciq_meta_info_2e42e0e2a5564f2f95067e31c3a98210">#REF!</definedName>
    <definedName name="sum_prof_fee_amt_mac_mod_curr">#REF!</definedName>
    <definedName name="aex_Amb_OON_claimants_16_curr">#REF!</definedName>
    <definedName name="aex_inp_Tier2_paid_amt_20_curr">#REF!</definedName>
    <definedName name="aex_inp_Tier2_days_03_curr">#REF!</definedName>
    <definedName name="Med_paid_amt_amb_visits_curr">#REF!</definedName>
    <definedName name="dental_spouse_in_network_prior">#REF!</definedName>
    <definedName name="ahf_total_emp_74_50_spend_curr">#REF!</definedName>
    <definedName name="Med_paid_amt_female_0_19_prior">#REF!</definedName>
    <definedName name="ahf_termed_tier4_rollover_pr_year_curr">#REF!</definedName>
    <definedName name="AHF_Med_months_prior">#REF!</definedName>
    <definedName name="ahf_tier3_emp_49_25_spend_curr">#REF!</definedName>
    <definedName name="Medicare_Billed_female_mem_75_79_curr">#REF!</definedName>
    <definedName name="_1__123Graph_ACHART_4">#REF!</definedName>
    <definedName name="sum_calcing_cost_amt_mac_mod_prior">#REF!</definedName>
    <definedName name="aex_OON_Util_inp_days_curr">#REF!</definedName>
    <definedName name="Template_File_Name">#REF!</definedName>
    <definedName name="Changes">#REF!</definedName>
    <definedName name="dental_major_out_network_curr">#REF!</definedName>
    <definedName name="Dental_net_submitted_out_network_prior">#REF!</definedName>
    <definedName name="aex_inp_Tier3_days_16_curr">#REF!</definedName>
    <definedName name="Dental_unknown_mem_20_44_curr">#REF!</definedName>
    <definedName name="Med_MDC_admits_10_curr">#REF!</definedName>
    <definedName name="aex_Amb_OON_paid_amt_06_curr">#REF!</definedName>
    <definedName name="sum_awp_amt_non_mac_specialty_curr">#REF!</definedName>
    <definedName name="Med_paid_amt_inp_days_curr">#REF!</definedName>
    <definedName name="ahf_termed_tier4_emp_100_spend_curr">#REF!</definedName>
    <definedName name="BOB_Med_MDC_claimants_13_curr">#REF!</definedName>
    <definedName name="ahf_ahf_paid_amt_unknown_20_44_curr">#REF!</definedName>
    <definedName name="aex_Tier2_paid_amt_home_health_visits_curr">#REF!</definedName>
    <definedName name="aex_Tier3_Util_misc_med_curr">#REF!</definedName>
    <definedName name="___s4">#REF!</definedName>
    <definedName name="_Key2">#REF!</definedName>
    <definedName name="BOB_Rx_male_mem_0_19_prior">#REF!</definedName>
    <definedName name="sum_paid_class_OTHER_curr">#REF!</definedName>
    <definedName name="Med_MDC_billed_18_curr">#REF!</definedName>
    <definedName name="Med_count_med_rx_curr">#REF!</definedName>
    <definedName name="High8">#REF!</definedName>
    <definedName name="aex_Med_MDC_cd_20_curr">#REF!</definedName>
    <definedName name="LicRevF01">#REF!</definedName>
    <definedName name="num_generic_claims_curr">#REF!</definedName>
    <definedName name="Med_MDC_admits_18_prior">#REF!</definedName>
    <definedName name="_bdm.B7DFBD22485E47999D366578A653E092.edm">#REF!</definedName>
    <definedName name="sum_mod_non_brand_formulary_copay_amt_curr">#REF!</definedName>
    <definedName name="aex_OON_paid_amt_lab_services_curr">#REF!</definedName>
    <definedName name="EVEBIT1">#REF!</definedName>
    <definedName name="IQRCompsAN183">#REF!</definedName>
    <definedName name="Item2">#REF!</definedName>
    <definedName name="FDP_146_1_aUrv">#REF!</definedName>
    <definedName name="num_claims_class_P_curr">#REF!</definedName>
    <definedName name="Med_paid_amt_unknown_20_44_prior">#REF!</definedName>
    <definedName name="IS_Summary">#REF!</definedName>
    <definedName name="dental_alt_ben_in_network_curr">#REF!</definedName>
    <definedName name="aex_Tier3_Util_amb_visits_curr">#REF!</definedName>
    <definedName name="AHF_Med_paid_amt_curr">#REF!</definedName>
    <definedName name="Med_MDC_cd_17_prior">#REF!</definedName>
    <definedName name="_Yr1">#REF!</definedName>
    <definedName name="Med_MDC_cd_19_curr">#REF!</definedName>
    <definedName name="Med_unknown_members_prior">#REF!</definedName>
    <definedName name="Med_MDC_inp_billed_21_prior">#REF!</definedName>
    <definedName name="BOB_Med_female_mem_65_over_prior">#REF!</definedName>
    <definedName name="ahf_termed_tier4_Incentive_fund_earned_curr">#REF!</definedName>
    <definedName name="Rx_AHF_female_mem_45_64_curr">#REF!</definedName>
    <definedName name="Med_billed_amt_lab_serv_prior">#REF!</definedName>
    <definedName name="Med_other_discount_admin_savings_amt_curr">#REF!</definedName>
    <definedName name="BOB_Med_MDC_admits_11_curr">#REF!</definedName>
    <definedName name="ahf_calc_ing_cost_amt_total_0_19_curr">#REF!</definedName>
    <definedName name="Med_MDC_claimants_16_curr">#REF!</definedName>
    <definedName name="num_mod_generic_claims_curr">#REF!</definedName>
    <definedName name="LTMOther1">#REF!</definedName>
    <definedName name="BOB_Med_MDC_claimants_22_curr">#REF!</definedName>
    <definedName name="Med_count_encounter_prim_phys_prior">#REF!</definedName>
    <definedName name="BH_BOB_Med_female_mem_65_over_curr">#REF!</definedName>
    <definedName name="BOB_Med_MDC_admits_01_curr">#REF!</definedName>
    <definedName name="_bdm.E8E49C6DF7BD45AE9D28FA42F05764BF.edm">#REF!</definedName>
    <definedName name="_bdm.D43A6B2A947B4EA9A42335B05D28E8EB.edm">#REF!</definedName>
    <definedName name="aex_Amb_Tier3_paid_amt_10_curr">#REF!</definedName>
    <definedName name="Dental_avg_age_members_prior">#REF!</definedName>
    <definedName name="aex_tier1_utlilization_tot_curr">#REF!</definedName>
    <definedName name="_MUM31">#REF!</definedName>
    <definedName name="OptionPrice">#REF!</definedName>
    <definedName name="BOB_Med_amb_paid_amt_prior">#REF!</definedName>
    <definedName name="aex_Amb_Tier3_claimants_21_curr">#REF!</definedName>
    <definedName name="LTMOther3">#REF!</definedName>
    <definedName name="StrLTDebt">#REF!</definedName>
    <definedName name="medical_sortb">#REF!</definedName>
    <definedName name="adf_act_emp_plus_1_fund_paid_prior">#REF!</definedName>
    <definedName name="aex_Amb_OON_claimants_14_curr">#REF!</definedName>
    <definedName name="Dental_services_out_network_curr">#REF!</definedName>
    <definedName name="LTMEBIT">#REF!</definedName>
    <definedName name="Med_billed_amt_inp_surgeries_prior">#REF!</definedName>
    <definedName name="Med_MDC_billed_23_prior">#REF!</definedName>
    <definedName name="Med_paid_amt_female_20_44_curr">#REF!</definedName>
    <definedName name="Dental_paid_amt_female_20_44_prior">#REF!</definedName>
    <definedName name="BOB_Med_inp_surgery_count_curr">#REF!</definedName>
    <definedName name="aex_Amb_Tier3_claimants_19_curr">#REF!</definedName>
    <definedName name="AHF_Med_claim_count_female_0_19_curr">#REF!</definedName>
    <definedName name="_Fill">#REF!</definedName>
    <definedName name="Med_inp_billed_network_curr">#REF!</definedName>
    <definedName name="SubRate">#REF!</definedName>
    <definedName name="aex_inp_OON_admits_22_curr">#REF!</definedName>
    <definedName name="Med_claim_count_unknown_65_over_prior">#REF!</definedName>
    <definedName name="aex_Tier2_Util_med_rx_curr">#REF!</definedName>
    <definedName name="aex_inp_Tier1_paid_amt_06_curr">#REF!</definedName>
    <definedName name="BookAdj">#REF!</definedName>
    <definedName name="Med_phys_discount_admin_savings_amt_curr">#REF!</definedName>
    <definedName name="r.Profitability">#REF!</definedName>
    <definedName name="Medicare_Billed_male_mem_0_64_curr">#REF!</definedName>
    <definedName name="Med_MDC_billed_10_curr">#REF!</definedName>
    <definedName name="Provider_Network_Exp_Medical_Range">#REF!</definedName>
    <definedName name="aex_Med_MDC_cd_06_curr">#REF!</definedName>
    <definedName name="FDP_90_1_aUrv">#REF!</definedName>
    <definedName name="Med_male_mem_0_19_prior">#REF!</definedName>
    <definedName name="Med_MDC_paid_17_curr">#REF!</definedName>
    <definedName name="FOV_12_Range">#REF!</definedName>
    <definedName name="ahf_total_termd_cr_claim_paid_with_cr_funds_curr">#REF!</definedName>
    <definedName name="BOB_num_claims_prior">#REF!</definedName>
    <definedName name="dental_orthodontic_out_network_curr">#REF!</definedName>
    <definedName name="ahf_tier2_emp_74_50_spend_curr">#REF!</definedName>
    <definedName name="sum_svc_copay_amt_brand_retail_curr">#REF!</definedName>
    <definedName name="BH_BOB_Med_months_curr">#REF!</definedName>
    <definedName name="aex_inp_Tier1_paid_amt_13_curr">#REF!</definedName>
    <definedName name="dental_basic_out_network_prior">#REF!</definedName>
    <definedName name="_bdm.27904B4DF6A74A119EACCBC498052D25.edm">#REF!</definedName>
    <definedName name="Symbol">#REF!</definedName>
    <definedName name="Med_MDC_billed_10_prior">#REF!</definedName>
    <definedName name="FYE2EBITDA">#REF!</definedName>
    <definedName name="_bdm.716F6C2637BC4ACB8424715CBA3C945C.edm">#REF!</definedName>
    <definedName name="Rx_Retail_vs_MOD_Impact_Range">#REF!</definedName>
    <definedName name="paid_male_0_19_prior">#REF!</definedName>
    <definedName name="BOB_Med_MDC_admits_999_curr">#REF!</definedName>
    <definedName name="sum_svc_copay_amt_non_mac_retail_prior">#REF!</definedName>
    <definedName name="BOB_Med_MDC_cd_09_curr">#REF!</definedName>
    <definedName name="BOB_Med_MDC_admits_02_curr">#REF!</definedName>
    <definedName name="ahf_termed_tier4_active_employee_curr">#REF!</definedName>
    <definedName name="BOB_Med_MDC_cd_08_curr">#REF!</definedName>
    <definedName name="Dental_cost_share_cob_amt_prior">#REF!</definedName>
    <definedName name="Med_MDC_paid_22_curr">#REF!</definedName>
    <definedName name="FDP_113_1_aUrv">#REF!</definedName>
    <definedName name="aex_Amb_OON_claimants_03_curr">#REF!</definedName>
    <definedName name="aex_Tier2_paid_amt_er_visits_curr">#REF!</definedName>
    <definedName name="aex_inp_Tier1_paid_amt_23_curr">#REF!</definedName>
    <definedName name="Med_count_prim_off_visits_curr">#REF!</definedName>
    <definedName name="num_rx_claims_brand_mod_prior">#REF!</definedName>
    <definedName name="adf_termed_tier1_Incentive_fund_earned_curr">#REF!</definedName>
    <definedName name="sum_generic_avg_paid_claim_curr">#REF!</definedName>
    <definedName name="ASEDTGrh">#REF!</definedName>
    <definedName name="IQRCompsAX198">#REF!</definedName>
    <definedName name="dent_sav_frm_negot_arrangements_ppo_aetna_ppo_ntwk_prior">#REF!</definedName>
    <definedName name="Med_non_facility_billed_network_prior">#REF!</definedName>
    <definedName name="Targets">#REF!</definedName>
    <definedName name="num_claims_class_J_prior">#REF!</definedName>
    <definedName name="ADF_Activity_By_Tier_Range">#REF!</definedName>
    <definedName name="aex_Tier3_Claimants_curr">#REF!</definedName>
    <definedName name="Medicare_Billed_male_mem_0_64_prior">#REF!</definedName>
    <definedName name="IQRCompsAV183">#REF!</definedName>
    <definedName name="BOB_Med_MDC_days_00_curr">#REF!</definedName>
    <definedName name="sgf">#REF!</definedName>
    <definedName name="dental_children_out_network_prior">#REF!</definedName>
    <definedName name="dent_sav_frm_negot_arrangements_ppo_aetna_ppo_II_ntwk_curr">#REF!</definedName>
    <definedName name="aex_Amb_OON_claimants_10_curr">#REF!</definedName>
    <definedName name="Med_MDC_admits_08_prior">#REF!</definedName>
    <definedName name="FDP_100_1_aUrv">#REF!</definedName>
    <definedName name="ciq_meta_info_4bf382208af840f3a0c57abfc8f02934">#REF!</definedName>
    <definedName name="FOV_DN_Range">#REF!</definedName>
    <definedName name="Med_MDC_amb_billed_11_curr">#REF!</definedName>
    <definedName name="Med_paid_amt_spec_office_visits_curr">#REF!</definedName>
    <definedName name="dental_other_in_network_curr">#REF!</definedName>
    <definedName name="sum_retail_non_brand_formulary_copay_amt_curr">#REF!</definedName>
    <definedName name="Med_MDC_cd_16_prior">#REF!</definedName>
    <definedName name="Aetna_PPO_Ntwk_Exp_PPO_Net_Avg_Sub_Charges">#REF!</definedName>
    <definedName name="aex_inp_OON_days_00_curr">#REF!</definedName>
    <definedName name="medical_sortd">#REF!</definedName>
    <definedName name="adf_termed_tier4_rollover_pr_year_curr">#REF!</definedName>
    <definedName name="dent_tot_services_aetna_spec_ntwk_prior">#REF!</definedName>
    <definedName name="Dental_female_mem_20_44_curr">#REF!</definedName>
    <definedName name="FDP_116_1_aUrv">#REF!</definedName>
    <definedName name="BOB_Med_female_mem_0_19_curr">#REF!</definedName>
    <definedName name="aex_Tier3_Util_spec_off_visits_curr">#REF!</definedName>
    <definedName name="Acquirors">#REF!</definedName>
    <definedName name="Template_Type">#REF!</definedName>
    <definedName name="BOB_Med_MDC_inp_paid_10_curr">#REF!</definedName>
    <definedName name="FDP_63_1_aUrv">#REF!</definedName>
    <definedName name="dent_net_avg_sub_charges_ppo_max_aetna_ppo_II_ntwk_prior">#REF!</definedName>
    <definedName name="sic1ok">#REF!</definedName>
    <definedName name="End_Bal">#REF!</definedName>
    <definedName name="Med_MDC_claimants_03_curr">#REF!</definedName>
    <definedName name="HPD_paid_amt_coronary_artery_disease_curr">#REF!</definedName>
    <definedName name="Med_surgery_count_curr">#REF!</definedName>
    <definedName name="aex_Tier2_Amb_Paid_Amt_curr">#REF!</definedName>
    <definedName name="BOB_Med_MDC_days_02_curr">#REF!</definedName>
    <definedName name="__MUM22">#REF!</definedName>
    <definedName name="Current">#REF!</definedName>
    <definedName name="IntC">#REF!</definedName>
    <definedName name="Rx_Network_Analysis_Savings_Range">#REF!</definedName>
    <definedName name="FOV_50_Range">#REF!</definedName>
    <definedName name="aex_Tier2_paid_amt_spec_off_visits_curr">#REF!</definedName>
    <definedName name="Check_For_Product_99">#REF!</definedName>
    <definedName name="BOB_Med_deductible_amt_curr">#REF!</definedName>
    <definedName name="Dental_paid_amt_unknown_65_over_prior">#REF!</definedName>
    <definedName name="sum_paid_class_M_prior">#REF!</definedName>
    <definedName name="AHF_Med_count_total_curr">#REF!</definedName>
    <definedName name="se">#REF!</definedName>
    <definedName name="Med_cob_amt_curr">#REF!</definedName>
    <definedName name="dent_net_avg_sub_charges_ppo_max_aetna_spec_ntwk_prior">#REF!</definedName>
    <definedName name="Aex_Professional_Experience_Range">#REF!</definedName>
    <definedName name="aex_inp_Tier1_admits_20_curr">#REF!</definedName>
    <definedName name="Med_num_members_prior">#REF!</definedName>
    <definedName name="DA_Dental_Range">#REF!</definedName>
    <definedName name="AHF_Med_claim_count_female_0_19_prior">#REF!</definedName>
    <definedName name="Med_hospital_inp_paid_amt_curr">#REF!</definedName>
    <definedName name="Med_MDC_claimants_21_curr">#REF!</definedName>
    <definedName name="dental_cob_in_network_curr">#REF!</definedName>
    <definedName name="sum_calc_ing_cost_curr">#REF!</definedName>
    <definedName name="ciq_meta_info_44818688f8704a6fb88016c5413eefdc">#REF!</definedName>
    <definedName name="sum_paid_class_D_prior">#REF!</definedName>
    <definedName name="sum_specialty_plan_paid_amt_curr">#REF!</definedName>
    <definedName name="aex_inp_Tier2_days_21_curr">#REF!</definedName>
    <definedName name="Rx_AHF_unknown_mem_65_over_prior">#REF!</definedName>
    <definedName name="IQRCompInputO43">#REF!</definedName>
    <definedName name="sum_prof_fee_amt_brand_mod_curr">#REF!</definedName>
    <definedName name="rngQueryType">#REF!</definedName>
    <definedName name="aex_Tier1_Util_misc_med_curr">#REF!</definedName>
    <definedName name="DeprPeriod">#REF!</definedName>
    <definedName name="aex_Amb_Tier1_paid_amt_16_curr">#REF!</definedName>
    <definedName name="Med_MDC_days_06_curr">#REF!</definedName>
    <definedName name="toc_report_name">#REF!</definedName>
    <definedName name="generic_util_prior">#REF!</definedName>
    <definedName name="Med_MDC_billed_11_curr">#REF!</definedName>
    <definedName name="EnterpriseT">#REF!</definedName>
    <definedName name="aex_OON_paid_amt_primary_off_visits_curr">#REF!</definedName>
    <definedName name="aex_inp_Tier3_admits_18_curr">#REF!</definedName>
    <definedName name="aex_Amb_OON_paid_amt_10_curr">#REF!</definedName>
    <definedName name="Debt">#REF!</definedName>
    <definedName name="_MUM5">#REF!</definedName>
    <definedName name="gpi_name_class_B_curr">#REF!</definedName>
    <definedName name="MDC_CD_08">#REF!</definedName>
    <definedName name="Med_MDC_amb_paid_09_prior">#REF!</definedName>
    <definedName name="Med_unknown_mem_20_44_prior">#REF!</definedName>
    <definedName name="Med_paid_encounter_prim_phys_curr">#REF!</definedName>
    <definedName name="Rx_unknown_members_prior">#REF!</definedName>
    <definedName name="FI_medicare_Rx_Key_Stats_ratio_of_members_to_employees">#REF!</definedName>
    <definedName name="aex_inp_Tier3_admits_06_curr">#REF!</definedName>
    <definedName name="EBITInt">#REF!</definedName>
    <definedName name="aex_inp_OON_days_22_curr">#REF!</definedName>
    <definedName name="BOB_sum_brand_singlesource_paid_amt_prior">#REF!</definedName>
    <definedName name="aex_inp_OON_days_09_curr">#REF!</definedName>
    <definedName name="Product22">#REF!</definedName>
    <definedName name="junk">#REF!</definedName>
    <definedName name="AssetsA">#REF!</definedName>
    <definedName name="num_specialty_brand_formulary_claims_prior">#REF!</definedName>
    <definedName name="BOB_Rx_male_mem_0_19_curr">#REF!</definedName>
    <definedName name="_bdm.329FD9CDA97C40029C4A921D6224414B.edm">#REF!</definedName>
    <definedName name="_MUM26">#REF!</definedName>
    <definedName name="MDC_Range_C7_G8">#REF!</definedName>
    <definedName name="FDP_155_1_aSrv">#REF!</definedName>
    <definedName name="aex_inp_OON_days_15_curr">#REF!</definedName>
    <definedName name="Med_claim_count_female_65_over_prior">#REF!</definedName>
    <definedName name="Med_MDC_cd_09_prior">#REF!</definedName>
    <definedName name="dental_tot_ben_cat_in_network_prior">#REF!</definedName>
    <definedName name="gpi_name_class_OTHER_curr">#REF!</definedName>
    <definedName name="aex_inp_OON_paid_amt_10_curr">#REF!</definedName>
    <definedName name="_bdm.5899DA80924A4C1182E5C7D6095DD314.edm">#REF!</definedName>
    <definedName name="Med_MDC_amb_billed_14_curr">#REF!</definedName>
    <definedName name="ADLTM">#REF!</definedName>
    <definedName name="Demographics_Dental_Range">#REF!</definedName>
    <definedName name="Product_11_delete_prior">#REF!</definedName>
    <definedName name="StatLabel7">#REF!</definedName>
    <definedName name="Dental_paid_amt_female_0_19_curr">#REF!</definedName>
    <definedName name="HPD_number_claimants_heart_failure_prior">#REF!</definedName>
    <definedName name="util_mem_female_0_19_curr">#REF!</definedName>
    <definedName name="aex_Amb_OON_claimants_09_curr">#REF!</definedName>
    <definedName name="sum_svc_copay_amt_brand_specialty_curr">#REF!</definedName>
    <definedName name="Med_MDC_paid_01_prior">#REF!</definedName>
    <definedName name="Key_Statistics_Dental_Range">#REF!</definedName>
    <definedName name="IQRCompsAP225">#REF!</definedName>
    <definedName name="FDP_107_1_aUrv">#REF!</definedName>
    <definedName name="Med_MDC_amb_billed_10_prior">#REF!</definedName>
    <definedName name="num_claims_class_K_prior">#REF!</definedName>
    <definedName name="aex_Tier3_Paid_Amt_curr">#REF!</definedName>
    <definedName name="aex_Amb_Tier3_paid_amt_04_curr">#REF!</definedName>
    <definedName name="Item4">#REF!</definedName>
    <definedName name="AHF_Med_claim_count_unknown_20_44_curr">#REF!</definedName>
    <definedName name="dent_sav_frm_negot_arrangements_ppo_max_aetna_spec_ntwk_prior">#REF!</definedName>
    <definedName name="AHF_Med_count_medical_rx_curr">#REF!</definedName>
    <definedName name="BOB_Med_paid_amt_rad_serv_prior">#REF!</definedName>
    <definedName name="FOV_SI_Product_05_Range">#REF!</definedName>
    <definedName name="num_util_members_class_A_curr">#REF!</definedName>
    <definedName name="dental_paid_ben_in_network_curr">#REF!</definedName>
    <definedName name="BOB_Med_MDC_amb_paid_23_curr">#REF!</definedName>
    <definedName name="Rent">#REF!</definedName>
    <definedName name="BOB_Med_paid_encounter_other_prior">#REF!</definedName>
    <definedName name="ahf_total_emp_49_25_spend_curr">#REF!</definedName>
    <definedName name="exclude_large_claimant_ind">#REF!</definedName>
    <definedName name="aex_Tier2_paid_amt_inp_days_curr">#REF!</definedName>
    <definedName name="EV2OtherLTM">#REF!</definedName>
    <definedName name="BLPH7">#REF!</definedName>
    <definedName name="Med_billed_amt_prior">#REF!</definedName>
    <definedName name="gpi_name_class_H_prior">#REF!</definedName>
    <definedName name="aex_Tier1_paid_amt_misc_med_curr">#REF!</definedName>
    <definedName name="aex_Tier3_paid_amt_total_curr">#REF!</definedName>
    <definedName name="Med_MDC_amb_paid_04_prior">#REF!</definedName>
    <definedName name="Aexcel_Prof_Exp_Cost_Headings">#REF!</definedName>
    <definedName name="sum_svc_copay_amt_non_mac_mod_curr">#REF!</definedName>
    <definedName name="FDP_136_1_aSrv">#REF!</definedName>
    <definedName name="DebtAdj">#REF!</definedName>
    <definedName name="num_claims_class_E_curr">#REF!</definedName>
    <definedName name="Med_admin_savings_amt_prior">#REF!</definedName>
    <definedName name="FDP_165_1_aSrv">#REF!</definedName>
    <definedName name="BOB_Med_MDC_claimants_999_curr">#REF!</definedName>
    <definedName name="XREF_COLUMN_15">#REF!</definedName>
    <definedName name="BH_BOB_Med_male_mem_65_over_curr">#REF!</definedName>
    <definedName name="mod_copay_amt_prior">#REF!</definedName>
    <definedName name="FDP_191_1_aUdv">#REF!</definedName>
    <definedName name="Med_er_visits_count_prior">#REF!</definedName>
    <definedName name="BOB_Med_MDC_admits_07_curr">#REF!</definedName>
    <definedName name="FDP_188_1_aUdv">#REF!</definedName>
    <definedName name="ciq_meta_info_9a96faed93bb40c1a1c8e6e83afef714">#REF!</definedName>
    <definedName name="aex_inp_Tier2_admits_01_curr">#REF!</definedName>
    <definedName name="IQRChartV7">#REF!</definedName>
    <definedName name="aex_inp_OON_days_19_curr">#REF!</definedName>
    <definedName name="Med_paid_amt_above_threshold_curr">#REF!</definedName>
    <definedName name="_bdm.A5079CC3AD6E11D6B69B0010A4860669.edm">#REF!</definedName>
    <definedName name="_key3">#REF!</definedName>
    <definedName name="ProcEndDatePrior">#REF!</definedName>
    <definedName name="Med_MDC_cd_14_curr">#REF!</definedName>
    <definedName name="Template3">#REF!</definedName>
    <definedName name="Med_MDC_inp_billed_21_curr">#REF!</definedName>
    <definedName name="aex_Tier2_paid_amt_med_services_visits_curr">#REF!</definedName>
    <definedName name="aex_OON_Util_off_surgeries_curr">#REF!</definedName>
    <definedName name="FDP_124_1_aUrv">#REF!</definedName>
    <definedName name="adf_termed_tier1_emp_0_spend_curr">#REF!</definedName>
    <definedName name="AHF_Med_unknown_mem_65_over_prior">#REF!</definedName>
    <definedName name="Med_MDC_paid_18_prior">#REF!</definedName>
    <definedName name="_MUM7">#REF!</definedName>
    <definedName name="aex_inp_Tier3_admits_24_curr">#REF!</definedName>
    <definedName name="aex_inp_Tier2_admits_08_curr">#REF!</definedName>
    <definedName name="FYE1CashFlow">#REF!</definedName>
    <definedName name="num_rx_claims_mac_mod_curr">#REF!</definedName>
    <definedName name="Aexcel_Prof_Cost_Line_Count">#REF!</definedName>
    <definedName name="Dental_rc_savings_other_prior">#REF!</definedName>
    <definedName name="dent_net_avg_sub_charges_ppo_aetna_spec_ntwk_curr">#REF!</definedName>
    <definedName name="Change2">#REF!</definedName>
    <definedName name="BOB_Med_MDC_paid_05_curr">#REF!</definedName>
    <definedName name="Prem1">#REF!</definedName>
    <definedName name="EBITDAGrowth">#REF!</definedName>
    <definedName name="Product18_or_22">#REF!</definedName>
    <definedName name="Product_49_members">#REF!</definedName>
    <definedName name="aex_Med_MDC_cd_17_curr">#REF!</definedName>
    <definedName name="ahf_member_cnt_male_65_over_curr">#REF!</definedName>
    <definedName name="num_util_members_class_N_curr">#REF!</definedName>
    <definedName name="aex_inp_Tier2_admits_15_curr">#REF!</definedName>
    <definedName name="aex_Tier1_Util_off_surgeries_curr">#REF!</definedName>
    <definedName name="AHF_Med_num_members_curr">#REF!</definedName>
    <definedName name="Med_MDC_admits_11_curr">#REF!</definedName>
    <definedName name="_bm">#REF!</definedName>
    <definedName name="Med_MDC_cd_05_curr">#REF!</definedName>
    <definedName name="Z_9118CF73_A0E0_408F_82FC_D7B84F445576_.wvu.Cols">#REF!</definedName>
    <definedName name="aex_inp_Tier2_paid_amt_01_curr">#REF!</definedName>
    <definedName name="Med_MDC_cd_19_prior">#REF!</definedName>
    <definedName name="Med_paid_amt_female_65_over_curr">#REF!</definedName>
    <definedName name="Med_MDC_amb_billed_02_curr">#REF!</definedName>
    <definedName name="num_claims_class_E_prior">#REF!</definedName>
    <definedName name="DD_ER_VISITS_FOOTNOTE">#REF!</definedName>
    <definedName name="PretaxItems4">#REF!</definedName>
    <definedName name="Loan_Years">#REF!</definedName>
    <definedName name="BOB_Med_MDC_amb_paid_12_curr">#REF!</definedName>
    <definedName name="Total_Interest">#REF!</definedName>
    <definedName name="Dental_paid_amt_female_45_64_curr">#REF!</definedName>
    <definedName name="gpi_name_class_R_curr">#REF!</definedName>
    <definedName name="FOV_45_Range">#REF!</definedName>
    <definedName name="ahf_member_cnt_unknown_65_over_curr">#REF!</definedName>
    <definedName name="ahf_termed_tier3_tot_fund_available_curr">#REF!</definedName>
    <definedName name="aex_Tier2_Util_inp_days_curr">#REF!</definedName>
    <definedName name="EV1Other2">#REF!</definedName>
    <definedName name="Prem4">#REF!</definedName>
    <definedName name="FOV_03_Range">#REF!</definedName>
    <definedName name="ahf_tier2_emp_100_spend_curr">#REF!</definedName>
    <definedName name="_PE3">#REF!</definedName>
    <definedName name="Med_MDC_amb_paid_14_curr">#REF!</definedName>
    <definedName name="Med_billed_other_prior">#REF!</definedName>
    <definedName name="Dental_male_mem_65_over_prior">#REF!</definedName>
    <definedName name="sum_svc_copay_amt_mac_specialty_curr">#REF!</definedName>
    <definedName name="sum_calcing_cost_amt_brand_specialty_curr">#REF!</definedName>
    <definedName name="FDP_12_1_aDrv">#REF!</definedName>
    <definedName name="BOB_Dental_coinsurance_amt_prior">#REF!</definedName>
    <definedName name="BOB_Med_MDC_amb_paid_03_curr">#REF!</definedName>
    <definedName name="Med_MDC_billed_20_curr">#REF!</definedName>
    <definedName name="FI_Rx_Key_Statistics_Range">#REF!</definedName>
    <definedName name="num_claims_class_O_curr">#REF!</definedName>
    <definedName name="Dental_male_mem_45_64_prior">#REF!</definedName>
    <definedName name="BOB_Med_amb_paid_amt_curr">#REF!</definedName>
    <definedName name="_MUM4">#REF!</definedName>
    <definedName name="sum_awp_amt_brand_mod_curr">#REF!</definedName>
    <definedName name="aex_Tier2_Util_med_services_visits_curr">#REF!</definedName>
    <definedName name="__123Graph_CCurrent">#REF!</definedName>
    <definedName name="dental_oth_denied_clms_in_network_prior">#REF!</definedName>
    <definedName name="FDP_54_1_aUrv">#REF!</definedName>
    <definedName name="aex_inp_Tier2_paid_amt_19_curr">#REF!</definedName>
    <definedName name="aex_Tier1_Util_amb_visits_curr">#REF!</definedName>
    <definedName name="ahf_srv_copay_amt_male_20_44_curr">#REF!</definedName>
    <definedName name="Med_MDC_inp_billed_05_prior">#REF!</definedName>
    <definedName name="Dental_net_submitted_other_prior">#REF!</definedName>
    <definedName name="num_util_members_class_E_curr">#REF!</definedName>
    <definedName name="FOV_07_Range">#REF!</definedName>
    <definedName name="etvlow">#REF!</definedName>
    <definedName name="adf_termed_tier2_cr_claim_paid_with_cr_funds_curr">#REF!</definedName>
    <definedName name="_bdm.C3E13177535448438E150830D06FAD0D.edm">#REF!</definedName>
    <definedName name="FDP_138_1_aUrv">#REF!</definedName>
    <definedName name="Med_MDC_cd_01_prior">#REF!</definedName>
    <definedName name="StopLightingProviderNetwork">#REF!</definedName>
    <definedName name="Med_MDC_inp_billed_17_prior">#REF!</definedName>
    <definedName name="AHF_Med_admit_count_curr">#REF!</definedName>
    <definedName name="aex_Amb_Tier1_paid_amt_20_curr">#REF!</definedName>
    <definedName name="ahf_tier2_Incentive_fund_earned_curr">#REF!</definedName>
    <definedName name="NILTMA">#REF!</definedName>
    <definedName name="DATA_01">#REF!</definedName>
    <definedName name="BOB_Med_male_mem_0_19_prior">#REF!</definedName>
    <definedName name="aex_Amb_Tier1_claimants_09_curr">#REF!</definedName>
    <definedName name="BOB_Med_MDC_inp_paid_21_curr">#REF!</definedName>
    <definedName name="aex_Tier3_Util_primary_off_visits_curr">#REF!</definedName>
    <definedName name="StatLabel8">#REF!</definedName>
    <definedName name="Aetna_PPO_II_Ntwk_Exp_PPO_Max_Net_Avg_Sub_Charges">#REF!</definedName>
    <definedName name="SI_Rx_Paid_Current">#REF!</definedName>
    <definedName name="num_rx_claims_non_mac_specialty_curr">#REF!</definedName>
    <definedName name="Current_Network_Discount_Savings">#REF!</definedName>
    <definedName name="Med_count_inp_surgeries_prior">#REF!</definedName>
    <definedName name="AHF_Med_inp_surgery_count_curr">#REF!</definedName>
    <definedName name="_s4">#REF!</definedName>
    <definedName name="aex_Amb_Tier2_claimants_16_curr">#REF!</definedName>
    <definedName name="ahf_termed_tier2_cr_clm_paid_with_rollover_funds_curr">#REF!</definedName>
    <definedName name="aex_inp_OON_days_17_curr">#REF!</definedName>
    <definedName name="num_util_members_class_G_curr">#REF!</definedName>
    <definedName name="aex_Amb_Tier2_claimants_03_curr">#REF!</definedName>
    <definedName name="aex_inp_Tier1_days_05_curr">#REF!</definedName>
    <definedName name="__123Graph_DCurrent">#REF!</definedName>
    <definedName name="Med_MDC_billed_04_curr">#REF!</definedName>
    <definedName name="BOB_Med_MDC_cd_15_curr">#REF!</definedName>
    <definedName name="ahf_paid_amt_unknown_0_19_curr">#REF!</definedName>
    <definedName name="CapT">#REF!</definedName>
    <definedName name="ahf_paid_amt_total_curr">#REF!</definedName>
    <definedName name="Med_claim_count_female_20_44_curr">#REF!</definedName>
    <definedName name="sic3high">#REF!</definedName>
    <definedName name="dental_tot_mbr_type_in_network_curr">#REF!</definedName>
    <definedName name="ahf_termed_tier2_rollover_fund_remaining_curr">#REF!</definedName>
    <definedName name="NONAHFRxMedicalProduct">#REF!</definedName>
    <definedName name="IntangAssets">#REF!</definedName>
    <definedName name="adf_total_termd_rollover_fund_remaining_curr">#REF!</definedName>
    <definedName name="_bdm.1742263542124AF3BCE865208D9E404D.edm">#REF!</definedName>
    <definedName name="Dental_rc_savings_in_network_curr">#REF!</definedName>
    <definedName name="aex_Tier3_Util_inp_surgeries_curr">#REF!</definedName>
    <definedName name="ahf_act_emp_plus_1_fund_paid_curr">#REF!</definedName>
    <definedName name="FDP_280_1_aSrv">#REF!</definedName>
    <definedName name="aex_Med_MDC_cd_00_curr">#REF!</definedName>
    <definedName name="aex_Amb_OON_paid_amt_07_curr">#REF!</definedName>
    <definedName name="_MUM22">#REF!</definedName>
    <definedName name="FDP_64_1_aUrv">#REF!</definedName>
    <definedName name="tabc_report_name">#REF!</definedName>
    <definedName name="ahf_total_termd_rollover_pr_year_curr">#REF!</definedName>
    <definedName name="Med_MDC_amb_paid_09_curr">#REF!</definedName>
    <definedName name="adf_tier1_emp_49_25_spend_curr">#REF!</definedName>
    <definedName name="Medic_female_mem_75_79_prior">#REF!</definedName>
    <definedName name="Med_MDC_inp_paid_06_prior">#REF!</definedName>
    <definedName name="ahf_termed_tier1_cr_claim_paid_with_cr_funds_curr">#REF!</definedName>
    <definedName name="Med_MDC_claimants_07_curr">#REF!</definedName>
    <definedName name="IQRMediaCompTemplateAB43">#REF!</definedName>
    <definedName name="XREF_COLUMN_5">#REF!</definedName>
    <definedName name="Cap">#REF!</definedName>
    <definedName name="TK">#REF!</definedName>
    <definedName name="Beta">#REF!</definedName>
    <definedName name="aex_tier3_paid_amt_tot_curr">#REF!</definedName>
    <definedName name="__123Graph_BCurrent">#REF!</definedName>
    <definedName name="Med_total_par_negot_savings_amt_curr">#REF!</definedName>
    <definedName name="BH_BOB_Med_male_mem_20_44_curr">#REF!</definedName>
    <definedName name="Dental_male_members_prior">#REF!</definedName>
    <definedName name="Product_57_delete_prior">#REF!</definedName>
    <definedName name="BOB_Med_copay_amt_prior">#REF!</definedName>
    <definedName name="paid_male_20_44_prior">#REF!</definedName>
    <definedName name="num_mod_non_brand_formulary_claims_curr">#REF!</definedName>
    <definedName name="dental_prov_netw_sav_disc_out_network_prior">#REF!</definedName>
    <definedName name="aex_OON_paid_amt_home_health_visits_curr">#REF!</definedName>
    <definedName name="FDP_19_1_aDrv">#REF!</definedName>
    <definedName name="Product_57_members">#REF!</definedName>
    <definedName name="FOV_57_Range">#REF!</definedName>
    <definedName name="ciq_meta_info_6500495f8cdb432bb9e46f0cef321133">#REF!</definedName>
    <definedName name="ahf_bnft_plan_paid_amt_total_curr">#REF!</definedName>
    <definedName name="ahf_total_termd_cr_fund_remaining_curr">#REF!</definedName>
    <definedName name="util_mem_male_20_44_prior">#REF!</definedName>
    <definedName name="sum_specialty_non_brand_formulary_paid_amt_curr">#REF!</definedName>
    <definedName name="__123Graph_ECurrent">#REF!</definedName>
    <definedName name="aex_inp_Tier3_admits_08_curr">#REF!</definedName>
    <definedName name="generic_subst_prior">#REF!</definedName>
    <definedName name="AHF_Med_male_mem_20_44_prior">#REF!</definedName>
    <definedName name="_bdm.9F431FF176694D088241118CB30B26D3.edm">#REF!</definedName>
    <definedName name="ahf_termed_tier3_rollover_fund_remaining_curr">#REF!</definedName>
    <definedName name="Pay_Date">#REF!</definedName>
    <definedName name="num_util_members_class_I_curr">#REF!</definedName>
    <definedName name="adf_tier1_cr_fund_remaining_curr">#REF!</definedName>
    <definedName name="Med_billed_amt_unknown_45_64_prior">#REF!</definedName>
    <definedName name="num_rx_claims_non_mac_mod_prior">#REF!</definedName>
    <definedName name="adf_total_emp_74_50_spend_curr">#REF!</definedName>
    <definedName name="InflationMonth">#REF!</definedName>
    <definedName name="BOB_Med_MDC_amb_paid_02_curr">#REF!</definedName>
    <definedName name="PSUNumber">#REF!</definedName>
    <definedName name="rngVersion">#REF!</definedName>
    <definedName name="sum_specialty_non_brand_formulary_plan_paid_amt_prior">#REF!</definedName>
    <definedName name="Product_52_members">#REF!</definedName>
    <definedName name="num_brand_singlesource_claims_prior">#REF!</definedName>
    <definedName name="Rx_female_mem_45_64_curr">#REF!</definedName>
    <definedName name="aex_Amb_Tier2_paid_amt_10_curr">#REF!</definedName>
    <definedName name="aex_inp_Tier1_days_09_curr">#REF!</definedName>
    <definedName name="aex_Amb_OON_paid_amt_12_curr">#REF!</definedName>
    <definedName name="TargetTaxRate">#REF!</definedName>
    <definedName name="FDP_170_1_aDrv">#REF!</definedName>
    <definedName name="aex_inp_Tier3_days_11_curr">#REF!</definedName>
    <definedName name="SI_Executive_Summary_Page">#REF!</definedName>
    <definedName name="DA_Capitation_Range">#REF!</definedName>
    <definedName name="_bdm.A835AB8BC6DC49ACA93174F81142BACB.edm">#REF!</definedName>
    <definedName name="NetIncGrowth">#REF!</definedName>
    <definedName name="Med_MDC_cd_23_prior">#REF!</definedName>
    <definedName name="aex_Med_MDC_cd_15_curr">#REF!</definedName>
    <definedName name="AHF_Medical_by_Member_Range">#REF!</definedName>
    <definedName name="Product_70_members">#REF!</definedName>
    <definedName name="AHF_Med_fund_paid_amt_prim_phys_curr">#REF!</definedName>
    <definedName name="ahf_total_cr_year_initial_fund_curr">#REF!</definedName>
    <definedName name="FDP_150_1_aUrv">#REF!</definedName>
    <definedName name="FOV_51_Range">#REF!</definedName>
    <definedName name="Med_MDC_days_00_prior">#REF!</definedName>
    <definedName name="Rx_male_mem_0_19_prior">#REF!</definedName>
    <definedName name="ahf_termed_tier4_emp_74_50_spend_curr">#REF!</definedName>
    <definedName name="MDC_Analysis_Medical_Range">#REF!</definedName>
    <definedName name="eqvlow">#REF!</definedName>
    <definedName name="BOB_Med_MDC_claimants_03_curr">#REF!</definedName>
    <definedName name="NumberOfSubGroupsSelected">#REF!</definedName>
    <definedName name="Med_MDC_cd_22_prior">#REF!</definedName>
    <definedName name="_Low7">#REF!</definedName>
    <definedName name="adf_termed_tier3_Incentive_fund_earned_curr">#REF!</definedName>
    <definedName name="Product_46_delete_prior">#REF!</definedName>
    <definedName name="BOB_Med_MDC_paid_20_curr">#REF!</definedName>
    <definedName name="Med_paid_amt_home_health_prior">#REF!</definedName>
    <definedName name="aex_inp_Tier1_days_11_curr">#REF!</definedName>
    <definedName name="Extra_Pay">#REF!</definedName>
    <definedName name="Medicare_Billed_female_mem_85_over_curr">#REF!</definedName>
    <definedName name="Med_inp_billed_network_prior">#REF!</definedName>
    <definedName name="Med_male_mem_0_19_curr">#REF!</definedName>
    <definedName name="aex_Tier1_Util_spec_off_visits_curr">#REF!</definedName>
    <definedName name="Dental_num_employees_prior">#REF!</definedName>
    <definedName name="Med_MDC_claimants_08_prior">#REF!</definedName>
    <definedName name="Med_MDC_days_17_prior">#REF!</definedName>
    <definedName name="BOB_Med_MDC_inp_paid_18_curr">#REF!</definedName>
    <definedName name="FDP_193_1_aUdv">#REF!</definedName>
    <definedName name="sum_specialty_claims_prior">#REF!</definedName>
    <definedName name="BOB_Rx_num_employees_prior">#REF!</definedName>
    <definedName name="ahf_act_emp_plus_2_fund_paid_curr">#REF!</definedName>
    <definedName name="BOB_Rx_female_mem_0_19_curr">#REF!</definedName>
    <definedName name="BOB_Rx_unknown_mem_45_64_prior">#REF!</definedName>
    <definedName name="Med_paid_amt_male_65_over_curr">#REF!</definedName>
    <definedName name="adf_total_termd_cr_clm_paid_with_rollover_funds_curr">#REF!</definedName>
    <definedName name="num_util_members_class_H_curr">#REF!</definedName>
    <definedName name="num_rx_claims_brand_mod_curr">#REF!</definedName>
    <definedName name="_bdm.BD31A80AEEEA484CB8BF6204D87FC893.edm">#REF!</definedName>
    <definedName name="Dental_female_mem_0_19_prior">#REF!</definedName>
    <definedName name="sum_paid_class_I_prior">#REF!</definedName>
    <definedName name="Med_paid_amt_misc_med_curr">#REF!</definedName>
    <definedName name="sum_calcing_cost_amt_brand_mod_curr">#REF!</definedName>
    <definedName name="Med_MDC_days_04_prior">#REF!</definedName>
    <definedName name="aex_OON_Util_med_services_visits_curr">#REF!</definedName>
    <definedName name="__123Graph_APRINCIPAL">#REF!</definedName>
    <definedName name="aex_Amb_OON_paid_amt_19_curr">#REF!</definedName>
    <definedName name="Med_unknown_mem_0_19_prior">#REF!</definedName>
    <definedName name="_bdm.B7DFBD22485E47999D366578A653E092.edm1">#REF!</definedName>
    <definedName name="dental_deductible_in_network_curr">#REF!</definedName>
    <definedName name="FDP_46_1_aSrv">#REF!</definedName>
    <definedName name="BOB_Med_paid_amt_er_visits_prior">#REF!</definedName>
    <definedName name="XRefCopy1Row">#REF!</definedName>
    <definedName name="aex_Amb_Tier1_claimants_03_curr">#REF!</definedName>
    <definedName name="num_retail_generic_claims_prior">#REF!</definedName>
    <definedName name="FDP_187_1_aUdv">#REF!</definedName>
    <definedName name="_bdm.C7B3922953C6426985C1620C7A3C7EDA.edm">#REF!</definedName>
    <definedName name="num_util_members_class_E_prior">#REF!</definedName>
    <definedName name="Scheduled_Extra_Payments">#REF!</definedName>
    <definedName name="IP_MDC_Analysis_Medical_Range">#REF!</definedName>
    <definedName name="mdc_na_bob_column2">#REF!</definedName>
    <definedName name="StockExch">#REF!</definedName>
    <definedName name="Med_MDC_claimants_10_prior">#REF!</definedName>
    <definedName name="_Low5">#REF!</definedName>
    <definedName name="_Regression_Out">#REF!</definedName>
    <definedName name="aex_tier3_utlilization_tot_curr">#REF!</definedName>
    <definedName name="sum_retail_calc_ing_cost_amt_curr">#REF!</definedName>
    <definedName name="_s3">#REF!</definedName>
    <definedName name="ahf_termed_tier1_rollover_fund_remaining_curr">#REF!</definedName>
    <definedName name="num_util_members_class_O_curr">#REF!</definedName>
    <definedName name="Med_MDC_admits_20_curr">#REF!</definedName>
    <definedName name="_bdm.0F288D482B984B9FB7CF701B327B593C.edm">#REF!</definedName>
    <definedName name="Med_MDC_cd_12_curr">#REF!</definedName>
    <definedName name="CashPer">#REF!</definedName>
    <definedName name="FDP_179_1_aUrv">#REF!</definedName>
    <definedName name="BH_BOB_Rx_female_mem_20_44_curr">#REF!</definedName>
    <definedName name="XRefPaste4">#REF!</definedName>
    <definedName name="aex_Med_MDC_cd_08_curr">#REF!</definedName>
    <definedName name="dental_major_in_network_prior">#REF!</definedName>
    <definedName name="sum_salestax_amt_brand_specialty_prior">#REF!</definedName>
    <definedName name="_bdm.08E312EE87AF4A9AB99D50EAD73C1121.edm">#REF!</definedName>
    <definedName name="Med_MDC_amb_paid_18_curr">#REF!</definedName>
    <definedName name="Rx_AHF_male_mem_45_64_curr">#REF!</definedName>
    <definedName name="aex_Med_MDC_cd_22_curr">#REF!</definedName>
    <definedName name="IQRCompsAR154">#REF!</definedName>
    <definedName name="HPD_total_population_curr">#REF!</definedName>
    <definedName name="aex_Amb_Tier1_claimants_12_curr">#REF!</definedName>
    <definedName name="_MUM2">#REF!</definedName>
    <definedName name="_MUM12">#REF!</definedName>
    <definedName name="Med_billed_amt_male_0_19_curr">#REF!</definedName>
    <definedName name="Product_50_delete_prior">#REF!</definedName>
    <definedName name="ahf_tier3_cr_clm_paid_with_rollover_funds_curr">#REF!</definedName>
    <definedName name="XRefPaste6Row">#REF!</definedName>
    <definedName name="TBV">#REF!</definedName>
    <definedName name="sum_specialty_non_brand_formulary_copay_amt_curr">#REF!</definedName>
    <definedName name="Med_MDC_claimants_05_curr">#REF!</definedName>
    <definedName name="Rx_AHF_male_mem_20_44_curr">#REF!</definedName>
    <definedName name="Dental_employee_paid_amt_prior">#REF!</definedName>
    <definedName name="AHF_Med_avg_age_members_prior">#REF!</definedName>
    <definedName name="aex_inp_Tier2_admits_16_curr">#REF!</definedName>
    <definedName name="AHF_Med_unknown_mem_45_64_prior">#REF!</definedName>
    <definedName name="_s6">#REF!</definedName>
    <definedName name="MDC_CD_03">#REF!</definedName>
    <definedName name="Header_Row">#REF!</definedName>
    <definedName name="IQRSheet2A10">#REF!</definedName>
    <definedName name="DA">#REF!</definedName>
    <definedName name="BOB_Med_allowed_amt_prior">#REF!</definedName>
    <definedName name="BOB_Med_MDC_days_22_curr">#REF!</definedName>
    <definedName name="FDP_28_1_aUrv">#REF!</definedName>
    <definedName name="XRefPaste4Row">#REF!</definedName>
    <definedName name="FDP_283_1_aSrv">#REF!</definedName>
    <definedName name="ahf_termed_tier2_emp_100_spend_curr">#REF!</definedName>
    <definedName name="FI_Key_Stats_Number_of_Employees">#REF!</definedName>
    <definedName name="aex_inp_Tier1_days_06_curr">#REF!</definedName>
    <definedName name="BOB_Med_MDC_claimants_11_curr">#REF!</definedName>
    <definedName name="Med_MDC_days_23_curr">#REF!</definedName>
    <definedName name="Med_MDC_inp_billed_13_curr">#REF!</definedName>
    <definedName name="sum_paid_class_F_prior">#REF!</definedName>
    <definedName name="Med_MDC_days_11_curr">#REF!</definedName>
    <definedName name="Med_MDC_cd_08_curr">#REF!</definedName>
    <definedName name="ItemLabel4">#REF!</definedName>
    <definedName name="aex_Tier1_paid_amt_inp_surgeries_curr">#REF!</definedName>
    <definedName name="num_claims_class_OTHER_curr">#REF!</definedName>
    <definedName name="sum_svc_copay_amt_mac_retail_prior">#REF!</definedName>
    <definedName name="BH_BOB_Med_unknown_members_curr">#REF!</definedName>
    <definedName name="_Table2_Out">#REF!</definedName>
    <definedName name="BOB_Rx_avg_age_members_prior">#REF!</definedName>
    <definedName name="Product_10_delete_prior">#REF!</definedName>
    <definedName name="adf_termed_tier1_cr_fund_remaining_curr">#REF!</definedName>
    <definedName name="aex_Amb_OON_claimants_21_curr">#REF!</definedName>
    <definedName name="AHF_Med_er_visits_count_curr">#REF!</definedName>
    <definedName name="_bdm.726808AF6ACB495FA1B21036DFA75F1F.edm">#REF!</definedName>
    <definedName name="Med_admit_count_prior">#REF!</definedName>
    <definedName name="aex_Tier2_paid_amt_amb_surgeries_curr">#REF!</definedName>
    <definedName name="__s6">#REF!</definedName>
    <definedName name="Med_paid_amt_unknown_45_64_curr">#REF!</definedName>
    <definedName name="_bdm.9ECB63A12E9F4B9C88C18E0F4ACCFD11.edm">#REF!</definedName>
    <definedName name="Med_count_home_health_prior">#REF!</definedName>
    <definedName name="ahf_termed_tier2_rollover_pr_year_curr">#REF!</definedName>
    <definedName name="BOB_Med_days_count_prior">#REF!</definedName>
    <definedName name="aex_inp_Tier1_admits_23_curr">#REF!</definedName>
    <definedName name="ItemLabel5">#REF!</definedName>
    <definedName name="adf_tier3_emp_24_1_spend_curr">#REF!</definedName>
    <definedName name="BOB_Med_female_members_curr">#REF!</definedName>
    <definedName name="_bdm.206C2D94AA3711D6B64A0010A494EFA8.edm">#REF!</definedName>
    <definedName name="TargNum">#REF!</definedName>
    <definedName name="aex_inp_Tier3_paid_amt_13_curr">#REF!</definedName>
    <definedName name="Med_inp_paid_amt_prior">#REF!</definedName>
    <definedName name="IntInc">#REF!</definedName>
    <definedName name="Med_MDC_claimants_13_curr">#REF!</definedName>
    <definedName name="AHF_Med_paid_amt_medical_rx_curr">#REF!</definedName>
    <definedName name="Med_MDC_admits_09_curr">#REF!</definedName>
    <definedName name="EquityValue">#REF!</definedName>
    <definedName name="aex_inp_Tier1_admits_03_curr">#REF!</definedName>
    <definedName name="ahf_tier4_emp_99_75_spend_curr">#REF!</definedName>
    <definedName name="AHF_Med_claim_count_male_65_over_curr">#REF!</definedName>
    <definedName name="ConvDebt2">#REF!</definedName>
    <definedName name="Med_MDC_admits_11_prior">#REF!</definedName>
    <definedName name="rngPassword">#REF!</definedName>
    <definedName name="Med_MDC_claimants_04_curr">#REF!</definedName>
    <definedName name="Med_months_curr">#REF!</definedName>
    <definedName name="_EPS02">#REF!</definedName>
    <definedName name="BOB_Med_MDC_claimants_02_curr">#REF!</definedName>
    <definedName name="Med_MDC_claimants_17_curr">#REF!</definedName>
    <definedName name="BOB_Med_MDC_amb_paid_19_curr">#REF!</definedName>
    <definedName name="FDP_134_1_aUrv">#REF!</definedName>
    <definedName name="considstock">#REF!</definedName>
    <definedName name="Med_billed_amt_female_65_over_curr">#REF!</definedName>
    <definedName name="dental_not_medically_necess_in_network_prior">#REF!</definedName>
    <definedName name="FDP_119_1_aUrv">#REF!</definedName>
    <definedName name="Med_MDC_paid_20_curr">#REF!</definedName>
    <definedName name="Med_claim_count_unknown_65_over_curr">#REF!</definedName>
    <definedName name="Report_Criteria_Home">#REF!</definedName>
    <definedName name="IQRCOMPANYBAP89">#REF!</definedName>
    <definedName name="AHF_Med_female_mem_0_19_prior">#REF!</definedName>
    <definedName name="IQRCompsAS183">#REF!</definedName>
    <definedName name="Adam_premium_amt_curr">#REF!</definedName>
    <definedName name="Run_Date">#REF!</definedName>
    <definedName name="BOB_Med_MDC_inp_paid_14_curr">#REF!</definedName>
    <definedName name="Med_inp_paid_amt_above_threshold_prior">#REF!</definedName>
    <definedName name="num_claims_class_A_curr">#REF!</definedName>
    <definedName name="Med_female_mem_20_44_prior">#REF!</definedName>
    <definedName name="dental_tot_mbr_type_out_network_curr">#REF!</definedName>
    <definedName name="AHF_Med_emp_paid_amt_unknown_0_19_curr">#REF!</definedName>
    <definedName name="Med_paid_amt_er_visits_curr">#REF!</definedName>
    <definedName name="sum_paid_class_J_curr">#REF!</definedName>
    <definedName name="__MUM2">#REF!</definedName>
    <definedName name="aex_inp_Tier3_days_08_curr">#REF!</definedName>
    <definedName name="DAEnd">#REF!</definedName>
    <definedName name="FDP_50_1_aUrv">#REF!</definedName>
    <definedName name="Rx_AHF_months_curr">#REF!</definedName>
    <definedName name="Med_prior_employees">#REF!</definedName>
    <definedName name="Med_MDC_inp_paid_11_curr">#REF!</definedName>
    <definedName name="_bdm.7BF116DE38A64470B4E18265DDE92DC0.edm">#REF!</definedName>
    <definedName name="SGAMargin">#REF!</definedName>
    <definedName name="aex_inp_OON_paid_amt_15_curr">#REF!</definedName>
    <definedName name="Prov_net_total_admits_prior">#REF!</definedName>
    <definedName name="FDP_70_1_aUrv">#REF!</definedName>
    <definedName name="num_claims_class_N_curr">#REF!</definedName>
    <definedName name="aex_Amb_Tier3_paid_amt_11_curr">#REF!</definedName>
    <definedName name="Stat3">#REF!</definedName>
    <definedName name="Dental_paid_amt_unknown_20_44_prior">#REF!</definedName>
    <definedName name="rngShow">#REF!</definedName>
    <definedName name="Med_MDC_billed_13_curr">#REF!</definedName>
    <definedName name="Rx_female_mem_20_44_curr">#REF!</definedName>
    <definedName name="aex_Amb_Tier1_paid_amt_07_curr">#REF!</definedName>
    <definedName name="aex_Med_MDC_cd_01_curr">#REF!</definedName>
    <definedName name="FDP_36_1_aUrv">#REF!</definedName>
    <definedName name="considcash">#REF!</definedName>
    <definedName name="PVOther">#REF!</definedName>
    <definedName name="Product_47_members">#REF!</definedName>
    <definedName name="Med_paid_amt_mental_health_prior">#REF!</definedName>
    <definedName name="aex_inp_Tier2_days_16_curr">#REF!</definedName>
    <definedName name="BOB_Med_paid_amt_amb_visits_curr">#REF!</definedName>
    <definedName name="Date">#REF!</definedName>
    <definedName name="ahf_member_cnt_unknown_45_64_curr">#REF!</definedName>
    <definedName name="FDP_282_1_aSrv">#REF!</definedName>
    <definedName name="AHF_Med_num_employees_prior">#REF!</definedName>
    <definedName name="AHF_Med_paid_amt_female_45_64_curr">#REF!</definedName>
    <definedName name="FDP_127_1_aUrv">#REF!</definedName>
    <definedName name="sum_awp_amt_brand_specialty_prior">#REF!</definedName>
    <definedName name="FDP_194_1_aUdv">#REF!</definedName>
    <definedName name="Med_inp_billed_amt_curr">#REF!</definedName>
    <definedName name="Number_of_Payments">#REF!</definedName>
    <definedName name="dental_coinsurance_copay_out_network_curr">#REF!</definedName>
    <definedName name="ahf_ahf_paid_amt_female_20_44_curr">#REF!</definedName>
    <definedName name="NO_AEXCEL_BOB_DATA">#REF!</definedName>
    <definedName name="Med_MDC_billed_03_prior">#REF!</definedName>
    <definedName name="AHF_Med_male_members_curr">#REF!</definedName>
    <definedName name="PoolingPt">#REF!</definedName>
    <definedName name="aex_Tier1_Util_med_rx_curr">#REF!</definedName>
    <definedName name="FDP_3_1_aUrv">#REF!</definedName>
    <definedName name="ciq_meta_info_5f13325db66446838a4ef16c68e374f4">#REF!</definedName>
    <definedName name="sum_svc_copay_amt_mac_retail_curr">#REF!</definedName>
    <definedName name="MDC_Range_I7_S8">#REF!</definedName>
    <definedName name="Former">#REF!</definedName>
    <definedName name="sum_salestax_amt_mac_mod_curr">#REF!</definedName>
    <definedName name="adf_total_termd_cr_claim_paid_with_cr_funds_curr">#REF!</definedName>
    <definedName name="_bdm.1D220B6B5B164370A3CF21AC7A43A0CE.edm">#REF!</definedName>
    <definedName name="BOB_Med_MDC_inp_paid_16_curr">#REF!</definedName>
    <definedName name="aex_inp_OON_days_12_curr">#REF!</definedName>
    <definedName name="Enterprise">#REF!</definedName>
    <definedName name="Med_MDC_cd_07_curr">#REF!</definedName>
    <definedName name="mod_claims_curr">#REF!</definedName>
    <definedName name="Util_Proc_Dental_Range">#REF!</definedName>
    <definedName name="sum_awp_amt_non_mac_mod_curr">#REF!</definedName>
    <definedName name="sum_mod_generic_copay_amt_curr">#REF!</definedName>
    <definedName name="DA_Accumulator_Range">#REF!</definedName>
    <definedName name="BOB_Med_MDC_paid_18_curr">#REF!</definedName>
    <definedName name="TotalDebt">#REF!</definedName>
    <definedName name="BOB_Med_paid_amt_amb_visits_prior">#REF!</definedName>
    <definedName name="Med_MDC_inp_billed_16_prior">#REF!</definedName>
    <definedName name="BOB_Med_cob_amt_curr">#REF!</definedName>
    <definedName name="dent_net_avg_sub_charges_ppo_cust_spec_ntwk_prior">#REF!</definedName>
    <definedName name="Med_MDC_claimants_12_curr">#REF!</definedName>
    <definedName name="BOB_Rx_male_mem_20_44_prior">#REF!</definedName>
    <definedName name="aex_Amb_Tier2_paid_amt_16_curr">#REF!</definedName>
    <definedName name="IQRCompsAX241">#REF!</definedName>
    <definedName name="Med_male_mem_20_44_prior">#REF!</definedName>
    <definedName name="BOB_Med_MDC_inp_paid_999_curr">#REF!</definedName>
    <definedName name="Med_MDC_inp_paid_999_curr">#REF!</definedName>
    <definedName name="TargTrig">#REF!</definedName>
    <definedName name="Med_billed_amt_male_20_44_curr">#REF!</definedName>
    <definedName name="Medicare_Billed_male_mem_85_over_curr">#REF!</definedName>
    <definedName name="aex_inp_Tier3_days_09_curr">#REF!</definedName>
    <definedName name="BOB_Med_admit_count_prior">#REF!</definedName>
    <definedName name="aex_Amb_OON_paid_amt_22_curr">#REF!</definedName>
    <definedName name="BOB_num_brand_multisource_claims_prior">#REF!</definedName>
    <definedName name="BOB_Med_num_employees_prior">#REF!</definedName>
    <definedName name="BOB_Med_MDC_admits_12_curr">#REF!</definedName>
    <definedName name="aex_tier1_paid_amt_tot_curr">#REF!</definedName>
    <definedName name="Med_male_mem_20_44_curr">#REF!</definedName>
    <definedName name="ahf_paid_amt_male_65_over_curr">#REF!</definedName>
    <definedName name="adf_termed_tier2_emp_0_spend_curr">#REF!</definedName>
    <definedName name="Med_avg_age_members_curr">#REF!</definedName>
    <definedName name="aex_inp_Tier2_admits_10_curr">#REF!</definedName>
    <definedName name="Med_MDC_days_08_curr">#REF!</definedName>
    <definedName name="FDP_190_1_aUdv">#REF!</definedName>
    <definedName name="aex_Amb_Tier3_paid_amt_02_curr">#REF!</definedName>
    <definedName name="AHF_Med_inp_paid_amt_curr">#REF!</definedName>
    <definedName name="_bdm.A9433F36D27E42998843D0702B3398CD.edm">#REF!</definedName>
    <definedName name="gpi_name_class_N_prior">#REF!</definedName>
    <definedName name="Med_MDC_paid_03_prior">#REF!</definedName>
    <definedName name="aex_Tier1_paid_amt_amb_surgeries_curr">#REF!</definedName>
    <definedName name="Med_hospital_paid_amt_prior">#REF!</definedName>
    <definedName name="AHF_Med_allowed_amt_unknown_0_19_curr">#REF!</definedName>
    <definedName name="__123Graph_F">#REF!</definedName>
    <definedName name="HPD_bob_prevalence_coronary_artery_disease_prior">#REF!</definedName>
    <definedName name="ahf_bnft_plan_paid_amt_female_65_over_curr">#REF!</definedName>
    <definedName name="ADF_Activity_Detail_Range">#REF!</definedName>
    <definedName name="GrossProfit">#REF!</definedName>
    <definedName name="ahf_tier2_cr_claim_paid_with_cr_funds_curr">#REF!</definedName>
    <definedName name="ahf_total_active_employee_curr">#REF!</definedName>
    <definedName name="dental_plan_max_out_network_curr">#REF!</definedName>
    <definedName name="HPD_number_claimants_heart_failure_curr">#REF!</definedName>
    <definedName name="Med_count_other_prior">#REF!</definedName>
    <definedName name="FOV_70_Range">#REF!</definedName>
    <definedName name="IQRCompsAY154">#REF!</definedName>
    <definedName name="aex_Tier1_paid_amt_inp_days_curr">#REF!</definedName>
    <definedName name="__MUM27">#REF!</definedName>
    <definedName name="aex_Amb_Tier3_paid_amt_18_curr">#REF!</definedName>
    <definedName name="dental_orthodontic_in_network_prior">#REF!</definedName>
    <definedName name="BOB_Med_MDC_claimants_05_curr">#REF!</definedName>
    <definedName name="NO_BH_BOB_Data">#REF!</definedName>
    <definedName name="__123Graph_CChart1">#REF!</definedName>
    <definedName name="aex_Amb_Tier2_paid_amt_05_curr">#REF!</definedName>
    <definedName name="aex_Amb_Tier3_paid_amt_15_curr">#REF!</definedName>
    <definedName name="BOB_Med_paid_amt_above_threshold_prior">#REF!</definedName>
    <definedName name="FI_Key_Stats_Footnote3_Range">#REF!</definedName>
    <definedName name="sum_calcing_cost_amt_mac_specialty_prior">#REF!</definedName>
    <definedName name="Med_MDC_billed_13_prior">#REF!</definedName>
    <definedName name="Med_MDC_claimants_19_curr">#REF!</definedName>
    <definedName name="ahf_bnft_plan_paid_amt_total_prior">#REF!</definedName>
    <definedName name="Med_MDC_inp_paid_22_prior">#REF!</definedName>
    <definedName name="Aetna_PPO_II_Ntwk_Exp_PPO_Max_Sav_Neg_Arrang">#REF!</definedName>
    <definedName name="Dental_paid_amt_unknown_65_over_curr">#REF!</definedName>
    <definedName name="FDP_143_1_aUrv">#REF!</definedName>
    <definedName name="XRefPaste3">#REF!</definedName>
    <definedName name="Med_count_er_visits_prior">#REF!</definedName>
    <definedName name="BOB_Med_MDC_days_05_curr">#REF!</definedName>
    <definedName name="DebtShares1">#REF!</definedName>
    <definedName name="ahf_ahf_paid_amt_total_0_19_curr">#REF!</definedName>
    <definedName name="IQRStockChartFL11">#REF!</definedName>
    <definedName name="AHF_Med_paid_amt_unknown_65_over_curr">#REF!</definedName>
    <definedName name="_Table3_In2">#REF!</definedName>
    <definedName name="Dental_preventative_paid_amt_curr">#REF!</definedName>
    <definedName name="Medicare_Billed_male_mem_80_84_curr">#REF!</definedName>
    <definedName name="DebtShares2">#REF!</definedName>
    <definedName name="ahf_termed_tier2_emp_74_50_spend_curr">#REF!</definedName>
    <definedName name="aex_Tier3_paid_amt_amb_visits_curr">#REF!</definedName>
    <definedName name="Med_billed_amt_med_rx_curr">#REF!</definedName>
    <definedName name="AHF_Med_primary_office_visits_count_curr">#REF!</definedName>
    <definedName name="aex_Amb_OON_paid_amt_24_curr">#REF!</definedName>
    <definedName name="aex_Amb_Tier3_paid_amt_17_curr">#REF!</definedName>
    <definedName name="aex_Med_MDC_cd_11_curr">#REF!</definedName>
    <definedName name="sum_specialty_prof_fee_amt_prior">#REF!</definedName>
    <definedName name="BOB_Med_MDC_cd_02_curr">#REF!</definedName>
    <definedName name="num_claims_class_J_curr">#REF!</definedName>
    <definedName name="Med_billed_amt_female_65_over_prior">#REF!</definedName>
    <definedName name="FDP_109_1_aUrv">#REF!</definedName>
    <definedName name="Cap_capitation_amt_curr">#REF!</definedName>
    <definedName name="sum_salestax_amt_mac_mod_prior">#REF!</definedName>
    <definedName name="prior_yyyymmdd_incurred_end_date">#REF!</definedName>
    <definedName name="sum_calcing_cost_amt_mac_retail_curr">#REF!</definedName>
    <definedName name="SI_EXEC_SUMMARY_RANGE_ROW71_ROW82">#REF!</definedName>
    <definedName name="Dental_major_svcs_curr">#REF!</definedName>
    <definedName name="FDP_72_1_aUrv">#REF!</definedName>
    <definedName name="COGS">#REF!</definedName>
    <definedName name="Item9">#REF!</definedName>
    <definedName name="Med_MDC_billed_15_prior">#REF!</definedName>
    <definedName name="dent_sav_frm_negot_arrangements_ppo_aetna_spec_ntwk_prior">#REF!</definedName>
    <definedName name="adf_total_emp_49_25_spend_curr">#REF!</definedName>
    <definedName name="Dental_paid_amt_female_65_over_prior">#REF!</definedName>
    <definedName name="IQRCompsAR241">#REF!</definedName>
    <definedName name="Aexcel_Demographics_Headings2">#REF!</definedName>
    <definedName name="Product_68_delete_prior">#REF!</definedName>
    <definedName name="formulary_curr">#REF!</definedName>
    <definedName name="_Table1_Out">#REF!</definedName>
    <definedName name="FDP_52_1_aSrv">#REF!</definedName>
    <definedName name="aex_inp_Tier1_paid_amt_19_curr">#REF!</definedName>
    <definedName name="num_mod_brand_formulary_claims_curr">#REF!</definedName>
    <definedName name="Med_male_mem_65_over_curr">#REF!</definedName>
    <definedName name="__MUM20">#REF!</definedName>
    <definedName name="_bdm.0E72569B534E450BBDD4D4C08A228512.edm">#REF!</definedName>
    <definedName name="Med_paid_amt_rad_serv_prior">#REF!</definedName>
    <definedName name="_bdm.CF26F181CFB149089A150B6E9984E88F.edm">#REF!</definedName>
    <definedName name="Med_MDC_inp_billed_08_curr">#REF!</definedName>
    <definedName name="ExchRatio">#REF!</definedName>
    <definedName name="aex_inp_OON_admits_01_curr">#REF!</definedName>
    <definedName name="sum_salestax_amt_brand_mod_prior">#REF!</definedName>
    <definedName name="Med_MDC_paid_10_prior">#REF!</definedName>
    <definedName name="aex_inp_OON_admits_06_curr">#REF!</definedName>
    <definedName name="Product_46_members">#REF!</definedName>
    <definedName name="XRefCopy1">#REF!</definedName>
    <definedName name="Aetna_PPO_Ntwk_Exp_PPO_Sav_Neg_Arrang">#REF!</definedName>
    <definedName name="BOB_sum_paid_curr">#REF!</definedName>
    <definedName name="BOB_Med_MDC_amb_paid_01_curr">#REF!</definedName>
    <definedName name="Product_54_members">#REF!</definedName>
    <definedName name="ciq_meta_info_33b0280c11c34f608c00c84f25d862cf">#REF!</definedName>
    <definedName name="sum_paid_prior">#REF!</definedName>
    <definedName name="BOB_Rx_num_members_prior">#REF!</definedName>
    <definedName name="IQRMediaCompTemplate2V8">#REF!</definedName>
    <definedName name="medical_sort2">#REF!</definedName>
    <definedName name="Med_billed_amt_male_0_19_prior">#REF!</definedName>
    <definedName name="aex_inp_Tier1_admits_04_curr">#REF!</definedName>
    <definedName name="paid_female_45_64_prior">#REF!</definedName>
    <definedName name="aex_Amb_OON_paid_amt_15_curr">#REF!</definedName>
    <definedName name="aex_Amb_OON_paid_amt_21_curr">#REF!</definedName>
    <definedName name="CopySumH02">#REF!</definedName>
    <definedName name="FDP_31_1_aUrv">#REF!</definedName>
    <definedName name="AHF_Med_paid_amt_medical_misc_curr">#REF!</definedName>
    <definedName name="rngComments">#REF!</definedName>
    <definedName name="Med_MDC_days_04_curr">#REF!</definedName>
    <definedName name="FDP_102_1_aUrv">#REF!</definedName>
    <definedName name="AHF_Med_allowed_amt_female_0_19_curr">#REF!</definedName>
    <definedName name="BOB_Rx_months_prior">#REF!</definedName>
    <definedName name="Med_MDC_amb_paid_999_prior">#REF!</definedName>
    <definedName name="BOB_Med_MDC_paid_999_curr">#REF!</definedName>
    <definedName name="num_rx_claims_brand_specialty_curr">#REF!</definedName>
    <definedName name="aex_Tier1_Util_inp_days_curr">#REF!</definedName>
    <definedName name="Med_MDC_amb_paid_13_curr">#REF!</definedName>
    <definedName name="adf_termed_tier4_emp_99_75_spend_curr">#REF!</definedName>
    <definedName name="sum_paid_class_E_curr">#REF!</definedName>
    <definedName name="dent_sav_frm_negot_arrangements_ppo_cust_spec_ntwk_curr">#REF!</definedName>
    <definedName name="BOB_num_util_members_curr">#REF!</definedName>
    <definedName name="Med_count_misc_med_prior">#REF!</definedName>
    <definedName name="BOB_num_cross_brand_claims_curr">#REF!</definedName>
    <definedName name="med_cost_space_range1">#REF!</definedName>
    <definedName name="Med_billed_amt_male_45_64_curr">#REF!</definedName>
    <definedName name="Med_amb_paid_amt_prior">#REF!</definedName>
    <definedName name="Hospital_Profile_Medical_Range">#REF!</definedName>
    <definedName name="Med_MDC_inp_billed_03_curr">#REF!</definedName>
    <definedName name="FI_Key_Stats_Footnote2_Range">#REF!</definedName>
    <definedName name="datarange3">#REF!</definedName>
    <definedName name="num_util_members_class_P_prior">#REF!</definedName>
    <definedName name="MDC_Row9_Range">#REF!</definedName>
    <definedName name="HPD_paid_amt_total_prior">#REF!</definedName>
    <definedName name="aex_Amb_Tier1_claimants_14_curr">#REF!</definedName>
    <definedName name="Dental_paid_amt_male_65_over_prior">#REF!</definedName>
    <definedName name="Med_female_mem_65_over_curr">#REF!</definedName>
    <definedName name="aex_inp_Tier2_paid_amt_08_curr">#REF!</definedName>
    <definedName name="ahf_term_emp_plus_fam_fund_paid_curr">#REF!</definedName>
    <definedName name="Med_female_members_prior">#REF!</definedName>
    <definedName name="Provider_Network_Exp_Dental_Range">#REF!</definedName>
    <definedName name="Dental_services_other_prior">#REF!</definedName>
    <definedName name="IQRCompsAY241">#REF!</definedName>
    <definedName name="Loan_Start">#REF!</definedName>
    <definedName name="Dental_cost_share_deductible_amt_curr">#REF!</definedName>
    <definedName name="Med_MDC_cd_05_prior">#REF!</definedName>
    <definedName name="aex_Amb_Tier2_claimants_22_curr">#REF!</definedName>
    <definedName name="Med_claim_count_unknown_45_64_curr">#REF!</definedName>
    <definedName name="adf_tier3_rollover_fund_remaining_curr">#REF!</definedName>
    <definedName name="EVEBITDA">#REF!</definedName>
    <definedName name="ahf_calc_ing_cost_amt_male_20_44_curr">#REF!</definedName>
    <definedName name="aex_inp_OON_days_07_curr">#REF!</definedName>
    <definedName name="Template2">#REF!</definedName>
    <definedName name="NetDebtEBITDA">#REF!</definedName>
    <definedName name="Med_MDC_inp_paid_12_prior">#REF!</definedName>
    <definedName name="Medic_male_mem_75_79_curr">#REF!</definedName>
    <definedName name="Med_MDC_paid_12_prior">#REF!</definedName>
    <definedName name="FDP_126_1_aUrv">#REF!</definedName>
    <definedName name="BOB_num_non_formulary_claims_prior">#REF!</definedName>
    <definedName name="Med_MDC_cd_23_curr">#REF!</definedName>
    <definedName name="Med_MDC_paid_15_prior">#REF!</definedName>
    <definedName name="dental_children_in_network_curr">#REF!</definedName>
    <definedName name="Med_MDC_paid_07_prior">#REF!</definedName>
    <definedName name="SI_SBP_product_count">#REF!</definedName>
    <definedName name="aex_inp_Tier1_days_13_curr">#REF!</definedName>
    <definedName name="ahf_ahf_paid_amt_male_0_19_curr">#REF!</definedName>
    <definedName name="_bdm.9B27B749CAE34269875494A45EADFC70">#REF!</definedName>
    <definedName name="BOB_Med_paid_amt_amb_surgeries_prior">#REF!</definedName>
    <definedName name="aex_Tier1_Util_primary_off_visits_curr">#REF!</definedName>
    <definedName name="Med_MDC_claimants_14_curr">#REF!</definedName>
    <definedName name="aex_inp_OON_paid_amt_14_curr">#REF!</definedName>
    <definedName name="sum_awp_amt_mac_retail_curr">#REF!</definedName>
    <definedName name="aex_inp_Tier2_days_13_curr">#REF!</definedName>
    <definedName name="aex_Tier1_paid_amt_med_services_visits_curr">#REF!</definedName>
    <definedName name="aex_inp_Tier3_admits_23_curr">#REF!</definedName>
    <definedName name="BOB_Rx_unknown_members_curr">#REF!</definedName>
    <definedName name="dental_non_covered_serv_out_network_prior">#REF!</definedName>
    <definedName name="aex_Amb_Tier2_claimants_20_curr">#REF!</definedName>
    <definedName name="BOB_Med_MDC_claimants_12_curr">#REF!</definedName>
    <definedName name="BOB_Med_er_visits_count_prior">#REF!</definedName>
    <definedName name="Med_MDC_inp_paid_14_curr">#REF!</definedName>
    <definedName name="dental_other_out_network_prior">#REF!</definedName>
    <definedName name="ahf_termed_tier3_Incentive_fund_earned_curr">#REF!</definedName>
    <definedName name="Med_MDC_inp_paid_10_curr">#REF!</definedName>
    <definedName name="AVG_CPM">#REF!</definedName>
    <definedName name="Med_MDC_claimants_16_prior">#REF!</definedName>
    <definedName name="aex_inp_Tier3_admits_11_curr">#REF!</definedName>
    <definedName name="adf_termed_tier4_cr_fund_remaining_curr">#REF!</definedName>
    <definedName name="RiskFreeRate">#REF!</definedName>
    <definedName name="adf_termed_tier1_emp_100_spend_curr">#REF!</definedName>
    <definedName name="EVEBITDA1">#REF!</definedName>
    <definedName name="ConvPref2">#REF!</definedName>
    <definedName name="sum_salestax_amt_mac_retail_prior">#REF!</definedName>
    <definedName name="Med_copay_amt_prior">#REF!</definedName>
    <definedName name="Medic_male_mem_70_74_prior">#REF!</definedName>
    <definedName name="Med_surgery_count_prior">#REF!</definedName>
    <definedName name="Med_amb_surgery_count_curr">#REF!</definedName>
    <definedName name="FDP_192_1_aUdv">#REF!</definedName>
    <definedName name="Med_billed_amt_er_visits_curr">#REF!</definedName>
    <definedName name="Data_Availability_Summary_Home">#REF!</definedName>
    <definedName name="Med_MDC_days_09_prior">#REF!</definedName>
    <definedName name="EBITDAC">#REF!</definedName>
    <definedName name="Med_total_par_r_c_savings_amt_curr">#REF!</definedName>
    <definedName name="Med_MDC_inp_billed_01_curr">#REF!</definedName>
    <definedName name="allsicempty">#REF!</definedName>
    <definedName name="Rx_AHF_avg_age_members_prior">#REF!</definedName>
    <definedName name="HPD_bob_prevalence_low_back_prior">#REF!</definedName>
    <definedName name="AHF_Med_paid_amt_unknown_0_19_curr">#REF!</definedName>
    <definedName name="aex_Tier3_Util_mental_health_visits_curr">#REF!</definedName>
    <definedName name="Med_MDC_amb_billed_22_prior">#REF!</definedName>
    <definedName name="Med_coinsurance_amt_curr">#REF!</definedName>
    <definedName name="aex_inp_Tier1_days_10_curr">#REF!</definedName>
    <definedName name="BOB_num_formulary_claims_prior">#REF!</definedName>
    <definedName name="NO_Member_Data">#REF!</definedName>
    <definedName name="num_claims_class_H_prior">#REF!</definedName>
    <definedName name="Aetna_PPO_II_Ntwk_Exp_PPO_Sav_Neg_Arrang">#REF!</definedName>
    <definedName name="PretaxIncMargin">#REF!</definedName>
    <definedName name="IncStartDatePrior">#REF!</definedName>
    <definedName name="Number_of_Prior_FI_Products">#REF!</definedName>
    <definedName name="Demographics_FI_Community_Medicare_cust_age_gen_Graph_range">#REF!</definedName>
    <definedName name="aex_Amb_Tier3_claimants_16_curr">#REF!</definedName>
    <definedName name="curr_yyyymmdd_processed_end_date">#REF!</definedName>
    <definedName name="ahf_term_emp_fund_paid_curr">#REF!</definedName>
    <definedName name="rngProtected">#REF!</definedName>
    <definedName name="num_util_members_class_Q_prior">#REF!</definedName>
    <definedName name="Med_billed_amt_female_20_44_curr">#REF!</definedName>
    <definedName name="Product_56_delete_prior">#REF!</definedName>
    <definedName name="aex_inp_OON_admits_17_curr">#REF!</definedName>
    <definedName name="aex_inp_Tier3_paid_amt_03_curr">#REF!</definedName>
    <definedName name="MDC_CD_00">#REF!</definedName>
    <definedName name="specialty_paid_amt_curr">#REF!</definedName>
    <definedName name="dent_net_avg_sub_charges_ppo_aetna_ppo_ntwk_curr">#REF!</definedName>
    <definedName name="rngUID">#REF!</definedName>
    <definedName name="Year3">#REF!</definedName>
    <definedName name="Product_14_delete_prior">#REF!</definedName>
    <definedName name="FOV_75_Range">#REF!</definedName>
    <definedName name="Med_MDC_admits_12_prior">#REF!</definedName>
    <definedName name="sum_paid_class_E_prior">#REF!</definedName>
    <definedName name="Med_unknown_mem_65_over_prior">#REF!</definedName>
    <definedName name="sic3low">#REF!</definedName>
    <definedName name="ahf_member_cnt_male_0_19_curr">#REF!</definedName>
    <definedName name="ahf_termed_tier4_emp_49_25_spend_curr">#REF!</definedName>
    <definedName name="aex_Amb_Tier3_claimants_08_curr">#REF!</definedName>
    <definedName name="Med_billed_amt_unknown_20_44_prior">#REF!</definedName>
    <definedName name="BOB_Med_surgery_count_curr">#REF!</definedName>
    <definedName name="dent_sav_frm_negot_arrangements_ppo_cust_spec_ntwk_prior">#REF!</definedName>
    <definedName name="Med_paid_amt_med_rx_prior">#REF!</definedName>
    <definedName name="rngPivotLocation">#REF!</definedName>
    <definedName name="Delete">#REF!</definedName>
    <definedName name="_bdm.43639E5E795A4549B421CDD123CF920D.edm">#REF!</definedName>
    <definedName name="aex_inp_Tier3_admits_17_curr">#REF!</definedName>
    <definedName name="AHF_Med_surgery_count_prior">#REF!</definedName>
    <definedName name="aex_Tier3_paid_amt_radiology_services_curr">#REF!</definedName>
    <definedName name="Med_MDC_amb_paid_19_prior">#REF!</definedName>
    <definedName name="Med_count_rad_serv_prior">#REF!</definedName>
    <definedName name="gpi_name_class_C_curr">#REF!</definedName>
    <definedName name="ciq_meta_info_817f5b35d597429287889ef2e1c3c2b9">#REF!</definedName>
    <definedName name="_Low4">#REF!</definedName>
    <definedName name="Product_99_members">#REF!</definedName>
    <definedName name="Rx_AHF_male_mem_0_19_curr">#REF!</definedName>
    <definedName name="Med_MDC_cd_09_curr">#REF!</definedName>
    <definedName name="FYE2Other1">#REF!</definedName>
    <definedName name="ahf_tier2_cr_fund_remaining_curr">#REF!</definedName>
    <definedName name="FDP_77_1_aUrv">#REF!</definedName>
    <definedName name="ciq_meta_info_12fe3978cde7498c8312ae0151ede6f4">#REF!</definedName>
    <definedName name="FDP_94_1_aSrv">#REF!</definedName>
    <definedName name="Med_MDC_claimants_999_curr">#REF!</definedName>
    <definedName name="Med_count_encounter_spec_phys_prior">#REF!</definedName>
    <definedName name="Number_of_Current_Subscribers">#REF!</definedName>
    <definedName name="Med_count_prim_off_visits_prior">#REF!</definedName>
    <definedName name="Investments">#REF!</definedName>
    <definedName name="BOB_Dental_paid_amt_prior">#REF!</definedName>
    <definedName name="Med_MDC_amb_paid_23_curr">#REF!</definedName>
    <definedName name="SI_EXEC_SUMMARY_RANGE_ROW7_ROW83">#REF!</definedName>
    <definedName name="Med_billed_amt_rad_serv_prior">#REF!</definedName>
    <definedName name="IQRSheet2A11">#REF!</definedName>
    <definedName name="CompTaxRate">#REF!</definedName>
    <definedName name="Dental_months_curr">#REF!</definedName>
    <definedName name="aex_inp_Tier3_paid_amt_07_curr">#REF!</definedName>
    <definedName name="_bdm.25A9C63C58E0417DB5AA529D4513182D.edm">#REF!</definedName>
    <definedName name="Med_MDC_billed_01_curr">#REF!</definedName>
    <definedName name="StatLabel10">#REF!</definedName>
    <definedName name="adf_termed_tier4_cr_clm_paid_with_rollover_funds_curr">#REF!</definedName>
    <definedName name="PrefShares1">#REF!</definedName>
    <definedName name="Rx_male_mem_65_over_prior">#REF!</definedName>
    <definedName name="aex_inp_Tier2_admits_22_curr">#REF!</definedName>
    <definedName name="_MUM24">#REF!</definedName>
    <definedName name="FDP_24_1_aDrv">#REF!</definedName>
    <definedName name="o">#REF!</definedName>
    <definedName name="num_util_members_class_C_prior">#REF!</definedName>
    <definedName name="BOB_Med_MDC_inp_paid_00_curr">#REF!</definedName>
    <definedName name="FDP_206_1_aDrv">#REF!</definedName>
    <definedName name="Check_Template_Type">#REF!</definedName>
    <definedName name="FDP_68_1_aSrv">#REF!</definedName>
    <definedName name="__s5">#REF!</definedName>
    <definedName name="Dental_orthodonic_paid_amt_prior">#REF!</definedName>
    <definedName name="TransTrig">#REF!</definedName>
    <definedName name="QueryResults">#REF!</definedName>
    <definedName name="adf_termed_tier3_emp_49_25_spend_curr">#REF!</definedName>
    <definedName name="sum_brand_singlesource_copay_prior">#REF!</definedName>
    <definedName name="aex_oon_utlilization_tot_prior">#REF!</definedName>
    <definedName name="IQRCompsAT154">#REF!</definedName>
    <definedName name="Rx_Key_Statistics_Range">#REF!</definedName>
    <definedName name="Med_count_mental_health_curr">#REF!</definedName>
    <definedName name="Product_15_delete_prior">#REF!</definedName>
    <definedName name="ahf_tier2_active_employee_curr">#REF!</definedName>
    <definedName name="Med_MDC_inp_billed_18_curr">#REF!</definedName>
    <definedName name="AHF_Med_fund_paid_amt_lab_curr">#REF!</definedName>
    <definedName name="LatestFYE">#REF!</definedName>
    <definedName name="Rx_AHF_male_members_curr">#REF!</definedName>
    <definedName name="_P00comps2">#REF!</definedName>
    <definedName name="FDP_101_1_aUrv">#REF!</definedName>
    <definedName name="sum_specialty_generic_copay_amt_curr">#REF!</definedName>
    <definedName name="Med_MDC_inp_billed_20_curr">#REF!</definedName>
    <definedName name="sum_paid_class_Q_prior">#REF!</definedName>
    <definedName name="FDP_91_1_aUrv">#REF!</definedName>
    <definedName name="aex_inp_Tier3_days_18_curr">#REF!</definedName>
    <definedName name="BLPH2">#REF!</definedName>
    <definedName name="FI_Executive_Summary_Page_NoData_Text">#REF!</definedName>
    <definedName name="Med_MDC_paid_08_prior">#REF!</definedName>
    <definedName name="aex_inp_Tier1_paid_amt_16_curr">#REF!</definedName>
    <definedName name="sum_prof_fee_amt_brand_mod_prior">#REF!</definedName>
    <definedName name="__MUM11">#REF!</definedName>
    <definedName name="PrefPrice1">#REF!</definedName>
    <definedName name="ne">#REF!</definedName>
    <definedName name="dental_freq_limit_in_network_curr">#REF!</definedName>
    <definedName name="aex_Amb_Tier2_claimants_05_curr">#REF!</definedName>
    <definedName name="SGA">#REF!</definedName>
    <definedName name="Med_deductible_amt_prior">#REF!</definedName>
    <definedName name="multisource_util_curr">#REF!</definedName>
    <definedName name="Med_MDC_inp_paid_19_curr">#REF!</definedName>
    <definedName name="paid_female_0_19_curr">#REF!</definedName>
    <definedName name="Product_12_delete_prior">#REF!</definedName>
    <definedName name="aex_inp_Tier3_paid_amt_06_curr">#REF!</definedName>
    <definedName name="Med_MDC_cd_10_prior">#REF!</definedName>
    <definedName name="PSUName">#REF!</definedName>
    <definedName name="num_rx_claims_mac_specialty_curr">#REF!</definedName>
    <definedName name="aex_Tier2_paid_amt_inp_surgeries_curr">#REF!</definedName>
    <definedName name="BOB_Med_MDC_admits_00_curr">#REF!</definedName>
    <definedName name="Product_40_delete_prior">#REF!</definedName>
    <definedName name="HPD_paid_amt_coronary_artery_disease_prior">#REF!</definedName>
    <definedName name="adf_total_rollover_pr_year_curr">#REF!</definedName>
    <definedName name="Med_MDC_days_19_prior">#REF!</definedName>
    <definedName name="AHF_Med_paid_amt_unknown_20_44_curr">#REF!</definedName>
    <definedName name="sum_awp_amt_mac_specialty_prior">#REF!</definedName>
    <definedName name="aex_inp_Tier2_admits_18_curr">#REF!</definedName>
    <definedName name="StatLabel4">#REF!</definedName>
    <definedName name="aex_Amb_Tier1_paid_amt_02_curr">#REF!</definedName>
    <definedName name="Page1">#REF!</definedName>
    <definedName name="adf_termed_tier2_cr_clm_paid_with_rollover_funds_curr">#REF!</definedName>
    <definedName name="sum_retail_non_brand_formulary_plan_paid_amt_prior">#REF!</definedName>
    <definedName name="sum_paid_class_B_prior">#REF!</definedName>
    <definedName name="Rx_months_prior">#REF!</definedName>
    <definedName name="TaxRate">#REF!</definedName>
    <definedName name="ahf_paid_amt_total_0_19_curr">#REF!</definedName>
    <definedName name="sum_retail_non_brand_formulary_copay_amt_prior">#REF!</definedName>
    <definedName name="FOV_06_Range">#REF!</definedName>
    <definedName name="BH_BOB_Med_male_mem_45_64_curr">#REF!</definedName>
    <definedName name="aex_Amb_Tier1_claimants_24_curr">#REF!</definedName>
    <definedName name="BOB_Med_MDC_paid_17_curr">#REF!</definedName>
    <definedName name="AHF_Med_fund_paid_amt_total_curr">#REF!</definedName>
    <definedName name="aex_inp_Tier2_admits_02_curr">#REF!</definedName>
    <definedName name="aex_inp_Tier2_days_08_curr">#REF!</definedName>
    <definedName name="dental_basic_in_network_prior">#REF!</definedName>
    <definedName name="aex_Amb_OON_paid_amt_14_curr">#REF!</definedName>
    <definedName name="Med_billed_amt_unknown_45_64_curr">#REF!</definedName>
    <definedName name="AHF_Medical_Key_Statistics_Range">#REF!</definedName>
    <definedName name="twe">#REF!</definedName>
    <definedName name="Med_MDC_billed_14_prior">#REF!</definedName>
    <definedName name="High2">#REF!</definedName>
    <definedName name="FDP_167_1_aDrv">#REF!</definedName>
    <definedName name="FDP_110_1_aUrv">#REF!</definedName>
    <definedName name="ahf_tier4_tot_fund_available_curr">#REF!</definedName>
    <definedName name="IQRCompsAW241">#REF!</definedName>
    <definedName name="ahf_tier4_cr_fund_remaining_curr">#REF!</definedName>
    <definedName name="Product_75_delete_prior">#REF!</definedName>
    <definedName name="aex_inp_OON_days_10_curr">#REF!</definedName>
    <definedName name="Sched_Pay">#REF!</definedName>
    <definedName name="Sum_of_Sponsors">#REF!</definedName>
    <definedName name="Rx_AHF_male_mem_65_over_curr">#REF!</definedName>
    <definedName name="sum_svc_copay_amt_brand_mod_curr">#REF!</definedName>
    <definedName name="adf_term_emp_fund_paid_curr">#REF!</definedName>
    <definedName name="aex_Tier2_Util_amb_visits_curr">#REF!</definedName>
    <definedName name="AHF_Med_paid_amt_male_0_19_curr">#REF!</definedName>
    <definedName name="Hospital_Profile_Home">#REF!</definedName>
    <definedName name="MDC_Range_Row8">#REF!</definedName>
    <definedName name="FOV_74_Range">#REF!</definedName>
    <definedName name="dent_net_avg_sub_charges_ppo_max_aetna_ppo_ntwk_prior">#REF!</definedName>
    <definedName name="aex_Amb_Tier1_paid_amt_04_curr">#REF!</definedName>
    <definedName name="BOB_Med_MDC_inp_paid_06_curr">#REF!</definedName>
    <definedName name="PFQ">#REF!</definedName>
    <definedName name="Med_MDC_claimants_22_prior">#REF!</definedName>
    <definedName name="aex_inp_OON_paid_amt_09_curr">#REF!</definedName>
    <definedName name="Med_billed_amt_spec_office_visits_prior">#REF!</definedName>
    <definedName name="ahf_medical_expenses_prior">#REF!</definedName>
    <definedName name="BOB_Med_paid_amt_spec_office_visits_prior">#REF!</definedName>
    <definedName name="Dental_orthodonic_paid_amt_curr">#REF!</definedName>
    <definedName name="Demographics_FI_Community_Medicare_Graph_range">#REF!</definedName>
    <definedName name="Med_paid_other_curr">#REF!</definedName>
    <definedName name="Medicare_Billed_female_mem_65_69_curr">#REF!</definedName>
    <definedName name="Med_MDC_paid_999_curr">#REF!</definedName>
    <definedName name="FDP_55_1_aUrv">#REF!</definedName>
    <definedName name="sic1low">#REF!</definedName>
    <definedName name="r.Summary">#REF!</definedName>
    <definedName name="Median8">#REF!</definedName>
    <definedName name="adf_tier3_cr_fund_remaining_curr">#REF!</definedName>
    <definedName name="si_exec_summary_rows71_rows83">#REF!</definedName>
    <definedName name="sum_retail_non_brand_formulary_plan_paid_amt_curr">#REF!</definedName>
    <definedName name="BOB_Med_unknown_mem_45_64_curr">#REF!</definedName>
    <definedName name="Med_MDC_inp_billed_15_curr">#REF!</definedName>
    <definedName name="Med_female_mem_20_44_curr">#REF!</definedName>
    <definedName name="num_util_members_class_J_curr">#REF!</definedName>
    <definedName name="Expenses">#REF!</definedName>
    <definedName name="aex_inp_Tier2_paid_amt_10_curr">#REF!</definedName>
    <definedName name="aex_inp_OON_admits_08_curr">#REF!</definedName>
    <definedName name="Medic_female_mem_0_64_prior">#REF!</definedName>
    <definedName name="Med_MDC_cd_14_prior">#REF!</definedName>
    <definedName name="Med_amb_paid_amt_curr">#REF!</definedName>
    <definedName name="__123Graph_DChart1">#REF!</definedName>
    <definedName name="aex_inp_OON_paid_amt_16_curr">#REF!</definedName>
    <definedName name="sum_prof_fee_amt_brand_retail_curr">#REF!</definedName>
    <definedName name="sum_generic_copay_curr">#REF!</definedName>
    <definedName name="Med_MDC_amb_paid_22_prior">#REF!</definedName>
    <definedName name="datarange">#REF!</definedName>
    <definedName name="Med_hospital_paid_amt_curr">#REF!</definedName>
    <definedName name="EnterpriseC">#REF!</definedName>
    <definedName name="Med_MDC_billed_999_prior">#REF!</definedName>
    <definedName name="aex_Tier3_Util_amb_surgeries_curr">#REF!</definedName>
    <definedName name="BOB_Med_paid_amt_office_surgeries_curr">#REF!</definedName>
    <definedName name="Med_paid_encounter_lab_rad_curr">#REF!</definedName>
    <definedName name="IntA">#REF!</definedName>
    <definedName name="_bdm.98A6FF5E6E104127A4B3CE93863956AF.edm">#REF!</definedName>
    <definedName name="num_claims_class_Q_prior">#REF!</definedName>
    <definedName name="EPSDate">#REF!</definedName>
    <definedName name="adf_termed_tier4_cr_claim_paid_with_cr_funds_curr">#REF!</definedName>
    <definedName name="num_retail_non_brand_formulary_claims_prior">#REF!</definedName>
    <definedName name="ROA">#REF!</definedName>
    <definedName name="dental_reason_cust_in_network_curr">#REF!</definedName>
    <definedName name="_bdm.79B2F1DABFD2444F88AF3F7C813E64E3.edm">#REF!</definedName>
    <definedName name="__MUM30">#REF!</definedName>
    <definedName name="Med_MDC_inp_billed_04_curr">#REF!</definedName>
    <definedName name="BOB_Med_MDC_admits_16_curr">#REF!</definedName>
    <definedName name="RxKeyStats_Footnote_BOB">#REF!</definedName>
    <definedName name="Med_billed_amt_rad_serv_curr">#REF!</definedName>
    <definedName name="BOB_Med_male_mem_65_over_curr">#REF!</definedName>
    <definedName name="aex_inp_Tier3_paid_amt_04_curr">#REF!</definedName>
    <definedName name="ciq_meta_info_3bf4e66d0b54447696ed4f687240c164">#REF!</definedName>
    <definedName name="paid_male_0_19_curr">#REF!</definedName>
    <definedName name="aex_inp_Tier1_paid_amt_15_curr">#REF!</definedName>
    <definedName name="Med_billed_amt_female_20_44_prior">#REF!</definedName>
    <definedName name="dental_plan_max_out_network_prior">#REF!</definedName>
    <definedName name="mi">#REF!</definedName>
    <definedName name="adf_termed_tier3_emp_99_75_spend_curr">#REF!</definedName>
    <definedName name="AHF_Med_paid_amt_er_curr">#REF!</definedName>
    <definedName name="AccPay">#REF!</definedName>
    <definedName name="IQRMediaCompTemplateX5">#REF!</definedName>
    <definedName name="Med_MDC_cd_03_prior">#REF!</definedName>
    <definedName name="sum_prof_fee_amt_mac_retail_curr">#REF!</definedName>
    <definedName name="AHF_Med_primary_office_visits_count_prior">#REF!</definedName>
    <definedName name="AHF_Med_er_visits_count_prior">#REF!</definedName>
    <definedName name="Summary_by_Product_Range">#REF!</definedName>
    <definedName name="EVNetInc2">#REF!</definedName>
    <definedName name="DivPayoutRatio">#REF!</definedName>
    <definedName name="Dental_OON_Footnote">#REF!</definedName>
    <definedName name="Med_paid_amt_unknown_20_44_curr">#REF!</definedName>
    <definedName name="BOB_Med_MDC_inp_paid_03_curr">#REF!</definedName>
    <definedName name="num_claims_prior">#REF!</definedName>
    <definedName name="Rx_AHF_female_mem_0_19_prior">#REF!</definedName>
    <definedName name="ahf_srv_copay_amt_male_45_64_curr">#REF!</definedName>
    <definedName name="medical_sort1">#REF!</definedName>
    <definedName name="Med_MDC_amb_paid_12_prior">#REF!</definedName>
    <definedName name="ePSM_Rx_Graph_Page">#REF!</definedName>
    <definedName name="ahf_paid_amt_male_45_64_curr">#REF!</definedName>
    <definedName name="IQRCompsN140">#REF!</definedName>
    <definedName name="ciq_meta_info_004e446f9f9e4985a9b75968121974d4">#REF!</definedName>
    <definedName name="adf_tier1_emp_24_1_spend_curr">#REF!</definedName>
    <definedName name="Product_13_members">#REF!</definedName>
    <definedName name="sum_retail_generic_paid_amt_curr">#REF!</definedName>
    <definedName name="sic3ok">#REF!</definedName>
    <definedName name="Current_Claims_Above_50K_Check">#REF!</definedName>
    <definedName name="Med_inp_billed_amt_prior">#REF!</definedName>
    <definedName name="sum_awp_amt_mac_specialty_curr">#REF!</definedName>
    <definedName name="Med_MDC_amb_paid_03_prior">#REF!</definedName>
    <definedName name="dental_deductible_out_network_curr">#REF!</definedName>
    <definedName name="m_2">#REF!</definedName>
    <definedName name="aex_inp_Tier2_days_22_curr">#REF!</definedName>
    <definedName name="AHF_Med_female_mem_0_19_curr">#REF!</definedName>
    <definedName name="FDP_147_1_aUrv">#REF!</definedName>
    <definedName name="EVNetInc1">#REF!</definedName>
    <definedName name="sum_specialty_brand_formulary_copay_amt_prior">#REF!</definedName>
    <definedName name="aex_Amb_Tier1_claimants_11_curr">#REF!</definedName>
    <definedName name="Number_of_Prior_SI_Products">#REF!</definedName>
    <definedName name="FDP_48_1_aUrv">#REF!</definedName>
    <definedName name="BOB_Med_paid_amt_inp_surgeries_curr">#REF!</definedName>
    <definedName name="BOB_sum_non_formulary_paid_amt_curr">#REF!</definedName>
    <definedName name="BookT">#REF!</definedName>
    <definedName name="BOB_Med_office_visits_count_prior">#REF!</definedName>
    <definedName name="aex_Amb_OON_claimants_22_curr">#REF!</definedName>
    <definedName name="Dental_cost_share_allowed_amt_curr">#REF!</definedName>
    <definedName name="aex_Amb_Tier2_claimants_23_curr">#REF!</definedName>
    <definedName name="Med_MDC_inp_paid_17_curr">#REF!</definedName>
    <definedName name="Aexcel_Prof_Location_Line_Count">#REF!</definedName>
    <definedName name="Footnote1">#REF!</definedName>
    <definedName name="Med_MDC_inp_billed_08_prior">#REF!</definedName>
    <definedName name="Med_paid_amt_male_0_19_prior">#REF!</definedName>
    <definedName name="Med_claim_count_unknown_20_44_prior">#REF!</definedName>
    <definedName name="Dental_key_results_rc_savings_amt_curr">#REF!</definedName>
    <definedName name="Med_MDC_cd_03_curr">#REF!</definedName>
    <definedName name="Prem2">#REF!</definedName>
    <definedName name="AHF_Med_count_inp_curr">#REF!</definedName>
    <definedName name="dental_cob_out_network_prior">#REF!</definedName>
    <definedName name="Product_07_delete_prior">#REF!</definedName>
    <definedName name="AHF_Med_count_total_mcc_curr">#REF!</definedName>
    <definedName name="BOB_Med_paid_encounter_lab_rad_curr">#REF!</definedName>
    <definedName name="_2">#REF!</definedName>
    <definedName name="FOV_53_Range">#REF!</definedName>
    <definedName name="BOB_Med_num_employees_curr">#REF!</definedName>
    <definedName name="AHF_Med_fund_paid_amt_er_curr">#REF!</definedName>
    <definedName name="Med_MDC_admits_00_prior">#REF!</definedName>
    <definedName name="FDP_142_1_aUrv">#REF!</definedName>
    <definedName name="BOB_Rx_female_mem_20_44_curr">#REF!</definedName>
    <definedName name="FDP_71_1_aUrv">#REF!</definedName>
    <definedName name="NetDebtEnt">#REF!</definedName>
    <definedName name="adf_tier2_tot_fund_available_curr">#REF!</definedName>
    <definedName name="Dental_orthodonic_svcs_prior">#REF!</definedName>
    <definedName name="aex_Amb_Tier1_claimants_19_curr">#REF!</definedName>
    <definedName name="Med_MDC_claimants_999_prior">#REF!</definedName>
    <definedName name="PriceM">#REF!</definedName>
    <definedName name="aex_inp_Tier1_paid_amt_12_curr">#REF!</definedName>
    <definedName name="Medic_male_mem_70_74_curr">#REF!</definedName>
    <definedName name="_PFY1">#REF!</definedName>
    <definedName name="job_id">#REF!</definedName>
    <definedName name="Adam_capitation_amt_prior">#REF!</definedName>
    <definedName name="num_util_members_class_C_curr">#REF!</definedName>
    <definedName name="FDP_29_1_aUrv">#REF!</definedName>
    <definedName name="AHF_Med_allowed_amt_male_20_44_curr">#REF!</definedName>
    <definedName name="AHF_Med_fund_paid_amt_female_45_64_curr">#REF!</definedName>
    <definedName name="IQRCompsAR225">#REF!</definedName>
    <definedName name="BOB_Med_par_phys_office_visits_count_curr">#REF!</definedName>
    <definedName name="AccRec">#REF!</definedName>
    <definedName name="Med_total_network_discount_curr">#REF!</definedName>
    <definedName name="aex_inp_Tier1_days_21_curr">#REF!</definedName>
    <definedName name="aex_inp_OON_paid_amt_01_curr">#REF!</definedName>
    <definedName name="aex_inp_OON_days_16_curr">#REF!</definedName>
    <definedName name="Rx_data_check">#REF!</definedName>
    <definedName name="Med_MDC_amb_billed_999_curr">#REF!</definedName>
    <definedName name="Financial_Overview_Dental_Range">#REF!</definedName>
    <definedName name="BOB_Med_er_visits_count_curr">#REF!</definedName>
    <definedName name="Dental_paid_amt_male_0_19_prior">#REF!</definedName>
    <definedName name="__MUM28">#REF!</definedName>
    <definedName name="Product_02_delete_prior">#REF!</definedName>
    <definedName name="ahf_rx_num_brand_claims_prior">#REF!</definedName>
    <definedName name="StatLabel5">#REF!</definedName>
    <definedName name="dent_sav_frm_negot_arrangements_ppo_max_out_ntwk_prior">#REF!</definedName>
    <definedName name="Med_MDC_amb_paid_00_prior">#REF!</definedName>
    <definedName name="Dental_unknown_mem_20_44_prior">#REF!</definedName>
    <definedName name="Med_MDC_paid_01_curr">#REF!</definedName>
    <definedName name="aex_Amb_Tier1_claimants_04_curr">#REF!</definedName>
    <definedName name="aex_inp_Tier2_days_24_curr">#REF!</definedName>
    <definedName name="BOB_Med_MDC_days_19_curr">#REF!</definedName>
    <definedName name="_bdm.1E0DF615475E4418A26657425AC7BE51.edm">#REF!</definedName>
    <definedName name="aex_Amb_OON_paid_amt_01_curr">#REF!</definedName>
    <definedName name="dental_deductible_out_network_prior">#REF!</definedName>
    <definedName name="ahf_termed_tier1_cr_clm_paid_with_rollover_funds_curr">#REF!</definedName>
    <definedName name="Aexcel_Prof_Exp_Location_Headings">#REF!</definedName>
    <definedName name="BOB_Med_office_visits_count_curr">#REF!</definedName>
    <definedName name="Med_count_med_visits_prior">#REF!</definedName>
    <definedName name="Med_MDC_days_01_prior">#REF!</definedName>
    <definedName name="Med_MDC_amb_paid_06_prior">#REF!</definedName>
    <definedName name="_mu2">#REF!</definedName>
    <definedName name="ahf_tier1_emp_74_50_spend_curr">#REF!</definedName>
    <definedName name="__123Graph_BChart1">#REF!</definedName>
    <definedName name="aex_Tier3_paid_amt_other_spec_off_visits_curr">#REF!</definedName>
    <definedName name="fi_exec_summary_rows7_rows74">#REF!</definedName>
    <definedName name="aex_inp_Tier3_paid_amt_11_curr">#REF!</definedName>
    <definedName name="FDP_58_1_aUrv">#REF!</definedName>
    <definedName name="Med_MDC_admits_05_curr">#REF!</definedName>
    <definedName name="Stat8">#REF!</definedName>
    <definedName name="ahf_termed_tier3_cr_fund_remaining_curr">#REF!</definedName>
    <definedName name="ahf_termed_tier3_emp_100_spend_curr">#REF!</definedName>
    <definedName name="aex_Tier3_Util_home_health_visits_curr">#REF!</definedName>
    <definedName name="Medicare_Billed_female_mem_65_69_prior">#REF!</definedName>
    <definedName name="BOB_Med_unknown_mem_65_over_curr">#REF!</definedName>
    <definedName name="dental_reason_cust_out_network_curr">#REF!</definedName>
    <definedName name="BenefitsLoad">#REF!</definedName>
    <definedName name="LTMRevenues">#REF!</definedName>
    <definedName name="adf_total_termd_rollover_pr_year_curr">#REF!</definedName>
    <definedName name="sum_brand_multisource_calc_ing_curr">#REF!</definedName>
    <definedName name="Med_MDC_inp_paid_05_curr">#REF!</definedName>
    <definedName name="si_exec_summary_rows7_rows84">#REF!</definedName>
    <definedName name="ahf_paid_amt_female_45_64_curr">#REF!</definedName>
    <definedName name="ConvPrefLiq2">#REF!</definedName>
    <definedName name="Med_MDC_claimants_17_prior">#REF!</definedName>
    <definedName name="Template_Name">#REF!</definedName>
    <definedName name="sum_brand_singlesource_avg_paid_claim_curr">#REF!</definedName>
    <definedName name="IQRCompsAS225">#REF!</definedName>
    <definedName name="FDP_40_1_aUrv">#REF!</definedName>
    <definedName name="_s5">#REF!</definedName>
    <definedName name="Dental_rc_savings_other_curr">#REF!</definedName>
    <definedName name="sbp_allowed_amt">#REF!</definedName>
    <definedName name="Rx_unknown_mem_45_64_prior">#REF!</definedName>
    <definedName name="Forward2">#REF!</definedName>
    <definedName name="ProcStartDateCurr">#REF!</definedName>
    <definedName name="CalPE1">#REF!</definedName>
    <definedName name="Med_Cost_Sharing_Medical_Range">#REF!</definedName>
    <definedName name="sum_retail_generic_copay_amt_prior">#REF!</definedName>
    <definedName name="Med_MDC_amb_paid_02_curr">#REF!</definedName>
    <definedName name="Cover_Page_Run_Macros_Range">#REF!</definedName>
    <definedName name="Med_count_lab_serv_curr">#REF!</definedName>
    <definedName name="aex_TOT_Paid_Amt_curr">#REF!</definedName>
    <definedName name="Aetna_PPO_Ntwk_Exp_PPO_Max_Sav_Neg_Arrang">#REF!</definedName>
    <definedName name="SharesLTMT">#REF!</definedName>
    <definedName name="_EPS3">#REF!</definedName>
    <definedName name="aex_Amb_Tier3_claimants_10_curr">#REF!</definedName>
    <definedName name="aex_Tier2_Util_off_surgeries_curr">#REF!</definedName>
    <definedName name="XRefCopy5">#REF!</definedName>
    <definedName name="ahf_termed_tier3_emp_24_1_spend_curr">#REF!</definedName>
    <definedName name="Rx_AHF_female_mem_65_over_prior">#REF!</definedName>
    <definedName name="BOB_Med_unknown_members_curr">#REF!</definedName>
    <definedName name="sum_svc_copay_amt_mac_mod_prior">#REF!</definedName>
    <definedName name="_bdm.00EC971BF37311D6B67A0010A48BFF38.edm">#REF!</definedName>
    <definedName name="Med_MDC_cd_11_prior">#REF!</definedName>
    <definedName name="aex_Amb_Tier1_claimants_08_curr">#REF!</definedName>
    <definedName name="Warrants">#REF!</definedName>
    <definedName name="aex_inp_Tier2_paid_amt_17_curr">#REF!</definedName>
    <definedName name="Change3">#REF!</definedName>
    <definedName name="Dental_female_members_prior">#REF!</definedName>
    <definedName name="dd_prov_net_footnote">#REF!</definedName>
    <definedName name="sum_specialty_non_brand_formulary_copay_amt_prior">#REF!</definedName>
    <definedName name="Medicare_Billed_male_mem_75_79_prior">#REF!</definedName>
    <definedName name="Dental_paid_amt_unknown_45_64_curr">#REF!</definedName>
    <definedName name="sum_salestax_amt_non_mac_specialty_curr">#REF!</definedName>
    <definedName name="HPD_Rows_6_7">#REF!</definedName>
    <definedName name="_bdm.43BEFD54E5614A47BA6CC71AF25685D4.edm">#REF!</definedName>
    <definedName name="NO_AEXCEL_Member_Data">#REF!</definedName>
    <definedName name="_MUM25">#REF!</definedName>
    <definedName name="Product_73_delete_prior">#REF!</definedName>
    <definedName name="_s2">#REF!</definedName>
    <definedName name="AHF_Med_fund_paid_amt_female_20_44_curr">#REF!</definedName>
    <definedName name="DentalProductCheck">#REF!</definedName>
    <definedName name="_bdm.983AC8FF6A984882AED2CBB174642E2F.edm">#REF!</definedName>
    <definedName name="FI_Key_Stats_Footnote1_Range">#REF!</definedName>
    <definedName name="adf_act_emp_plus_fam_fund_paid_curr">#REF!</definedName>
    <definedName name="ahf_total_termd_rollover_fund_remaining_curr">#REF!</definedName>
    <definedName name="__MUM26">#REF!</definedName>
    <definedName name="FOV_48_Range">#REF!</definedName>
    <definedName name="Revenues">#REF!</definedName>
    <definedName name="BOB_Med_paid_amt_office_surgeries_prior">#REF!</definedName>
    <definedName name="aex_Amb_OON_claimants_01_curr">#REF!</definedName>
    <definedName name="FOV_69_Range">#REF!</definedName>
    <definedName name="aex_Tier1_Claimants_curr">#REF!</definedName>
    <definedName name="medical_sort4">#REF!</definedName>
    <definedName name="Stat7">#REF!</definedName>
    <definedName name="aex_inp_Tier3_days_17_curr">#REF!</definedName>
    <definedName name="Med_MDC_admits_08_curr">#REF!</definedName>
    <definedName name="IQRCompsT140">#REF!</definedName>
    <definedName name="ahf_tier1_cr_fund_remaining_curr">#REF!</definedName>
    <definedName name="IQRCompsK140">#REF!</definedName>
    <definedName name="sum_salestax_amt_mac_retail_curr">#REF!</definedName>
    <definedName name="BOB_Med_paid_amt_misc_med_curr">#REF!</definedName>
    <definedName name="AmortLTM">#REF!</definedName>
    <definedName name="_bdm.327EA03D3A584F82A302CFE810FD977E.edm">#REF!</definedName>
    <definedName name="ahf_termed_tier4_emp_99_75_spend_curr">#REF!</definedName>
    <definedName name="Special">#REF!</definedName>
    <definedName name="HPD_number_claimants_asthma_curr">#REF!</definedName>
    <definedName name="FDP_66_1_aSrv">#REF!</definedName>
    <definedName name="Med_MDC_inp_billed_09_prior">#REF!</definedName>
    <definedName name="aex_Amb_Tier1_paid_amt_12_curr">#REF!</definedName>
    <definedName name="PTBV">#REF!</definedName>
    <definedName name="retail_paid_amt_curr">#REF!</definedName>
    <definedName name="Med_MDC_days_07_curr">#REF!</definedName>
    <definedName name="ItemLabel10">#REF!</definedName>
    <definedName name="sum_brand_singlesource_paid_amt_prior">#REF!</definedName>
    <definedName name="Stat10">#REF!</definedName>
    <definedName name="Med_paid_amt_curr">#REF!</definedName>
    <definedName name="Med_MDC_inp_paid_21_prior">#REF!</definedName>
    <definedName name="AHF_Med_claim_count_unknown_45_64_curr">#REF!</definedName>
    <definedName name="sum_generic_paid_amt_curr">#REF!</definedName>
    <definedName name="aex_inp_OON_paid_amt_07_curr">#REF!</definedName>
    <definedName name="CashA">#REF!</definedName>
    <definedName name="aex_Amb_Tier3_claimants_15_curr">#REF!</definedName>
    <definedName name="LTMShares">#REF!</definedName>
    <definedName name="ReportEPSLTM">#REF!</definedName>
    <definedName name="WriteOff">#REF!</definedName>
    <definedName name="ahf_total_termd_emp_49_25_spend_curr">#REF!</definedName>
    <definedName name="CatClaimantThreshold">#REF!</definedName>
    <definedName name="Med_count_inp_days_curr">#REF!</definedName>
    <definedName name="dent_sav_frm_negot_arrangements_ppo_max_aetna_ppo_II_ntwk_curr">#REF!</definedName>
    <definedName name="Product_59_delete_prior">#REF!</definedName>
    <definedName name="MDC_CD_19">#REF!</definedName>
    <definedName name="dental_employee_out_network_prior">#REF!</definedName>
    <definedName name="FYE2EBIT">#REF!</definedName>
    <definedName name="sum_generic_calc_ing_curr">#REF!</definedName>
    <definedName name="num_mod_non_brand_formulary_claims_prior">#REF!</definedName>
    <definedName name="Med_MDC_claimants_12_prior">#REF!</definedName>
    <definedName name="Medicare_Billed_male_mem_65_69_prior">#REF!</definedName>
    <definedName name="Med_phys_par_negot_savings_amt_curr">#REF!</definedName>
    <definedName name="Report_Criteria_Range">#REF!</definedName>
    <definedName name="AHF_Med_paid_amt_male_65_over_curr">#REF!</definedName>
    <definedName name="BOB_Med_MDC_cd_21_curr">#REF!</definedName>
    <definedName name="SharesYear2A">#REF!</definedName>
    <definedName name="dental_freq_limit_out_network_curr">#REF!</definedName>
    <definedName name="ahf_rx_num_claims_prior">#REF!</definedName>
    <definedName name="FDP_106_1_aUrv">#REF!</definedName>
    <definedName name="dental_oth_denied_clms_in_network_curr">#REF!</definedName>
    <definedName name="si_exec_summary_rows12_rows13">#REF!</definedName>
    <definedName name="aex_Amb_Tier1_paid_amt_22_curr">#REF!</definedName>
    <definedName name="adf_act_emp_plus_1_fund_paid_curr">#REF!</definedName>
    <definedName name="BH_BOB_Rx_male_mem_65_over_curr">#REF!</definedName>
    <definedName name="pe">#REF!</definedName>
    <definedName name="adf_termed_tier4_tot_fund_available_curr">#REF!</definedName>
    <definedName name="gpi_name_class_OTHER_prior">#REF!</definedName>
    <definedName name="FOV_15_Range">#REF!</definedName>
    <definedName name="aex_inp_Tier3_paid_amt_05_curr">#REF!</definedName>
    <definedName name="Med_MDC_paid_05_curr">#REF!</definedName>
    <definedName name="ahf_termed_tier3_rollover_pr_year_curr">#REF!</definedName>
    <definedName name="TotalPref">#REF!</definedName>
    <definedName name="Med_MDC_amb_billed_05_prior">#REF!</definedName>
    <definedName name="DA_RX_Range">#REF!</definedName>
    <definedName name="AHF_Med_claim_count_unknown_0_19_curr">#REF!</definedName>
    <definedName name="dental_major_in_network_curr">#REF!</definedName>
    <definedName name="ahf_termed_tier2_cr_fund_remaining_curr">#REF!</definedName>
    <definedName name="aex_inp_Tier1_days_17_curr">#REF!</definedName>
    <definedName name="ahf_srv_copay_amt_male_0_19_curr">#REF!</definedName>
    <definedName name="Med_MDC_amb_paid_12_curr">#REF!</definedName>
    <definedName name="BOB_Med_phys_office_visits_count_curr">#REF!</definedName>
    <definedName name="ePSM_Medical_Graph_Page_Range">#REF!</definedName>
    <definedName name="generic_util_curr">#REF!</definedName>
    <definedName name="Med_MDC_inp_paid_06_curr">#REF!</definedName>
    <definedName name="sum_brand_multisource_avg_paid_claim_prior">#REF!</definedName>
    <definedName name="Med_MDC_amb_billed_21_curr">#REF!</definedName>
    <definedName name="BOB_Med_female_mem_65_over_curr">#REF!</definedName>
    <definedName name="_bdm.223D2616BD9244AB92BE2FEBEAFB570C.edm">#REF!</definedName>
    <definedName name="BOB_Med_MDC_amb_paid_13_curr">#REF!</definedName>
    <definedName name="dental_tot_mbr_type_out_network_prior">#REF!</definedName>
    <definedName name="Rx_num_employees_curr">#REF!</definedName>
    <definedName name="BOB_Med_MDC_paid_03_curr">#REF!</definedName>
    <definedName name="Medicare_Billed_male_mem_85_over_prior">#REF!</definedName>
    <definedName name="BOB_Med_MDC_paid_15_curr">#REF!</definedName>
    <definedName name="Product_52_delete_prior">#REF!</definedName>
    <definedName name="EBITA">#REF!</definedName>
    <definedName name="FDP_104_1_aUrv">#REF!</definedName>
    <definedName name="IQRCompsAV140">#REF!</definedName>
    <definedName name="adf_tier1_tot_fund_available_curr">#REF!</definedName>
    <definedName name="dental_tot_ben_cat_out_network_prior">#REF!</definedName>
    <definedName name="Med_MDC_days_07_prior">#REF!</definedName>
    <definedName name="_bdm.28F3C3B79E43484AA41A87D12ADB61B5.edm">#REF!</definedName>
    <definedName name="BOB_num_other_generic_claims_curr">#REF!</definedName>
    <definedName name="Median1">#REF!</definedName>
    <definedName name="NA_Range_Rx">#REF!</definedName>
    <definedName name="Med_MDC_amb_billed_03_prior">#REF!</definedName>
    <definedName name="aex_Amb_Tier1_claimants_06_curr">#REF!</definedName>
    <definedName name="aex_inp_OON_days_01_curr">#REF!</definedName>
    <definedName name="Med_paid_amt_male_20_44_curr">#REF!</definedName>
    <definedName name="BOB_Med_MDC_cd_14_curr">#REF!</definedName>
    <definedName name="aex_inp_Tier1_admits_22_curr">#REF!</definedName>
    <definedName name="Med_unknown_mem_45_64_curr">#REF!</definedName>
    <definedName name="___s5">#REF!</definedName>
    <definedName name="Med_MDC_amb_paid_10_curr">#REF!</definedName>
    <definedName name="aex_inp_Tier2_days_00_curr">#REF!</definedName>
    <definedName name="__MUM10">#REF!</definedName>
    <definedName name="FDP_177_1_aDrv">#REF!</definedName>
    <definedName name="FOV_04_Range">#REF!</definedName>
    <definedName name="Dental_male_mem_65_over_curr">#REF!</definedName>
    <definedName name="PRIN">#REF!</definedName>
    <definedName name="HPD_No_Obs_Found_Range">#REF!</definedName>
    <definedName name="NumberofProducts">#REF!</definedName>
    <definedName name="BH_BOB_Rx_female_mem_45_64_curr">#REF!</definedName>
    <definedName name="Rx_AHF_unknown_mem_0_19_prior">#REF!</definedName>
    <definedName name="TransferDate">#REF!</definedName>
    <definedName name="RangeChange">#REF!</definedName>
    <definedName name="Med_count_amb_surgeries_prior">#REF!</definedName>
    <definedName name="Product_45_delete_prior">#REF!</definedName>
    <definedName name="Med_MDC_days_12_prior">#REF!</definedName>
    <definedName name="num_util_members_class_B_curr">#REF!</definedName>
    <definedName name="Rx_female_mem_45_64_prior">#REF!</definedName>
    <definedName name="BOB_Med_MDC_days_16_curr">#REF!</definedName>
    <definedName name="sum_mod_non_brand_formulary_plan_paid_amt_curr">#REF!</definedName>
    <definedName name="BH_BOB_Med_female_mem_20_44_curr">#REF!</definedName>
    <definedName name="FDP_98_1_aDrv">#REF!</definedName>
    <definedName name="Med_MDC_claimants_09_prior">#REF!</definedName>
    <definedName name="aex_inp_OON_paid_amt_13_curr">#REF!</definedName>
    <definedName name="FDShares">#REF!</definedName>
    <definedName name="AHF_Med_female_mem_20_44_prior">#REF!</definedName>
    <definedName name="gpi_name_class_G_prior">#REF!</definedName>
    <definedName name="util_mem_female_20_44_curr">#REF!</definedName>
    <definedName name="AHF_Med_paid_amt_female_0_19_curr">#REF!</definedName>
    <definedName name="IQRCompsAO225">#REF!</definedName>
    <definedName name="aex_inp_OON_admits_03_curr">#REF!</definedName>
    <definedName name="FOV_SI_Pharmacy_Range">#REF!</definedName>
    <definedName name="gpi_name_class_J_curr">#REF!</definedName>
    <definedName name="aex_inp_OON_admits_13_curr">#REF!</definedName>
    <definedName name="Med_billed_amt_female_45_64_prior">#REF!</definedName>
    <definedName name="aex_inp_Tier1_days_20_curr">#REF!</definedName>
    <definedName name="DebtSub">#REF!</definedName>
    <definedName name="TIME_ON_SITE">#REF!</definedName>
    <definedName name="aex_inp_Tier2_paid_amt_23_curr">#REF!</definedName>
    <definedName name="Med_MDC_amb_billed_20_curr">#REF!</definedName>
    <definedName name="sg">#REF!</definedName>
    <definedName name="aex_inp_OON_paid_amt_18_curr">#REF!</definedName>
    <definedName name="Med_MDC_billed_19_prior">#REF!</definedName>
    <definedName name="BOB_Med_paid_encounter_lab_rad_prior">#REF!</definedName>
    <definedName name="StatLabel2">#REF!</definedName>
    <definedName name="NIYear2T">#REF!</definedName>
    <definedName name="Med_paid_amt_inp_surgeries_prior">#REF!</definedName>
    <definedName name="Med_MDC_amb_billed_16_prior">#REF!</definedName>
    <definedName name="_MUM30">#REF!</definedName>
    <definedName name="aex_inp_Tier2_admits_23_curr">#REF!</definedName>
    <definedName name="FI_Key_Statistics_Medical_Range">#REF!</definedName>
    <definedName name="IQRChartV6">#REF!</definedName>
    <definedName name="FDP_162_1_aUrv">#REF!</definedName>
    <definedName name="mod_copay_amt_curr">#REF!</definedName>
    <definedName name="FOV_72_Range">#REF!</definedName>
    <definedName name="aex_inp_Tier3_days_21_curr">#REF!</definedName>
    <definedName name="Med_billed_amt_male_45_64_prior">#REF!</definedName>
    <definedName name="AHF_Med_paid_amt_spec_phys_curr">#REF!</definedName>
    <definedName name="i">#REF!</definedName>
    <definedName name="Med_MDC_inp_paid_04_curr">#REF!</definedName>
    <definedName name="_bdm.9B27B749CAE34269875494A45E4DFC70.edm">#REF!</definedName>
    <definedName name="AHF_Med_emp_paid_amt_total_curr">#REF!</definedName>
    <definedName name="FDP_120_1_aUrv">#REF!</definedName>
    <definedName name="ahf_termed_tier1_emp_49_25_spend_curr">#REF!</definedName>
    <definedName name="Aetna_PPO_II_Ntwk_Exp_PPO_Net_Avg_Sub_Charges">#REF!</definedName>
    <definedName name="sum_brand_multisource_copay_prior">#REF!</definedName>
    <definedName name="aex_Tier1_Util_er_visits_curr">#REF!</definedName>
    <definedName name="BH_BOB_Rx_male_mem_0_19_curr">#REF!</definedName>
    <definedName name="Med_MDC_inp_paid_00_prior">#REF!</definedName>
    <definedName name="brand_prior">#REF!</definedName>
    <definedName name="aex_inp_Tier2_admits_07_curr">#REF!</definedName>
    <definedName name="PretaxItems3">#REF!</definedName>
    <definedName name="FDP_57_1_aUrv">#REF!</definedName>
    <definedName name="Aexcel_Demographics_Headings1">#REF!</definedName>
    <definedName name="ahf_paid_amt_female_0_19_curr">#REF!</definedName>
    <definedName name="IQRCompsAU225">#REF!</definedName>
    <definedName name="BOB_Med_paid_amt_misc_med_prior">#REF!</definedName>
    <definedName name="CashFlow">#REF!</definedName>
    <definedName name="Med_MDC_billed_06_prior">#REF!</definedName>
    <definedName name="AfterTaxItems">#REF!</definedName>
    <definedName name="aex_Amb_Tier2_paid_amt_00_curr">#REF!</definedName>
    <definedName name="sum_svc_copay_amt_brand_mod_prior">#REF!</definedName>
    <definedName name="dental_oth_denied_clms_out_network_curr">#REF!</definedName>
    <definedName name="Med_MDC_inp_paid_12_curr">#REF!</definedName>
    <definedName name="AHF_Med_male_mem_65_over_curr">#REF!</definedName>
    <definedName name="Med_MDC_inp_paid_01_curr">#REF!</definedName>
    <definedName name="Forward1">#REF!</definedName>
    <definedName name="Cover_Page_Range">#REF!</definedName>
    <definedName name="aex_inp_Tier2_days_14_curr">#REF!</definedName>
    <definedName name="t">#REF!</definedName>
    <definedName name="Z_9118CF73_A0E0_408F_82FC_D7B84F445576_.wvu.PrintArea">#REF!</definedName>
    <definedName name="sum_retail_brand_formulary_copay_amt_curr">#REF!</definedName>
    <definedName name="Dental_rc_savings_in_network_prior">#REF!</definedName>
    <definedName name="aex_inp_Tier1_admits_18_curr">#REF!</definedName>
    <definedName name="Med_MDC_inp_billed_11_curr">#REF!</definedName>
    <definedName name="ahf_paid_amt_female_65_over_curr">#REF!</definedName>
    <definedName name="Med_MDC_inp_billed_10_prior">#REF!</definedName>
    <definedName name="Dental_unknown_mem_65_over_prior">#REF!</definedName>
    <definedName name="si_exec_summary_rows56_rows65">#REF!</definedName>
    <definedName name="Dental_other_paid_amt_prior">#REF!</definedName>
    <definedName name="Dental_paid_amt_unknown_0_19_prior">#REF!</definedName>
    <definedName name="adf_tier4_cr_claim_paid_with_cr_funds_curr">#REF!</definedName>
    <definedName name="BOB_Med_MDC_days_04_curr">#REF!</definedName>
    <definedName name="Rx_AHF_female_members_curr">#REF!</definedName>
    <definedName name="dent_sav_frm_negot_arrangements_ppo_max_out_ntwk_curr">#REF!</definedName>
    <definedName name="BOB_Med_MDC_inp_paid_04_curr">#REF!</definedName>
    <definedName name="num_specialty_generic_claims_curr">#REF!</definedName>
    <definedName name="Rx_unknown_mem_20_44_curr">#REF!</definedName>
    <definedName name="aex_Amb_Tier2_claimants_02_curr">#REF!</definedName>
    <definedName name="aex_Tier3_paid_amt_lab_services_curr">#REF!</definedName>
    <definedName name="_Table3_Out">#REF!</definedName>
    <definedName name="EVNetIncLTM">#REF!</definedName>
    <definedName name="num_util_members_class_F_curr">#REF!</definedName>
    <definedName name="datarange2">#REF!</definedName>
    <definedName name="aex_inp_Tier2_days_05_curr">#REF!</definedName>
    <definedName name="BOB_Med_MDC_claimants_16_curr">#REF!</definedName>
    <definedName name="BOB_Med_MDC_admits_05_curr">#REF!</definedName>
    <definedName name="aex_Tier2_paid_amt_radiology_services_curr">#REF!</definedName>
    <definedName name="Full_Print">#REF!</definedName>
    <definedName name="adf_tier2_emp_24_1_spend_curr">#REF!</definedName>
    <definedName name="IntroPrintArea">#REF!</definedName>
    <definedName name="IQRMediaCompTemplateV51">#REF!</definedName>
    <definedName name="Med_MDC_billed_17_prior">#REF!</definedName>
    <definedName name="dent_net_avg_sub_charges_ppo_max_out_ntwk_prior">#REF!</definedName>
    <definedName name="Median3">#REF!</definedName>
    <definedName name="gpi_name_class_O_curr">#REF!</definedName>
    <definedName name="ciq_meta_info_b8890dafecb545a19e21a891430a79ee">#REF!</definedName>
    <definedName name="aex_inp_Tier1_days_14_curr">#REF!</definedName>
    <definedName name="aex_Amb_Tier2_claimants_01_curr">#REF!</definedName>
    <definedName name="util_mem_female_45_64_curr">#REF!</definedName>
    <definedName name="Med_MDC_claimants_14_prior">#REF!</definedName>
    <definedName name="adf_termed_tier3_rollover_pr_year_curr">#REF!</definedName>
    <definedName name="Med_paid_amt_office_surgeries_curr">#REF!</definedName>
    <definedName name="aex_Amb_Tier3_paid_amt_07_curr">#REF!</definedName>
    <definedName name="FDP_176_1_aDrv">#REF!</definedName>
    <definedName name="HPD_number_claimants_total_curr">#REF!</definedName>
    <definedName name="AHF_Med_female_mem_65_over_prior">#REF!</definedName>
    <definedName name="Med_hospital_amb_paid_amt_curr">#REF!</definedName>
    <definedName name="aex_inp_Tier2_days_17_curr">#REF!</definedName>
    <definedName name="gpi_name_class_P_prior">#REF!</definedName>
    <definedName name="Med_MDC_inp_billed_14_curr">#REF!</definedName>
    <definedName name="HPD_paid_amt_asthma_prior">#REF!</definedName>
    <definedName name="Med_count_other_curr">#REF!</definedName>
    <definedName name="Dental_employee_paid_amt_curr">#REF!</definedName>
    <definedName name="adf_tier4_emp_74_50_spend_curr">#REF!</definedName>
    <definedName name="Loan_Amount">#REF!</definedName>
    <definedName name="FDP_148_1_aUrv">#REF!</definedName>
    <definedName name="aex_Tier1_Util_med_services_visits_curr">#REF!</definedName>
    <definedName name="adf_tier1_emp_100_spend_curr">#REF!</definedName>
    <definedName name="Med_MDC_claimants_21_prior">#REF!</definedName>
    <definedName name="num_claims_class_B_prior">#REF!</definedName>
    <definedName name="FDP_166_1_aDrv">#REF!</definedName>
    <definedName name="FOV_01_Range">#REF!</definedName>
    <definedName name="Med_billed_other_curr">#REF!</definedName>
    <definedName name="Med_MDC_days_23_prior">#REF!</definedName>
    <definedName name="_bdm.44BD11009E7C4888B27672FD70DACB78.edm">#REF!</definedName>
    <definedName name="aex_Tier2_Util_home_health_visits_curr">#REF!</definedName>
    <definedName name="aex_inp_OON_admits_24_curr">#REF!</definedName>
    <definedName name="FDP_1_1_aUrv">#REF!</definedName>
    <definedName name="Med_MDC_billed_16_curr">#REF!</definedName>
    <definedName name="IQRCOMPANYA2AF17">#REF!</definedName>
    <definedName name="aex_inp_Tier3_days_13_curr">#REF!</definedName>
    <definedName name="FDP_95_1_aUrv">#REF!</definedName>
    <definedName name="Aexcel_Demographic_Line_Count">#REF!</definedName>
    <definedName name="_Table1_In1">#REF!</definedName>
    <definedName name="TotalAssets">#REF!</definedName>
    <definedName name="aex_Tier1_paid_amt_mental_health_visits_curr">#REF!</definedName>
    <definedName name="dental_plan_max_in_network_prior">#REF!</definedName>
    <definedName name="BOB_sum_cross_brand_paid_amt_prior">#REF!</definedName>
    <definedName name="High4">#REF!</definedName>
    <definedName name="Aetna_Spec_Ntwk_Exp_PPO_Max_Net_Avg_Sub_Charges">#REF!</definedName>
    <definedName name="BOB_Med_paid_amt_above_threshold_curr">#REF!</definedName>
    <definedName name="EBITMargin">#REF!</definedName>
    <definedName name="Product_47_delete_prior">#REF!</definedName>
    <definedName name="dental_preventive_out_network_curr">#REF!</definedName>
    <definedName name="Dental_paid_amt_male_20_44_prior">#REF!</definedName>
    <definedName name="CalEPS2">#REF!</definedName>
    <definedName name="Med_MDC_inp_billed_999_prior">#REF!</definedName>
    <definedName name="Med_MDC_amb_paid_15_curr">#REF!</definedName>
    <definedName name="sum_mod_generic_copay_amt_prior">#REF!</definedName>
    <definedName name="sum_paid_class_N_prior">#REF!</definedName>
    <definedName name="adf_act_emp_plus_fam_fund_paid_prior">#REF!</definedName>
    <definedName name="Item7">#REF!</definedName>
    <definedName name="gpi_name_class_E_prior">#REF!</definedName>
    <definedName name="FYE1Shares">#REF!</definedName>
    <definedName name="Year1">#REF!</definedName>
    <definedName name="sum_mod_non_brand_formulary_copay_amt_prior">#REF!</definedName>
    <definedName name="TargPrem">#REF!</definedName>
    <definedName name="Prior_Claims_Above_50K_Check">#REF!</definedName>
    <definedName name="sum_paid_class_H_curr">#REF!</definedName>
    <definedName name="aex_oon_paid_amt_tot_curr">#REF!</definedName>
    <definedName name="AHF_Activity_Detail_Range">#REF!</definedName>
    <definedName name="Dental_paid_amt_male_0_19_curr">#REF!</definedName>
    <definedName name="IntAdj">#REF!</definedName>
    <definedName name="aex_Amb_OON_paid_amt_09_curr">#REF!</definedName>
    <definedName name="MDC_CD_15">#REF!</definedName>
    <definedName name="Med_office_visits_count_curr">#REF!</definedName>
    <definedName name="adf_tier2_active_employee_curr">#REF!</definedName>
    <definedName name="FYE1Other2">#REF!</definedName>
    <definedName name="Med_MDC_billed_22_prior">#REF!</definedName>
    <definedName name="aex_OON_paid_amt_amb_visits_curr">#REF!</definedName>
    <definedName name="Rx_male_mem_0_19_curr">#REF!</definedName>
    <definedName name="FDP_203_1_aDdv">#REF!</definedName>
    <definedName name="aex_inp_OON_paid_amt_20_curr">#REF!</definedName>
    <definedName name="BLPH9">#REF!</definedName>
    <definedName name="num_util_members_class_K_curr">#REF!</definedName>
    <definedName name="dental_basic_out_network_curr">#REF!</definedName>
    <definedName name="ahf_rx_num_gen_subst_claims_y_o_prior">#REF!</definedName>
    <definedName name="_bdm.39C9E15CE9D24374A40E40FCDF6B0E3F.edm">#REF!</definedName>
    <definedName name="aex_inp_Tier2_admits_19_curr">#REF!</definedName>
    <definedName name="Med_MDC_inp_billed_17_curr">#REF!</definedName>
    <definedName name="Med_MDC_inp_paid_21_curr">#REF!</definedName>
    <definedName name="High9">#REF!</definedName>
    <definedName name="aex_Tier2_Claimants_curr">#REF!</definedName>
    <definedName name="IQRMediaCompTemplateV61">#REF!</definedName>
    <definedName name="IQRStockChartAA10">#REF!</definedName>
    <definedName name="aex_inp_Tier3_days_07_curr">#REF!</definedName>
    <definedName name="_PE2">#REF!</definedName>
    <definedName name="Cust_Spec_Ntwk_Exp_PPO_Sav_Neg_Arrang">#REF!</definedName>
    <definedName name="MDC_CD_10">#REF!</definedName>
    <definedName name="Medic_male_mem_0_64_prior">#REF!</definedName>
    <definedName name="IQB_BOOKMARK_LOCATION_6">#REF!</definedName>
    <definedName name="mdc_na_bob_column3">#REF!</definedName>
    <definedName name="Med_MDC_cd_20_curr">#REF!</definedName>
    <definedName name="adf_termed_tier3_cr_fund_remaining_curr">#REF!</definedName>
    <definedName name="BOB_Med_paid_amt_prior">#REF!</definedName>
    <definedName name="FirstTick">#REF!</definedName>
    <definedName name="ahf_bnft_plan_paid_amt_male_20_44_curr">#REF!</definedName>
    <definedName name="sss">#REF!</definedName>
    <definedName name="Med_billed_amt_spec_office_visits_curr">#REF!</definedName>
    <definedName name="IQRCompsAY198">#REF!</definedName>
    <definedName name="Med_MDC_inp_billed_19_curr">#REF!</definedName>
    <definedName name="AHF_Med_female_mem_20_44_curr">#REF!</definedName>
    <definedName name="Med_billed_amt_office_surgeries_curr">#REF!</definedName>
    <definedName name="NumberOfAccountsSelected">#REF!</definedName>
    <definedName name="Princ">#REF!</definedName>
    <definedName name="Med_paid_amt_female_45_64_prior">#REF!</definedName>
    <definedName name="Med_MDC_claimants_06_prior">#REF!</definedName>
    <definedName name="FOV_RX_Range">#REF!</definedName>
    <definedName name="FDP_196_1_aUdv">#REF!</definedName>
    <definedName name="aex_Amb_Tier3_paid_amt_06_curr">#REF!</definedName>
    <definedName name="adf_total_tot_fund_available_curr">#REF!</definedName>
    <definedName name="adf_termed_tier1_tot_fund_available_curr">#REF!</definedName>
    <definedName name="aex_Amb_OON_paid_amt_16_curr">#REF!</definedName>
    <definedName name="HPD_paid_amt_diabetes_curr">#REF!</definedName>
    <definedName name="FDP_96_1_aUrv">#REF!</definedName>
    <definedName name="FDP_132_1_aUrv">#REF!</definedName>
    <definedName name="Med_MDC_claimants_04_prior">#REF!</definedName>
    <definedName name="adf_tier3_cr_clm_paid_with_rollover_funds_curr">#REF!</definedName>
    <definedName name="Product_69_delete_prior">#REF!</definedName>
    <definedName name="Product_49_delete_prior">#REF!</definedName>
    <definedName name="Dental_Ingenix_Footnote">#REF!</definedName>
    <definedName name="FDP_88_1_aSrv">#REF!</definedName>
    <definedName name="gpi_name_class_R_prior">#REF!</definedName>
    <definedName name="ahf_tier2_emp_99_75_spend_curr">#REF!</definedName>
    <definedName name="ciq_meta_info_cd712566b5454306bc4f6d8f2e2ab934">#REF!</definedName>
    <definedName name="ItemLabel7">#REF!</definedName>
    <definedName name="evlow">#REF!</definedName>
    <definedName name="Med_MDC_cd_16_curr">#REF!</definedName>
    <definedName name="_MUM11">#REF!</definedName>
    <definedName name="FDP_171_1_aDrv">#REF!</definedName>
    <definedName name="__MUM24">#REF!</definedName>
    <definedName name="num_claims_class_L_prior">#REF!</definedName>
    <definedName name="aex_inp_OON_admits_19_curr">#REF!</definedName>
    <definedName name="aex_inp_OON_days_06_curr">#REF!</definedName>
    <definedName name="AHF_Med_paid_amt_female_20_44_curr">#REF!</definedName>
    <definedName name="adf_tier2_cr_year_initial_fund_curr">#REF!</definedName>
    <definedName name="FDP_185_1_aUdv">#REF!</definedName>
    <definedName name="_MUM19">#REF!</definedName>
    <definedName name="EBITDAT">#REF!</definedName>
    <definedName name="Tick1">#REF!</definedName>
    <definedName name="aex_Tier3_paid_amt_inp_surgeries_curr">#REF!</definedName>
    <definedName name="ahf_paid_amt_total_prior">#REF!</definedName>
    <definedName name="Dental_orthodonic_svcs_curr">#REF!</definedName>
    <definedName name="Product_55_members">#REF!</definedName>
    <definedName name="Dental_network_discount_out_network_prior">#REF!</definedName>
    <definedName name="ahf_bnft_plan_paid_amt_female_0_19_curr">#REF!</definedName>
    <definedName name="OtherT">#REF!</definedName>
    <definedName name="Med_count_mental_health_prior">#REF!</definedName>
    <definedName name="Product_06_members">#REF!</definedName>
    <definedName name="BOB_Med_par_paid_amt_prior">#REF!</definedName>
    <definedName name="Med_MDC_inp_paid_02_curr">#REF!</definedName>
    <definedName name="adf_total_termd_emp_74_50_spend_curr">#REF!</definedName>
    <definedName name="Interconnection_prices_and_revenue">#REF!</definedName>
    <definedName name="MDC_Range_I7">#REF!</definedName>
    <definedName name="aex_OON_Util_home_health_visits_curr">#REF!</definedName>
    <definedName name="EBITDA">#REF!</definedName>
    <definedName name="Med_paid_encounter_lab_rad_prior">#REF!</definedName>
    <definedName name="aex_inp_Tier3_paid_amt_10_curr">#REF!</definedName>
    <definedName name="AHF_Med_primary_office__visits_count_prior">#REF!</definedName>
    <definedName name="_lev2">#REF!</definedName>
    <definedName name="sum_svc_copay_amt_brand_specialty_prior">#REF!</definedName>
    <definedName name="FDP_51_1_aUrv">#REF!</definedName>
    <definedName name="AHF_Med_claim_count_total_curr">#REF!</definedName>
    <definedName name="Item1">#REF!</definedName>
    <definedName name="FOV_99_Range">#REF!</definedName>
    <definedName name="User">#REF!</definedName>
    <definedName name="Medical_Catastrophic_Prior_Range">#REF!</definedName>
    <definedName name="AHF_Med_count_mental_health_curr">#REF!</definedName>
    <definedName name="FOV_55_Range">#REF!</definedName>
    <definedName name="ahf_tier1_emp_99_75_spend_curr">#REF!</definedName>
    <definedName name="aex_inp_OON_paid_amt_11_curr">#REF!</definedName>
    <definedName name="Rx_avg_age_members_prior">#REF!</definedName>
    <definedName name="Med_MDC_billed_05_prior">#REF!</definedName>
    <definedName name="FDP_157_1_aSrv">#REF!</definedName>
    <definedName name="BOB_Med_female_mem_0_19_prior">#REF!</definedName>
    <definedName name="FDP_198_1_aUdv">#REF!</definedName>
    <definedName name="Med_MDC_billed_16_prior">#REF!</definedName>
    <definedName name="EBITDACapExInt">#REF!</definedName>
    <definedName name="BOB_Med_MDC_amb_paid_05_curr">#REF!</definedName>
    <definedName name="adf_tier4_cr_clm_paid_with_rollover_funds_curr">#REF!</definedName>
    <definedName name="Rx_AHF_unknown_members_curr">#REF!</definedName>
    <definedName name="Med_MDC_inp_billed_16_curr">#REF!</definedName>
    <definedName name="AHF_Med_paid_amt_rad_curr">#REF!</definedName>
    <definedName name="aex_inp_Tier3_paid_amt_00_curr">#REF!</definedName>
    <definedName name="___s6">#REF!</definedName>
    <definedName name="BOB_Med_unknown_mem_20_44_prior">#REF!</definedName>
    <definedName name="s_3">#REF!</definedName>
    <definedName name="BOB_sum_brand_singlesource_paid_amt_curr">#REF!</definedName>
    <definedName name="Med_MDC_amb_billed_07_curr">#REF!</definedName>
    <definedName name="Med_billed_amt_med_rx_prior">#REF!</definedName>
    <definedName name="Med_female_mem_0_19_prior">#REF!</definedName>
    <definedName name="Med_MDC_admits_16_prior">#REF!</definedName>
    <definedName name="Aexcel_Structure_Line_Count">#REF!</definedName>
    <definedName name="aex_inp_Tier2_admits_13_curr">#REF!</definedName>
    <definedName name="Med_phys_discount_billed_amt_prior">#REF!</definedName>
    <definedName name="FDP_122_1_aUrv">#REF!</definedName>
    <definedName name="Med_MDC_inp_paid_02_prior">#REF!</definedName>
    <definedName name="Marketing_Advertising_Services">#REF!</definedName>
    <definedName name="aex_inp_Tier3_paid_amt_20_curr">#REF!</definedName>
    <definedName name="num_retail_brand_formulary_claims_prior">#REF!</definedName>
    <definedName name="ciq_meta_info_c583b8fead3f47298885392988fb0ddb">#REF!</definedName>
    <definedName name="aex_Amb_Tier3_claimants_18_curr">#REF!</definedName>
    <definedName name="num_claims_curr">#REF!</definedName>
    <definedName name="Medic_male_mem_85_over_prior">#REF!</definedName>
    <definedName name="dental_plan_max_in_network_curr">#REF!</definedName>
    <definedName name="NONAHFMedicalProduct">#REF!</definedName>
    <definedName name="aex_inp_Tier3_days_02_curr">#REF!</definedName>
    <definedName name="prior_yyyymmdd_processed_end_date">#REF!</definedName>
    <definedName name="FOV_58_Range">#REF!</definedName>
    <definedName name="_EPS01">#REF!</definedName>
    <definedName name="BOB_Med_par_phys_office_visits_count_prior">#REF!</definedName>
    <definedName name="Dental_num_members_curr">#REF!</definedName>
    <definedName name="num_rx_claims_mac_retail_prior">#REF!</definedName>
    <definedName name="dental_oth_denied_clms_out_network_prior">#REF!</definedName>
    <definedName name="dental_reason_cust_out_network_prior">#REF!</definedName>
    <definedName name="aex_inp_Tier2_days_23_curr">#REF!</definedName>
    <definedName name="FDP_23_1_aDrv">#REF!</definedName>
    <definedName name="BOB_Med_phys_office_visits_count_prior">#REF!</definedName>
    <definedName name="Rx_AHF_female_mem_65_over_curr">#REF!</definedName>
    <definedName name="aex_inp_Tier3_days_01_curr">#REF!</definedName>
    <definedName name="_bdm.5AF8C68B1B4D4725A2EF100AD746D415.edm">#REF!</definedName>
    <definedName name="dental_employee_out_network_curr">#REF!</definedName>
    <definedName name="__MUM4">#REF!</definedName>
    <definedName name="aex_inp_Tier3_admits_07_curr">#REF!</definedName>
    <definedName name="adf_tier4_rollover_fund_remaining_curr">#REF!</definedName>
    <definedName name="ciq_meta_info_941aee01a5f24e44b9a6d52ac004769b">#REF!</definedName>
    <definedName name="Med_MDC_amb_paid_15_prior">#REF!</definedName>
    <definedName name="ahf_member_cnt_unknown_20_44_curr">#REF!</definedName>
    <definedName name="sum_brand_multisource_paid_amt_curr">#REF!</definedName>
    <definedName name="Med_MDC_claimants_01_prior">#REF!</definedName>
    <definedName name="adf_termed_tier2_Incentive_fund_earned_curr">#REF!</definedName>
    <definedName name="IQRSheet1Q4">#REF!</definedName>
    <definedName name="Med_MDC_amb_paid_03_curr">#REF!</definedName>
    <definedName name="HPD_bob_prevalence_low_back_curr">#REF!</definedName>
    <definedName name="te">#REF!</definedName>
    <definedName name="aex_inp_Tier1_admits_07_curr">#REF!</definedName>
    <definedName name="Med_MDC_inp_paid_13_curr">#REF!</definedName>
    <definedName name="aex_Amb_Tier1_paid_amt_19_curr">#REF!</definedName>
    <definedName name="aex_inp_OON_admits_20_curr">#REF!</definedName>
    <definedName name="Med_paid_amt_mental_health_curr">#REF!</definedName>
    <definedName name="aex_inp_Tier1_admits_09_curr">#REF!</definedName>
    <definedName name="_Key1">#REF!</definedName>
    <definedName name="ahf_srv_copay_amt_total_curr">#REF!</definedName>
    <definedName name="ahf_termed_tier3_cr_clm_paid_with_rollover_funds_curr">#REF!</definedName>
    <definedName name="FDP_160_1_aUrv">#REF!</definedName>
    <definedName name="Interest_Rate">#REF!</definedName>
    <definedName name="AHF_Med_fund_in_network_paid_amt_prior">#REF!</definedName>
    <definedName name="BOB_Med_MDC_days_17_curr">#REF!</definedName>
    <definedName name="paid_female_65_over_curr">#REF!</definedName>
    <definedName name="adf_total_termd_active_employee_curr">#REF!</definedName>
    <definedName name="Med_MDC_amb_paid_11_prior">#REF!</definedName>
    <definedName name="gpi_name_class_L_prior">#REF!</definedName>
    <definedName name="paid_male_45_64_curr">#REF!</definedName>
    <definedName name="r.Liquidity">#REF!</definedName>
    <definedName name="num_rx_claims_mac_retail_curr">#REF!</definedName>
    <definedName name="tab_report_name">#REF!</definedName>
    <definedName name="Scheduled_Interest_Rate">#REF!</definedName>
    <definedName name="Rx_unknown_mem_20_44_prior">#REF!</definedName>
    <definedName name="Med_claim_count_female_0_19_curr">#REF!</definedName>
    <definedName name="Med_MDC_billed_01_prior">#REF!</definedName>
    <definedName name="sum_calcing_cost_amt_mac_specialty_curr">#REF!</definedName>
    <definedName name="medical_sort5">#REF!</definedName>
    <definedName name="AcqTrig">#REF!</definedName>
    <definedName name="adf_tier4_cr_year_initial_fund_curr">#REF!</definedName>
    <definedName name="ahf_tier1_active_employee_curr">#REF!</definedName>
    <definedName name="num_rx_claims_non_mac_specialty_prior">#REF!</definedName>
    <definedName name="Cover">#REF!</definedName>
    <definedName name="SI_FI_SBP_product_count">#REF!</definedName>
    <definedName name="IQRCompsAQ183">#REF!</definedName>
    <definedName name="adf_termed_tier3_emp_24_1_spend_curr">#REF!</definedName>
    <definedName name="BOB_Dental_orthodonic_svcs_curr">#REF!</definedName>
    <definedName name="Dental_PPO_Section_Check">#REF!</definedName>
    <definedName name="Med_total_par_r_c_savings_amt_prior">#REF!</definedName>
    <definedName name="AHF_Med_paid_amt_total_mcc_curr">#REF!</definedName>
    <definedName name="Med_unknown_mem_20_44_curr">#REF!</definedName>
    <definedName name="BOB_Med_MDC_amb_paid_21_curr">#REF!</definedName>
    <definedName name="sum_retail_brand_formulary_paid_amt_prior">#REF!</definedName>
    <definedName name="dental_other_unknown_in_network_curr">#REF!</definedName>
    <definedName name="DEEnd">#REF!</definedName>
    <definedName name="ciq_meta_info_b664e722239c4cde86e530c230078538">#REF!</definedName>
    <definedName name="CoverPageBrokerTagLine">#REF!</definedName>
    <definedName name="BOB_Med_MDC_amb_paid_16_curr">#REF!</definedName>
    <definedName name="dent_sav_frm_negot_arrangements_ppo_max_aetna_ppo_ntwk_curr">#REF!</definedName>
    <definedName name="aex_inp_Tier1_paid_amt_18_curr">#REF!</definedName>
    <definedName name="Rx_AHF_female_members_prior">#REF!</definedName>
    <definedName name="FOV_44_Range">#REF!</definedName>
    <definedName name="adf_termed_tier3_cr_claim_paid_with_cr_funds_curr">#REF!</definedName>
    <definedName name="Med_female_mem_45_64_prior">#REF!</definedName>
    <definedName name="MATrig">#REF!</definedName>
    <definedName name="Med_MDC_paid_05_prior">#REF!</definedName>
    <definedName name="Dental_dependent_paid_amt_curr">#REF!</definedName>
    <definedName name="sum_retail_generic_paid_amt_prior">#REF!</definedName>
    <definedName name="aex_inp_OON_admits_16_curr">#REF!</definedName>
    <definedName name="sum_paid_curr">#REF!</definedName>
    <definedName name="CoverPageProduct">#REF!</definedName>
    <definedName name="aex_Amb_Tier1_paid_amt_15_curr">#REF!</definedName>
    <definedName name="sum_prof_fee_amt_mac_mod_prior">#REF!</definedName>
    <definedName name="BOB_Med_MDC_cd_05_curr">#REF!</definedName>
    <definedName name="AHF_Med_male_mem_20_44_curr">#REF!</definedName>
    <definedName name="Med_paid_amt_med_rx_curr">#REF!</definedName>
    <definedName name="aex_inp_Tier2_paid_amt_12_curr">#REF!</definedName>
    <definedName name="sum_retail_brand_formulary_copay_amt_prior">#REF!</definedName>
    <definedName name="Med_MDC_paid_06_prior">#REF!</definedName>
    <definedName name="Equity">#REF!</definedName>
    <definedName name="ahf_tier4_cr_claim_paid_with_cr_funds_curr">#REF!</definedName>
    <definedName name="ahf_termed_tier3_cr_year_initial_fund_curr">#REF!</definedName>
    <definedName name="Medic_male_mem_65_69_curr">#REF!</definedName>
    <definedName name="_Regression_Y">#REF!</definedName>
    <definedName name="Med_MDC_billed_02_curr">#REF!</definedName>
    <definedName name="Med_MDC_cd_04_prior">#REF!</definedName>
    <definedName name="_MUM27">#REF!</definedName>
    <definedName name="Med_cob_amt_prior">#REF!</definedName>
    <definedName name="ahf_tier4_emp_74_50_spend_curr">#REF!</definedName>
    <definedName name="Med_MDC_amb_paid_21_curr">#REF!</definedName>
    <definedName name="ahf_dental_expenses_prior">#REF!</definedName>
    <definedName name="EBITGrowth">#REF!</definedName>
    <definedName name="ahf_termed_tier4_rollover_fund_remaining_curr">#REF!</definedName>
    <definedName name="aex_inp_OON_days_11_curr">#REF!</definedName>
    <definedName name="Hospital_Profile_Range">#REF!</definedName>
    <definedName name="aex_inp_OON_paid_amt_06_curr">#REF!</definedName>
    <definedName name="ahf_total_termd_emp_74_50_spend_curr">#REF!</definedName>
    <definedName name="High1">#REF!</definedName>
    <definedName name="Rx_unknown_mem_0_19_curr">#REF!</definedName>
    <definedName name="_MUM9">#REF!</definedName>
    <definedName name="LTEPSGrowth">#REF!</definedName>
    <definedName name="Med_MDC_admits_02_curr">#REF!</definedName>
    <definedName name="one">#REF!</definedName>
    <definedName name="adf_termed_tier2_cr_fund_remaining_curr">#REF!</definedName>
    <definedName name="AHF_Med_fund_paid_amt_amb_curr">#REF!</definedName>
    <definedName name="dental_preventive_in_network_prior">#REF!</definedName>
    <definedName name="_bdm.AF693671E782498D8F89712C7C82178C.edm">#REF!</definedName>
    <definedName name="BOB_Rx_num_members_curr">#REF!</definedName>
    <definedName name="aex_Amb_OON_paid_amt_13_curr">#REF!</definedName>
    <definedName name="aex_Amb_OON_paid_amt_04_curr">#REF!</definedName>
    <definedName name="paid_female_65_over_prior">#REF!</definedName>
    <definedName name="num_claims_class_O_prior">#REF!</definedName>
    <definedName name="adf_total_cr_fund_remaining_curr">#REF!</definedName>
    <definedName name="EV1OtherLTM">#REF!</definedName>
    <definedName name="Med_amb_surgery_count_prior">#REF!</definedName>
    <definedName name="Med_billed_encounter_spec_phys_prior">#REF!</definedName>
    <definedName name="Med_paid_amt_male_45_64_prior">#REF!</definedName>
    <definedName name="aex_Amb_Tier3_paid_amt_01_curr">#REF!</definedName>
    <definedName name="aex_Amb_Tier1_claimants_22_curr">#REF!</definedName>
    <definedName name="ConvPrefOut">#REF!</definedName>
    <definedName name="aex_inp_Tier2_paid_amt_03_curr">#REF!</definedName>
    <definedName name="BOB_sum_non_formulary_paid_amt_prior">#REF!</definedName>
    <definedName name="MDC_CD_01">#REF!</definedName>
    <definedName name="_MUM14">#REF!</definedName>
    <definedName name="FDP_131_1_aUrv">#REF!</definedName>
    <definedName name="Dental_paid_amt_female_65_over_curr">#REF!</definedName>
    <definedName name="Med_MDC_amb_paid_08_prior">#REF!</definedName>
    <definedName name="BOB_Med_MDC_days_10_curr">#REF!</definedName>
    <definedName name="adf_tier2_emp_49_25_spend_curr">#REF!</definedName>
    <definedName name="rngRefreshedDate">#REF!</definedName>
    <definedName name="Aex_Experience_by_Tier_Range">#REF!</definedName>
    <definedName name="Product_09_members">#REF!</definedName>
    <definedName name="Dental_major_paid_amt_curr">#REF!</definedName>
    <definedName name="num_rx_claims_non_mac_mod_curr">#REF!</definedName>
    <definedName name="ciq_meta_info_b9d0250d9bba40c9b27ee64a0385c7cf">#REF!</definedName>
    <definedName name="aex_inp_Tier3_admits_10_curr">#REF!</definedName>
    <definedName name="EBITDAMargin">#REF!</definedName>
    <definedName name="FYE2GrossProfit">#REF!</definedName>
    <definedName name="EPSYear1C">#REF!</definedName>
    <definedName name="aex_Amb_Tier2_paid_amt_03_curr">#REF!</definedName>
    <definedName name="Tick2">#REF!</definedName>
    <definedName name="gpi_name_class_N_curr">#REF!</definedName>
    <definedName name="BOB_Med_MDC_amb_paid_08_curr">#REF!</definedName>
    <definedName name="sum_calcing_cost_amt_mac_retail_prior">#REF!</definedName>
    <definedName name="PrefShares2">#REF!</definedName>
    <definedName name="Prov_Network_Physician_Other_Footnote">#REF!</definedName>
    <definedName name="AvgShares">#REF!</definedName>
    <definedName name="ahf_member_cnt_total_prior">#REF!</definedName>
    <definedName name="FOV_08_Range">#REF!</definedName>
    <definedName name="salaries">#REF!</definedName>
    <definedName name="AHF_Med_female_mem_45_64_prior">#REF!</definedName>
    <definedName name="Rx_AHF_unknown_mem_45_64_curr">#REF!</definedName>
    <definedName name="num_claims_class_N_prior">#REF!</definedName>
    <definedName name="MDC_MDC_Label_Paste">#REF!</definedName>
    <definedName name="Med_MDC_inp_billed_09_curr">#REF!</definedName>
    <definedName name="EnterpriseA">#REF!</definedName>
    <definedName name="FYE2Other2">#REF!</definedName>
    <definedName name="BH_BOB_Med_female_members_curr">#REF!</definedName>
    <definedName name="FOV_54_Range">#REF!</definedName>
    <definedName name="DA_Medical_Range">#REF!</definedName>
    <definedName name="Med_MDC_billed_20_prior">#REF!</definedName>
    <definedName name="aex_inp_Tier1_paid_amt_24_curr">#REF!</definedName>
    <definedName name="Med_MDC_inp_billed_22_prior">#REF!</definedName>
    <definedName name="MDC_CD_18">#REF!</definedName>
    <definedName name="Cwvu.GREY_ALL.">#REF!</definedName>
    <definedName name="sum_copay_prior">#REF!</definedName>
    <definedName name="ahf_termed_tier4_emp_24_1_spend_curr">#REF!</definedName>
    <definedName name="ahf_term_emp_plus_1_fund_paid_curr">#REF!</definedName>
    <definedName name="Med_total_billed_network_prior">#REF!</definedName>
    <definedName name="EVEBIT2">#REF!</definedName>
    <definedName name="AHF_Med_fund_paid_amt_unknown_0_19_curr">#REF!</definedName>
    <definedName name="FDP_18_1_aUrv">#REF!</definedName>
    <definedName name="BOB_Med_claim_count_prior">#REF!</definedName>
    <definedName name="BaseTick">#REF!</definedName>
    <definedName name="Med_MDC_admits_02_prior">#REF!</definedName>
    <definedName name="gpi_name_class_K_curr">#REF!</definedName>
    <definedName name="Targ">#REF!</definedName>
    <definedName name="Med_MDC_admits_999_prior">#REF!</definedName>
    <definedName name="ahf_rx_num_formulary_claims_curr">#REF!</definedName>
    <definedName name="allokay">#REF!</definedName>
    <definedName name="TransferEmpID">#REF!</definedName>
    <definedName name="adf_termed_tier2_cr_year_initial_fund_curr">#REF!</definedName>
    <definedName name="report_type">#REF!</definedName>
    <definedName name="num_generic_claims_prior">#REF!</definedName>
    <definedName name="dental_children_out_network_curr">#REF!</definedName>
    <definedName name="MDC_CD_04">#REF!</definedName>
    <definedName name="_bdm.DA40FBE9A21F45CAAF44C89D86D767E0.edm">#REF!</definedName>
    <definedName name="EPS">#REF!</definedName>
    <definedName name="aex_Amb_Tier2_claimants_08_curr">#REF!</definedName>
    <definedName name="_5__123Graph_ACHART_4">#REF!</definedName>
    <definedName name="Med_MDC_billed_08_prior">#REF!</definedName>
    <definedName name="BOB_Med_paid_amt_mental_health_prior">#REF!</definedName>
    <definedName name="__MUM15">#REF!</definedName>
    <definedName name="AHF_Med_count_prim_phys_curr">#REF!</definedName>
    <definedName name="Product_12_members">#REF!</definedName>
    <definedName name="FDP_17_1_aUrv">#REF!</definedName>
    <definedName name="_MUM8">#REF!</definedName>
    <definedName name="Rx_female_members_curr">#REF!</definedName>
    <definedName name="sic2ok">#REF!</definedName>
    <definedName name="AHF_Med_fund_paid_amt_curr">#REF!</definedName>
    <definedName name="paid_female_45_64_curr">#REF!</definedName>
    <definedName name="__s4">#REF!</definedName>
    <definedName name="IQRCompsAV225">#REF!</definedName>
    <definedName name="aex_Amb_OON_paid_amt_00_curr">#REF!</definedName>
    <definedName name="sum_prof_fee_amt_non_mac_retail_prior">#REF!</definedName>
    <definedName name="aex_Tier2_paid_amt_other_spec_off_visits_curr">#REF!</definedName>
    <definedName name="XRefPaste2">#REF!</definedName>
    <definedName name="_bdm.C194714595F14520AA52E6501AEC9C62.edm">#REF!</definedName>
    <definedName name="_Low6">#REF!</definedName>
    <definedName name="aex_Amb_Tier2_paid_amt_01_curr">#REF!</definedName>
    <definedName name="AHF_Med_allowed_amt_male_0_19_curr">#REF!</definedName>
    <definedName name="EquityBeta">#REF!</definedName>
    <definedName name="num_claims_class_F_curr">#REF!</definedName>
    <definedName name="adf_act_emp_plus_2_fund_paid_prior">#REF!</definedName>
    <definedName name="FI_comm_rated_gloss_med_billed_amt_per_emp">#REF!</definedName>
    <definedName name="BOB_Med_MDC_claimants_09_curr">#REF!</definedName>
    <definedName name="adf_tier3_Incentive_fund_earned_curr">#REF!</definedName>
    <definedName name="Med_MDC_paid_19_prior">#REF!</definedName>
    <definedName name="Med_billed_amt_lab_serv_curr">#REF!</definedName>
    <definedName name="aex_inp_Tier2_paid_amt_21_curr">#REF!</definedName>
    <definedName name="ahf_termed_tier1_active_employee_curr">#REF!</definedName>
    <definedName name="Med_billed_amt_unknown_65_over_prior">#REF!</definedName>
    <definedName name="aex_inp_Tier3_admits_14_curr">#REF!</definedName>
    <definedName name="AHF_Med_female_members_prior">#REF!</definedName>
    <definedName name="XREF_COLUMN_10">#REF!</definedName>
    <definedName name="BOB_Med_MDC_inp_paid_23_curr">#REF!</definedName>
    <definedName name="MinInt">#REF!</definedName>
    <definedName name="aex_inp_Tier3_days_06_curr">#REF!</definedName>
    <definedName name="_MUM3">#REF!</definedName>
    <definedName name="Median9">#REF!</definedName>
    <definedName name="Med_MDC_admits_16_curr">#REF!</definedName>
    <definedName name="FYE2Other3">#REF!</definedName>
    <definedName name="aex_inp_Tier2_paid_amt_04_curr">#REF!</definedName>
    <definedName name="sum_retail_generic_plan_paid_amt_curr">#REF!</definedName>
    <definedName name="aex_Amb_Tier1_claimants_00_curr">#REF!</definedName>
    <definedName name="Med_count_rad_serv_curr">#REF!</definedName>
    <definedName name="BOB_Med_threshold_prior">#REF!</definedName>
    <definedName name="Rx_AHF_unknown_mem_45_64_prior">#REF!</definedName>
    <definedName name="CompTrig">#REF!</definedName>
    <definedName name="BOB_num_claims_curr">#REF!</definedName>
    <definedName name="aex_Amb_Tier3_claimants_24_curr">#REF!</definedName>
    <definedName name="ahf_tier4_emp_49_25_spend_curr">#REF!</definedName>
    <definedName name="Med_MDC_days_19_curr">#REF!</definedName>
    <definedName name="aex_inp_Tier1_admits_16_curr">#REF!</definedName>
    <definedName name="retail_copay_amt_prior">#REF!</definedName>
    <definedName name="BOB_Med_cob_amt_prior">#REF!</definedName>
    <definedName name="etvhigh">#REF!</definedName>
    <definedName name="Rx_male_mem_20_44_curr">#REF!</definedName>
    <definedName name="sum_calcing_cost_amt_brand_mod_prior">#REF!</definedName>
    <definedName name="num_brand_multisource_claims_prior">#REF!</definedName>
    <definedName name="Beg_Bal">#REF!</definedName>
    <definedName name="LowPrice">#REF!</definedName>
    <definedName name="Medic_female_mem_85_over_prior">#REF!</definedName>
    <definedName name="Product_02_members">#REF!</definedName>
    <definedName name="AHF_Med_specialist_office_visits_count_prior">#REF!</definedName>
    <definedName name="FDP_6_1_aSrv">#REF!</definedName>
    <definedName name="sum_svc_copay_amt_mac_mod_curr">#REF!</definedName>
    <definedName name="Med_non_facility_billed_network_curr">#REF!</definedName>
    <definedName name="SharesCurrentA">#REF!</definedName>
    <definedName name="aex_inp_OON_days_02_curr">#REF!</definedName>
    <definedName name="ahf_tier4_cr_year_initial_fund_curr">#REF!</definedName>
    <definedName name="EquityA">#REF!</definedName>
    <definedName name="sum_prof_fee_amt_non_mac_specialty_curr">#REF!</definedName>
    <definedName name="NWCMargin">#REF!</definedName>
    <definedName name="FDP_35_1_aUrv">#REF!</definedName>
    <definedName name="Trend_Analysis_Medical_Range">#REF!</definedName>
    <definedName name="BOB_Med_MDC_cd_13_curr">#REF!</definedName>
    <definedName name="aex_inp_Tier2_admits_20_curr">#REF!</definedName>
    <definedName name="BH_BOB_Rx_num_members_curr">#REF!</definedName>
    <definedName name="rngStoredProcedure">#REF!</definedName>
    <definedName name="IQRCompsAS154">#REF!</definedName>
    <definedName name="ahf_paid_amt_male_20_44_curr">#REF!</definedName>
    <definedName name="aex_Amb_OON_claimants_00_curr">#REF!</definedName>
    <definedName name="eqvhighblank">#REF!</definedName>
    <definedName name="PERIODIC">#REF!</definedName>
    <definedName name="Dental_preventative_paid_amt_prior">#REF!</definedName>
    <definedName name="Med_par_admit_count_curr">#REF!</definedName>
    <definedName name="Med_paid_amt_unknown_65_over_prior">#REF!</definedName>
    <definedName name="IQRStockChartAF10">#REF!</definedName>
    <definedName name="Med_paid_encounter_other_prior">#REF!</definedName>
    <definedName name="AHF_Med_fund_paid_amt_male_45_64_curr">#REF!</definedName>
    <definedName name="MIT">#REF!</definedName>
    <definedName name="EquityRiskPremium">#REF!</definedName>
    <definedName name="IQRCompsAO183">#REF!</definedName>
    <definedName name="aex_Amb_Tier3_claimants_06_curr">#REF!</definedName>
    <definedName name="adf_total_cr_clm_paid_with_rollover_funds_curr">#REF!</definedName>
    <definedName name="ahf_termed_tier4_cr_claim_paid_with_cr_funds_curr">#REF!</definedName>
    <definedName name="FDP_8_1_aUrv">#REF!</definedName>
    <definedName name="aex_Amb_OON_claimants_19_curr">#REF!</definedName>
    <definedName name="NIYear2A">#REF!</definedName>
    <definedName name="IQRSheet1T4">#REF!</definedName>
    <definedName name="Product_71_members">#REF!</definedName>
    <definedName name="MDC_CD_07">#REF!</definedName>
    <definedName name="FinancialOverviewCurr._3">#REF!</definedName>
    <definedName name="r.Leverage">#REF!</definedName>
    <definedName name="AHF_Med_emp_paid_amt_female_20_44_curr">#REF!</definedName>
    <definedName name="Med_MDC_amb_billed_19_prior">#REF!</definedName>
    <definedName name="BOB_Rx_male_mem_65_over_curr">#REF!</definedName>
    <definedName name="Med_MDC_admits_22_prior">#REF!</definedName>
    <definedName name="Rx_num_members_curr">#REF!</definedName>
    <definedName name="adf_tier4_emp_24_1_spend_curr">#REF!</definedName>
    <definedName name="Medicare_Billed_female_mem_80_84_prior">#REF!</definedName>
    <definedName name="aex_inp_Tier3_paid_amt_16_curr">#REF!</definedName>
    <definedName name="AHF_Med_allowed_amt_female_20_44_curr">#REF!</definedName>
    <definedName name="Med_MDC_days_03_prior">#REF!</definedName>
    <definedName name="ciq_meta_info_1893968efa384ab0814592e273e9e595">#REF!</definedName>
    <definedName name="AHF_Med_fund_paid_amt_unknown_45_64_curr">#REF!</definedName>
    <definedName name="_bdm.074EB0C6AAE811D6B66B0010A4863BD8.edm">#REF!</definedName>
    <definedName name="Med_MDC_days_15_prior">#REF!</definedName>
    <definedName name="aex_Amb_Tier1_claimants_20_curr">#REF!</definedName>
    <definedName name="num_specialty_non_brand_formulary_claims_prior">#REF!</definedName>
    <definedName name="Med_billed_amt_inp_days_prior">#REF!</definedName>
    <definedName name="Med_MDC_amb_paid_11_curr">#REF!</definedName>
    <definedName name="Med_amb_paid_amt_above_threshold_prior">#REF!</definedName>
    <definedName name="ahf_tier1_emp_24_1_spend_curr">#REF!</definedName>
    <definedName name="aex_tier2_utlilization_tot_prior">#REF!</definedName>
    <definedName name="EVCashFlow2">#REF!</definedName>
    <definedName name="___s1">#REF!</definedName>
    <definedName name="ahf_tier2_rollover_pr_year_curr">#REF!</definedName>
    <definedName name="FOV_47_Range">#REF!</definedName>
    <definedName name="adf_termed_tier2_emp_24_1_spend_curr">#REF!</definedName>
    <definedName name="BOB_Dental_network_paid_amt_prior">#REF!</definedName>
    <definedName name="Dental_paid_amt_male_45_64_curr">#REF!</definedName>
    <definedName name="adf_total_emp_0_spend_curr">#REF!</definedName>
    <definedName name="BOB_Med_male_mem_65_over_prior">#REF!</definedName>
    <definedName name="Med_non_facility_network_discount_curr">#REF!</definedName>
    <definedName name="BOB_Med_MDC_inp_paid_01_curr">#REF!</definedName>
    <definedName name="aex_Amb_Tier1_paid_amt_05_curr">#REF!</definedName>
    <definedName name="Aexcel_Prof_Exp_PMPM_Headings">#REF!</definedName>
    <definedName name="aex_Amb_Tier3_claimants_12_curr">#REF!</definedName>
    <definedName name="__123Graph_XCurrent">#REF!</definedName>
    <definedName name="IQRCompsAO140">#REF!</definedName>
    <definedName name="aex_Tier3_Amb_Paid_Amt_curr">#REF!</definedName>
    <definedName name="aex_Amb_OON_claimants_05_curr">#REF!</definedName>
    <definedName name="ahf_total_cr_clm_paid_with_rollover_funds_curr">#REF!</definedName>
    <definedName name="Med_paid_amt_amb_visits_prior">#REF!</definedName>
    <definedName name="DEStart">#REF!</definedName>
    <definedName name="BOB_Med_MDC_amb_paid_04_curr">#REF!</definedName>
    <definedName name="NumEntries">#REF!</definedName>
    <definedName name="ahf_member_cnt_female_45_64_curr">#REF!</definedName>
    <definedName name="Dental_female_mem_20_44_prior">#REF!</definedName>
    <definedName name="AHF_Med_count_amb_curr">#REF!</definedName>
    <definedName name="_MUM16">#REF!</definedName>
    <definedName name="DebtA">#REF!</definedName>
    <definedName name="_bdm.A00643E6A705476084A5F584F5934ED2.edm">#REF!</definedName>
    <definedName name="__IntlFixupTable">#REF!</definedName>
    <definedName name="RepurchShares">#REF!</definedName>
    <definedName name="aex_Amb_OON_claimants_04_curr">#REF!</definedName>
    <definedName name="Medic_female_mem_70_74_prior">#REF!</definedName>
    <definedName name="aex_Tier1_paid_amt_er_visits_curr">#REF!</definedName>
    <definedName name="Med_MDC_paid_15_curr">#REF!</definedName>
    <definedName name="BID">#REF!</definedName>
    <definedName name="HPD_bob_prevalence_coronary_artery_disease_curr">#REF!</definedName>
    <definedName name="Med_billed_amt_amb_surgeries_prior">#REF!</definedName>
    <definedName name="aex_Amb_Tier3_claimants_13_curr">#REF!</definedName>
    <definedName name="FDP_75_1_aUrv">#REF!</definedName>
    <definedName name="CurrentRatio">#REF!</definedName>
    <definedName name="Med_MDC_inp_billed_14_prior">#REF!</definedName>
    <definedName name="FDP_112_1_aUrv">#REF!</definedName>
    <definedName name="gpi_name_class_M_prior">#REF!</definedName>
    <definedName name="AHF_Med_amb_paid_amt_curr">#REF!</definedName>
    <definedName name="dental_freq_limit_in_network_prior">#REF!</definedName>
    <definedName name="Med_MDC_inp_paid_15_curr">#REF!</definedName>
    <definedName name="sum_awp_amt_mac_retail_prior">#REF!</definedName>
    <definedName name="Med_MDC_paid_21_prior">#REF!</definedName>
    <definedName name="Med_MDC_billed_21_prior">#REF!</definedName>
    <definedName name="BOB_Med_MDC_amb_paid_22_curr">#REF!</definedName>
    <definedName name="aex_inp_Tier3_days_15_curr">#REF!</definedName>
    <definedName name="BOB_Rx_unknown_mem_0_19_curr">#REF!</definedName>
    <definedName name="Med_billed_amt_mental_health_prior">#REF!</definedName>
    <definedName name="SynYear1">#REF!</definedName>
    <definedName name="FDP_168_1_aDrv">#REF!</definedName>
    <definedName name="aex_Amb_OON_paid_amt_18_curr">#REF!</definedName>
    <definedName name="LowDate">#REF!</definedName>
    <definedName name="BOB_Med_MDC_admits_10_curr">#REF!</definedName>
    <definedName name="FDP_161_1_aSrv">#REF!</definedName>
    <definedName name="sum_svc_copay_amt_non_mac_specialty_curr">#REF!</definedName>
    <definedName name="ahf_tier4_emp_24_1_spend_curr">#REF!</definedName>
    <definedName name="aex_inp_OON_admits_15_curr">#REF!</definedName>
    <definedName name="_bdm.EE441CC69CEF4660810C0AB76C9F170F.edm">#REF!</definedName>
    <definedName name="BOB_Med_paid_amt_inp_days_prior">#REF!</definedName>
    <definedName name="Med_MDC_cd_08_prior">#REF!</definedName>
    <definedName name="amt">#REF!</definedName>
    <definedName name="toc_correct_report_name">#REF!</definedName>
    <definedName name="gpi_name_class_K_prior">#REF!</definedName>
    <definedName name="report_id">#REF!</definedName>
    <definedName name="sum_paid_class_N_curr">#REF!</definedName>
    <definedName name="dent_net_avg_sub_charges_ppo_max_out_ntwk_curr">#REF!</definedName>
    <definedName name="Median2">#REF!</definedName>
    <definedName name="Med_paid_amt_inp_days_prior">#REF!</definedName>
    <definedName name="sum_calcing_cost_amt_non_mac_mod_curr">#REF!</definedName>
    <definedName name="Medic_female_mem_0_64_curr">#REF!</definedName>
    <definedName name="ahf_termed_tier2_emp_99_75_spend_curr">#REF!</definedName>
    <definedName name="aex_Amb_Tier2_claimants_06_curr">#REF!</definedName>
    <definedName name="aex_inp_Tier2_admits_21_curr">#REF!</definedName>
    <definedName name="Rx_AHF_male_mem_45_64_prior">#REF!</definedName>
    <definedName name="util_mem_female_20_44_prior">#REF!</definedName>
    <definedName name="Med_MDC_paid_22_prior">#REF!</definedName>
    <definedName name="Rx_male_mem_45_64_prior">#REF!</definedName>
    <definedName name="DaysPay">#REF!</definedName>
    <definedName name="ahf_total_rollover_fund_remaining_curr">#REF!</definedName>
    <definedName name="_EPS99">#REF!</definedName>
    <definedName name="BOB_Med_claim_count_above_threshold_curr">#REF!</definedName>
    <definedName name="dental_children_in_network_prior">#REF!</definedName>
    <definedName name="Medicare_Billed_male_mem_70_74_prior">#REF!</definedName>
    <definedName name="Med_MDC_billed_23_curr">#REF!</definedName>
    <definedName name="AHF_Med_fund_paid_amt_female_0_19_prior">#REF!</definedName>
    <definedName name="aex_Tier3_Util_radiology_services_curr">#REF!</definedName>
    <definedName name="aex_inp_Tier2_days_02_curr">#REF!</definedName>
    <definedName name="adf_total_Incentive_fund_earned_curr">#REF!</definedName>
    <definedName name="_MUM20">#REF!</definedName>
    <definedName name="adf_tier3_cr_year_initial_fund_curr">#REF!</definedName>
    <definedName name="aex_Tier3_Util_med_rx_curr">#REF!</definedName>
    <definedName name="AHF_Med_months_curr">#REF!</definedName>
    <definedName name="Low_Threshold">#REF!</definedName>
    <definedName name="aex_inp_Tier3_paid_amt_02_curr">#REF!</definedName>
    <definedName name="BOB_Med_MDC_admits_18_curr">#REF!</definedName>
    <definedName name="adf_term_emp_plus_1_fund_paid_curr">#REF!</definedName>
    <definedName name="Med_MDC_cd_11_curr">#REF!</definedName>
    <definedName name="Dental_paid_amt_prior">#REF!</definedName>
    <definedName name="aex_Tier3_Util_off_surgeries_curr">#REF!</definedName>
    <definedName name="__MUM29">#REF!</definedName>
    <definedName name="AHF_Med_claim_count_total_prior">#REF!</definedName>
    <definedName name="Med_MDC_days_10_prior">#REF!</definedName>
    <definedName name="rngPWD">#REF!</definedName>
    <definedName name="adf_total_emp_24_1_spend_curr">#REF!</definedName>
    <definedName name="Dental_unknown_members_curr">#REF!</definedName>
    <definedName name="EPSLTMC">#REF!</definedName>
    <definedName name="Product_58_members">#REF!</definedName>
    <definedName name="BOB_Med_paid_amt_lab_serv_curr">#REF!</definedName>
    <definedName name="__123Graph_LBL_APRINCIPAL">#REF!</definedName>
    <definedName name="Med_billed_amt_inp_surgeries_curr">#REF!</definedName>
    <definedName name="BOB_Med_MDC_paid_22_curr">#REF!</definedName>
    <definedName name="Prem5">#REF!</definedName>
    <definedName name="AHF_Med_count_medical_misc_curr">#REF!</definedName>
    <definedName name="FDP_145_1_aUrv">#REF!</definedName>
    <definedName name="OtherRiskPremium">#REF!</definedName>
    <definedName name="dent_sav_frm_negot_arrangements_ppo_out_ntwk_curr">#REF!</definedName>
    <definedName name="Med_MDC_paid_16_curr">#REF!</definedName>
    <definedName name="Product_55_delete_prior">#REF!</definedName>
    <definedName name="Dental_cost_share_allowed_amt_prior">#REF!</definedName>
    <definedName name="dent_tot_services_aetna_spec_ntwk_curr">#REF!</definedName>
    <definedName name="__MUM23">#REF!</definedName>
    <definedName name="Med_MDC_admits_19_curr">#REF!</definedName>
    <definedName name="ciq_meta_info_e9b5829eec9a4e8baf7c928b2c2c4e1c">#REF!</definedName>
    <definedName name="Med_MDC_inp_billed_20_prior">#REF!</definedName>
    <definedName name="ahf_tier3_Incentive_fund_earned_curr">#REF!</definedName>
    <definedName name="ADYear2">#REF!</definedName>
    <definedName name="GOITALONE">#REF!</definedName>
    <definedName name="Med_MDC_amb_paid_07_prior">#REF!</definedName>
    <definedName name="StopLightingImpactCat">#REF!</definedName>
    <definedName name="BOB_num_non_formulary_claims_curr">#REF!</definedName>
    <definedName name="NILTMT">#REF!</definedName>
    <definedName name="_bdm.196E2C1A7BD14EB9BA42E1F187F09491.edm">#REF!</definedName>
    <definedName name="IQRCompsAW140">#REF!</definedName>
    <definedName name="BOB_Dental_preventative_paid_amt_curr">#REF!</definedName>
    <definedName name="PretaxItems1">#REF!</definedName>
    <definedName name="Pr_summary">#REF!</definedName>
    <definedName name="Med_MDC_inp_paid_09_prior">#REF!</definedName>
    <definedName name="BLPH5">#REF!</definedName>
    <definedName name="Trend_Analysis_Dental_Range">#REF!</definedName>
    <definedName name="Med_MDC_amb_billed_00_prior">#REF!</definedName>
    <definedName name="BOB_Med_inp_surgery_count_prior">#REF!</definedName>
    <definedName name="Med_count_amb_visits_curr">#REF!</definedName>
    <definedName name="Product_04_delete_prior">#REF!</definedName>
    <definedName name="Dental_avg_age_members_curr">#REF!</definedName>
    <definedName name="SharesYear1A">#REF!</definedName>
    <definedName name="Med_MDC_days_13_curr">#REF!</definedName>
    <definedName name="BOB_Med_unknown_mem_45_64_prior">#REF!</definedName>
    <definedName name="CapA">#REF!</definedName>
    <definedName name="Med_MDC_admits_06_curr">#REF!</definedName>
    <definedName name="__MUM1">#REF!</definedName>
    <definedName name="adf_tier3_emp_99_75_spend_curr">#REF!</definedName>
    <definedName name="aex_inp_Tier3_admits_01_curr">#REF!</definedName>
    <definedName name="aex_inp_Tier1_admits_19_curr">#REF!</definedName>
    <definedName name="AHF_Med_paid_amt_home_health_curr">#REF!</definedName>
    <definedName name="Pay_Num">#REF!</definedName>
    <definedName name="ip_mdc_na_bob_column1">#REF!</definedName>
    <definedName name="num_mod_generic_claims_prior">#REF!</definedName>
    <definedName name="Med_MDC_admits_17_curr">#REF!</definedName>
    <definedName name="dental_basic_in_network_curr">#REF!</definedName>
    <definedName name="Med_MDC_billed_18_prior">#REF!</definedName>
    <definedName name="util_mem_female_45_64_prior">#REF!</definedName>
    <definedName name="OtherLabel1">#REF!</definedName>
    <definedName name="sum_retail_brand_formulary_plan_paid_amt_curr">#REF!</definedName>
    <definedName name="ahf_bnft_plan_paid_amt_unknown_65_over_curr">#REF!</definedName>
    <definedName name="adf_total_termd_Incentive_fund_earned_curr">#REF!</definedName>
    <definedName name="Med_count_lab_serv_prior">#REF!</definedName>
    <definedName name="ahf_tier1_cr_year_initial_fund_curr">#REF!</definedName>
    <definedName name="aex_Tier1_paid_amt_lab_services_curr">#REF!</definedName>
    <definedName name="SARPrice">#REF!</definedName>
    <definedName name="Med_MDC_admits_22_curr">#REF!</definedName>
    <definedName name="Med_MDC_paid_19_curr">#REF!</definedName>
    <definedName name="FDP_26_1_aUrv">#REF!</definedName>
    <definedName name="Dental_network_discount_other_prior">#REF!</definedName>
    <definedName name="Dental_male_mem_20_44_curr">#REF!</definedName>
    <definedName name="sum_retail_generic_copay_amt_curr">#REF!</definedName>
    <definedName name="dental_tot_mbr_type_in_network_prior">#REF!</definedName>
    <definedName name="aex_Amb_Tier2_paid_amt_08_curr">#REF!</definedName>
    <definedName name="dental_major_out_network_prior">#REF!</definedName>
    <definedName name="aex_inp_Tier2_paid_amt_02_curr">#REF!</definedName>
    <definedName name="FOV_76_Range">#REF!</definedName>
    <definedName name="BOB_Med_MDC_amb_paid_07_curr">#REF!</definedName>
    <definedName name="Dental_network_discount_other_curr">#REF!</definedName>
    <definedName name="BH_BOB_Med_male_mem_0_19_curr">#REF!</definedName>
    <definedName name="util_mem_male_0_19_prior">#REF!</definedName>
    <definedName name="adf_tier3_emp_0_spend_curr">#REF!</definedName>
    <definedName name="impact_na_range1">#REF!</definedName>
    <definedName name="Med_paid_amt_inp_surgeries_curr">#REF!</definedName>
    <definedName name="Med_MDC_inp_paid_09_curr">#REF!</definedName>
    <definedName name="EBITDAInt">#REF!</definedName>
    <definedName name="FDP_56_1_aUrv">#REF!</definedName>
    <definedName name="Footnote4">#REF!</definedName>
    <definedName name="hn.YearLabel">#REF!</definedName>
    <definedName name="SARs">#REF!</definedName>
    <definedName name="DebtC">#REF!</definedName>
    <definedName name="AHF_Med_fund_paid_amt_rad_curr">#REF!</definedName>
    <definedName name="aex_Amb_Tier3_paid_amt_03_curr">#REF!</definedName>
    <definedName name="Med_MDC_admits_14_prior">#REF!</definedName>
    <definedName name="aex_Amb_Tier3_claimants_20_curr">#REF!</definedName>
    <definedName name="Medical_Catastrophic_Current_Range">#REF!</definedName>
    <definedName name="Med_er_visits_count_curr">#REF!</definedName>
    <definedName name="aex_inp_Tier2_admits_12_curr">#REF!</definedName>
    <definedName name="ahf_tier3_emp_74_50_spend_curr">#REF!</definedName>
    <definedName name="generic_curr">#REF!</definedName>
    <definedName name="Medic_female_mem_65_69_curr">#REF!</definedName>
    <definedName name="num_rx_claims_brand_specialty_prior">#REF!</definedName>
    <definedName name="p.IRR">#REF!</definedName>
    <definedName name="page9">#REF!</definedName>
    <definedName name="Med_MDC_claimants_02_curr">#REF!</definedName>
    <definedName name="aex_OON_Util_med_rx_curr">#REF!</definedName>
    <definedName name="Product_70_delete_prior">#REF!</definedName>
    <definedName name="PriceT">#REF!</definedName>
    <definedName name="aex_inp_Tier1_paid_amt_02_curr">#REF!</definedName>
    <definedName name="__key3">#REF!</definedName>
    <definedName name="aex_OON_Util_amb_visits_curr">#REF!</definedName>
    <definedName name="FDP_181_1_aUrv">#REF!</definedName>
    <definedName name="ahf_calc_ing_cost_amt_male_0_19_curr">#REF!</definedName>
    <definedName name="Med_MDC_inp_paid_20_prior">#REF!</definedName>
    <definedName name="Med_MDC_amb_paid_22_curr">#REF!</definedName>
    <definedName name="dental_dup_bills_out_network_curr">#REF!</definedName>
    <definedName name="Med_paid_amt_unknown_0_19_curr">#REF!</definedName>
    <definedName name="adf_tier3_emp_100_spend_curr">#REF!</definedName>
    <definedName name="num_rx_claims_brand_retail_curr">#REF!</definedName>
    <definedName name="Rx_Top_30_Drugs_by_Paid_Range">#REF!</definedName>
    <definedName name="Product_74_delete_prior">#REF!</definedName>
    <definedName name="Med_claim_count_male_20_44_prior">#REF!</definedName>
    <definedName name="Product_75_members">#REF!</definedName>
    <definedName name="aex_Tier2_Util_misc_med_curr">#REF!</definedName>
    <definedName name="Cust_Spec_Ntwk_Exp_PPO_Max_Net_Avg_Sub_Charges">#REF!</definedName>
    <definedName name="Med_unknown_members_curr">#REF!</definedName>
    <definedName name="BOB_Rx_male_members_curr">#REF!</definedName>
    <definedName name="aex_inp_OON_days_20_curr">#REF!</definedName>
    <definedName name="Rx_AHF_female_mem_20_44_curr">#REF!</definedName>
    <definedName name="Med_MDC_billed_00_curr">#REF!</definedName>
    <definedName name="aex_tier2_utlilization_tot_curr">#REF!</definedName>
    <definedName name="Med_MDC_amb_billed_00_curr">#REF!</definedName>
    <definedName name="SI_Rx_Key_Stats_Demographics_Header_June_08">#REF!</definedName>
    <definedName name="Rx_AHF_num_members_prior">#REF!</definedName>
    <definedName name="aex_inp_Tier2_days_12_curr">#REF!</definedName>
    <definedName name="gpi_name_class_F_prior">#REF!</definedName>
    <definedName name="Dental_num_members_prior">#REF!</definedName>
    <definedName name="dental_tot_ben_cat_in_network_curr">#REF!</definedName>
    <definedName name="XRefPaste7Row">#REF!</definedName>
    <definedName name="dental_coinsurance_copay_out_network_prior">#REF!</definedName>
    <definedName name="_PFY3">#REF!</definedName>
    <definedName name="MDC_Range_I8">#REF!</definedName>
    <definedName name="SharesLTMA">#REF!</definedName>
    <definedName name="aex_inp_Tier1_days_18_curr">#REF!</definedName>
    <definedName name="Med_count_office_surgeries_prior">#REF!</definedName>
    <definedName name="Dental_num_employees_curr">#REF!</definedName>
    <definedName name="Med_MDC_billed_07_prior">#REF!</definedName>
    <definedName name="Med_claim_count_male_65_over_curr">#REF!</definedName>
    <definedName name="RevA">#REF!</definedName>
    <definedName name="aex_Amb_Tier2_paid_amt_15_curr">#REF!</definedName>
    <definedName name="DebtPrice2">#REF!</definedName>
    <definedName name="Med_MDC_amb_billed_12_curr">#REF!</definedName>
    <definedName name="Dental_female_mem_65_over_curr">#REF!</definedName>
    <definedName name="sum_mod_generic_plan_paid_amt_prior">#REF!</definedName>
    <definedName name="BOB_Med_MDC_cd_06_curr">#REF!</definedName>
    <definedName name="sum_calcing_cost_amt_brand_retail_curr">#REF!</definedName>
    <definedName name="FI_EXEC_SUMMARY_RANGE_ROW66_ROW73">#REF!</definedName>
    <definedName name="aex_OON_paid_amt_off_surgeries_curr">#REF!</definedName>
    <definedName name="AHF_Med_surgery_count_curr">#REF!</definedName>
    <definedName name="Options">#REF!</definedName>
    <definedName name="ahf_term_total_fund_paid_curr">#REF!</definedName>
    <definedName name="IncEndDateCurr">#REF!</definedName>
    <definedName name="aex_inp_Tier1_paid_amt_07_curr">#REF!</definedName>
    <definedName name="Check_For_Capitation_Product">#REF!</definedName>
    <definedName name="aex_Amb_Tier2_claimants_09_curr">#REF!</definedName>
    <definedName name="AHF_Med_male_mem_45_64_prior">#REF!</definedName>
    <definedName name="DLDate01">#REF!</definedName>
    <definedName name="Dental_cost_share_coins_amt_curr">#REF!</definedName>
    <definedName name="Dental_paid_amt_unknown_0_19_curr">#REF!</definedName>
    <definedName name="Rx_female_mem_0_19_prior">#REF!</definedName>
    <definedName name="num_retail_brand_formulary_claims_curr">#REF!</definedName>
    <definedName name="Med_MDC_cd_01_curr">#REF!</definedName>
    <definedName name="ahf_member_cnt_male_45_64_curr">#REF!</definedName>
    <definedName name="FDP_37_1_aUrv">#REF!</definedName>
    <definedName name="sum_mod_prof_fee_amt_curr">#REF!</definedName>
    <definedName name="Product_48_members">#REF!</definedName>
    <definedName name="IQRCompsS140">#REF!</definedName>
    <definedName name="AHF_Med_allowed_amt_male_45_64_curr">#REF!</definedName>
    <definedName name="Med_MDC_cd_06_curr">#REF!</definedName>
    <definedName name="aex_inp_Tier1_days_19_curr">#REF!</definedName>
    <definedName name="AHF_Med_male_members_prior">#REF!</definedName>
    <definedName name="hpd_cr_delete_paid_columns">#REF!</definedName>
    <definedName name="Med_unknown_mem_45_64_prior">#REF!</definedName>
    <definedName name="aex_inp_OON_days_03_curr">#REF!</definedName>
    <definedName name="AHF_Med_emp_paid_amt_female_0_19_prior">#REF!</definedName>
    <definedName name="ea">#REF!</definedName>
    <definedName name="BOB_Med_MDC_amb_paid_999_curr">#REF!</definedName>
    <definedName name="BOB_Med_MDC_amb_paid_10_curr">#REF!</definedName>
    <definedName name="GrossMargin">#REF!</definedName>
    <definedName name="aex_Amb_OON_claimants_24_curr">#REF!</definedName>
    <definedName name="Med_MDC_amb_billed_21_prior">#REF!</definedName>
    <definedName name="Med_MDC_amb_paid_14_prior">#REF!</definedName>
    <definedName name="BOB_Rx_unknown_mem_65_over_curr">#REF!</definedName>
    <definedName name="FYE">#REF!</definedName>
    <definedName name="aex_inp_Tier1_days_15_curr">#REF!</definedName>
    <definedName name="AHF_Med_count_rad_curr">#REF!</definedName>
    <definedName name="Med_amb_network_discount_prior">#REF!</definedName>
    <definedName name="Rx_AHF_unknown_members_prior">#REF!</definedName>
    <definedName name="aex_inp_OON_admits_02_curr">#REF!</definedName>
    <definedName name="FDP_84_1_aUrv">#REF!</definedName>
    <definedName name="DebtCap2">#REF!</definedName>
    <definedName name="ahf_bnft_plan_paid_amt_unknown_20_44_curr">#REF!</definedName>
    <definedName name="_Low2">#REF!</definedName>
    <definedName name="Rx_num_members_prior">#REF!</definedName>
    <definedName name="_bdm.76CB26C38BD6425B8EF13D4F9F050D8C.edm">#REF!</definedName>
    <definedName name="FDP_195_1_aUdv">#REF!</definedName>
    <definedName name="dent_sav_frm_negot_arrangements_ppo_out_ntwk_prior">#REF!</definedName>
    <definedName name="BOB_Med_par_paid_amt_curr">#REF!</definedName>
    <definedName name="EBITC">#REF!</definedName>
    <definedName name="FDP_39_1_aSrv">#REF!</definedName>
    <definedName name="ahf_rx_num_unique_mem_id_curr">#REF!</definedName>
    <definedName name="ConvDebt1">#REF!</definedName>
    <definedName name="LTM">#REF!</definedName>
    <definedName name="dent_net_avg_sub_charges_ppo_cust_spec_ntwk_curr">#REF!</definedName>
    <definedName name="aex_inp_OON_paid_amt_19_curr">#REF!</definedName>
    <definedName name="HPD_bob_prevalence_heart_failure_curr">#REF!</definedName>
    <definedName name="BOB_Med_MDC_paid_12_curr">#REF!</definedName>
    <definedName name="DeferredTaxes">#REF!</definedName>
    <definedName name="sum_retail_brand_formulary_paid_amt_curr">#REF!</definedName>
    <definedName name="dental_coinsurance_copay_in_network_curr">#REF!</definedName>
    <definedName name="SIC">#REF!</definedName>
    <definedName name="dental_dup_bills_out_network_prior">#REF!</definedName>
    <definedName name="FDP_129_1_aUrv">#REF!</definedName>
    <definedName name="adf_tier4_cr_fund_remaining_curr">#REF!</definedName>
    <definedName name="Product_10_members">#REF!</definedName>
    <definedName name="_MUM17">#REF!</definedName>
    <definedName name="Med_MDC_paid_08_curr">#REF!</definedName>
    <definedName name="adf_act_emp_plus_2_fund_paid_curr">#REF!</definedName>
    <definedName name="IQRTelecomCompTemplateW54">#REF!</definedName>
    <definedName name="TSynLTM">#REF!</definedName>
    <definedName name="Med_amb_billed_amt_prior">#REF!</definedName>
    <definedName name="FDP_14_1_aDrv">#REF!</definedName>
    <definedName name="Med_MDC_inp_billed_23_curr">#REF!</definedName>
    <definedName name="BOB_Dental_basic_svcs_prior">#REF!</definedName>
    <definedName name="HPD_bob_prevalence_heart_failure_prior">#REF!</definedName>
    <definedName name="BH_BOB_Rx_avg_age_members_curr">#REF!</definedName>
    <definedName name="BOB_Med_MDC_inp_paid_15_curr">#REF!</definedName>
    <definedName name="_MUM6">#REF!</definedName>
    <definedName name="Med_MDC_days_12_curr">#REF!</definedName>
    <definedName name="IQRMediaCompTemplate2V43">#REF!</definedName>
    <definedName name="TSynYear2">#REF!</definedName>
    <definedName name="FDP_76_1_aDrv">#REF!</definedName>
    <definedName name="num_formulary_claims_prior">#REF!</definedName>
    <definedName name="BOB_Med_MDC_paid_14_curr">#REF!</definedName>
    <definedName name="_bdm.0B5E4A07F78E4E3E923312BD37FD77A2.edm">#REF!</definedName>
    <definedName name="sum_awp_amt_brand_retail_prior">#REF!</definedName>
    <definedName name="Med_inp_surgery_count_curr">#REF!</definedName>
    <definedName name="FinancialOverviewCurr._7">#REF!</definedName>
    <definedName name="Med_MDC_inp_paid_00_curr">#REF!</definedName>
    <definedName name="FDP_21_1_aDrv">#REF!</definedName>
    <definedName name="dent_sav_frm_negot_arrangements_ppo_max_aetna_spec_ntwk_curr">#REF!</definedName>
    <definedName name="Med_count_office_surgeries_curr">#REF!</definedName>
    <definedName name="Med_count_amb_surgeries_curr">#REF!</definedName>
    <definedName name="Med_phys_office_visits_count_prior">#REF!</definedName>
    <definedName name="BOB_Med_MDC_cd_999_curr">#REF!</definedName>
    <definedName name="sum_retail_non_brand_formulary_paid_amt_prior">#REF!</definedName>
    <definedName name="ExcessCash">#REF!</definedName>
    <definedName name="Med_par_paid_amt_curr">#REF!</definedName>
    <definedName name="ciq_meta_info_42dd16ce731e456fb423173ab8d80af3">#REF!</definedName>
    <definedName name="BOB_Rx_female_mem_45_64_curr">#REF!</definedName>
    <definedName name="adf_termed_tier1_emp_74_50_spend_curr">#REF!</definedName>
    <definedName name="BOB_Rx_unknown_mem_65_over_prior">#REF!</definedName>
    <definedName name="adf_tier3_emp_74_50_spend_curr">#REF!</definedName>
    <definedName name="aex_inp_Tier3_admits_21_curr">#REF!</definedName>
    <definedName name="adf_termed_tier3_emp_100_spend_curr">#REF!</definedName>
    <definedName name="Med_MDC_amb_billed_16_curr">#REF!</definedName>
    <definedName name="BOB_Med_MDC_cd_07_curr">#REF!</definedName>
    <definedName name="Med_MDC_amb_billed_01_curr">#REF!</definedName>
    <definedName name="Med_MDC_admits_17_prior">#REF!</definedName>
    <definedName name="aex_Amb_Tier1_paid_amt_23_curr">#REF!</definedName>
    <definedName name="Price">#REF!</definedName>
    <definedName name="FDP_281_1_aSrv">#REF!</definedName>
    <definedName name="Med_phys_office_visits_count_curr">#REF!</definedName>
    <definedName name="BOB_Rx_male_members_prior">#REF!</definedName>
    <definedName name="AHF_Med_fund_paid_amt_female_0_19_curr">#REF!</definedName>
    <definedName name="Medicare_Billed_male_mem_70_74_curr">#REF!</definedName>
    <definedName name="Dental_key_results_network_paid_amt_prior">#REF!</definedName>
    <definedName name="num_claims_class_R_prior">#REF!</definedName>
    <definedName name="ahf_termed_tier4_emp_0_spend_curr">#REF!</definedName>
    <definedName name="RevenueGrowth">#REF!</definedName>
    <definedName name="Medic_male_mem_65_69_prior">#REF!</definedName>
    <definedName name="sum_salestax_amt_non_mac_mod_prior">#REF!</definedName>
    <definedName name="Med_paid_amt_home_health_curr">#REF!</definedName>
    <definedName name="aex_inp_Tier1_admits_01_curr">#REF!</definedName>
    <definedName name="num_util_members_class_OTHER_curr">#REF!</definedName>
    <definedName name="sum_calcing_cost_amt_non_mac_retail_curr">#REF!</definedName>
    <definedName name="BOB_Med_MDC_cd_19_curr">#REF!</definedName>
    <definedName name="BH_BOB_Med_num_members_curr">#REF!</definedName>
    <definedName name="BOB_Med_admit_count_curr">#REF!</definedName>
    <definedName name="Med_MDC_days_00_curr">#REF!</definedName>
    <definedName name="paid_male_65_over_curr">#REF!</definedName>
    <definedName name="Product_13_delete_prior">#REF!</definedName>
    <definedName name="ahf_total_Incentive_fund_earned_curr">#REF!</definedName>
    <definedName name="TransferTo">#REF!</definedName>
    <definedName name="sum_retail_non_brand_formulary_paid_amt_curr">#REF!</definedName>
    <definedName name="sum_brand_multisource_paid_amt_prior">#REF!</definedName>
    <definedName name="FDP_32_1_aUrv">#REF!</definedName>
    <definedName name="ahf_total_termd_tot_fund_available_curr">#REF!</definedName>
    <definedName name="BOB_Med_MDC_cd_00_curr">#REF!</definedName>
    <definedName name="BOB_Med_MDC_claimants_10_curr">#REF!</definedName>
    <definedName name="num_util_members_class_G_prior">#REF!</definedName>
    <definedName name="ResearchSource">#REF!</definedName>
    <definedName name="Aetna_Spec_Ntwk_Exp_PPO_Sav_Neg_Arrang">#REF!</definedName>
    <definedName name="BOB_Med_coinsurance_amt_prior">#REF!</definedName>
    <definedName name="BOB_Med_paid_amt_rad_serv_curr">#REF!</definedName>
    <definedName name="Dental_male_mem_0_19_prior">#REF!</definedName>
    <definedName name="ahf_member_cnt_total_0_19_curr">#REF!</definedName>
    <definedName name="Med_count_spec_office_visits_prior">#REF!</definedName>
    <definedName name="BOB_Med_male_mem_20_44_prior">#REF!</definedName>
    <definedName name="BOB_Dental_deductible_amt_prior">#REF!</definedName>
    <definedName name="HPD_paid_amt_heart_failure_curr">#REF!</definedName>
    <definedName name="ItemLabel2">#REF!</definedName>
    <definedName name="Remove_Dental_Combined_Section_Check">#REF!</definedName>
    <definedName name="Med_MDC_inp_billed_05_curr">#REF!</definedName>
    <definedName name="aex_Tier1_Paid_Amt_curr">#REF!</definedName>
    <definedName name="Med_MDC_amb_billed_13_prior">#REF!</definedName>
    <definedName name="adf_tier1_rollover_pr_year_curr">#REF!</definedName>
    <definedName name="Product_54_delete_prior">#REF!</definedName>
    <definedName name="BOB_sum_cross_brand_paid_amt_curr">#REF!</definedName>
    <definedName name="Product_53_delete_prior">#REF!</definedName>
    <definedName name="FI_Demographics_Medical_Range">#REF!</definedName>
    <definedName name="Med_billed_amt_female_0_19_curr">#REF!</definedName>
    <definedName name="aex_OON_Util_lab_services_curr">#REF!</definedName>
    <definedName name="PriceA">#REF!</definedName>
    <definedName name="aex_Amb_Tier2_paid_amt_23_curr">#REF!</definedName>
    <definedName name="FI_EXEC_SUMMARY_RANGE_ROW7_ROW73">#REF!</definedName>
    <definedName name="adf_termed_tier2_rollover_pr_year_curr">#REF!</definedName>
    <definedName name="Med_MDC_days_03_curr">#REF!</definedName>
    <definedName name="aex_Tier2_paid_amt_off_surgeries_curr">#REF!</definedName>
    <definedName name="Rx_Demographics_Range">#REF!</definedName>
    <definedName name="Med_amb_billed_amt_curr">#REF!</definedName>
    <definedName name="AHF_Med_paid_amt_inp_curr">#REF!</definedName>
    <definedName name="Dental_major_paid_amt_prior">#REF!</definedName>
    <definedName name="_Low9">#REF!</definedName>
    <definedName name="Med_MDC_admits_21_curr">#REF!</definedName>
    <definedName name="adf_total_termd_emp_0_spend_curr">#REF!</definedName>
    <definedName name="CurrentDate">#REF!</definedName>
    <definedName name="Med_MDC_amb_billed_12_prior">#REF!</definedName>
    <definedName name="Cust_Spec_Ntwk_Exp_PPO_Net_Avg_Sub_Charges">#REF!</definedName>
    <definedName name="MDC_Range_L9_M33">#REF!</definedName>
    <definedName name="aex_inp_Tier3_paid_amt_17_curr">#REF!</definedName>
    <definedName name="dent_sav_frm_negot_arrangements_ppo_aetna_ppo_ntwk_curr">#REF!</definedName>
    <definedName name="hpd_bob_prevalence">#REF!</definedName>
    <definedName name="aex_Amb_Tier2_claimants_04_curr">#REF!</definedName>
    <definedName name="Med_MDC_claimants_11_curr">#REF!</definedName>
    <definedName name="aex_Tier2_Paid_Amt_curr">#REF!</definedName>
    <definedName name="BOB_Med_paid_amt_spec_office_visits_curr">#REF!</definedName>
    <definedName name="dental_other_in_network_prior">#REF!</definedName>
    <definedName name="aex_inp_Tier3_admits_19_curr">#REF!</definedName>
    <definedName name="Med_MDC_cd_21_prior">#REF!</definedName>
    <definedName name="Medic_male_mem_80_84_curr">#REF!</definedName>
    <definedName name="Rx_AHF_male_members_prior">#REF!</definedName>
    <definedName name="aex_inp_Tier2_paid_amt_16_curr">#REF!</definedName>
    <definedName name="aex_Amb_Tier1_claimants_16_curr">#REF!</definedName>
    <definedName name="aex_Amb_Tier2_claimants_24_curr">#REF!</definedName>
    <definedName name="aex_Tier3_Inp_Paid_Amt_curr">#REF!</definedName>
    <definedName name="MDC_CD_14">#REF!</definedName>
    <definedName name="Med_claim_count_male_45_64_curr">#REF!</definedName>
    <definedName name="_bdm.2A5234D8A73011D6B6510010A48BFF38.edm">#REF!</definedName>
    <definedName name="Med_inp_network_discount_curr">#REF!</definedName>
    <definedName name="Med_count_med_visits_curr">#REF!</definedName>
    <definedName name="aex_inp_Tier3_admits_12_curr">#REF!</definedName>
    <definedName name="aex_Amb_OON_claimants_15_curr">#REF!</definedName>
    <definedName name="HPD_number_claimants_other_curr">#REF!</definedName>
    <definedName name="BH_BOB_Rx_unknown_mem_0_19_curr">#REF!</definedName>
    <definedName name="Med_MDC_amb_paid_06_curr">#REF!</definedName>
    <definedName name="Inventories">#REF!</definedName>
    <definedName name="sort_product">#REF!</definedName>
    <definedName name="num_gen_subst_claims_prior">#REF!</definedName>
    <definedName name="Med_claim_count_unknown_0_19_prior">#REF!</definedName>
    <definedName name="BOB_Med_MDC_inp_paid_17_curr">#REF!</definedName>
    <definedName name="adf_tier4_tot_fund_available_curr">#REF!</definedName>
    <definedName name="Med_MDC_claimants_18_curr">#REF!</definedName>
    <definedName name="BH_BOB_Med_male_members_curr">#REF!</definedName>
    <definedName name="ahf_termed_tier1_emp_0_spend_curr">#REF!</definedName>
    <definedName name="gpi_name_class_J_prior">#REF!</definedName>
    <definedName name="Med_MDC_inp_billed_18_prior">#REF!</definedName>
    <definedName name="adf_tier1_cr_clm_paid_with_rollover_funds_curr">#REF!</definedName>
    <definedName name="BOB_Med_MDC_paid_00_curr">#REF!</definedName>
    <definedName name="CapC">#REF!</definedName>
    <definedName name="dental_preventive_in_network_curr">#REF!</definedName>
    <definedName name="Med_billed_amt_prim_off_visits_prior">#REF!</definedName>
    <definedName name="aex_inp_Tier2_paid_amt_24_curr">#REF!</definedName>
    <definedName name="Product_Check">#REF!</definedName>
    <definedName name="HPD_total_population_prior">#REF!</definedName>
    <definedName name="aex_Tier2_Util_radiology_services_curr">#REF!</definedName>
    <definedName name="ciq_meta_info_0c91374f33694252aa0012855ff292e4">#REF!</definedName>
    <definedName name="aex_inp_OON_admits_11_curr">#REF!</definedName>
    <definedName name="Med_paid_amt_er_visits_prior">#REF!</definedName>
    <definedName name="Med_billed_amt_med_visits_curr">#REF!</definedName>
    <definedName name="BOB_Med_threshold_curr">#REF!</definedName>
    <definedName name="FDP_9_1_aSrv">#REF!</definedName>
    <definedName name="Med_MDC_admits_04_curr">#REF!</definedName>
    <definedName name="BOB_Med_male_mem_45_64_prior">#REF!</definedName>
    <definedName name="aex_inp_OON_paid_amt_03_curr">#REF!</definedName>
    <definedName name="BOB_Med_amb_surgery_count_prior">#REF!</definedName>
    <definedName name="FDP_153_1_aUrv">#REF!</definedName>
    <definedName name="ciq_meta_info_780b41d9f3e44582b3e7fb5433f1003e">#REF!</definedName>
    <definedName name="FOV_14_Range">#REF!</definedName>
    <definedName name="aex_inp_Tier3_paid_amt_21_curr">#REF!</definedName>
    <definedName name="Med_MDC_paid_21_curr">#REF!</definedName>
    <definedName name="Med_MDC_days_18_prior">#REF!</definedName>
    <definedName name="ROE">#REF!</definedName>
    <definedName name="sum_prof_fee_amt_mac_specialty_curr">#REF!</definedName>
    <definedName name="num_util_members_curr">#REF!</definedName>
    <definedName name="aex_Amb_Tier2_paid_amt_12_curr">#REF!</definedName>
    <definedName name="Current_Cat_End_Row_Number">#REF!</definedName>
    <definedName name="aex_inp_Tier1_admits_21_curr">#REF!</definedName>
    <definedName name="High7">#REF!</definedName>
    <definedName name="ahf_total_tot_fund_available_curr">#REF!</definedName>
    <definedName name="ahf_tier1_rollover_fund_remaining_curr">#REF!</definedName>
    <definedName name="Med_MDC_amb_billed_10_curr">#REF!</definedName>
    <definedName name="ahf_calc_ing_cost_amt_male_65_over_curr">#REF!</definedName>
    <definedName name="__MUM5">#REF!</definedName>
    <definedName name="Dental_female_mem_45_64_prior">#REF!</definedName>
    <definedName name="sum_paid_class_F_curr">#REF!</definedName>
    <definedName name="_bdm.E64AAE0B73294C9096BD67FA1B1DBAC2.edm">#REF!</definedName>
    <definedName name="Med_MDC_inp_billed_19_prior">#REF!</definedName>
    <definedName name="BOB_Med_months_curr">#REF!</definedName>
    <definedName name="aex_inp_OON_paid_amt_24_curr">#REF!</definedName>
    <definedName name="AcqNum">#REF!</definedName>
    <definedName name="__MUM3">#REF!</definedName>
    <definedName name="BOB_Rx_months_curr">#REF!</definedName>
    <definedName name="num_retail_generic_claims_curr">#REF!</definedName>
    <definedName name="HPD_paid_amt_asthma_curr">#REF!</definedName>
    <definedName name="aex_inp_Tier2_admits_03_curr">#REF!</definedName>
    <definedName name="IQB_BOOKMARK_LOCATION_5">#REF!</definedName>
    <definedName name="Dental_other_paid_amt_curr">#REF!</definedName>
    <definedName name="TaxRate4">#REF!</definedName>
    <definedName name="Med_MDC_amb_paid_20_prior">#REF!</definedName>
    <definedName name="aex_Amb_Tier1_paid_amt_03_curr">#REF!</definedName>
    <definedName name="Med_MDC_paid_11_curr">#REF!</definedName>
    <definedName name="Med_MDC_amb_paid_01_prior">#REF!</definedName>
    <definedName name="SI_Executive_Summary_Range">#REF!</definedName>
    <definedName name="M">#REF!</definedName>
    <definedName name="num_rx_claims_non_mac_retail_curr">#REF!</definedName>
    <definedName name="IQRCompInputQ43">#REF!</definedName>
    <definedName name="TaxRate2">#REF!</definedName>
    <definedName name="Med_MDC_paid_04_prior">#REF!</definedName>
    <definedName name="sum_awp_amt_brand_specialty_curr">#REF!</definedName>
    <definedName name="aex_inp_Tier2_admits_24_curr">#REF!</definedName>
    <definedName name="Salaries2">#REF!</definedName>
    <definedName name="AHF_Med_paid_amt_prior">#REF!</definedName>
    <definedName name="aex_inp_OON_admits_04_curr">#REF!</definedName>
    <definedName name="Med_MDC_cd_13_prior">#REF!</definedName>
    <definedName name="IQRCompsAU241">#REF!</definedName>
    <definedName name="aex_Tier2_paid_amt_total_curr">#REF!</definedName>
    <definedName name="FI_medicare_Rx_Key_Stats_Number_of_Employees">#REF!</definedName>
    <definedName name="ciq_meta_info_3709b0fb177445c9be6308c82050ea75">#REF!</definedName>
    <definedName name="num_util_members_class_Q_curr">#REF!</definedName>
    <definedName name="Dental_basic_svcs_curr">#REF!</definedName>
    <definedName name="__123Graph_X">#REF!</definedName>
    <definedName name="ahf_termed_tier4_cr_year_initial_fund_curr">#REF!</definedName>
    <definedName name="BOB_Med_allowed_amt_curr">#REF!</definedName>
    <definedName name="ahf_rx_num_gen_subst_claims_y_o_curr">#REF!</definedName>
    <definedName name="Med_MDC_paid_13_curr">#REF!</definedName>
    <definedName name="Med_MDC_cd_999_curr">#REF!</definedName>
    <definedName name="aex_Tier2_Util_lab_services_curr">#REF!</definedName>
    <definedName name="aex_Tier3_Util_other_spec_off_visits_curr">#REF!</definedName>
    <definedName name="Med_MDC_inp_billed_02_prior">#REF!</definedName>
    <definedName name="aex_Amb_Tier2_paid_amt_06_curr">#REF!</definedName>
    <definedName name="num_claims_class_F_prior">#REF!</definedName>
    <definedName name="Aetna_PPO_Ntwk_Exp_PPO_Max_Net_Avg_Sub_Charges">#REF!</definedName>
    <definedName name="BOB_Rx_female_mem_20_44_prior">#REF!</definedName>
    <definedName name="aex_OON_Util_misc_med_curr">#REF!</definedName>
    <definedName name="sum_awp_amt_mac_mod_prior">#REF!</definedName>
    <definedName name="ahf_calc_ing_cost_amt_female_45_64_curr">#REF!</definedName>
    <definedName name="Dental_key_results_rc_savings_amt_prior">#REF!</definedName>
    <definedName name="MDC_CD_20">#REF!</definedName>
    <definedName name="__MUM7">#REF!</definedName>
    <definedName name="util_mem_female_0_19_prior">#REF!</definedName>
    <definedName name="AHF_Med_emp_paid_amt_male_65_over_curr">#REF!</definedName>
    <definedName name="aex_Tier1_paid_amt_total_curr">#REF!</definedName>
    <definedName name="Median6">#REF!</definedName>
    <definedName name="Med_MDC_amb_billed_23_curr">#REF!</definedName>
    <definedName name="Med_MDC_paid_11_prior">#REF!</definedName>
    <definedName name="Med_MDC_amb_billed_07_prior">#REF!</definedName>
    <definedName name="BOB_sum_other_generic_paid_amt_prior">#REF!</definedName>
    <definedName name="Med_male_mem_45_64_prior">#REF!</definedName>
    <definedName name="FDP_45_1_aSrv">#REF!</definedName>
    <definedName name="aex_inp_Tier1_days_16_curr">#REF!</definedName>
    <definedName name="Product_05_members">#REF!</definedName>
    <definedName name="Med_MDC_paid_06_curr">#REF!</definedName>
    <definedName name="Med_MDC_paid_18_curr">#REF!</definedName>
    <definedName name="aex_Amb_Tier2_claimants_17_curr">#REF!</definedName>
    <definedName name="AHF_Med_fund_paid_amt_prior">#REF!</definedName>
    <definedName name="AHF_Med_count_home_health_curr">#REF!</definedName>
    <definedName name="BOB_Dental_preventative_svcs_prior">#REF!</definedName>
    <definedName name="XRefPaste8Row">#REF!</definedName>
    <definedName name="BOB_Dental_cob_amt_prior">#REF!</definedName>
    <definedName name="BOB_Med_MDC_paid_21_curr">#REF!</definedName>
    <definedName name="sum_prof_fee_amt_non_mac_specialty_prior">#REF!</definedName>
    <definedName name="ahf_rx_num_gen_subst_claims_y_curr">#REF!</definedName>
    <definedName name="BOB_Med_MDC_days_12_curr">#REF!</definedName>
    <definedName name="FYE1NetInc">#REF!</definedName>
    <definedName name="Demographics_FI_Community_Medicare_Graph_range_cust_age_gender_curr_prior_comparison">#REF!</definedName>
    <definedName name="aex_inp_Tier2_days_15_curr">#REF!</definedName>
    <definedName name="gpi_name_class_A_prior">#REF!</definedName>
    <definedName name="aex_Amb_Tier1_paid_amt_11_curr">#REF!</definedName>
    <definedName name="retail_copay_amt_curr">#REF!</definedName>
    <definedName name="Dental_other_svcs_curr">#REF!</definedName>
    <definedName name="aex_Amb_Tier3_claimants_23_curr">#REF!</definedName>
    <definedName name="num_util_members_class_H_prior">#REF!</definedName>
    <definedName name="sum_paid_class_R_curr">#REF!</definedName>
    <definedName name="dental_paid_ben_out_network_prior">#REF!</definedName>
    <definedName name="aex_inp_Tier1_paid_amt_03_curr">#REF!</definedName>
    <definedName name="_bdm.EB0EF95B174A4E97A3C7A9BFB7916D88.edm">#REF!</definedName>
    <definedName name="BH_BOB_Med_unknown_mem_0_19_curr">#REF!</definedName>
    <definedName name="IQB_BOOKMARK_LOCATION_4">#REF!</definedName>
    <definedName name="IQRCompsO140">#REF!</definedName>
    <definedName name="aex_Amb_Tier3_claimants_07_curr">#REF!</definedName>
    <definedName name="r.CashFlow">#REF!</definedName>
    <definedName name="Dental_basic_paid_amt_prior">#REF!</definedName>
    <definedName name="Median5">#REF!</definedName>
    <definedName name="NARROWBAND">#REF!</definedName>
    <definedName name="AHF_Med_unknown_mem_0_19_curr">#REF!</definedName>
    <definedName name="Med_MDC_amb_billed_20_prior">#REF!</definedName>
    <definedName name="BOB_Med_MDC_admits_06_curr">#REF!</definedName>
    <definedName name="Med_MDC_paid_16_prior">#REF!</definedName>
    <definedName name="aex_Med_MDC_cd_04_curr">#REF!</definedName>
    <definedName name="PurchTrig">#REF!</definedName>
    <definedName name="NWC">#REF!</definedName>
    <definedName name="aex_Amb_Tier3_claimants_11_curr">#REF!</definedName>
    <definedName name="IQRCompsAV154">#REF!</definedName>
    <definedName name="Med_MDC_claimants_13_prior">#REF!</definedName>
    <definedName name="HPD_bob_prevalence_asthma_curr">#REF!</definedName>
    <definedName name="InvestBook">#REF!</definedName>
    <definedName name="FI_Key_Stats_BOB_Range">#REF!</definedName>
    <definedName name="aex_inp_OON_days_14_curr">#REF!</definedName>
    <definedName name="Med_MDC_cd_00_curr">#REF!</definedName>
    <definedName name="ahf_total_cr_claim_paid_with_cr_funds_curr">#REF!</definedName>
    <definedName name="aex_inp_Tier3_admits_16_curr">#REF!</definedName>
    <definedName name="medical_sorte">#REF!</definedName>
    <definedName name="IQRCompsAW183">#REF!</definedName>
    <definedName name="ahf_tier3_rollover_pr_year_curr">#REF!</definedName>
    <definedName name="dent_net_avg_sub_charges_ppo_aetna_ppo_II_ntwk_curr">#REF!</definedName>
    <definedName name="primary_payor_ind">#REF!</definedName>
    <definedName name="Med_male_members_prior">#REF!</definedName>
    <definedName name="dental_tot_ben_cat_out_network_curr">#REF!</definedName>
    <definedName name="Med_MDC_cd_999_prior">#REF!</definedName>
    <definedName name="num_claims_class_I_curr">#REF!</definedName>
    <definedName name="aex_Amb_Tier1_claimants_18_curr">#REF!</definedName>
    <definedName name="Aetna_Spec_Ntwk_Exp_PPO_Net_Avg_Sub_Charges">#REF!</definedName>
    <definedName name="BHBOBDate">#REF!</definedName>
    <definedName name="ahf_calc_ing_cost_amt_female_65_over_curr">#REF!</definedName>
    <definedName name="Med_inp_paid_amt_above_threshold_curr">#REF!</definedName>
    <definedName name="Medic_female_mem_80_84_curr">#REF!</definedName>
    <definedName name="aex_inp_Tier2_days_19_curr">#REF!</definedName>
    <definedName name="ahf_srv_copay_amt_female_0_19_curr">#REF!</definedName>
    <definedName name="BOB_Med_MDC_claimants_19_curr">#REF!</definedName>
    <definedName name="sum_salestax_amt_mac_specialty_prior">#REF!</definedName>
    <definedName name="sum_mod_brand_formulary_paid_amt_prior">#REF!</definedName>
    <definedName name="BOB_Med_claim_count_curr">#REF!</definedName>
    <definedName name="Med_phys_par_negot_savings_amt_prior">#REF!</definedName>
    <definedName name="sum_prof_fee_amt_brand_specialty_prior">#REF!</definedName>
    <definedName name="ahf_ahf_paid_amt_female_0_19_curr">#REF!</definedName>
    <definedName name="Rx_male_mem_20_44_prior">#REF!</definedName>
    <definedName name="FI_comm_rated_gloss_ratio_of_mem_to_emp">#REF!</definedName>
    <definedName name="Medic_female_mem_65_69_prior">#REF!</definedName>
    <definedName name="Aexcel_Prof_PMPM_Line_Count">#REF!</definedName>
    <definedName name="CTR">#REF!</definedName>
    <definedName name="_PFY4">#REF!</definedName>
    <definedName name="FDP_164_1_aUrv">#REF!</definedName>
    <definedName name="mod_paid_amt_curr">#REF!</definedName>
    <definedName name="Product_48_delete_prior">#REF!</definedName>
    <definedName name="AHF_Med_in_network_paid_amt_prior">#REF!</definedName>
    <definedName name="etvhighblank">#REF!</definedName>
    <definedName name="Med_MDC_cd_13_curr">#REF!</definedName>
    <definedName name="dental_alt_ben_out_network_prior">#REF!</definedName>
    <definedName name="AHF_Med_emp_paid_amt_male_0_19_curr">#REF!</definedName>
    <definedName name="Med_MDC_billed_21_curr">#REF!</definedName>
    <definedName name="aex_Med_MDC_cd_23_curr">#REF!</definedName>
    <definedName name="adf_tier4_emp_100_spend_curr">#REF!</definedName>
    <definedName name="MarketCap">#REF!</definedName>
    <definedName name="Print_summary">#REF!</definedName>
    <definedName name="FI_Executive_Summary_Home">#REF!</definedName>
    <definedName name="Med_MDC_days_14_prior">#REF!</definedName>
    <definedName name="BOB_Dental_other_svcs_prior">#REF!</definedName>
    <definedName name="BOB_Med_paid_encounter_prim_phys_prior">#REF!</definedName>
    <definedName name="sum_svc_copay_amt_mac_specialty_prior">#REF!</definedName>
    <definedName name="Med_MDC_days_15_curr">#REF!</definedName>
    <definedName name="ePSM_Dental_Graph_Page">#REF!</definedName>
    <definedName name="Syn">#REF!</definedName>
    <definedName name="aex_Amb_Tier2_paid_amt_20_curr">#REF!</definedName>
    <definedName name="aex_Tier2_Util_spec_off_visits_curr">#REF!</definedName>
    <definedName name="BOB_Med_paid_amt_med_rx_prior">#REF!</definedName>
    <definedName name="aex_Amb_Tier1_claimants_05_curr">#REF!</definedName>
    <definedName name="aex_Amb_Tier3_paid_amt_14_curr">#REF!</definedName>
    <definedName name="_EPS2">#REF!</definedName>
    <definedName name="aex_inp_Tier2_paid_amt_05_curr">#REF!</definedName>
    <definedName name="EVRevenues">#REF!</definedName>
    <definedName name="Dental_services_in_network_curr">#REF!</definedName>
    <definedName name="aex_inp_Tier3_admits_00_curr">#REF!</definedName>
    <definedName name="BOB_num_generic_claims_curr">#REF!</definedName>
    <definedName name="XRefPaste13">#REF!</definedName>
    <definedName name="BOB_Med_MDC_paid_19_curr">#REF!</definedName>
    <definedName name="Med_MDC_inp_billed_23_prior">#REF!</definedName>
    <definedName name="lowempty">#REF!</definedName>
    <definedName name="IQRCompsAP140">#REF!</definedName>
    <definedName name="Adam_premium_amt_prior">#REF!</definedName>
    <definedName name="AHF_Med_unknown_mem_20_44_curr">#REF!</definedName>
    <definedName name="sum_prof_fee_amt_mac_retail_prior">#REF!</definedName>
    <definedName name="_bdm.0DF34873752945C18BF6AF2DD556BBAA.edm">#REF!</definedName>
    <definedName name="BOB_Med_paid_amt_inp_surgeries_prior">#REF!</definedName>
    <definedName name="XRefCopy5Row">#REF!</definedName>
    <definedName name="aex_tier2_paid_amt_tot_curr">#REF!</definedName>
    <definedName name="Quarter2End">#REF!</definedName>
    <definedName name="ahf_total_cr_fund_remaining_curr">#REF!</definedName>
    <definedName name="aex_Amb_Tier1_claimants_07_curr">#REF!</definedName>
    <definedName name="aex_inp_Tier3_days_24_curr">#REF!</definedName>
    <definedName name="BOB_Med_MDC_days_15_curr">#REF!</definedName>
    <definedName name="dental_ahf_ind">#REF!</definedName>
    <definedName name="_exp2">#REF!</definedName>
    <definedName name="adf_termed_tier1_emp_99_75_spend_curr">#REF!</definedName>
    <definedName name="BOB_Med_MDC_claimants_08_curr">#REF!</definedName>
    <definedName name="Med_MDC_inp_paid_11_prior">#REF!</definedName>
    <definedName name="Med_MDC_paid_02_prior">#REF!</definedName>
    <definedName name="Med_MDC_amb_paid_19_curr">#REF!</definedName>
    <definedName name="HPD_number_claimants_total_prior">#REF!</definedName>
    <definedName name="sum_paid_class_L_prior">#REF!</definedName>
    <definedName name="Dental_paid_amt_unknown_20_44_curr">#REF!</definedName>
    <definedName name="AHF_Med_paid_amt_unknown_45_64_curr">#REF!</definedName>
    <definedName name="NIYear1T">#REF!</definedName>
    <definedName name="BetaInc">#REF!</definedName>
    <definedName name="FDP_15_1_aUrv">#REF!</definedName>
    <definedName name="BOB_Med_coinsurance_amt_curr">#REF!</definedName>
    <definedName name="dent_tot_services_out_ntwk_prior">#REF!</definedName>
    <definedName name="Med_paid_amt_prim_off_visits_prior">#REF!</definedName>
    <definedName name="Prem3">#REF!</definedName>
    <definedName name="BOB_Med_paid_amt_mental_health_curr">#REF!</definedName>
    <definedName name="sum_retail_brand_formulary_plan_paid_amt_prior">#REF!</definedName>
    <definedName name="generic_prior">#REF!</definedName>
    <definedName name="aex_Amb_Tier3_paid_amt_12_curr">#REF!</definedName>
    <definedName name="FYE1CapEx">#REF!</definedName>
    <definedName name="aex_OON_Util_mental_health_visits_curr">#REF!</definedName>
    <definedName name="aex_inp_Tier1_paid_amt_00_curr">#REF!</definedName>
    <definedName name="Stat2">#REF!</definedName>
    <definedName name="XRefPaste7">#REF!</definedName>
    <definedName name="ahf_rx_num_formulary_claims_prior">#REF!</definedName>
    <definedName name="sum_svc_copay_amt_non_mac_specialty_prior">#REF!</definedName>
    <definedName name="StrPref">#REF!</definedName>
    <definedName name="Med_MDC_inp_paid_16_curr">#REF!</definedName>
    <definedName name="Med_billed_amt_female_0_19_prior">#REF!</definedName>
    <definedName name="AHF_Med_unknown_members_prior">#REF!</definedName>
    <definedName name="num_rx_claims_brand_retail_prior">#REF!</definedName>
    <definedName name="Med_claim_count_female_0_19_prior">#REF!</definedName>
    <definedName name="FDP_62_1_aUrv">#REF!</definedName>
    <definedName name="Dental_cost_share_deductible_amt_prior">#REF!</definedName>
    <definedName name="BOB_Med_MDC_paid_01_curr">#REF!</definedName>
    <definedName name="AHF_Medical_Cost_Category_Range">#REF!</definedName>
    <definedName name="__MUM31">#REF!</definedName>
    <definedName name="Med_MDC_paid_14_prior">#REF!</definedName>
    <definedName name="Med_MDC_billed_05_curr">#REF!</definedName>
    <definedName name="BOB_Med_MDC_cd_22_curr">#REF!</definedName>
    <definedName name="Med_other_discount_billed_amt_prior">#REF!</definedName>
    <definedName name="ahf_srv_copay_amt_total_0_19_curr">#REF!</definedName>
    <definedName name="AHF_Rx_Demographics_Range">#REF!</definedName>
    <definedName name="aex_Med_MDC_cd_19_curr">#REF!</definedName>
    <definedName name="AHF_Med_allowed_amt_female_0_19_prior">#REF!</definedName>
    <definedName name="FDP_105_1_aUrv">#REF!</definedName>
    <definedName name="BOB_Med_paid_amt_med_rx_curr">#REF!</definedName>
    <definedName name="Med_MDC_amb_billed_06_curr">#REF!</definedName>
    <definedName name="BOB_Med_MDC_amb_paid_14_curr">#REF!</definedName>
    <definedName name="ahf_paid_amt_unknown_45_64_curr">#REF!</definedName>
    <definedName name="Utilization_and_Unit_Cost_Med_Range">#REF!</definedName>
    <definedName name="aex_inp_Tier1_admits_05_curr">#REF!</definedName>
    <definedName name="FDP_47_1_aUrv">#REF!</definedName>
    <definedName name="Product_30_members">#REF!</definedName>
    <definedName name="FDP_154_1_aUrv">#REF!</definedName>
    <definedName name="gpi_name_class_I_prior">#REF!</definedName>
    <definedName name="XRefPaste3Row">#REF!</definedName>
    <definedName name="aex_Med_MDC_cd_03_curr">#REF!</definedName>
    <definedName name="ONYX19970501222055">#REF!</definedName>
    <definedName name="fi_exec_summary_row41">#REF!</definedName>
    <definedName name="sum_copay_curr">#REF!</definedName>
    <definedName name="aex_inp_Tier1_days_04_curr">#REF!</definedName>
    <definedName name="Med_MDC_billed_02_prior">#REF!</definedName>
    <definedName name="aex_inp_Tier1_admits_10_curr">#REF!</definedName>
    <definedName name="Product_03_delete_prior">#REF!</definedName>
    <definedName name="_bdm.77CA350A03D2489DBB902CDB2CC7E9F3.edm">#REF!</definedName>
    <definedName name="sum_paid_class_C_curr">#REF!</definedName>
    <definedName name="BOB_Med_MDC_amb_paid_15_curr">#REF!</definedName>
    <definedName name="CalPE2">#REF!</definedName>
    <definedName name="dent_net_avg_sub_charges_ppo_out_ntwk_curr">#REF!</definedName>
    <definedName name="MDC_CD_13">#REF!</definedName>
    <definedName name="aex_inp_Tier3_admits_02_curr">#REF!</definedName>
    <definedName name="sum_specialty_claims_curr">#REF!</definedName>
    <definedName name="BOB_Med_MDC_cd_11_curr">#REF!</definedName>
    <definedName name="FI_Key_Stats_Row36_Range">#REF!</definedName>
    <definedName name="_TAB1">#REF!</definedName>
    <definedName name="BOB_Med_MDC_admits_22_curr">#REF!</definedName>
    <definedName name="aex_inp_Tier3_admits_13_curr">#REF!</definedName>
    <definedName name="adf_termed_tier3_emp_0_spend_curr">#REF!</definedName>
    <definedName name="FYE1Revenues">#REF!</definedName>
    <definedName name="aex_Amb_Tier3_paid_amt_19_curr">#REF!</definedName>
    <definedName name="aex_Med_MDC_cd_24_curr">#REF!</definedName>
    <definedName name="aex_inp_Tier2_paid_amt_14_curr">#REF!</definedName>
    <definedName name="Impact_of_Catastrophic_Medical_Range">#REF!</definedName>
    <definedName name="sum_brand_multisource_avg_paid_claim_curr">#REF!</definedName>
    <definedName name="BOB_Med_MDC_cd_03_curr">#REF!</definedName>
    <definedName name="SI_Executive_Summary_Home">#REF!</definedName>
    <definedName name="adf_total_termd_emp_100_spend_curr">#REF!</definedName>
    <definedName name="Rx_months_curr">#REF!</definedName>
    <definedName name="Dental_key_results_network_paid_amt_curr">#REF!</definedName>
    <definedName name="mod_plan_paid_amt_prior">#REF!</definedName>
    <definedName name="HPD_bob_prevalence_other_curr">#REF!</definedName>
    <definedName name="FOV_71_Range">#REF!</definedName>
    <definedName name="Page2">#REF!</definedName>
    <definedName name="AHF_Fund_Report_Range">#REF!</definedName>
    <definedName name="sum_brand_singlesource_paid_amt_curr">#REF!</definedName>
    <definedName name="Med_paid_amt_office_surgeries_prior">#REF!</definedName>
    <definedName name="aex_Amb_Tier2_claimants_11_curr">#REF!</definedName>
    <definedName name="adf_total_termd_emp_99_75_spend_curr">#REF!</definedName>
    <definedName name="adf_tier2_Incentive_fund_earned_curr">#REF!</definedName>
    <definedName name="dental_preventive_out_network_prior">#REF!</definedName>
    <definedName name="aex_inp_Tier3_days_12_curr">#REF!</definedName>
    <definedName name="aex_inp_OON_admits_18_curr">#REF!</definedName>
    <definedName name="sum_mod_generic_paid_amt_curr">#REF!</definedName>
    <definedName name="MDC_CD_02">#REF!</definedName>
    <definedName name="num_claims_class_C_prior">#REF!</definedName>
    <definedName name="Med_claim_count_prior">#REF!</definedName>
    <definedName name="_bdm.98509675FE304640BD0099E41768A4DB.edm">#REF!</definedName>
    <definedName name="BOB_Med_MDC_cd_01_curr">#REF!</definedName>
    <definedName name="FDP_87_1_aUrv">#REF!</definedName>
    <definedName name="aex_Amb_Tier2_paid_amt_17_curr">#REF!</definedName>
    <definedName name="ahf_tier2_emp_0_spend_curr">#REF!</definedName>
    <definedName name="Product_99_delete_prior">#REF!</definedName>
    <definedName name="aex_inp_Tier2_days_09_curr">#REF!</definedName>
    <definedName name="Medic_female_mem_70_74_curr">#REF!</definedName>
    <definedName name="_bdm.2398C53567284E5E8937DD13BB789BD3.edm">#REF!</definedName>
    <definedName name="BOB_Med_num_members_curr">#REF!</definedName>
    <definedName name="BOB_Dental_allowed_amt_curr">#REF!</definedName>
    <definedName name="Rx_num_employees_prior">#REF!</definedName>
    <definedName name="Medic_male_mem_80_84_prior">#REF!</definedName>
    <definedName name="_bdm.680534A8CE05489CAF305B50B8D9395C.edm">#REF!</definedName>
    <definedName name="aex_inp_Tier1_paid_amt_05_curr">#REF!</definedName>
    <definedName name="ahf_paid_amt_unknown_65_over_curr">#REF!</definedName>
    <definedName name="num_claims_class_G_curr">#REF!</definedName>
    <definedName name="CommonEquity">#REF!</definedName>
    <definedName name="FDP_69_1_aSrv">#REF!</definedName>
  </definedNames>
  <calcPr/>
  <extLst>
    <ext uri="GoogleSheetsCustomDataVersion2">
      <go:sheetsCustomData xmlns:go="http://customooxmlschemas.google.com/" r:id="rId10" roundtripDataChecksum="lkWE3AzaNPfBDawE0RHAr2ljnj8xrtKDtkVWnsx/E10="/>
    </ext>
  </extLst>
</workbook>
</file>

<file path=xl/sharedStrings.xml><?xml version="1.0" encoding="utf-8"?>
<sst xmlns="http://schemas.openxmlformats.org/spreadsheetml/2006/main" count="1577" uniqueCount="173">
  <si>
    <t>Total COO Departments</t>
  </si>
  <si>
    <t>Central Operations</t>
  </si>
  <si>
    <t>Production Operations</t>
  </si>
  <si>
    <t>Field Operations</t>
  </si>
  <si>
    <t>2026 Actuals/Forecast &amp; 2027 Budget</t>
  </si>
  <si>
    <t>Actual</t>
  </si>
  <si>
    <t>Forecast</t>
  </si>
  <si>
    <t>Budget</t>
  </si>
  <si>
    <t>Annual Input</t>
  </si>
  <si>
    <t>YOY</t>
  </si>
  <si>
    <t> 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</si>
  <si>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</si>
  <si>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</si>
  <si>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</si>
  <si>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</si>
  <si>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</si>
  <si>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</si>
  <si>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</si>
  <si>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</si>
  <si>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</si>
  <si>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</si>
  <si>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</si>
  <si>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</si>
  <si>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% Total Rev</t>
  </si>
  <si>
    <t>Notes</t>
  </si>
  <si>
    <t>2027</t>
  </si>
  <si>
    <t>Fav / (Unfav)</t>
  </si>
  <si>
    <t>Input Method</t>
  </si>
  <si>
    <t>"Even" spread</t>
  </si>
  <si>
    <t>Growth %</t>
  </si>
  <si>
    <t>Ordinary Income/Expense</t>
  </si>
  <si>
    <t>Income</t>
  </si>
  <si>
    <t>4000 - Sales</t>
  </si>
  <si>
    <t>4100 - Subscription/Platform Fees</t>
  </si>
  <si>
    <t>Even</t>
  </si>
  <si>
    <t>4500 - Implementation Fees</t>
  </si>
  <si>
    <t>Total - 4000 - Sales</t>
  </si>
  <si>
    <t>4900 - One-Time Revenue</t>
  </si>
  <si>
    <t>Total - Income</t>
  </si>
  <si>
    <t>Cost Of Sales</t>
  </si>
  <si>
    <t>5000 - Robot Production and Deployment</t>
  </si>
  <si>
    <t>5010 - SlipBot Depreciation</t>
  </si>
  <si>
    <t>5011 - SlipLift Depreciation</t>
  </si>
  <si>
    <t>5012 - SlipCarrier Depreciation</t>
  </si>
  <si>
    <t>5020 - Robot Peripherals Depreciation</t>
  </si>
  <si>
    <t>5025 - Freight and Delivery - Production (Summary)</t>
  </si>
  <si>
    <t>5026 - Freight and Delivery - Production - Expedited</t>
  </si>
  <si>
    <t>5027 - Freight and Delivery - Production - Standard</t>
  </si>
  <si>
    <t>Total - 5025 - Freight and Delivery - Production (Summary)</t>
  </si>
  <si>
    <t>5030 - Production Tools and Supplies</t>
  </si>
  <si>
    <t>Additional funds added to Jan for new building set up</t>
  </si>
  <si>
    <t>5040 - Freight &amp; Delivery - Deployment</t>
  </si>
  <si>
    <t>Does this live in production or field?</t>
  </si>
  <si>
    <t>5050 - Travel - Deployment</t>
  </si>
  <si>
    <t>5060 - Meals - Deployment</t>
  </si>
  <si>
    <t>5100 - Labor Expense - Production</t>
  </si>
  <si>
    <t>5110 - Salaries and Wages - Production</t>
  </si>
  <si>
    <t>5130 - Payroll Taxes - Production</t>
  </si>
  <si>
    <t>5140 - Benefits - Production</t>
  </si>
  <si>
    <t>Total - 5100 - Labor Expense - Production</t>
  </si>
  <si>
    <t>Total - 5000 - Robot Production and Deployment</t>
  </si>
  <si>
    <t>5015 - Supplies and Materials</t>
  </si>
  <si>
    <t>Jan increase for new production line set up</t>
  </si>
  <si>
    <t>5028 - Duties &amp; Tariffs - Production</t>
  </si>
  <si>
    <t>YOY Growth</t>
  </si>
  <si>
    <t>5029 - Processing Fee - Production</t>
  </si>
  <si>
    <t>5070 - Scrap</t>
  </si>
  <si>
    <t>5201 - Inventory Adjustments</t>
  </si>
  <si>
    <t>5300 - Maintenance</t>
  </si>
  <si>
    <t>5310 - Contractors - Field</t>
  </si>
  <si>
    <t>5320 - Freight &amp; Delivery - Maintenance</t>
  </si>
  <si>
    <t>5330 - Maintenance Tools and Supplies</t>
  </si>
  <si>
    <t>5340 - Spare Parts</t>
  </si>
  <si>
    <t>5350 - Warehouse</t>
  </si>
  <si>
    <t>5360 - Travel - Maintenance</t>
  </si>
  <si>
    <t>5370 - Meals - Maintenance</t>
  </si>
  <si>
    <t>5500 - Labor Expense - Field Operations</t>
  </si>
  <si>
    <t>5510 - :Salaries and Wages - Field Operations</t>
  </si>
  <si>
    <t>5530 - :Payroll Taxes - Field Operations</t>
  </si>
  <si>
    <t>5540 - :Benefits - Field Operations</t>
  </si>
  <si>
    <t>Total - 5500 - Labor Expense - Field Operations</t>
  </si>
  <si>
    <t>Total - 5300 - Maintenance</t>
  </si>
  <si>
    <t>5900 - Other COGS</t>
  </si>
  <si>
    <t>5920 - Software - COGS</t>
  </si>
  <si>
    <t>5950 - Certification Expense</t>
  </si>
  <si>
    <t>5980 - Employee Meals</t>
  </si>
  <si>
    <t>Total - 5900 - Other COGS</t>
  </si>
  <si>
    <t>5990 - Purchase Discounts</t>
  </si>
  <si>
    <t>Total - Cost Of Sales</t>
  </si>
  <si>
    <t>Gross Profit</t>
  </si>
  <si>
    <t>Expense</t>
  </si>
  <si>
    <t>6000 - Labor Expense - SG&amp;A</t>
  </si>
  <si>
    <t>6610 - Salaries and Wages - SG&amp;A</t>
  </si>
  <si>
    <t>6630 - Payroll Taxes - SG&amp;A</t>
  </si>
  <si>
    <t>6640 - Benefits - SG&amp;A</t>
  </si>
  <si>
    <t>6650 - Commissions - SG&amp;A</t>
  </si>
  <si>
    <t>6660 - Recruiting</t>
  </si>
  <si>
    <t>6670 - Stock Compensation Expense</t>
  </si>
  <si>
    <t>Total - 6000 - Labor Expense - SG&amp;A</t>
  </si>
  <si>
    <t>6100 - Travel</t>
  </si>
  <si>
    <t>6110 - Travel Meals</t>
  </si>
  <si>
    <t>6120 - Meals and Entertainment</t>
  </si>
  <si>
    <t>6200 - Advertising</t>
  </si>
  <si>
    <t>6210 - Marketing Expense</t>
  </si>
  <si>
    <t>6220 - Trade Shows</t>
  </si>
  <si>
    <t>6400 - Memberships and Subscriptions</t>
  </si>
  <si>
    <t>6500 - Demos</t>
  </si>
  <si>
    <t>6510 - Storage Facilities - Demos</t>
  </si>
  <si>
    <t>6520 - Truck Rental - Demos</t>
  </si>
  <si>
    <t>6530 - Other Demo Expense</t>
  </si>
  <si>
    <t>6540 - Travel - Demos</t>
  </si>
  <si>
    <t>6550 - Meals - Demos</t>
  </si>
  <si>
    <t>Total - 6500 - Demos</t>
  </si>
  <si>
    <t>7000 - Professional Fees</t>
  </si>
  <si>
    <t>7050 - Education</t>
  </si>
  <si>
    <t>7100 - Legal Expense</t>
  </si>
  <si>
    <t>7200 - Contractors</t>
  </si>
  <si>
    <t>7300 - R&amp;D Expense</t>
  </si>
  <si>
    <t>7500 - Facility Expenses</t>
  </si>
  <si>
    <t>7510 - Custodial</t>
  </si>
  <si>
    <t>7550 - Tools and Equipment</t>
  </si>
  <si>
    <t>7600 - Freight &amp; Delivery</t>
  </si>
  <si>
    <t>7610 - Duties &amp; Tariffs - Other</t>
  </si>
  <si>
    <t>7700 - Inventory Obsolescence-old</t>
  </si>
  <si>
    <t>8100 - Technology</t>
  </si>
  <si>
    <t>Should this be in a different cost center?</t>
  </si>
  <si>
    <t>8200 - Building Rent or Lease</t>
  </si>
  <si>
    <t>New Building management</t>
  </si>
  <si>
    <t>8250 - Equipment/Vehicle Rentals</t>
  </si>
  <si>
    <t>8300 - Office Expenses</t>
  </si>
  <si>
    <t>8400 - Office Equipment and Small Furniture</t>
  </si>
  <si>
    <t>8450 - Postage &amp; Shipping</t>
  </si>
  <si>
    <t>8500 - Commercial Insurance</t>
  </si>
  <si>
    <t>8600 - Repairs and Maintenance</t>
  </si>
  <si>
    <t>Finance expectations?</t>
  </si>
  <si>
    <t>8700 - Utilities and Telecom Expense</t>
  </si>
  <si>
    <t>8800 - Bank Charges</t>
  </si>
  <si>
    <t>8810 - Processing Fee - Other</t>
  </si>
  <si>
    <t>8900 - Payroll Fees</t>
  </si>
  <si>
    <t>Additional Fork Lift?</t>
  </si>
  <si>
    <t>8950 - Financing Taxes</t>
  </si>
  <si>
    <t>8955 - Other Taxes and Licenses</t>
  </si>
  <si>
    <t>8960 - Bad Debts</t>
  </si>
  <si>
    <t>8995 - Miscellaneous Expense</t>
  </si>
  <si>
    <t>9999 - Uncategorized Expenses</t>
  </si>
  <si>
    <t>Total - Expense</t>
  </si>
  <si>
    <t>Net Ordinary Income</t>
  </si>
  <si>
    <t>Other Income and Expenses</t>
  </si>
  <si>
    <t>Other Income</t>
  </si>
  <si>
    <t>9100 - Interest Earned</t>
  </si>
  <si>
    <t>New Building expenses?</t>
  </si>
  <si>
    <t>9150 - Other Income</t>
  </si>
  <si>
    <t>Total - Other Income</t>
  </si>
  <si>
    <t>Other Expense</t>
  </si>
  <si>
    <t>9200 - Cash Sweep Fees</t>
  </si>
  <si>
    <t>9300 - Interest Expense</t>
  </si>
  <si>
    <t>9401 - Depreciation Expenses</t>
  </si>
  <si>
    <t>9450 - Loss on Disposal of Fixed Assets</t>
  </si>
  <si>
    <t>9600 - Income Tax Expense</t>
  </si>
  <si>
    <t>9710 - Rounding Gain/Loss</t>
  </si>
  <si>
    <t>Total - Other Expense</t>
  </si>
  <si>
    <t>Net Other Income</t>
  </si>
  <si>
    <t>Net Income</t>
  </si>
  <si>
    <t>Salaries and Wages</t>
  </si>
  <si>
    <t>Commissions</t>
  </si>
  <si>
    <t>Payroll Taxes</t>
  </si>
  <si>
    <t>Benefits</t>
  </si>
  <si>
    <t>Taxes and Benefits % of Salaries, Wages &amp; Commissions</t>
  </si>
  <si>
    <t>Scale Ramp</t>
  </si>
  <si>
    <t>Field Engineering</t>
  </si>
  <si>
    <t>Production Engineering</t>
  </si>
  <si>
    <t>Is this where AE will live?</t>
  </si>
  <si>
    <t>check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</si>
</sst>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&quot;$&quot;#,##0;\(&quot;$&quot;#,##0\);&quot;-&quot;"/>
    <numFmt numFmtId="166" formatCode="#,##0.00;\(#,##0.00\);\-"/>
  </numFmts>
  <fonts count="17">
    <font>
      <sz val="11.0"/>
      <color theme="1"/>
      <name val="Calibri"/>
      <scheme val="minor"/>
    </font>
    <font>
      <b/>
      <sz val="16.0"/>
      <color theme="1"/>
      <name val="Calibri"/>
    </font>
    <font>
      <b/>
      <sz val="16.0"/>
      <color rgb="FF0000CC"/>
      <name val="Calibri"/>
    </font>
    <font>
      <sz val="10.0"/>
      <color theme="1"/>
      <name val="Calibri"/>
    </font>
    <font>
      <sz val="10.0"/>
      <color rgb="FF0000CC"/>
      <name val="Calibri"/>
    </font>
    <font>
      <b/>
      <sz val="12.0"/>
      <color theme="1"/>
      <name val="Calibri"/>
    </font>
    <font>
      <sz val="11.0"/>
      <color theme="1"/>
      <name val="Calibri"/>
    </font>
    <font>
      <b/>
      <sz val="10.0"/>
      <color theme="1"/>
      <name val="Calibri"/>
    </font>
    <font>
      <b/>
      <sz val="10.0"/>
      <color rgb="FF0000CC"/>
      <name val="Calibri"/>
    </font>
    <font>
      <b/>
      <sz val="10.0"/>
      <color rgb="FF993300"/>
      <name val="Calibri"/>
    </font>
    <font>
      <b/>
      <sz val="10.0"/>
      <color rgb="FF000000"/>
      <name val="Calibri"/>
    </font>
    <font>
      <sz val="10.0"/>
      <color rgb="FF000000"/>
      <name val="Calibri"/>
    </font>
    <font>
      <sz val="10.0"/>
      <color theme="6"/>
      <name val="Calibri"/>
    </font>
    <font>
      <sz val="10.0"/>
      <color rgb="FF008000"/>
      <name val="Calibri"/>
    </font>
    <font>
      <sz val="10.0"/>
      <color rgb="FF060606"/>
      <name val="Calibri"/>
    </font>
    <font>
      <b/>
      <sz val="10.0"/>
      <color rgb="FF0070C0"/>
      <name val="Calibri"/>
    </font>
    <font>
      <i/>
      <sz val="10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D0D0D0"/>
        <bgColor rgb="FFD0D0D0"/>
      </patternFill>
    </fill>
    <fill>
      <patternFill patternType="solid">
        <fgColor rgb="FFDBE9F7"/>
        <bgColor rgb="FFDBE9F7"/>
      </patternFill>
    </fill>
    <fill>
      <patternFill patternType="solid">
        <fgColor rgb="FFFAE2D5"/>
        <bgColor rgb="FFFAE2D5"/>
      </patternFill>
    </fill>
    <fill>
      <patternFill patternType="solid">
        <fgColor rgb="FFD9F2D0"/>
        <bgColor rgb="FFD9F2D0"/>
      </patternFill>
    </fill>
    <fill>
      <patternFill patternType="solid">
        <fgColor rgb="FFFFFFCC"/>
        <bgColor rgb="FFFFFFCC"/>
      </patternFill>
    </fill>
    <fill>
      <patternFill patternType="solid">
        <fgColor rgb="FFA6C9EB"/>
        <bgColor rgb="FFA6C9EB"/>
      </patternFill>
    </fill>
    <fill>
      <patternFill patternType="solid">
        <fgColor rgb="FFD8D8D8"/>
        <bgColor rgb="FFD8D8D8"/>
      </patternFill>
    </fill>
  </fills>
  <borders count="11">
    <border/>
    <border>
      <left/>
      <right/>
      <top/>
      <bottom/>
    </border>
    <border>
      <bottom style="thin">
        <color rgb="FF000000"/>
      </bottom>
    </border>
    <border>
      <top style="dotted">
        <color rgb="FFC0C0C0"/>
      </top>
    </border>
    <border>
      <top style="thin">
        <color rgb="FF000000"/>
      </top>
    </border>
    <border>
      <left/>
      <right/>
      <top style="dotted">
        <color rgb="FFC0C0C0"/>
      </top>
      <bottom/>
    </border>
    <border>
      <left/>
      <right/>
      <top style="thin">
        <color rgb="FF000000"/>
      </top>
      <bottom/>
    </border>
    <border>
      <top style="thin">
        <color rgb="FF000000"/>
      </top>
      <bottom style="thin">
        <color rgb="FF000000"/>
      </bottom>
    </border>
    <border>
      <top style="dotted">
        <color rgb="FF969696"/>
      </top>
    </border>
    <border>
      <top style="thin">
        <color rgb="FF000000"/>
      </top>
      <bottom style="double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2" numFmtId="0" xfId="0" applyAlignment="1" applyBorder="1" applyFill="1" applyFont="1">
      <alignment horizontal="left"/>
    </xf>
    <xf borderId="0" fillId="0" fontId="3" numFmtId="0" xfId="0" applyAlignment="1" applyFont="1">
      <alignment horizontal="center"/>
    </xf>
    <xf borderId="0" fillId="0" fontId="3" numFmtId="0" xfId="0" applyFont="1"/>
    <xf borderId="0" fillId="0" fontId="3" numFmtId="37" xfId="0" applyFont="1" applyNumberFormat="1"/>
    <xf borderId="0" fillId="0" fontId="4" numFmtId="9" xfId="0" applyAlignment="1" applyFont="1" applyNumberFormat="1">
      <alignment horizontal="center"/>
    </xf>
    <xf borderId="0" fillId="0" fontId="5" numFmtId="0" xfId="0" applyFont="1"/>
    <xf borderId="0" fillId="0" fontId="3" numFmtId="164" xfId="0" applyAlignment="1" applyFont="1" applyNumberFormat="1">
      <alignment horizontal="center"/>
    </xf>
    <xf borderId="0" fillId="0" fontId="6" numFmtId="0" xfId="0" applyFont="1"/>
    <xf borderId="0" fillId="0" fontId="4" numFmtId="164" xfId="0" applyFont="1" applyNumberFormat="1"/>
    <xf borderId="0" fillId="0" fontId="7" numFmtId="0" xfId="0" applyAlignment="1" applyFont="1">
      <alignment horizontal="left"/>
    </xf>
    <xf borderId="1" fillId="3" fontId="7" numFmtId="0" xfId="0" applyAlignment="1" applyBorder="1" applyFill="1" applyFont="1">
      <alignment horizontal="center"/>
    </xf>
    <xf borderId="1" fillId="3" fontId="8" numFmtId="0" xfId="0" applyAlignment="1" applyBorder="1" applyFill="1" applyFont="1">
      <alignment horizontal="center"/>
    </xf>
    <xf borderId="1" fillId="4" fontId="8" numFmtId="0" xfId="0" applyAlignment="1" applyBorder="1" applyFill="1" applyFont="1">
      <alignment horizontal="center"/>
    </xf>
    <xf borderId="1" fillId="5" fontId="9" numFmtId="0" xfId="0" applyBorder="1" applyFill="1" applyFont="1"/>
    <xf borderId="1" fillId="5" fontId="9" numFmtId="0" xfId="0" applyAlignment="1" applyBorder="1" applyFill="1" applyFont="1">
      <alignment horizontal="center"/>
    </xf>
    <xf borderId="0" fillId="0" fontId="7" numFmtId="0" xfId="0" applyAlignment="1" applyFont="1">
      <alignment horizontal="center"/>
    </xf>
    <xf borderId="1" fillId="3" fontId="7" numFmtId="17" xfId="0" applyAlignment="1" applyBorder="1" applyFill="1" applyFont="1" applyNumberFormat="1">
      <alignment horizontal="center"/>
    </xf>
    <xf borderId="1" fillId="4" fontId="7" numFmtId="17" xfId="0" applyAlignment="1" applyBorder="1" applyFill="1" applyFont="1" applyNumberFormat="1">
      <alignment horizontal="center"/>
    </xf>
    <xf borderId="0" fillId="0" fontId="3" numFmtId="0" xfId="0" applyAlignment="1" applyFont="1">
      <alignment readingOrder="0"/>
    </xf>
    <xf quotePrefix="1" borderId="1" fillId="4" fontId="7" numFmtId="17" xfId="0" applyAlignment="1" applyBorder="1" applyFill="1" applyFont="1" applyNumberFormat="1">
      <alignment horizontal="center"/>
    </xf>
    <xf borderId="2" fillId="0" fontId="7" numFmtId="0" xfId="0" applyAlignment="1" applyBorder="1" applyFont="1">
      <alignment horizontal="center"/>
    </xf>
    <xf borderId="0" fillId="0" fontId="10" numFmtId="0" xfId="0" applyAlignment="1" applyFont="1">
      <alignment horizontal="left" vertical="center"/>
    </xf>
    <xf borderId="0" fillId="0" fontId="10" numFmtId="0" xfId="0" applyAlignment="1" applyFont="1">
      <alignment horizontal="left"/>
    </xf>
    <xf borderId="0" fillId="0" fontId="11" numFmtId="0" xfId="0" applyAlignment="1" applyFont="1">
      <alignment horizontal="left"/>
    </xf>
    <xf borderId="1" fillId="6" fontId="4" numFmtId="37" xfId="0" applyBorder="1" applyFill="1" applyFont="1" applyNumberFormat="1"/>
    <xf borderId="1" fillId="6" fontId="12" numFmtId="37" xfId="0" applyBorder="1" applyFill="1" applyFont="1" applyNumberFormat="1"/>
    <xf borderId="0" fillId="0" fontId="3" numFmtId="164" xfId="0" applyFont="1" applyNumberFormat="1"/>
    <xf borderId="1" fillId="5" fontId="4" numFmtId="0" xfId="0" applyBorder="1" applyFill="1" applyFont="1"/>
    <xf borderId="1" fillId="5" fontId="4" numFmtId="165" xfId="0" applyBorder="1" applyFill="1" applyFont="1" applyNumberFormat="1"/>
    <xf borderId="1" fillId="5" fontId="4" numFmtId="164" xfId="0" applyAlignment="1" applyBorder="1" applyFill="1" applyFont="1" applyNumberFormat="1">
      <alignment horizontal="center"/>
    </xf>
    <xf borderId="0" fillId="0" fontId="13" numFmtId="37" xfId="0" applyFont="1" applyNumberFormat="1"/>
    <xf borderId="3" fillId="0" fontId="10" numFmtId="0" xfId="0" applyAlignment="1" applyBorder="1" applyFont="1">
      <alignment horizontal="left"/>
    </xf>
    <xf borderId="4" fillId="0" fontId="7" numFmtId="37" xfId="0" applyBorder="1" applyFont="1" applyNumberFormat="1"/>
    <xf borderId="4" fillId="0" fontId="7" numFmtId="164" xfId="0" applyBorder="1" applyFont="1" applyNumberFormat="1"/>
    <xf borderId="0" fillId="0" fontId="4" numFmtId="37" xfId="0" applyFont="1" applyNumberFormat="1"/>
    <xf borderId="1" fillId="5" fontId="4" numFmtId="0" xfId="0" applyAlignment="1" applyBorder="1" applyFill="1" applyFont="1">
      <alignment readingOrder="0"/>
    </xf>
    <xf borderId="1" fillId="5" fontId="4" numFmtId="165" xfId="0" applyAlignment="1" applyBorder="1" applyFill="1" applyFont="1" applyNumberFormat="1">
      <alignment readingOrder="0"/>
    </xf>
    <xf borderId="1" fillId="5" fontId="4" numFmtId="164" xfId="0" applyAlignment="1" applyBorder="1" applyFill="1" applyFont="1" applyNumberFormat="1">
      <alignment horizontal="center" readingOrder="0"/>
    </xf>
    <xf borderId="5" fillId="7" fontId="10" numFmtId="0" xfId="0" applyAlignment="1" applyBorder="1" applyFill="1" applyFont="1">
      <alignment horizontal="left"/>
    </xf>
    <xf borderId="6" fillId="7" fontId="7" numFmtId="37" xfId="0" applyBorder="1" applyFill="1" applyFont="1" applyNumberFormat="1"/>
    <xf borderId="6" fillId="7" fontId="7" numFmtId="164" xfId="0" applyBorder="1" applyFill="1" applyFont="1" applyNumberFormat="1"/>
    <xf borderId="1" fillId="3" fontId="4" numFmtId="37" xfId="0" applyBorder="1" applyFill="1" applyFont="1" applyNumberFormat="1"/>
    <xf borderId="1" fillId="8" fontId="4" numFmtId="37" xfId="0" applyBorder="1" applyFill="1" applyFont="1" applyNumberFormat="1"/>
    <xf borderId="0" fillId="0" fontId="7" numFmtId="37" xfId="0" applyFont="1" applyNumberFormat="1"/>
    <xf borderId="7" fillId="0" fontId="7" numFmtId="37" xfId="0" applyBorder="1" applyFont="1" applyNumberFormat="1"/>
    <xf borderId="7" fillId="0" fontId="7" numFmtId="164" xfId="0" applyBorder="1" applyFont="1" applyNumberFormat="1"/>
    <xf borderId="0" fillId="0" fontId="14" numFmtId="0" xfId="0" applyAlignment="1" applyFont="1">
      <alignment horizontal="left" vertical="center"/>
    </xf>
    <xf borderId="8" fillId="0" fontId="10" numFmtId="0" xfId="0" applyAlignment="1" applyBorder="1" applyFont="1">
      <alignment horizontal="left"/>
    </xf>
    <xf borderId="1" fillId="3" fontId="12" numFmtId="37" xfId="0" applyBorder="1" applyFill="1" applyFont="1" applyNumberFormat="1"/>
    <xf borderId="0" fillId="0" fontId="12" numFmtId="37" xfId="0" applyFont="1" applyNumberFormat="1"/>
    <xf borderId="8" fillId="0" fontId="10" numFmtId="0" xfId="0" applyAlignment="1" applyBorder="1" applyFont="1">
      <alignment horizontal="left" vertical="center"/>
    </xf>
    <xf borderId="9" fillId="0" fontId="7" numFmtId="37" xfId="0" applyBorder="1" applyFont="1" applyNumberFormat="1"/>
    <xf borderId="9" fillId="0" fontId="7" numFmtId="164" xfId="0" applyBorder="1" applyFont="1" applyNumberFormat="1"/>
    <xf borderId="0" fillId="0" fontId="3" numFmtId="166" xfId="0" applyFont="1" applyNumberFormat="1"/>
    <xf borderId="0" fillId="0" fontId="4" numFmtId="0" xfId="0" applyFont="1"/>
    <xf borderId="0" fillId="0" fontId="15" numFmtId="164" xfId="0" applyFont="1" applyNumberFormat="1"/>
    <xf borderId="0" fillId="0" fontId="15" numFmtId="37" xfId="0" applyFont="1" applyNumberFormat="1"/>
    <xf borderId="0" fillId="0" fontId="15" numFmtId="0" xfId="0" applyFont="1"/>
    <xf borderId="5" fillId="8" fontId="10" numFmtId="0" xfId="0" applyAlignment="1" applyBorder="1" applyFill="1" applyFont="1">
      <alignment horizontal="left"/>
    </xf>
    <xf borderId="6" fillId="8" fontId="7" numFmtId="37" xfId="0" applyBorder="1" applyFill="1" applyFont="1" applyNumberFormat="1"/>
    <xf borderId="6" fillId="8" fontId="7" numFmtId="164" xfId="0" applyBorder="1" applyFill="1" applyFont="1" applyNumberFormat="1"/>
    <xf borderId="1" fillId="6" fontId="4" numFmtId="37" xfId="0" applyAlignment="1" applyBorder="1" applyFill="1" applyFont="1" applyNumberFormat="1">
      <alignment readingOrder="0"/>
    </xf>
    <xf borderId="10" fillId="0" fontId="3" numFmtId="0" xfId="0" applyBorder="1" applyFont="1"/>
    <xf borderId="10" fillId="0" fontId="15" numFmtId="166" xfId="0" applyBorder="1" applyFont="1" applyNumberFormat="1"/>
    <xf borderId="10" fillId="0" fontId="16" numFmtId="166" xfId="0" applyAlignment="1" applyBorder="1" applyFont="1" applyNumberFormat="1">
      <alignment horizontal="right"/>
    </xf>
    <xf borderId="10" fillId="0" fontId="15" numFmtId="164" xfId="0" applyBorder="1" applyFont="1" applyNumberFormat="1"/>
    <xf borderId="10" fillId="0" fontId="16" numFmtId="37" xfId="0" applyAlignment="1" applyBorder="1" applyFont="1" applyNumberFormat="1">
      <alignment horizontal="right"/>
    </xf>
    <xf borderId="0" fillId="0" fontId="16" numFmtId="0" xfId="0" applyAlignment="1" applyFont="1">
      <alignment horizontal="right"/>
    </xf>
    <xf borderId="0" fillId="0" fontId="16" numFmtId="37" xfId="0" applyAlignment="1" applyFont="1" applyNumberFormat="1">
      <alignment horizontal="right"/>
    </xf>
    <xf borderId="0" fillId="0" fontId="3" numFmtId="0" xfId="0" applyAlignment="1" applyFont="1">
      <alignment horizontal="left"/>
    </xf>
    <xf borderId="0" fillId="0" fontId="3" numFmtId="164" xfId="0" applyAlignment="1" applyFont="1" applyNumberFormat="1">
      <alignment horizontal="left"/>
    </xf>
    <xf borderId="2" fillId="0" fontId="3" numFmtId="37" xfId="0" applyBorder="1" applyFont="1" applyNumberFormat="1"/>
    <xf borderId="0" fillId="0" fontId="7" numFmtId="0" xfId="0" applyFont="1"/>
    <xf borderId="7" fillId="0" fontId="3" numFmtId="37" xfId="0" applyBorder="1" applyFont="1" applyNumberFormat="1"/>
  </cellXfs>
  <cellStyles count="1">
    <cellStyle xfId="0" name="Normal" builtinId="0"/>
  </cellStyles>
  <dxfs count="1">
    <dxf>
      <font>
        <color rgb="FF0000FF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5317"/>
    <pageSetUpPr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 outlineLevelCol="1"/>
  <cols>
    <col customWidth="1" min="1" max="1" width="54.71"/>
    <col customWidth="1" min="2" max="13" width="11.29" outlineLevel="1"/>
    <col customWidth="1" min="14" max="14" width="14.29"/>
    <col customWidth="1" min="15" max="15" width="12.71"/>
    <col customWidth="1" min="16" max="20" width="3.43"/>
    <col customWidth="1" min="21" max="32" width="11.29" outlineLevel="1"/>
    <col customWidth="1" min="33" max="33" width="14.29"/>
    <col customWidth="1" min="34" max="34" width="12.71"/>
    <col customWidth="1" min="35" max="35" width="7.43"/>
    <col customWidth="1" min="36" max="36" width="13.14"/>
    <col customWidth="1" min="37" max="37" width="1.71"/>
  </cols>
  <sheetData>
    <row r="1" ht="13.5" customHeight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4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  <c r="AJ1" s="4"/>
      <c r="AK1" s="4"/>
    </row>
    <row r="2" ht="13.5" customHeight="1">
      <c r="A2" s="7" t="s">
        <v>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4"/>
      <c r="P2" s="4"/>
      <c r="Q2" s="4"/>
      <c r="R2" s="4"/>
      <c r="S2" s="4"/>
      <c r="T2" s="4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4"/>
      <c r="AI2" s="4"/>
      <c r="AJ2" s="4"/>
      <c r="AK2" s="4"/>
    </row>
    <row r="3" ht="13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</row>
    <row r="4" ht="13.5" customHeight="1">
      <c r="A4" s="4"/>
      <c r="B4" s="5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</row>
    <row r="5" ht="13.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</row>
    <row r="6" ht="13.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</row>
    <row r="7" ht="13.5" customHeight="1">
      <c r="A7" s="11"/>
      <c r="B7" s="12" t="s">
        <v>5</v>
      </c>
      <c r="C7" s="12" t="s">
        <v>5</v>
      </c>
      <c r="D7" s="12" t="s">
        <v>5</v>
      </c>
      <c r="E7" s="12" t="s">
        <v>5</v>
      </c>
      <c r="F7" s="12" t="s">
        <v>5</v>
      </c>
      <c r="G7" s="12" t="s">
        <v>5</v>
      </c>
      <c r="H7" s="12" t="s">
        <v>5</v>
      </c>
      <c r="I7" s="12" t="s">
        <v>5</v>
      </c>
      <c r="J7" s="13" t="s">
        <v>6</v>
      </c>
      <c r="K7" s="13" t="s">
        <v>6</v>
      </c>
      <c r="L7" s="13" t="s">
        <v>6</v>
      </c>
      <c r="M7" s="13" t="s">
        <v>6</v>
      </c>
      <c r="N7" s="13" t="s">
        <v>6</v>
      </c>
      <c r="O7" s="13" t="s">
        <v>6</v>
      </c>
      <c r="P7" s="4"/>
      <c r="Q7" s="4"/>
      <c r="R7" s="4"/>
      <c r="S7" s="4"/>
      <c r="T7" s="4"/>
      <c r="U7" s="14" t="s">
        <v>7</v>
      </c>
      <c r="V7" s="14" t="s">
        <v>7</v>
      </c>
      <c r="W7" s="14" t="s">
        <v>7</v>
      </c>
      <c r="X7" s="14" t="s">
        <v>7</v>
      </c>
      <c r="Y7" s="14" t="s">
        <v>7</v>
      </c>
      <c r="Z7" s="14" t="s">
        <v>7</v>
      </c>
      <c r="AA7" s="14" t="s">
        <v>7</v>
      </c>
      <c r="AB7" s="14" t="s">
        <v>7</v>
      </c>
      <c r="AC7" s="14" t="s">
        <v>7</v>
      </c>
      <c r="AD7" s="14" t="s">
        <v>7</v>
      </c>
      <c r="AE7" s="14" t="s">
        <v>7</v>
      </c>
      <c r="AF7" s="14" t="s">
        <v>7</v>
      </c>
      <c r="AG7" s="14" t="s">
        <v>7</v>
      </c>
      <c r="AH7" s="14" t="s">
        <v>7</v>
      </c>
      <c r="AI7" s="4"/>
      <c r="AJ7" s="17" t="s">
        <v>9</v>
      </c>
      <c r="AK7" s="4"/>
    </row>
    <row r="8" ht="13.5" customHeight="1">
      <c r="A8" s="11" t="s">
        <v>10</v>
      </c>
      <c r="B8" s="18" t="s">
        <v>11</v>
      </c>
      <c r="C8" s="18" t="s">
        <v>12</v>
      </c>
      <c r="D8" s="18" t="s">
        <v>13</v>
      </c>
      <c r="E8" s="18" t="s">
        <v>14</v>
      </c>
      <c r="F8" s="18" t="s">
        <v>15</v>
      </c>
      <c r="G8" s="18" t="s">
        <v>16</v>
      </c>
      <c r="H8" s="18" t="s">
        <v>17</v>
      </c>
      <c r="I8" s="18" t="s">
        <v>18</v>
      </c>
      <c r="J8" s="18" t="s">
        <v>19</v>
      </c>
      <c r="K8" s="18" t="s">
        <v>20</v>
      </c>
      <c r="L8" s="18" t="s">
        <v>21</v>
      </c>
      <c r="M8" s="18" t="s">
        <v>22</v>
      </c>
      <c r="N8" s="12">
        <v>2026.0</v>
      </c>
      <c r="O8" s="12" t="s">
        <v>23</v>
      </c>
      <c r="P8" s="4"/>
      <c r="Q8" s="4"/>
      <c r="R8" s="4"/>
      <c r="S8" s="4"/>
      <c r="T8" s="4"/>
      <c r="U8" s="19" t="s">
        <v>11</v>
      </c>
      <c r="V8" s="19" t="s">
        <v>12</v>
      </c>
      <c r="W8" s="19" t="s">
        <v>13</v>
      </c>
      <c r="X8" s="19" t="s">
        <v>14</v>
      </c>
      <c r="Y8" s="19" t="s">
        <v>15</v>
      </c>
      <c r="Z8" s="19" t="s">
        <v>16</v>
      </c>
      <c r="AA8" s="19" t="s">
        <v>17</v>
      </c>
      <c r="AB8" s="19" t="s">
        <v>18</v>
      </c>
      <c r="AC8" s="19" t="s">
        <v>19</v>
      </c>
      <c r="AD8" s="19" t="s">
        <v>20</v>
      </c>
      <c r="AE8" s="19" t="s">
        <v>21</v>
      </c>
      <c r="AF8" s="19" t="s">
        <v>22</v>
      </c>
      <c r="AG8" s="21" t="s">
        <v>25</v>
      </c>
      <c r="AH8" s="14" t="s">
        <v>23</v>
      </c>
      <c r="AI8" s="4"/>
      <c r="AJ8" s="22" t="s">
        <v>26</v>
      </c>
      <c r="AK8" s="4"/>
    </row>
    <row r="9" ht="13.5" customHeight="1">
      <c r="A9" s="23" t="s">
        <v>30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4"/>
      <c r="AI9" s="4"/>
      <c r="AJ9" s="4"/>
      <c r="AK9" s="4"/>
    </row>
    <row r="10" ht="13.5" customHeight="1">
      <c r="A10" s="24" t="s">
        <v>31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4"/>
      <c r="AI10" s="4"/>
      <c r="AJ10" s="4"/>
      <c r="AK10" s="4"/>
    </row>
    <row r="11" ht="13.5" customHeight="1">
      <c r="A11" s="24" t="s">
        <v>32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4"/>
      <c r="AI11" s="4"/>
      <c r="AJ11" s="4"/>
      <c r="AK11" s="4"/>
    </row>
    <row r="12" ht="13.5" customHeight="1">
      <c r="A12" s="25" t="s">
        <v>33</v>
      </c>
      <c r="B12" s="5">
        <f>SUM(FO!B12,PO!B12,CO!B12,FE!B12,PE!B12)</f>
        <v>534716.78</v>
      </c>
      <c r="C12" s="5">
        <f>SUM(FO!C12,PO!C12,CO!C12,FE!C12,PE!C12)</f>
        <v>494949.28</v>
      </c>
      <c r="D12" s="5">
        <f>SUM(FO!D12,PO!D12,CO!D12,FE!D12,PE!D12)</f>
        <v>468603.55</v>
      </c>
      <c r="E12" s="5">
        <f>SUM(FO!E12,PO!E12,CO!E12,FE!E12,PE!E12)</f>
        <v>481426.2</v>
      </c>
      <c r="F12" s="5">
        <f>SUM(FO!F12,PO!F12,CO!F12,FE!F12,PE!F12)</f>
        <v>501668.11</v>
      </c>
      <c r="G12" s="5">
        <f>SUM(FO!G12,PO!G12,CO!G12,FE!G12,PE!G12)</f>
        <v>473687.43</v>
      </c>
      <c r="H12" s="5">
        <f>SUM(FO!H12,PO!H12,CO!H12,FE!H12,PE!H12)</f>
        <v>454042.16</v>
      </c>
      <c r="I12" s="5">
        <f>SUM(FO!I12,PO!I12,CO!I12,FE!I12,PE!I12)</f>
        <v>467055.56</v>
      </c>
      <c r="J12" s="5">
        <f>SUM(FO!J12,PO!J12,CO!J12,FE!J12,PE!J12)</f>
        <v>531107.3333</v>
      </c>
      <c r="K12" s="5">
        <f>SUM(FO!K12,PO!K12,CO!K12,FE!K12,PE!K12)</f>
        <v>626940.6667</v>
      </c>
      <c r="L12" s="5">
        <f>SUM(FO!L12,PO!L12,CO!L12,FE!L12,PE!L12)</f>
        <v>651940.6667</v>
      </c>
      <c r="M12" s="5">
        <f>SUM(FO!M12,PO!M12,CO!M12,FE!M12,PE!M12)</f>
        <v>676940.6667</v>
      </c>
      <c r="N12" s="5">
        <f t="shared" ref="N12:N16" si="1">SUM(B12:M12)</f>
        <v>6363078.403</v>
      </c>
      <c r="O12" s="28">
        <f t="shared" ref="O12:O13" si="2">IFERROR(N12/N$16,"")</f>
        <v>0.8571026698</v>
      </c>
      <c r="P12" s="5"/>
      <c r="Q12" s="5"/>
      <c r="R12" s="5"/>
      <c r="S12" s="32"/>
      <c r="T12" s="5"/>
      <c r="U12" s="5">
        <f>SUM(FO!U12,PO!U12,CO!U12,FE!U12,PE!U12)</f>
        <v>0</v>
      </c>
      <c r="V12" s="5">
        <f>SUM(FO!V12,PO!V12,CO!V12,FE!V12,PE!V12)</f>
        <v>0</v>
      </c>
      <c r="W12" s="5">
        <f>SUM(FO!W12,PO!W12,CO!W12,FE!W12,PE!W12)</f>
        <v>0</v>
      </c>
      <c r="X12" s="5">
        <f>SUM(FO!X12,PO!X12,CO!X12,FE!X12,PE!X12)</f>
        <v>0</v>
      </c>
      <c r="Y12" s="5">
        <f>SUM(FO!Y12,PO!Y12,CO!Y12,FE!Y12,PE!Y12)</f>
        <v>0</v>
      </c>
      <c r="Z12" s="5">
        <f>SUM(FO!Z12,PO!Z12,CO!Z12,FE!Z12,PE!Z12)</f>
        <v>0</v>
      </c>
      <c r="AA12" s="5">
        <f>SUM(FO!AA12,PO!AA12,CO!AA12,FE!AA12,PE!AA12)</f>
        <v>0</v>
      </c>
      <c r="AB12" s="5">
        <f>SUM(FO!AB12,PO!AB12,CO!AB12,FE!AB12,PE!AB12)</f>
        <v>0</v>
      </c>
      <c r="AC12" s="5">
        <f>SUM(FO!AC12,PO!AC12,CO!AC12,FE!AC12,PE!AC12)</f>
        <v>0</v>
      </c>
      <c r="AD12" s="5">
        <f>SUM(FO!AD12,PO!AD12,CO!AD12,FE!AD12,PE!AD12)</f>
        <v>0</v>
      </c>
      <c r="AE12" s="5">
        <f>SUM(FO!AE12,PO!AE12,CO!AE12,FE!AE12,PE!AE12)</f>
        <v>0</v>
      </c>
      <c r="AF12" s="5">
        <f>SUM(FO!AF12,PO!AF12,CO!AF12,FE!AF12,PE!AF12)</f>
        <v>0</v>
      </c>
      <c r="AG12" s="5">
        <f t="shared" ref="AG12:AG16" si="3">SUM(U12:AF12)</f>
        <v>0</v>
      </c>
      <c r="AH12" s="28" t="str">
        <f t="shared" ref="AH12:AH13" si="4">IFERROR(AG12/AG$16,"")</f>
        <v/>
      </c>
      <c r="AI12" s="4"/>
      <c r="AJ12" s="5">
        <f t="shared" ref="AJ12:AJ16" si="5">AG12-N12</f>
        <v>-6363078.403</v>
      </c>
      <c r="AK12" s="4"/>
    </row>
    <row r="13" ht="13.5" customHeight="1">
      <c r="A13" s="25" t="s">
        <v>35</v>
      </c>
      <c r="B13" s="5">
        <f>SUM(FO!B13,PO!B13,CO!B13,FE!B13,PE!B13)</f>
        <v>8277.78</v>
      </c>
      <c r="C13" s="5">
        <f>SUM(FO!C13,PO!C13,CO!C13,FE!C13,PE!C13)</f>
        <v>8277.78</v>
      </c>
      <c r="D13" s="5">
        <f>SUM(FO!D13,PO!D13,CO!D13,FE!D13,PE!D13)</f>
        <v>18277.78</v>
      </c>
      <c r="E13" s="5">
        <f>SUM(FO!E13,PO!E13,CO!E13,FE!E13,PE!E13)</f>
        <v>18277.78</v>
      </c>
      <c r="F13" s="5">
        <f>SUM(FO!F13,PO!F13,CO!F13,FE!F13,PE!F13)</f>
        <v>18277.78</v>
      </c>
      <c r="G13" s="5">
        <f>SUM(FO!G13,PO!G13,CO!G13,FE!G13,PE!G13)</f>
        <v>6055.57</v>
      </c>
      <c r="H13" s="5">
        <f>SUM(FO!H13,PO!H13,CO!H13,FE!H13,PE!H13)</f>
        <v>2166.67</v>
      </c>
      <c r="I13" s="5">
        <f>SUM(FO!I13,PO!I13,CO!I13,FE!I13,PE!I13)</f>
        <v>4250</v>
      </c>
      <c r="J13" s="5">
        <f>SUM(FO!J13,PO!J13,CO!J13,FE!J13,PE!J13)</f>
        <v>500</v>
      </c>
      <c r="K13" s="5">
        <f>SUM(FO!K13,PO!K13,CO!K13,FE!K13,PE!K13)</f>
        <v>500</v>
      </c>
      <c r="L13" s="5">
        <f>SUM(FO!L13,PO!L13,CO!L13,FE!L13,PE!L13)</f>
        <v>500</v>
      </c>
      <c r="M13" s="5">
        <f>SUM(FO!M13,PO!M13,CO!M13,FE!M13,PE!M13)</f>
        <v>500</v>
      </c>
      <c r="N13" s="5">
        <f t="shared" si="1"/>
        <v>85861.14</v>
      </c>
      <c r="O13" s="28">
        <f t="shared" si="2"/>
        <v>0.0115654417</v>
      </c>
      <c r="P13" s="5"/>
      <c r="Q13" s="5"/>
      <c r="R13" s="5"/>
      <c r="S13" s="5"/>
      <c r="T13" s="5"/>
      <c r="U13" s="5">
        <f>SUM(FO!U13,PO!U13,CO!U13,FE!U13,PE!U13)</f>
        <v>0</v>
      </c>
      <c r="V13" s="5">
        <f>SUM(FO!V13,PO!V13,CO!V13,FE!V13,PE!V13)</f>
        <v>0</v>
      </c>
      <c r="W13" s="5">
        <f>SUM(FO!W13,PO!W13,CO!W13,FE!W13,PE!W13)</f>
        <v>0</v>
      </c>
      <c r="X13" s="5">
        <f>SUM(FO!X13,PO!X13,CO!X13,FE!X13,PE!X13)</f>
        <v>0</v>
      </c>
      <c r="Y13" s="5">
        <f>SUM(FO!Y13,PO!Y13,CO!Y13,FE!Y13,PE!Y13)</f>
        <v>0</v>
      </c>
      <c r="Z13" s="5">
        <f>SUM(FO!Z13,PO!Z13,CO!Z13,FE!Z13,PE!Z13)</f>
        <v>0</v>
      </c>
      <c r="AA13" s="5">
        <f>SUM(FO!AA13,PO!AA13,CO!AA13,FE!AA13,PE!AA13)</f>
        <v>0</v>
      </c>
      <c r="AB13" s="5">
        <f>SUM(FO!AB13,PO!AB13,CO!AB13,FE!AB13,PE!AB13)</f>
        <v>0</v>
      </c>
      <c r="AC13" s="5">
        <f>SUM(FO!AC13,PO!AC13,CO!AC13,FE!AC13,PE!AC13)</f>
        <v>0</v>
      </c>
      <c r="AD13" s="5">
        <f>SUM(FO!AD13,PO!AD13,CO!AD13,FE!AD13,PE!AD13)</f>
        <v>0</v>
      </c>
      <c r="AE13" s="5">
        <f>SUM(FO!AE13,PO!AE13,CO!AE13,FE!AE13,PE!AE13)</f>
        <v>0</v>
      </c>
      <c r="AF13" s="5">
        <f>SUM(FO!AF13,PO!AF13,CO!AF13,FE!AF13,PE!AF13)</f>
        <v>0</v>
      </c>
      <c r="AG13" s="5">
        <f t="shared" si="3"/>
        <v>0</v>
      </c>
      <c r="AH13" s="28" t="str">
        <f t="shared" si="4"/>
        <v/>
      </c>
      <c r="AI13" s="4"/>
      <c r="AJ13" s="5">
        <f t="shared" si="5"/>
        <v>-85861.14</v>
      </c>
      <c r="AK13" s="5"/>
    </row>
    <row r="14" ht="13.5" customHeight="1">
      <c r="A14" s="33" t="s">
        <v>36</v>
      </c>
      <c r="B14" s="34">
        <f t="shared" ref="B14:M14" si="6">SUM(B12:B13)</f>
        <v>542994.56</v>
      </c>
      <c r="C14" s="34">
        <f t="shared" si="6"/>
        <v>503227.06</v>
      </c>
      <c r="D14" s="34">
        <f t="shared" si="6"/>
        <v>486881.33</v>
      </c>
      <c r="E14" s="34">
        <f t="shared" si="6"/>
        <v>499703.98</v>
      </c>
      <c r="F14" s="34">
        <f t="shared" si="6"/>
        <v>519945.89</v>
      </c>
      <c r="G14" s="34">
        <f t="shared" si="6"/>
        <v>479743</v>
      </c>
      <c r="H14" s="34">
        <f t="shared" si="6"/>
        <v>456208.83</v>
      </c>
      <c r="I14" s="34">
        <f t="shared" si="6"/>
        <v>471305.56</v>
      </c>
      <c r="J14" s="34">
        <f t="shared" si="6"/>
        <v>531607.3333</v>
      </c>
      <c r="K14" s="34">
        <f t="shared" si="6"/>
        <v>627440.6667</v>
      </c>
      <c r="L14" s="34">
        <f t="shared" si="6"/>
        <v>652440.6667</v>
      </c>
      <c r="M14" s="34">
        <f t="shared" si="6"/>
        <v>677440.6667</v>
      </c>
      <c r="N14" s="34">
        <f t="shared" si="1"/>
        <v>6448939.543</v>
      </c>
      <c r="O14" s="35">
        <f>SUM(O12:O13)</f>
        <v>0.8686681115</v>
      </c>
      <c r="P14" s="5"/>
      <c r="Q14" s="5"/>
      <c r="R14" s="5"/>
      <c r="S14" s="5"/>
      <c r="T14" s="5"/>
      <c r="U14" s="34">
        <f t="shared" ref="U14:AF14" si="7">SUM(U12:U13)</f>
        <v>0</v>
      </c>
      <c r="V14" s="34">
        <f t="shared" si="7"/>
        <v>0</v>
      </c>
      <c r="W14" s="34">
        <f t="shared" si="7"/>
        <v>0</v>
      </c>
      <c r="X14" s="34">
        <f t="shared" si="7"/>
        <v>0</v>
      </c>
      <c r="Y14" s="34">
        <f t="shared" si="7"/>
        <v>0</v>
      </c>
      <c r="Z14" s="34">
        <f t="shared" si="7"/>
        <v>0</v>
      </c>
      <c r="AA14" s="34">
        <f t="shared" si="7"/>
        <v>0</v>
      </c>
      <c r="AB14" s="34">
        <f t="shared" si="7"/>
        <v>0</v>
      </c>
      <c r="AC14" s="34">
        <f t="shared" si="7"/>
        <v>0</v>
      </c>
      <c r="AD14" s="34">
        <f t="shared" si="7"/>
        <v>0</v>
      </c>
      <c r="AE14" s="34">
        <f t="shared" si="7"/>
        <v>0</v>
      </c>
      <c r="AF14" s="34">
        <f t="shared" si="7"/>
        <v>0</v>
      </c>
      <c r="AG14" s="34">
        <f t="shared" si="3"/>
        <v>0</v>
      </c>
      <c r="AH14" s="35">
        <f>SUM(AH12:AH13)</f>
        <v>0</v>
      </c>
      <c r="AI14" s="4"/>
      <c r="AJ14" s="34">
        <f t="shared" si="5"/>
        <v>-6448939.543</v>
      </c>
      <c r="AK14" s="4"/>
    </row>
    <row r="15" ht="13.5" customHeight="1">
      <c r="A15" s="25" t="s">
        <v>37</v>
      </c>
      <c r="B15" s="5">
        <f>SUM(FO!B15,PO!B15,CO!B15,FE!B15,PE!B15)</f>
        <v>0</v>
      </c>
      <c r="C15" s="5">
        <f>SUM(FO!C15,PO!C15,CO!C15,FE!C15,PE!C15)</f>
        <v>0</v>
      </c>
      <c r="D15" s="5">
        <f>SUM(FO!D15,PO!D15,CO!D15,FE!D15,PE!D15)</f>
        <v>60000</v>
      </c>
      <c r="E15" s="5">
        <f>SUM(FO!E15,PO!E15,CO!E15,FE!E15,PE!E15)</f>
        <v>250000</v>
      </c>
      <c r="F15" s="5">
        <f>SUM(FO!F15,PO!F15,CO!F15,FE!F15,PE!F15)</f>
        <v>0</v>
      </c>
      <c r="G15" s="5">
        <f>SUM(FO!G15,PO!G15,CO!G15,FE!G15,PE!G15)</f>
        <v>0</v>
      </c>
      <c r="H15" s="5">
        <f>SUM(FO!H15,PO!H15,CO!H15,FE!H15,PE!H15)</f>
        <v>185000</v>
      </c>
      <c r="I15" s="5">
        <f>SUM(FO!I15,PO!I15,CO!I15,FE!I15,PE!I15)</f>
        <v>0</v>
      </c>
      <c r="J15" s="5">
        <f>SUM(FO!J15,PO!J15,CO!J15,FE!J15,PE!J15)</f>
        <v>120000</v>
      </c>
      <c r="K15" s="5">
        <f>SUM(FO!K15,PO!K15,CO!K15,FE!K15,PE!K15)</f>
        <v>120000</v>
      </c>
      <c r="L15" s="5">
        <f>SUM(FO!L15,PO!L15,CO!L15,FE!L15,PE!L15)</f>
        <v>120000</v>
      </c>
      <c r="M15" s="5">
        <f>SUM(FO!M15,PO!M15,CO!M15,FE!M15,PE!M15)</f>
        <v>120000</v>
      </c>
      <c r="N15" s="5">
        <f t="shared" si="1"/>
        <v>975000</v>
      </c>
      <c r="O15" s="28">
        <f>IFERROR(N15/N$16,"")</f>
        <v>0.1313318885</v>
      </c>
      <c r="P15" s="5"/>
      <c r="Q15" s="5"/>
      <c r="R15" s="5"/>
      <c r="S15" s="5"/>
      <c r="T15" s="5"/>
      <c r="U15" s="5">
        <f>SUM(FO!U15,PO!U15,CO!U15,FE!U15,PE!U15)</f>
        <v>0</v>
      </c>
      <c r="V15" s="5">
        <f>SUM(FO!V15,PO!V15,CO!V15,FE!V15,PE!V15)</f>
        <v>0</v>
      </c>
      <c r="W15" s="5">
        <f>SUM(FO!W15,PO!W15,CO!W15,FE!W15,PE!W15)</f>
        <v>0</v>
      </c>
      <c r="X15" s="5">
        <f>SUM(FO!X15,PO!X15,CO!X15,FE!X15,PE!X15)</f>
        <v>0</v>
      </c>
      <c r="Y15" s="5">
        <f>SUM(FO!Y15,PO!Y15,CO!Y15,FE!Y15,PE!Y15)</f>
        <v>0</v>
      </c>
      <c r="Z15" s="5">
        <f>SUM(FO!Z15,PO!Z15,CO!Z15,FE!Z15,PE!Z15)</f>
        <v>0</v>
      </c>
      <c r="AA15" s="5">
        <f>SUM(FO!AA15,PO!AA15,CO!AA15,FE!AA15,PE!AA15)</f>
        <v>0</v>
      </c>
      <c r="AB15" s="5">
        <f>SUM(FO!AB15,PO!AB15,CO!AB15,FE!AB15,PE!AB15)</f>
        <v>0</v>
      </c>
      <c r="AC15" s="5">
        <f>SUM(FO!AC15,PO!AC15,CO!AC15,FE!AC15,PE!AC15)</f>
        <v>0</v>
      </c>
      <c r="AD15" s="5">
        <f>SUM(FO!AD15,PO!AD15,CO!AD15,FE!AD15,PE!AD15)</f>
        <v>0</v>
      </c>
      <c r="AE15" s="5">
        <f>SUM(FO!AE15,PO!AE15,CO!AE15,FE!AE15,PE!AE15)</f>
        <v>0</v>
      </c>
      <c r="AF15" s="5">
        <f>SUM(FO!AF15,PO!AF15,CO!AF15,FE!AF15,PE!AF15)</f>
        <v>0</v>
      </c>
      <c r="AG15" s="5">
        <f t="shared" si="3"/>
        <v>0</v>
      </c>
      <c r="AH15" s="28" t="str">
        <f>IFERROR(AG15/AG$16,"")</f>
        <v/>
      </c>
      <c r="AI15" s="4"/>
      <c r="AJ15" s="5">
        <f t="shared" si="5"/>
        <v>-975000</v>
      </c>
      <c r="AK15" s="4"/>
    </row>
    <row r="16" ht="13.5" customHeight="1">
      <c r="A16" s="40" t="s">
        <v>38</v>
      </c>
      <c r="B16" s="41">
        <f t="shared" ref="B16:M16" si="8">B14+B15</f>
        <v>542994.56</v>
      </c>
      <c r="C16" s="41">
        <f t="shared" si="8"/>
        <v>503227.06</v>
      </c>
      <c r="D16" s="41">
        <f t="shared" si="8"/>
        <v>546881.33</v>
      </c>
      <c r="E16" s="41">
        <f t="shared" si="8"/>
        <v>749703.98</v>
      </c>
      <c r="F16" s="41">
        <f t="shared" si="8"/>
        <v>519945.89</v>
      </c>
      <c r="G16" s="41">
        <f t="shared" si="8"/>
        <v>479743</v>
      </c>
      <c r="H16" s="41">
        <f t="shared" si="8"/>
        <v>641208.83</v>
      </c>
      <c r="I16" s="41">
        <f t="shared" si="8"/>
        <v>471305.56</v>
      </c>
      <c r="J16" s="41">
        <f t="shared" si="8"/>
        <v>651607.3333</v>
      </c>
      <c r="K16" s="41">
        <f t="shared" si="8"/>
        <v>747440.6667</v>
      </c>
      <c r="L16" s="41">
        <f t="shared" si="8"/>
        <v>772440.6667</v>
      </c>
      <c r="M16" s="41">
        <f t="shared" si="8"/>
        <v>797440.6667</v>
      </c>
      <c r="N16" s="41">
        <f t="shared" si="1"/>
        <v>7423939.543</v>
      </c>
      <c r="O16" s="42">
        <f>SUM(O14:O15)</f>
        <v>1</v>
      </c>
      <c r="P16" s="5"/>
      <c r="Q16" s="5"/>
      <c r="R16" s="5"/>
      <c r="S16" s="5"/>
      <c r="T16" s="5"/>
      <c r="U16" s="41">
        <f t="shared" ref="U16:AF16" si="9">U14+U15</f>
        <v>0</v>
      </c>
      <c r="V16" s="41">
        <f t="shared" si="9"/>
        <v>0</v>
      </c>
      <c r="W16" s="41">
        <f t="shared" si="9"/>
        <v>0</v>
      </c>
      <c r="X16" s="41">
        <f t="shared" si="9"/>
        <v>0</v>
      </c>
      <c r="Y16" s="41">
        <f t="shared" si="9"/>
        <v>0</v>
      </c>
      <c r="Z16" s="41">
        <f t="shared" si="9"/>
        <v>0</v>
      </c>
      <c r="AA16" s="41">
        <f t="shared" si="9"/>
        <v>0</v>
      </c>
      <c r="AB16" s="41">
        <f t="shared" si="9"/>
        <v>0</v>
      </c>
      <c r="AC16" s="41">
        <f t="shared" si="9"/>
        <v>0</v>
      </c>
      <c r="AD16" s="41">
        <f t="shared" si="9"/>
        <v>0</v>
      </c>
      <c r="AE16" s="41">
        <f t="shared" si="9"/>
        <v>0</v>
      </c>
      <c r="AF16" s="41">
        <f t="shared" si="9"/>
        <v>0</v>
      </c>
      <c r="AG16" s="41">
        <f t="shared" si="3"/>
        <v>0</v>
      </c>
      <c r="AH16" s="42">
        <f>SUM(AH14:AH15)</f>
        <v>0</v>
      </c>
      <c r="AI16" s="4"/>
      <c r="AJ16" s="41">
        <f t="shared" si="5"/>
        <v>-7423939.543</v>
      </c>
      <c r="AK16" s="4"/>
    </row>
    <row r="17" ht="13.5" customHeight="1">
      <c r="A17" s="24" t="s">
        <v>39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28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28"/>
      <c r="AI17" s="4"/>
      <c r="AJ17" s="5"/>
      <c r="AK17" s="4"/>
    </row>
    <row r="18" ht="13.5" customHeight="1">
      <c r="A18" s="24" t="s">
        <v>40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28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28"/>
      <c r="AI18" s="4"/>
      <c r="AJ18" s="5"/>
      <c r="AK18" s="4"/>
    </row>
    <row r="19" ht="13.5" customHeight="1">
      <c r="A19" s="25" t="s">
        <v>41</v>
      </c>
      <c r="B19" s="5">
        <f>SUM(FO!B19,PO!B19,CO!B19,FE!B19,PE!B19)</f>
        <v>141122.35</v>
      </c>
      <c r="C19" s="5">
        <f>SUM(FO!C19,PO!C19,CO!C19,FE!C19,PE!C19)</f>
        <v>122211.9</v>
      </c>
      <c r="D19" s="5">
        <f>SUM(FO!D19,PO!D19,CO!D19,FE!D19,PE!D19)</f>
        <v>126630.2</v>
      </c>
      <c r="E19" s="5">
        <f>SUM(FO!E19,PO!E19,CO!E19,FE!E19,PE!E19)</f>
        <v>128215.48</v>
      </c>
      <c r="F19" s="5">
        <f>SUM(FO!F19,PO!F19,CO!F19,FE!F19,PE!F19)</f>
        <v>133968.64</v>
      </c>
      <c r="G19" s="5">
        <f>SUM(FO!G19,PO!G19,CO!G19,FE!G19,PE!G19)</f>
        <v>133968.64</v>
      </c>
      <c r="H19" s="5">
        <f>SUM(FO!H19,PO!H19,CO!H19,FE!H19,PE!H19)</f>
        <v>127510</v>
      </c>
      <c r="I19" s="5">
        <f>SUM(FO!I19,PO!I19,CO!I19,FE!I19,PE!I19)</f>
        <v>127510</v>
      </c>
      <c r="J19" s="5">
        <f>SUM(FO!J19,PO!J19,CO!J19,FE!J19,PE!J19)</f>
        <v>112797.85</v>
      </c>
      <c r="K19" s="5">
        <f>SUM(FO!K19,PO!K19,CO!K19,FE!K19,PE!K19)</f>
        <v>112797.85</v>
      </c>
      <c r="L19" s="5">
        <f>SUM(FO!L19,PO!L19,CO!L19,FE!L19,PE!L19)</f>
        <v>112797.85</v>
      </c>
      <c r="M19" s="5">
        <f>SUM(FO!M19,PO!M19,CO!M19,FE!M19,PE!M19)</f>
        <v>112797.85</v>
      </c>
      <c r="N19" s="5">
        <f t="shared" ref="N19:N22" si="10">SUM(B19:M19)</f>
        <v>1492328.61</v>
      </c>
      <c r="O19" s="28">
        <f t="shared" ref="O19:O22" si="11">IFERROR(N19/N$16,"")</f>
        <v>0.2010157277</v>
      </c>
      <c r="P19" s="5"/>
      <c r="Q19" s="5"/>
      <c r="R19" s="5"/>
      <c r="S19" s="5"/>
      <c r="T19" s="5"/>
      <c r="U19" s="5">
        <f>SUM(FO!U19,PO!U19,CO!U19,FE!U19,PE!U19)</f>
        <v>0</v>
      </c>
      <c r="V19" s="5">
        <f>SUM(FO!V19,PO!V19,CO!V19,FE!V19,PE!V19)</f>
        <v>0</v>
      </c>
      <c r="W19" s="5">
        <f>SUM(FO!W19,PO!W19,CO!W19,FE!W19,PE!W19)</f>
        <v>0</v>
      </c>
      <c r="X19" s="5">
        <f>SUM(FO!X19,PO!X19,CO!X19,FE!X19,PE!X19)</f>
        <v>0</v>
      </c>
      <c r="Y19" s="5">
        <f>SUM(FO!Y19,PO!Y19,CO!Y19,FE!Y19,PE!Y19)</f>
        <v>0</v>
      </c>
      <c r="Z19" s="5">
        <f>SUM(FO!Z19,PO!Z19,CO!Z19,FE!Z19,PE!Z19)</f>
        <v>0</v>
      </c>
      <c r="AA19" s="5">
        <f>SUM(FO!AA19,PO!AA19,CO!AA19,FE!AA19,PE!AA19)</f>
        <v>0</v>
      </c>
      <c r="AB19" s="5">
        <f>SUM(FO!AB19,PO!AB19,CO!AB19,FE!AB19,PE!AB19)</f>
        <v>0</v>
      </c>
      <c r="AC19" s="5">
        <f>SUM(FO!AC19,PO!AC19,CO!AC19,FE!AC19,PE!AC19)</f>
        <v>0</v>
      </c>
      <c r="AD19" s="5">
        <f>SUM(FO!AD19,PO!AD19,CO!AD19,FE!AD19,PE!AD19)</f>
        <v>0</v>
      </c>
      <c r="AE19" s="5">
        <f>SUM(FO!AE19,PO!AE19,CO!AE19,FE!AE19,PE!AE19)</f>
        <v>0</v>
      </c>
      <c r="AF19" s="5">
        <f>SUM(FO!AF19,PO!AF19,CO!AF19,FE!AF19,PE!AF19)</f>
        <v>0</v>
      </c>
      <c r="AG19" s="5">
        <f t="shared" ref="AG19:AG22" si="12">SUM(U19:AF19)</f>
        <v>0</v>
      </c>
      <c r="AH19" s="28" t="str">
        <f t="shared" ref="AH19:AH22" si="13">IFERROR(AG19/AG$16,"")</f>
        <v/>
      </c>
      <c r="AI19" s="4"/>
      <c r="AJ19" s="5">
        <f t="shared" ref="AJ19:AJ22" si="14">N19-AG19</f>
        <v>1492328.61</v>
      </c>
      <c r="AK19" s="4"/>
    </row>
    <row r="20" ht="13.5" customHeight="1">
      <c r="A20" s="25" t="s">
        <v>42</v>
      </c>
      <c r="B20" s="5">
        <f>SUM(FO!B20,PO!B20,CO!B20,FE!B20,PE!B20)</f>
        <v>0</v>
      </c>
      <c r="C20" s="5">
        <f>SUM(FO!C20,PO!C20,CO!C20,FE!C20,PE!C20)</f>
        <v>0</v>
      </c>
      <c r="D20" s="5">
        <f>SUM(FO!D20,PO!D20,CO!D20,FE!D20,PE!D20)</f>
        <v>1677.96</v>
      </c>
      <c r="E20" s="5">
        <f>SUM(FO!E20,PO!E20,CO!E20,FE!E20,PE!E20)</f>
        <v>3263.24</v>
      </c>
      <c r="F20" s="5">
        <f>SUM(FO!F20,PO!F20,CO!F20,FE!F20,PE!F20)</f>
        <v>3263.24</v>
      </c>
      <c r="G20" s="5">
        <f>SUM(FO!G20,PO!G20,CO!G20,FE!G20,PE!G20)</f>
        <v>11653.04</v>
      </c>
      <c r="H20" s="5">
        <f>SUM(FO!H20,PO!H20,CO!H20,FE!H20,PE!H20)</f>
        <v>7458.14</v>
      </c>
      <c r="I20" s="5">
        <f>SUM(FO!I20,PO!I20,CO!I20,FE!I20,PE!I20)</f>
        <v>9836.06</v>
      </c>
      <c r="J20" s="5">
        <f>SUM(FO!J20,PO!J20,CO!J20,FE!J20,PE!J20)</f>
        <v>8837.757143</v>
      </c>
      <c r="K20" s="5">
        <f>SUM(FO!K20,PO!K20,CO!K20,FE!K20,PE!K20)</f>
        <v>15802.04286</v>
      </c>
      <c r="L20" s="5">
        <f>SUM(FO!L20,PO!L20,CO!L20,FE!L20,PE!L20)</f>
        <v>18123.47143</v>
      </c>
      <c r="M20" s="5">
        <f>SUM(FO!M20,PO!M20,CO!M20,FE!M20,PE!M20)</f>
        <v>20444.9</v>
      </c>
      <c r="N20" s="5">
        <f t="shared" si="10"/>
        <v>100359.8514</v>
      </c>
      <c r="O20" s="28">
        <f t="shared" si="11"/>
        <v>0.01351840904</v>
      </c>
      <c r="P20" s="5"/>
      <c r="Q20" s="5"/>
      <c r="R20" s="5"/>
      <c r="S20" s="5"/>
      <c r="T20" s="5"/>
      <c r="U20" s="5">
        <f>SUM(FO!U20,PO!U20,CO!U20,FE!U20,PE!U20)</f>
        <v>0</v>
      </c>
      <c r="V20" s="5">
        <f>SUM(FO!V20,PO!V20,CO!V20,FE!V20,PE!V20)</f>
        <v>0</v>
      </c>
      <c r="W20" s="5">
        <f>SUM(FO!W20,PO!W20,CO!W20,FE!W20,PE!W20)</f>
        <v>0</v>
      </c>
      <c r="X20" s="5">
        <f>SUM(FO!X20,PO!X20,CO!X20,FE!X20,PE!X20)</f>
        <v>0</v>
      </c>
      <c r="Y20" s="5">
        <f>SUM(FO!Y20,PO!Y20,CO!Y20,FE!Y20,PE!Y20)</f>
        <v>0</v>
      </c>
      <c r="Z20" s="5">
        <f>SUM(FO!Z20,PO!Z20,CO!Z20,FE!Z20,PE!Z20)</f>
        <v>0</v>
      </c>
      <c r="AA20" s="5">
        <f>SUM(FO!AA20,PO!AA20,CO!AA20,FE!AA20,PE!AA20)</f>
        <v>0</v>
      </c>
      <c r="AB20" s="5">
        <f>SUM(FO!AB20,PO!AB20,CO!AB20,FE!AB20,PE!AB20)</f>
        <v>0</v>
      </c>
      <c r="AC20" s="5">
        <f>SUM(FO!AC20,PO!AC20,CO!AC20,FE!AC20,PE!AC20)</f>
        <v>0</v>
      </c>
      <c r="AD20" s="5">
        <f>SUM(FO!AD20,PO!AD20,CO!AD20,FE!AD20,PE!AD20)</f>
        <v>0</v>
      </c>
      <c r="AE20" s="5">
        <f>SUM(FO!AE20,PO!AE20,CO!AE20,FE!AE20,PE!AE20)</f>
        <v>0</v>
      </c>
      <c r="AF20" s="5">
        <f>SUM(FO!AF20,PO!AF20,CO!AF20,FE!AF20,PE!AF20)</f>
        <v>0</v>
      </c>
      <c r="AG20" s="5">
        <f t="shared" si="12"/>
        <v>0</v>
      </c>
      <c r="AH20" s="28" t="str">
        <f t="shared" si="13"/>
        <v/>
      </c>
      <c r="AI20" s="4"/>
      <c r="AJ20" s="5">
        <f t="shared" si="14"/>
        <v>100359.8514</v>
      </c>
      <c r="AK20" s="4"/>
    </row>
    <row r="21" ht="13.5" customHeight="1">
      <c r="A21" s="25" t="s">
        <v>43</v>
      </c>
      <c r="B21" s="5">
        <f>SUM(FO!B21,PO!B21,CO!B21,FE!B21,PE!B21)</f>
        <v>0</v>
      </c>
      <c r="C21" s="5">
        <f>SUM(FO!C21,PO!C21,CO!C21,FE!C21,PE!C21)</f>
        <v>0</v>
      </c>
      <c r="D21" s="5">
        <f>SUM(FO!D21,PO!D21,CO!D21,FE!D21,PE!D21)</f>
        <v>0</v>
      </c>
      <c r="E21" s="5">
        <f>SUM(FO!E21,PO!E21,CO!E21,FE!E21,PE!E21)</f>
        <v>1791.23</v>
      </c>
      <c r="F21" s="5">
        <f>SUM(FO!F21,PO!F21,CO!F21,FE!F21,PE!F21)</f>
        <v>3124.54</v>
      </c>
      <c r="G21" s="5">
        <f>SUM(FO!G21,PO!G21,CO!G21,FE!G21,PE!G21)</f>
        <v>4796.43</v>
      </c>
      <c r="H21" s="5">
        <f>SUM(FO!H21,PO!H21,CO!H21,FE!H21,PE!H21)</f>
        <v>3293.79</v>
      </c>
      <c r="I21" s="5">
        <f>SUM(FO!I21,PO!I21,CO!I21,FE!I21,PE!I21)</f>
        <v>3909.48</v>
      </c>
      <c r="J21" s="5">
        <f>SUM(FO!J21,PO!J21,CO!J21,FE!J21,PE!J21)</f>
        <v>2969.306667</v>
      </c>
      <c r="K21" s="5">
        <f>SUM(FO!K21,PO!K21,CO!K21,FE!K21,PE!K21)</f>
        <v>4902.64</v>
      </c>
      <c r="L21" s="5">
        <f>SUM(FO!L21,PO!L21,CO!L21,FE!L21,PE!L21)</f>
        <v>5702.64</v>
      </c>
      <c r="M21" s="5">
        <f>SUM(FO!M21,PO!M21,CO!M21,FE!M21,PE!M21)</f>
        <v>6502.64</v>
      </c>
      <c r="N21" s="5">
        <f t="shared" si="10"/>
        <v>36992.69667</v>
      </c>
      <c r="O21" s="28">
        <f t="shared" si="11"/>
        <v>0.004982893038</v>
      </c>
      <c r="P21" s="5"/>
      <c r="Q21" s="5"/>
      <c r="R21" s="5"/>
      <c r="S21" s="5"/>
      <c r="T21" s="5"/>
      <c r="U21" s="5">
        <f>SUM(FO!U21,PO!U21,CO!U21,FE!U21,PE!U21)</f>
        <v>0</v>
      </c>
      <c r="V21" s="5">
        <f>SUM(FO!V21,PO!V21,CO!V21,FE!V21,PE!V21)</f>
        <v>0</v>
      </c>
      <c r="W21" s="5">
        <f>SUM(FO!W21,PO!W21,CO!W21,FE!W21,PE!W21)</f>
        <v>0</v>
      </c>
      <c r="X21" s="5">
        <f>SUM(FO!X21,PO!X21,CO!X21,FE!X21,PE!X21)</f>
        <v>0</v>
      </c>
      <c r="Y21" s="5">
        <f>SUM(FO!Y21,PO!Y21,CO!Y21,FE!Y21,PE!Y21)</f>
        <v>0</v>
      </c>
      <c r="Z21" s="5">
        <f>SUM(FO!Z21,PO!Z21,CO!Z21,FE!Z21,PE!Z21)</f>
        <v>0</v>
      </c>
      <c r="AA21" s="5">
        <f>SUM(FO!AA21,PO!AA21,CO!AA21,FE!AA21,PE!AA21)</f>
        <v>0</v>
      </c>
      <c r="AB21" s="5">
        <f>SUM(FO!AB21,PO!AB21,CO!AB21,FE!AB21,PE!AB21)</f>
        <v>0</v>
      </c>
      <c r="AC21" s="5">
        <f>SUM(FO!AC21,PO!AC21,CO!AC21,FE!AC21,PE!AC21)</f>
        <v>0</v>
      </c>
      <c r="AD21" s="5">
        <f>SUM(FO!AD21,PO!AD21,CO!AD21,FE!AD21,PE!AD21)</f>
        <v>0</v>
      </c>
      <c r="AE21" s="5">
        <f>SUM(FO!AE21,PO!AE21,CO!AE21,FE!AE21,PE!AE21)</f>
        <v>0</v>
      </c>
      <c r="AF21" s="5">
        <f>SUM(FO!AF21,PO!AF21,CO!AF21,FE!AF21,PE!AF21)</f>
        <v>0</v>
      </c>
      <c r="AG21" s="5">
        <f t="shared" si="12"/>
        <v>0</v>
      </c>
      <c r="AH21" s="28" t="str">
        <f t="shared" si="13"/>
        <v/>
      </c>
      <c r="AI21" s="4"/>
      <c r="AJ21" s="5">
        <f t="shared" si="14"/>
        <v>36992.69667</v>
      </c>
      <c r="AK21" s="4"/>
    </row>
    <row r="22" ht="13.5" customHeight="1">
      <c r="A22" s="25" t="s">
        <v>44</v>
      </c>
      <c r="B22" s="5">
        <f>SUM(FO!B22,PO!B22,CO!B22,FE!B22,PE!B22)</f>
        <v>8211.9</v>
      </c>
      <c r="C22" s="5">
        <f>SUM(FO!C22,PO!C22,CO!C22,FE!C22,PE!C22)</f>
        <v>10913.63</v>
      </c>
      <c r="D22" s="5">
        <f>SUM(FO!D22,PO!D22,CO!D22,FE!D22,PE!D22)</f>
        <v>10939.43</v>
      </c>
      <c r="E22" s="5">
        <f>SUM(FO!E22,PO!E22,CO!E22,FE!E22,PE!E22)</f>
        <v>13555.74</v>
      </c>
      <c r="F22" s="5">
        <f>SUM(FO!F22,PO!F22,CO!F22,FE!F22,PE!F22)</f>
        <v>13555.75</v>
      </c>
      <c r="G22" s="5">
        <f>SUM(FO!G22,PO!G22,CO!G22,FE!G22,PE!G22)</f>
        <v>13770.42</v>
      </c>
      <c r="H22" s="5">
        <f>SUM(FO!H22,PO!H22,CO!H22,FE!H22,PE!H22)</f>
        <v>8508.95</v>
      </c>
      <c r="I22" s="5">
        <f>SUM(FO!I22,PO!I22,CO!I22,FE!I22,PE!I22)</f>
        <v>8591.56</v>
      </c>
      <c r="J22" s="5">
        <f>SUM(FO!J22,PO!J22,CO!J22,FE!J22,PE!J22)</f>
        <v>14866.99667</v>
      </c>
      <c r="K22" s="5">
        <f>SUM(FO!K22,PO!K22,CO!K22,FE!K22,PE!K22)</f>
        <v>17475.33</v>
      </c>
      <c r="L22" s="5">
        <f>SUM(FO!L22,PO!L22,CO!L22,FE!L22,PE!L22)</f>
        <v>18500.33</v>
      </c>
      <c r="M22" s="5">
        <f>SUM(FO!M22,PO!M22,CO!M22,FE!M22,PE!M22)</f>
        <v>19525.33</v>
      </c>
      <c r="N22" s="5">
        <f t="shared" si="10"/>
        <v>158415.3667</v>
      </c>
      <c r="O22" s="28">
        <f t="shared" si="11"/>
        <v>0.02133845053</v>
      </c>
      <c r="P22" s="5"/>
      <c r="Q22" s="5"/>
      <c r="R22" s="5"/>
      <c r="S22" s="5"/>
      <c r="T22" s="5"/>
      <c r="U22" s="5">
        <f>SUM(FO!U22,PO!U22,CO!U22,FE!U22,PE!U22)</f>
        <v>0</v>
      </c>
      <c r="V22" s="5">
        <f>SUM(FO!V22,PO!V22,CO!V22,FE!V22,PE!V22)</f>
        <v>0</v>
      </c>
      <c r="W22" s="5">
        <f>SUM(FO!W22,PO!W22,CO!W22,FE!W22,PE!W22)</f>
        <v>0</v>
      </c>
      <c r="X22" s="5">
        <f>SUM(FO!X22,PO!X22,CO!X22,FE!X22,PE!X22)</f>
        <v>0</v>
      </c>
      <c r="Y22" s="5">
        <f>SUM(FO!Y22,PO!Y22,CO!Y22,FE!Y22,PE!Y22)</f>
        <v>0</v>
      </c>
      <c r="Z22" s="5">
        <f>SUM(FO!Z22,PO!Z22,CO!Z22,FE!Z22,PE!Z22)</f>
        <v>0</v>
      </c>
      <c r="AA22" s="5">
        <f>SUM(FO!AA22,PO!AA22,CO!AA22,FE!AA22,PE!AA22)</f>
        <v>0</v>
      </c>
      <c r="AB22" s="5">
        <f>SUM(FO!AB22,PO!AB22,CO!AB22,FE!AB22,PE!AB22)</f>
        <v>0</v>
      </c>
      <c r="AC22" s="5">
        <f>SUM(FO!AC22,PO!AC22,CO!AC22,FE!AC22,PE!AC22)</f>
        <v>0</v>
      </c>
      <c r="AD22" s="5">
        <f>SUM(FO!AD22,PO!AD22,CO!AD22,FE!AD22,PE!AD22)</f>
        <v>0</v>
      </c>
      <c r="AE22" s="5">
        <f>SUM(FO!AE22,PO!AE22,CO!AE22,FE!AE22,PE!AE22)</f>
        <v>0</v>
      </c>
      <c r="AF22" s="5">
        <f>SUM(FO!AF22,PO!AF22,CO!AF22,FE!AF22,PE!AF22)</f>
        <v>0</v>
      </c>
      <c r="AG22" s="5">
        <f t="shared" si="12"/>
        <v>0</v>
      </c>
      <c r="AH22" s="28" t="str">
        <f t="shared" si="13"/>
        <v/>
      </c>
      <c r="AI22" s="4"/>
      <c r="AJ22" s="5">
        <f t="shared" si="14"/>
        <v>158415.3667</v>
      </c>
      <c r="AK22" s="4"/>
    </row>
    <row r="23" ht="13.5" customHeight="1">
      <c r="A23" s="24" t="s">
        <v>45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28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28"/>
      <c r="AI23" s="4"/>
      <c r="AJ23" s="5"/>
      <c r="AK23" s="4"/>
    </row>
    <row r="24" ht="13.5" customHeight="1">
      <c r="A24" s="25" t="s">
        <v>45</v>
      </c>
      <c r="B24" s="5">
        <f>SUM(FO!B24,PO!B24,CO!B24,FE!B24,PE!B24)</f>
        <v>2370.3</v>
      </c>
      <c r="C24" s="5">
        <f>SUM(FO!C24,PO!C24,CO!C24,FE!C24,PE!C24)</f>
        <v>3835.05</v>
      </c>
      <c r="D24" s="5">
        <f>SUM(FO!D24,PO!D24,CO!D24,FE!D24,PE!D24)</f>
        <v>11053.81</v>
      </c>
      <c r="E24" s="5">
        <f>SUM(FO!E24,PO!E24,CO!E24,FE!E24,PE!E24)</f>
        <v>8300.09</v>
      </c>
      <c r="F24" s="5">
        <f>SUM(FO!F24,PO!F24,CO!F24,FE!F24,PE!F24)</f>
        <v>0</v>
      </c>
      <c r="G24" s="5">
        <f>SUM(FO!G24,PO!G24,CO!G24,FE!G24,PE!G24)</f>
        <v>-544.45</v>
      </c>
      <c r="H24" s="5">
        <f>SUM(FO!H24,PO!H24,CO!H24,FE!H24,PE!H24)</f>
        <v>0</v>
      </c>
      <c r="I24" s="5">
        <f>SUM(FO!I24,PO!I24,CO!I24,FE!I24,PE!I24)</f>
        <v>93.45</v>
      </c>
      <c r="J24" s="5">
        <f>SUM(FO!J24,PO!J24,CO!J24,FE!J24,PE!J24)</f>
        <v>8800</v>
      </c>
      <c r="K24" s="5">
        <f>SUM(FO!K24,PO!K24,CO!K24,FE!K24,PE!K24)</f>
        <v>5400</v>
      </c>
      <c r="L24" s="5">
        <f>SUM(FO!L24,PO!L24,CO!L24,FE!L24,PE!L24)</f>
        <v>5400</v>
      </c>
      <c r="M24" s="5">
        <f>SUM(FO!M24,PO!M24,CO!M24,FE!M24,PE!M24)</f>
        <v>5400</v>
      </c>
      <c r="N24" s="5">
        <f t="shared" ref="N24:N31" si="15">SUM(B24:M24)</f>
        <v>50108.25</v>
      </c>
      <c r="O24" s="28">
        <f t="shared" ref="O24:O31" si="16">IFERROR(N24/N$16,"")</f>
        <v>0.006749549846</v>
      </c>
      <c r="P24" s="5"/>
      <c r="Q24" s="5"/>
      <c r="R24" s="5"/>
      <c r="S24" s="5"/>
      <c r="T24" s="5"/>
      <c r="U24" s="5">
        <f>SUM(FO!U24,PO!U24,CO!U24,FE!U24,PE!U24)</f>
        <v>0</v>
      </c>
      <c r="V24" s="5">
        <f>SUM(FO!V24,PO!V24,CO!V24,FE!V24,PE!V24)</f>
        <v>0</v>
      </c>
      <c r="W24" s="5">
        <f>SUM(FO!W24,PO!W24,CO!W24,FE!W24,PE!W24)</f>
        <v>0</v>
      </c>
      <c r="X24" s="5">
        <f>SUM(FO!X24,PO!X24,CO!X24,FE!X24,PE!X24)</f>
        <v>0</v>
      </c>
      <c r="Y24" s="5">
        <f>SUM(FO!Y24,PO!Y24,CO!Y24,FE!Y24,PE!Y24)</f>
        <v>0</v>
      </c>
      <c r="Z24" s="5">
        <f>SUM(FO!Z24,PO!Z24,CO!Z24,FE!Z24,PE!Z24)</f>
        <v>0</v>
      </c>
      <c r="AA24" s="5">
        <f>SUM(FO!AA24,PO!AA24,CO!AA24,FE!AA24,PE!AA24)</f>
        <v>0</v>
      </c>
      <c r="AB24" s="5">
        <f>SUM(FO!AB24,PO!AB24,CO!AB24,FE!AB24,PE!AB24)</f>
        <v>0</v>
      </c>
      <c r="AC24" s="5">
        <f>SUM(FO!AC24,PO!AC24,CO!AC24,FE!AC24,PE!AC24)</f>
        <v>0</v>
      </c>
      <c r="AD24" s="5">
        <f>SUM(FO!AD24,PO!AD24,CO!AD24,FE!AD24,PE!AD24)</f>
        <v>0</v>
      </c>
      <c r="AE24" s="5">
        <f>SUM(FO!AE24,PO!AE24,CO!AE24,FE!AE24,PE!AE24)</f>
        <v>0</v>
      </c>
      <c r="AF24" s="5">
        <f>SUM(FO!AF24,PO!AF24,CO!AF24,FE!AF24,PE!AF24)</f>
        <v>0</v>
      </c>
      <c r="AG24" s="5">
        <f t="shared" ref="AG24:AG31" si="17">SUM(U24:AF24)</f>
        <v>0</v>
      </c>
      <c r="AH24" s="28" t="str">
        <f t="shared" ref="AH24:AH31" si="18">IFERROR(AG24/AG$16,"")</f>
        <v/>
      </c>
      <c r="AI24" s="4"/>
      <c r="AJ24" s="5">
        <f t="shared" ref="AJ24:AJ31" si="19">N24-AG24</f>
        <v>50108.25</v>
      </c>
      <c r="AK24" s="4"/>
    </row>
    <row r="25" ht="13.5" customHeight="1">
      <c r="A25" s="25" t="s">
        <v>46</v>
      </c>
      <c r="B25" s="5">
        <f>SUM(FO!B25,PO!B25,CO!B25,FE!B25,PE!B25)</f>
        <v>0</v>
      </c>
      <c r="C25" s="5">
        <f>SUM(FO!C25,PO!C25,CO!C25,FE!C25,PE!C25)</f>
        <v>250</v>
      </c>
      <c r="D25" s="5">
        <f>SUM(FO!D25,PO!D25,CO!D25,FE!D25,PE!D25)</f>
        <v>2122.44</v>
      </c>
      <c r="E25" s="5">
        <f>SUM(FO!E25,PO!E25,CO!E25,FE!E25,PE!E25)</f>
        <v>261.8</v>
      </c>
      <c r="F25" s="5">
        <f>SUM(FO!F25,PO!F25,CO!F25,FE!F25,PE!F25)</f>
        <v>0</v>
      </c>
      <c r="G25" s="5">
        <f>SUM(FO!G25,PO!G25,CO!G25,FE!G25,PE!G25)</f>
        <v>-86.24</v>
      </c>
      <c r="H25" s="5">
        <f>SUM(FO!H25,PO!H25,CO!H25,FE!H25,PE!H25)</f>
        <v>0</v>
      </c>
      <c r="I25" s="5">
        <f>SUM(FO!I25,PO!I25,CO!I25,FE!I25,PE!I25)</f>
        <v>1638.89</v>
      </c>
      <c r="J25" s="5">
        <f>SUM(FO!J25,PO!J25,CO!J25,FE!J25,PE!J25)</f>
        <v>0</v>
      </c>
      <c r="K25" s="5">
        <f>SUM(FO!K25,PO!K25,CO!K25,FE!K25,PE!K25)</f>
        <v>0</v>
      </c>
      <c r="L25" s="5">
        <f>SUM(FO!L25,PO!L25,CO!L25,FE!L25,PE!L25)</f>
        <v>0</v>
      </c>
      <c r="M25" s="5">
        <f>SUM(FO!M25,PO!M25,CO!M25,FE!M25,PE!M25)</f>
        <v>0</v>
      </c>
      <c r="N25" s="5">
        <f t="shared" si="15"/>
        <v>4186.89</v>
      </c>
      <c r="O25" s="28">
        <f t="shared" si="16"/>
        <v>0.0005639714569</v>
      </c>
      <c r="P25" s="5"/>
      <c r="Q25" s="5"/>
      <c r="R25" s="5"/>
      <c r="S25" s="5"/>
      <c r="T25" s="5"/>
      <c r="U25" s="5">
        <f>SUM(FO!U25,PO!U25,CO!U25,FE!U25,PE!U25)</f>
        <v>0</v>
      </c>
      <c r="V25" s="5">
        <f>SUM(FO!V25,PO!V25,CO!V25,FE!V25,PE!V25)</f>
        <v>0</v>
      </c>
      <c r="W25" s="5">
        <f>SUM(FO!W25,PO!W25,CO!W25,FE!W25,PE!W25)</f>
        <v>0</v>
      </c>
      <c r="X25" s="5">
        <f>SUM(FO!X25,PO!X25,CO!X25,FE!X25,PE!X25)</f>
        <v>0</v>
      </c>
      <c r="Y25" s="5">
        <f>SUM(FO!Y25,PO!Y25,CO!Y25,FE!Y25,PE!Y25)</f>
        <v>0</v>
      </c>
      <c r="Z25" s="5">
        <f>SUM(FO!Z25,PO!Z25,CO!Z25,FE!Z25,PE!Z25)</f>
        <v>0</v>
      </c>
      <c r="AA25" s="5">
        <f>SUM(FO!AA25,PO!AA25,CO!AA25,FE!AA25,PE!AA25)</f>
        <v>0</v>
      </c>
      <c r="AB25" s="5">
        <f>SUM(FO!AB25,PO!AB25,CO!AB25,FE!AB25,PE!AB25)</f>
        <v>0</v>
      </c>
      <c r="AC25" s="5">
        <f>SUM(FO!AC25,PO!AC25,CO!AC25,FE!AC25,PE!AC25)</f>
        <v>0</v>
      </c>
      <c r="AD25" s="5">
        <f>SUM(FO!AD25,PO!AD25,CO!AD25,FE!AD25,PE!AD25)</f>
        <v>0</v>
      </c>
      <c r="AE25" s="5">
        <f>SUM(FO!AE25,PO!AE25,CO!AE25,FE!AE25,PE!AE25)</f>
        <v>0</v>
      </c>
      <c r="AF25" s="5">
        <f>SUM(FO!AF25,PO!AF25,CO!AF25,FE!AF25,PE!AF25)</f>
        <v>0</v>
      </c>
      <c r="AG25" s="5">
        <f t="shared" si="17"/>
        <v>0</v>
      </c>
      <c r="AH25" s="28" t="str">
        <f t="shared" si="18"/>
        <v/>
      </c>
      <c r="AI25" s="4"/>
      <c r="AJ25" s="5">
        <f t="shared" si="19"/>
        <v>4186.89</v>
      </c>
      <c r="AK25" s="4"/>
    </row>
    <row r="26" ht="13.5" customHeight="1">
      <c r="A26" s="25" t="s">
        <v>47</v>
      </c>
      <c r="B26" s="5">
        <f>SUM(FO!B26,PO!B26,CO!B26,FE!B26,PE!B26)</f>
        <v>0</v>
      </c>
      <c r="C26" s="5">
        <f>SUM(FO!C26,PO!C26,CO!C26,FE!C26,PE!C26)</f>
        <v>85</v>
      </c>
      <c r="D26" s="5">
        <f>SUM(FO!D26,PO!D26,CO!D26,FE!D26,PE!D26)</f>
        <v>149.33</v>
      </c>
      <c r="E26" s="5">
        <f>SUM(FO!E26,PO!E26,CO!E26,FE!E26,PE!E26)</f>
        <v>2494.26</v>
      </c>
      <c r="F26" s="5">
        <f>SUM(FO!F26,PO!F26,CO!F26,FE!F26,PE!F26)</f>
        <v>177.67</v>
      </c>
      <c r="G26" s="5">
        <f>SUM(FO!G26,PO!G26,CO!G26,FE!G26,PE!G26)</f>
        <v>-32.02</v>
      </c>
      <c r="H26" s="5">
        <f>SUM(FO!H26,PO!H26,CO!H26,FE!H26,PE!H26)</f>
        <v>852.51</v>
      </c>
      <c r="I26" s="5">
        <f>SUM(FO!I26,PO!I26,CO!I26,FE!I26,PE!I26)</f>
        <v>3185.91</v>
      </c>
      <c r="J26" s="5">
        <f>SUM(FO!J26,PO!J26,CO!J26,FE!J26,PE!J26)</f>
        <v>200</v>
      </c>
      <c r="K26" s="5">
        <f>SUM(FO!K26,PO!K26,CO!K26,FE!K26,PE!K26)</f>
        <v>200</v>
      </c>
      <c r="L26" s="5">
        <f>SUM(FO!L26,PO!L26,CO!L26,FE!L26,PE!L26)</f>
        <v>200</v>
      </c>
      <c r="M26" s="5">
        <f>SUM(FO!M26,PO!M26,CO!M26,FE!M26,PE!M26)</f>
        <v>200</v>
      </c>
      <c r="N26" s="5">
        <f t="shared" si="15"/>
        <v>7712.66</v>
      </c>
      <c r="O26" s="28">
        <f t="shared" si="16"/>
        <v>0.001038890464</v>
      </c>
      <c r="P26" s="5"/>
      <c r="Q26" s="5"/>
      <c r="R26" s="5"/>
      <c r="S26" s="5"/>
      <c r="T26" s="5"/>
      <c r="U26" s="5">
        <f>SUM(FO!U26,PO!U26,CO!U26,FE!U26,PE!U26)</f>
        <v>0</v>
      </c>
      <c r="V26" s="5">
        <f>SUM(FO!V26,PO!V26,CO!V26,FE!V26,PE!V26)</f>
        <v>0</v>
      </c>
      <c r="W26" s="5">
        <f>SUM(FO!W26,PO!W26,CO!W26,FE!W26,PE!W26)</f>
        <v>0</v>
      </c>
      <c r="X26" s="5">
        <f>SUM(FO!X26,PO!X26,CO!X26,FE!X26,PE!X26)</f>
        <v>0</v>
      </c>
      <c r="Y26" s="5">
        <f>SUM(FO!Y26,PO!Y26,CO!Y26,FE!Y26,PE!Y26)</f>
        <v>0</v>
      </c>
      <c r="Z26" s="5">
        <f>SUM(FO!Z26,PO!Z26,CO!Z26,FE!Z26,PE!Z26)</f>
        <v>0</v>
      </c>
      <c r="AA26" s="5">
        <f>SUM(FO!AA26,PO!AA26,CO!AA26,FE!AA26,PE!AA26)</f>
        <v>0</v>
      </c>
      <c r="AB26" s="5">
        <f>SUM(FO!AB26,PO!AB26,CO!AB26,FE!AB26,PE!AB26)</f>
        <v>0</v>
      </c>
      <c r="AC26" s="5">
        <f>SUM(FO!AC26,PO!AC26,CO!AC26,FE!AC26,PE!AC26)</f>
        <v>0</v>
      </c>
      <c r="AD26" s="5">
        <f>SUM(FO!AD26,PO!AD26,CO!AD26,FE!AD26,PE!AD26)</f>
        <v>0</v>
      </c>
      <c r="AE26" s="5">
        <f>SUM(FO!AE26,PO!AE26,CO!AE26,FE!AE26,PE!AE26)</f>
        <v>0</v>
      </c>
      <c r="AF26" s="5">
        <f>SUM(FO!AF26,PO!AF26,CO!AF26,FE!AF26,PE!AF26)</f>
        <v>0</v>
      </c>
      <c r="AG26" s="5">
        <f t="shared" si="17"/>
        <v>0</v>
      </c>
      <c r="AH26" s="28" t="str">
        <f t="shared" si="18"/>
        <v/>
      </c>
      <c r="AI26" s="4"/>
      <c r="AJ26" s="5">
        <f t="shared" si="19"/>
        <v>7712.66</v>
      </c>
      <c r="AK26" s="4"/>
    </row>
    <row r="27" ht="13.5" customHeight="1">
      <c r="A27" s="33" t="s">
        <v>48</v>
      </c>
      <c r="B27" s="34">
        <f t="shared" ref="B27:M27" si="20">SUM(B24:B26)</f>
        <v>2370.3</v>
      </c>
      <c r="C27" s="34">
        <f t="shared" si="20"/>
        <v>4170.05</v>
      </c>
      <c r="D27" s="34">
        <f t="shared" si="20"/>
        <v>13325.58</v>
      </c>
      <c r="E27" s="34">
        <f t="shared" si="20"/>
        <v>11056.15</v>
      </c>
      <c r="F27" s="34">
        <f t="shared" si="20"/>
        <v>177.67</v>
      </c>
      <c r="G27" s="34">
        <f t="shared" si="20"/>
        <v>-662.71</v>
      </c>
      <c r="H27" s="34">
        <f t="shared" si="20"/>
        <v>852.51</v>
      </c>
      <c r="I27" s="34">
        <f t="shared" si="20"/>
        <v>4918.25</v>
      </c>
      <c r="J27" s="34">
        <f t="shared" si="20"/>
        <v>9000</v>
      </c>
      <c r="K27" s="34">
        <f t="shared" si="20"/>
        <v>5600</v>
      </c>
      <c r="L27" s="34">
        <f t="shared" si="20"/>
        <v>5600</v>
      </c>
      <c r="M27" s="34">
        <f t="shared" si="20"/>
        <v>5600</v>
      </c>
      <c r="N27" s="34">
        <f t="shared" si="15"/>
        <v>62007.8</v>
      </c>
      <c r="O27" s="35">
        <f t="shared" si="16"/>
        <v>0.008352411767</v>
      </c>
      <c r="P27" s="5"/>
      <c r="Q27" s="5"/>
      <c r="R27" s="5"/>
      <c r="S27" s="5"/>
      <c r="T27" s="5"/>
      <c r="U27" s="34">
        <f t="shared" ref="U27:AF27" si="21">SUM(U24:U26)</f>
        <v>0</v>
      </c>
      <c r="V27" s="34">
        <f t="shared" si="21"/>
        <v>0</v>
      </c>
      <c r="W27" s="34">
        <f t="shared" si="21"/>
        <v>0</v>
      </c>
      <c r="X27" s="34">
        <f t="shared" si="21"/>
        <v>0</v>
      </c>
      <c r="Y27" s="34">
        <f t="shared" si="21"/>
        <v>0</v>
      </c>
      <c r="Z27" s="34">
        <f t="shared" si="21"/>
        <v>0</v>
      </c>
      <c r="AA27" s="34">
        <f t="shared" si="21"/>
        <v>0</v>
      </c>
      <c r="AB27" s="34">
        <f t="shared" si="21"/>
        <v>0</v>
      </c>
      <c r="AC27" s="34">
        <f t="shared" si="21"/>
        <v>0</v>
      </c>
      <c r="AD27" s="34">
        <f t="shared" si="21"/>
        <v>0</v>
      </c>
      <c r="AE27" s="34">
        <f t="shared" si="21"/>
        <v>0</v>
      </c>
      <c r="AF27" s="34">
        <f t="shared" si="21"/>
        <v>0</v>
      </c>
      <c r="AG27" s="34">
        <f t="shared" si="17"/>
        <v>0</v>
      </c>
      <c r="AH27" s="35" t="str">
        <f t="shared" si="18"/>
        <v/>
      </c>
      <c r="AI27" s="4"/>
      <c r="AJ27" s="34">
        <f t="shared" si="19"/>
        <v>62007.8</v>
      </c>
      <c r="AK27" s="4"/>
    </row>
    <row r="28" ht="13.5" customHeight="1">
      <c r="A28" s="25" t="s">
        <v>49</v>
      </c>
      <c r="B28" s="5">
        <f>SUM(FO!B28,PO!B28,CO!B28,FE!B28,PE!B28)</f>
        <v>3122.9</v>
      </c>
      <c r="C28" s="5">
        <f>SUM(FO!C28,PO!C28,CO!C28,FE!C28,PE!C28)</f>
        <v>4790.65</v>
      </c>
      <c r="D28" s="5">
        <f>SUM(FO!D28,PO!D28,CO!D28,FE!D28,PE!D28)</f>
        <v>8308.32</v>
      </c>
      <c r="E28" s="5">
        <f>SUM(FO!E28,PO!E28,CO!E28,FE!E28,PE!E28)</f>
        <v>7596.05</v>
      </c>
      <c r="F28" s="5">
        <f>SUM(FO!F28,PO!F28,CO!F28,FE!F28,PE!F28)</f>
        <v>983.17</v>
      </c>
      <c r="G28" s="5">
        <f>SUM(FO!G28,PO!G28,CO!G28,FE!G28,PE!G28)</f>
        <v>1367.92</v>
      </c>
      <c r="H28" s="5">
        <f>SUM(FO!H28,PO!H28,CO!H28,FE!H28,PE!H28)</f>
        <v>3130.51</v>
      </c>
      <c r="I28" s="5">
        <f>SUM(FO!I28,PO!I28,CO!I28,FE!I28,PE!I28)</f>
        <v>5242.04</v>
      </c>
      <c r="J28" s="5">
        <f>SUM(FO!J28,PO!J28,CO!J28,FE!J28,PE!J28)</f>
        <v>6200</v>
      </c>
      <c r="K28" s="5">
        <f>SUM(FO!K28,PO!K28,CO!K28,FE!K28,PE!K28)</f>
        <v>4700</v>
      </c>
      <c r="L28" s="5">
        <f>SUM(FO!L28,PO!L28,CO!L28,FE!L28,PE!L28)</f>
        <v>4700</v>
      </c>
      <c r="M28" s="5">
        <f>SUM(FO!M28,PO!M28,CO!M28,FE!M28,PE!M28)</f>
        <v>4700</v>
      </c>
      <c r="N28" s="5">
        <f t="shared" si="15"/>
        <v>54841.56</v>
      </c>
      <c r="O28" s="28">
        <f t="shared" si="16"/>
        <v>0.007387123734</v>
      </c>
      <c r="P28" s="5"/>
      <c r="Q28" s="5"/>
      <c r="R28" s="5"/>
      <c r="S28" s="5"/>
      <c r="T28" s="5"/>
      <c r="U28" s="5">
        <f>SUM(FO!U28,PO!U28,CO!U28,FE!U28,PE!U28)</f>
        <v>10416.66667</v>
      </c>
      <c r="V28" s="5">
        <f>SUM(FO!V28,PO!V28,CO!V28,FE!V28,PE!V28)</f>
        <v>5416.666667</v>
      </c>
      <c r="W28" s="5">
        <f>SUM(FO!W28,PO!W28,CO!W28,FE!W28,PE!W28)</f>
        <v>5416.666667</v>
      </c>
      <c r="X28" s="5">
        <f>SUM(FO!X28,PO!X28,CO!X28,FE!X28,PE!X28)</f>
        <v>5416.666667</v>
      </c>
      <c r="Y28" s="5">
        <f>SUM(FO!Y28,PO!Y28,CO!Y28,FE!Y28,PE!Y28)</f>
        <v>10416.66667</v>
      </c>
      <c r="Z28" s="5">
        <f>SUM(FO!Z28,PO!Z28,CO!Z28,FE!Z28,PE!Z28)</f>
        <v>5958.333333</v>
      </c>
      <c r="AA28" s="5">
        <f>SUM(FO!AA28,PO!AA28,CO!AA28,FE!AA28,PE!AA28)</f>
        <v>6229.166667</v>
      </c>
      <c r="AB28" s="5">
        <f>SUM(FO!AB28,PO!AB28,CO!AB28,FE!AB28,PE!AB28)</f>
        <v>6500</v>
      </c>
      <c r="AC28" s="5">
        <f>SUM(FO!AC28,PO!AC28,CO!AC28,FE!AC28,PE!AC28)</f>
        <v>6770.833333</v>
      </c>
      <c r="AD28" s="5">
        <f>SUM(FO!AD28,PO!AD28,CO!AD28,FE!AD28,PE!AD28)</f>
        <v>10416.66667</v>
      </c>
      <c r="AE28" s="5">
        <f>SUM(FO!AE28,PO!AE28,CO!AE28,FE!AE28,PE!AE28)</f>
        <v>7312.5</v>
      </c>
      <c r="AF28" s="5">
        <f>SUM(FO!AF28,PO!AF28,CO!AF28,FE!AF28,PE!AF28)</f>
        <v>7583.333333</v>
      </c>
      <c r="AG28" s="5">
        <f t="shared" si="17"/>
        <v>87854.16667</v>
      </c>
      <c r="AH28" s="28" t="str">
        <f t="shared" si="18"/>
        <v/>
      </c>
      <c r="AI28" s="4"/>
      <c r="AJ28" s="5">
        <f t="shared" si="19"/>
        <v>-33012.60667</v>
      </c>
      <c r="AK28" s="4"/>
    </row>
    <row r="29" ht="13.5" customHeight="1">
      <c r="A29" s="25" t="s">
        <v>51</v>
      </c>
      <c r="B29" s="5">
        <f>SUM(FO!B29,PO!B29,CO!B29,FE!B29,PE!B29)</f>
        <v>7118.63</v>
      </c>
      <c r="C29" s="5">
        <f>SUM(FO!C29,PO!C29,CO!C29,FE!C29,PE!C29)</f>
        <v>7543.76</v>
      </c>
      <c r="D29" s="5">
        <f>SUM(FO!D29,PO!D29,CO!D29,FE!D29,PE!D29)</f>
        <v>4922.7</v>
      </c>
      <c r="E29" s="5">
        <f>SUM(FO!E29,PO!E29,CO!E29,FE!E29,PE!E29)</f>
        <v>23173.85</v>
      </c>
      <c r="F29" s="5">
        <f>SUM(FO!F29,PO!F29,CO!F29,FE!F29,PE!F29)</f>
        <v>98.92</v>
      </c>
      <c r="G29" s="5">
        <f>SUM(FO!G29,PO!G29,CO!G29,FE!G29,PE!G29)</f>
        <v>114.77</v>
      </c>
      <c r="H29" s="5">
        <f>SUM(FO!H29,PO!H29,CO!H29,FE!H29,PE!H29)</f>
        <v>0</v>
      </c>
      <c r="I29" s="5">
        <f>SUM(FO!I29,PO!I29,CO!I29,FE!I29,PE!I29)</f>
        <v>3240.99</v>
      </c>
      <c r="J29" s="5">
        <f>SUM(FO!J29,PO!J29,CO!J29,FE!J29,PE!J29)</f>
        <v>17000</v>
      </c>
      <c r="K29" s="5">
        <f>SUM(FO!K29,PO!K29,CO!K29,FE!K29,PE!K29)</f>
        <v>12000</v>
      </c>
      <c r="L29" s="5">
        <f>SUM(FO!L29,PO!L29,CO!L29,FE!L29,PE!L29)</f>
        <v>5000</v>
      </c>
      <c r="M29" s="5">
        <f>SUM(FO!M29,PO!M29,CO!M29,FE!M29,PE!M29)</f>
        <v>5000</v>
      </c>
      <c r="N29" s="5">
        <f t="shared" si="15"/>
        <v>85213.62</v>
      </c>
      <c r="O29" s="28">
        <f t="shared" si="16"/>
        <v>0.01147822117</v>
      </c>
      <c r="P29" s="5"/>
      <c r="Q29" s="5"/>
      <c r="R29" s="5"/>
      <c r="S29" s="5"/>
      <c r="T29" s="5"/>
      <c r="U29" s="5">
        <f>SUM(FO!U29,PO!U29,CO!U29,FE!U29,PE!U29)</f>
        <v>0</v>
      </c>
      <c r="V29" s="5">
        <f>SUM(FO!V29,PO!V29,CO!V29,FE!V29,PE!V29)</f>
        <v>0</v>
      </c>
      <c r="W29" s="5">
        <f>SUM(FO!W29,PO!W29,CO!W29,FE!W29,PE!W29)</f>
        <v>0</v>
      </c>
      <c r="X29" s="5">
        <f>SUM(FO!X29,PO!X29,CO!X29,FE!X29,PE!X29)</f>
        <v>0</v>
      </c>
      <c r="Y29" s="5">
        <f>SUM(FO!Y29,PO!Y29,CO!Y29,FE!Y29,PE!Y29)</f>
        <v>0</v>
      </c>
      <c r="Z29" s="5">
        <f>SUM(FO!Z29,PO!Z29,CO!Z29,FE!Z29,PE!Z29)</f>
        <v>0</v>
      </c>
      <c r="AA29" s="5">
        <f>SUM(FO!AA29,PO!AA29,CO!AA29,FE!AA29,PE!AA29)</f>
        <v>0</v>
      </c>
      <c r="AB29" s="5">
        <f>SUM(FO!AB29,PO!AB29,CO!AB29,FE!AB29,PE!AB29)</f>
        <v>0</v>
      </c>
      <c r="AC29" s="5">
        <f>SUM(FO!AC29,PO!AC29,CO!AC29,FE!AC29,PE!AC29)</f>
        <v>0</v>
      </c>
      <c r="AD29" s="5">
        <f>SUM(FO!AD29,PO!AD29,CO!AD29,FE!AD29,PE!AD29)</f>
        <v>0</v>
      </c>
      <c r="AE29" s="5">
        <f>SUM(FO!AE29,PO!AE29,CO!AE29,FE!AE29,PE!AE29)</f>
        <v>0</v>
      </c>
      <c r="AF29" s="5">
        <f>SUM(FO!AF29,PO!AF29,CO!AF29,FE!AF29,PE!AF29)</f>
        <v>0</v>
      </c>
      <c r="AG29" s="5">
        <f t="shared" si="17"/>
        <v>0</v>
      </c>
      <c r="AH29" s="28" t="str">
        <f t="shared" si="18"/>
        <v/>
      </c>
      <c r="AI29" s="4"/>
      <c r="AJ29" s="5">
        <f t="shared" si="19"/>
        <v>85213.62</v>
      </c>
      <c r="AK29" s="4"/>
    </row>
    <row r="30" ht="13.5" customHeight="1">
      <c r="A30" s="25" t="s">
        <v>53</v>
      </c>
      <c r="B30" s="5">
        <f>SUM(FO!B30,PO!B30,CO!B30,FE!B30,PE!B30)</f>
        <v>6383.69</v>
      </c>
      <c r="C30" s="5">
        <f>SUM(FO!C30,PO!C30,CO!C30,FE!C30,PE!C30)</f>
        <v>4522.11</v>
      </c>
      <c r="D30" s="5">
        <f>SUM(FO!D30,PO!D30,CO!D30,FE!D30,PE!D30)</f>
        <v>6516.64</v>
      </c>
      <c r="E30" s="5">
        <f>SUM(FO!E30,PO!E30,CO!E30,FE!E30,PE!E30)</f>
        <v>4232.23</v>
      </c>
      <c r="F30" s="5">
        <f>SUM(FO!F30,PO!F30,CO!F30,FE!F30,PE!F30)</f>
        <v>13531.9</v>
      </c>
      <c r="G30" s="5">
        <f>SUM(FO!G30,PO!G30,CO!G30,FE!G30,PE!G30)</f>
        <v>4225.43</v>
      </c>
      <c r="H30" s="5">
        <f>SUM(FO!H30,PO!H30,CO!H30,FE!H30,PE!H30)</f>
        <v>5242.75</v>
      </c>
      <c r="I30" s="5">
        <f>SUM(FO!I30,PO!I30,CO!I30,FE!I30,PE!I30)</f>
        <v>8155.61</v>
      </c>
      <c r="J30" s="5">
        <f>SUM(FO!J30,PO!J30,CO!J30,FE!J30,PE!J30)</f>
        <v>13000</v>
      </c>
      <c r="K30" s="5">
        <f>SUM(FO!K30,PO!K30,CO!K30,FE!K30,PE!K30)</f>
        <v>13000</v>
      </c>
      <c r="L30" s="5">
        <f>SUM(FO!L30,PO!L30,CO!L30,FE!L30,PE!L30)</f>
        <v>9000</v>
      </c>
      <c r="M30" s="5">
        <f>SUM(FO!M30,PO!M30,CO!M30,FE!M30,PE!M30)</f>
        <v>7000</v>
      </c>
      <c r="N30" s="5">
        <f t="shared" si="15"/>
        <v>94810.36</v>
      </c>
      <c r="O30" s="28">
        <f t="shared" si="16"/>
        <v>0.01277089602</v>
      </c>
      <c r="P30" s="5"/>
      <c r="Q30" s="5"/>
      <c r="R30" s="5"/>
      <c r="S30" s="5"/>
      <c r="T30" s="5"/>
      <c r="U30" s="5">
        <f>SUM(FO!U30,PO!U30,CO!U30,FE!U30,PE!U30)</f>
        <v>0</v>
      </c>
      <c r="V30" s="5">
        <f>SUM(FO!V30,PO!V30,CO!V30,FE!V30,PE!V30)</f>
        <v>0</v>
      </c>
      <c r="W30" s="5">
        <f>SUM(FO!W30,PO!W30,CO!W30,FE!W30,PE!W30)</f>
        <v>0</v>
      </c>
      <c r="X30" s="5">
        <f>SUM(FO!X30,PO!X30,CO!X30,FE!X30,PE!X30)</f>
        <v>0</v>
      </c>
      <c r="Y30" s="5">
        <f>SUM(FO!Y30,PO!Y30,CO!Y30,FE!Y30,PE!Y30)</f>
        <v>0</v>
      </c>
      <c r="Z30" s="5">
        <f>SUM(FO!Z30,PO!Z30,CO!Z30,FE!Z30,PE!Z30)</f>
        <v>0</v>
      </c>
      <c r="AA30" s="5">
        <f>SUM(FO!AA30,PO!AA30,CO!AA30,FE!AA30,PE!AA30)</f>
        <v>0</v>
      </c>
      <c r="AB30" s="5">
        <f>SUM(FO!AB30,PO!AB30,CO!AB30,FE!AB30,PE!AB30)</f>
        <v>0</v>
      </c>
      <c r="AC30" s="5">
        <f>SUM(FO!AC30,PO!AC30,CO!AC30,FE!AC30,PE!AC30)</f>
        <v>0</v>
      </c>
      <c r="AD30" s="5">
        <f>SUM(FO!AD30,PO!AD30,CO!AD30,FE!AD30,PE!AD30)</f>
        <v>0</v>
      </c>
      <c r="AE30" s="5">
        <f>SUM(FO!AE30,PO!AE30,CO!AE30,FE!AE30,PE!AE30)</f>
        <v>0</v>
      </c>
      <c r="AF30" s="5">
        <f>SUM(FO!AF30,PO!AF30,CO!AF30,FE!AF30,PE!AF30)</f>
        <v>0</v>
      </c>
      <c r="AG30" s="5">
        <f t="shared" si="17"/>
        <v>0</v>
      </c>
      <c r="AH30" s="28" t="str">
        <f t="shared" si="18"/>
        <v/>
      </c>
      <c r="AI30" s="4"/>
      <c r="AJ30" s="5">
        <f t="shared" si="19"/>
        <v>94810.36</v>
      </c>
      <c r="AK30" s="4"/>
    </row>
    <row r="31" ht="13.5" customHeight="1">
      <c r="A31" s="25" t="s">
        <v>54</v>
      </c>
      <c r="B31" s="5">
        <f>SUM(FO!B31,PO!B31,CO!B31,FE!B31,PE!B31)</f>
        <v>635.5</v>
      </c>
      <c r="C31" s="5">
        <f>SUM(FO!C31,PO!C31,CO!C31,FE!C31,PE!C31)</f>
        <v>723.15</v>
      </c>
      <c r="D31" s="5">
        <f>SUM(FO!D31,PO!D31,CO!D31,FE!D31,PE!D31)</f>
        <v>1053.77</v>
      </c>
      <c r="E31" s="5">
        <f>SUM(FO!E31,PO!E31,CO!E31,FE!E31,PE!E31)</f>
        <v>890.31</v>
      </c>
      <c r="F31" s="5">
        <f>SUM(FO!F31,PO!F31,CO!F31,FE!F31,PE!F31)</f>
        <v>1479.8</v>
      </c>
      <c r="G31" s="5">
        <f>SUM(FO!G31,PO!G31,CO!G31,FE!G31,PE!G31)</f>
        <v>248.89</v>
      </c>
      <c r="H31" s="5">
        <f>SUM(FO!H31,PO!H31,CO!H31,FE!H31,PE!H31)</f>
        <v>602.41</v>
      </c>
      <c r="I31" s="5">
        <f>SUM(FO!I31,PO!I31,CO!I31,FE!I31,PE!I31)</f>
        <v>1368.86</v>
      </c>
      <c r="J31" s="5">
        <f>SUM(FO!J31,PO!J31,CO!J31,FE!J31,PE!J31)</f>
        <v>1400</v>
      </c>
      <c r="K31" s="5">
        <f>SUM(FO!K31,PO!K31,CO!K31,FE!K31,PE!K31)</f>
        <v>1400</v>
      </c>
      <c r="L31" s="5">
        <f>SUM(FO!L31,PO!L31,CO!L31,FE!L31,PE!L31)</f>
        <v>1000</v>
      </c>
      <c r="M31" s="5">
        <f>SUM(FO!M31,PO!M31,CO!M31,FE!M31,PE!M31)</f>
        <v>800</v>
      </c>
      <c r="N31" s="5">
        <f t="shared" si="15"/>
        <v>11602.69</v>
      </c>
      <c r="O31" s="28">
        <f t="shared" si="16"/>
        <v>0.001562875065</v>
      </c>
      <c r="P31" s="5"/>
      <c r="Q31" s="5"/>
      <c r="R31" s="5"/>
      <c r="S31" s="5"/>
      <c r="T31" s="5"/>
      <c r="U31" s="5">
        <f>SUM(FO!U31,PO!U31,CO!U31,FE!U31,PE!U31)</f>
        <v>0</v>
      </c>
      <c r="V31" s="5">
        <f>SUM(FO!V31,PO!V31,CO!V31,FE!V31,PE!V31)</f>
        <v>0</v>
      </c>
      <c r="W31" s="5">
        <f>SUM(FO!W31,PO!W31,CO!W31,FE!W31,PE!W31)</f>
        <v>0</v>
      </c>
      <c r="X31" s="5">
        <f>SUM(FO!X31,PO!X31,CO!X31,FE!X31,PE!X31)</f>
        <v>0</v>
      </c>
      <c r="Y31" s="5">
        <f>SUM(FO!Y31,PO!Y31,CO!Y31,FE!Y31,PE!Y31)</f>
        <v>0</v>
      </c>
      <c r="Z31" s="5">
        <f>SUM(FO!Z31,PO!Z31,CO!Z31,FE!Z31,PE!Z31)</f>
        <v>0</v>
      </c>
      <c r="AA31" s="5">
        <f>SUM(FO!AA31,PO!AA31,CO!AA31,FE!AA31,PE!AA31)</f>
        <v>0</v>
      </c>
      <c r="AB31" s="5">
        <f>SUM(FO!AB31,PO!AB31,CO!AB31,FE!AB31,PE!AB31)</f>
        <v>0</v>
      </c>
      <c r="AC31" s="5">
        <f>SUM(FO!AC31,PO!AC31,CO!AC31,FE!AC31,PE!AC31)</f>
        <v>0</v>
      </c>
      <c r="AD31" s="5">
        <f>SUM(FO!AD31,PO!AD31,CO!AD31,FE!AD31,PE!AD31)</f>
        <v>0</v>
      </c>
      <c r="AE31" s="5">
        <f>SUM(FO!AE31,PO!AE31,CO!AE31,FE!AE31,PE!AE31)</f>
        <v>0</v>
      </c>
      <c r="AF31" s="5">
        <f>SUM(FO!AF31,PO!AF31,CO!AF31,FE!AF31,PE!AF31)</f>
        <v>0</v>
      </c>
      <c r="AG31" s="5">
        <f t="shared" si="17"/>
        <v>0</v>
      </c>
      <c r="AH31" s="28" t="str">
        <f t="shared" si="18"/>
        <v/>
      </c>
      <c r="AI31" s="4"/>
      <c r="AJ31" s="5">
        <f t="shared" si="19"/>
        <v>11602.69</v>
      </c>
      <c r="AK31" s="4"/>
    </row>
    <row r="32" ht="13.5" customHeight="1">
      <c r="A32" s="24" t="s">
        <v>55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28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28"/>
      <c r="AI32" s="4"/>
      <c r="AJ32" s="5"/>
      <c r="AK32" s="4"/>
    </row>
    <row r="33" ht="13.5" customHeight="1">
      <c r="A33" s="25" t="s">
        <v>56</v>
      </c>
      <c r="B33" s="5">
        <f>SUM(FO!B33,PO!B33,CO!B33,FE!B33,PE!B33)</f>
        <v>0</v>
      </c>
      <c r="C33" s="5">
        <f>SUM(FO!C33,PO!C33,CO!C33,FE!C33,PE!C33)</f>
        <v>29333.47</v>
      </c>
      <c r="D33" s="5">
        <f>SUM(FO!D33,PO!D33,CO!D33,FE!D33,PE!D33)</f>
        <v>11889.74</v>
      </c>
      <c r="E33" s="5">
        <f>SUM(FO!E33,PO!E33,CO!E33,FE!E33,PE!E33)</f>
        <v>21646.72</v>
      </c>
      <c r="F33" s="5">
        <f>SUM(FO!F33,PO!F33,CO!F33,FE!F33,PE!F33)</f>
        <v>17259.93</v>
      </c>
      <c r="G33" s="5">
        <f>SUM(FO!G33,PO!G33,CO!G33,FE!G33,PE!G33)</f>
        <v>17454.2</v>
      </c>
      <c r="H33" s="5">
        <f>SUM(FO!H33,PO!H33,CO!H33,FE!H33,PE!H33)</f>
        <v>20023.74</v>
      </c>
      <c r="I33" s="5">
        <f>SUM(FO!I33,PO!I33,CO!I33,FE!I33,PE!I33)</f>
        <v>14849.42</v>
      </c>
      <c r="J33" s="5">
        <f>SUM(FO!J33,PO!J33,CO!J33,FE!J33,PE!J33)</f>
        <v>17500</v>
      </c>
      <c r="K33" s="5">
        <f>SUM(FO!K33,PO!K33,CO!K33,FE!K33,PE!K33)</f>
        <v>17500</v>
      </c>
      <c r="L33" s="5">
        <f>SUM(FO!L33,PO!L33,CO!L33,FE!L33,PE!L33)</f>
        <v>17500</v>
      </c>
      <c r="M33" s="5">
        <f>SUM(FO!M33,PO!M33,CO!M33,FE!M33,PE!M33)</f>
        <v>17500</v>
      </c>
      <c r="N33" s="5">
        <f t="shared" ref="N33:N42" si="22">SUM(B33:M33)</f>
        <v>202457.22</v>
      </c>
      <c r="O33" s="28">
        <f t="shared" ref="O33:O42" si="23">IFERROR(N33/N$16,"")</f>
        <v>0.02727086055</v>
      </c>
      <c r="P33" s="5"/>
      <c r="Q33" s="5"/>
      <c r="R33" s="5"/>
      <c r="S33" s="5"/>
      <c r="T33" s="5"/>
      <c r="U33" s="5">
        <f>SUM(FO!U33,PO!U33,CO!U33,FE!U33,PE!U33)</f>
        <v>43450</v>
      </c>
      <c r="V33" s="5">
        <f>SUM(FO!V33,PO!V33,CO!V33,FE!V33,PE!V33)</f>
        <v>43450</v>
      </c>
      <c r="W33" s="5">
        <f>SUM(FO!W33,PO!W33,CO!W33,FE!W33,PE!W33)</f>
        <v>43450</v>
      </c>
      <c r="X33" s="5">
        <f>SUM(FO!X33,PO!X33,CO!X33,FE!X33,PE!X33)</f>
        <v>43450</v>
      </c>
      <c r="Y33" s="5">
        <f>SUM(FO!Y33,PO!Y33,CO!Y33,FE!Y33,PE!Y33)</f>
        <v>43450</v>
      </c>
      <c r="Z33" s="5">
        <f>SUM(FO!Z33,PO!Z33,CO!Z33,FE!Z33,PE!Z33)</f>
        <v>43450</v>
      </c>
      <c r="AA33" s="5">
        <f>SUM(FO!AA33,PO!AA33,CO!AA33,FE!AA33,PE!AA33)</f>
        <v>43450</v>
      </c>
      <c r="AB33" s="5">
        <f>SUM(FO!AB33,PO!AB33,CO!AB33,FE!AB33,PE!AB33)</f>
        <v>43450</v>
      </c>
      <c r="AC33" s="5">
        <f>SUM(FO!AC33,PO!AC33,CO!AC33,FE!AC33,PE!AC33)</f>
        <v>43450</v>
      </c>
      <c r="AD33" s="5">
        <f>SUM(FO!AD33,PO!AD33,CO!AD33,FE!AD33,PE!AD33)</f>
        <v>44753.5</v>
      </c>
      <c r="AE33" s="5">
        <f>SUM(FO!AE33,PO!AE33,CO!AE33,FE!AE33,PE!AE33)</f>
        <v>44753.5</v>
      </c>
      <c r="AF33" s="5">
        <f>SUM(FO!AF33,PO!AF33,CO!AF33,FE!AF33,PE!AF33)</f>
        <v>44753.5</v>
      </c>
      <c r="AG33" s="5">
        <f t="shared" ref="AG33:AG42" si="24">SUM(U33:AF33)</f>
        <v>525310.5</v>
      </c>
      <c r="AH33" s="28" t="str">
        <f t="shared" ref="AH33:AH42" si="25">IFERROR(AG33/AG$16,"")</f>
        <v/>
      </c>
      <c r="AI33" s="4"/>
      <c r="AJ33" s="5">
        <f t="shared" ref="AJ33:AJ42" si="26">N33-AG33</f>
        <v>-322853.28</v>
      </c>
      <c r="AK33" s="4"/>
    </row>
    <row r="34" ht="13.5" customHeight="1">
      <c r="A34" s="25" t="s">
        <v>57</v>
      </c>
      <c r="B34" s="5">
        <f>SUM(FO!B34,PO!B34,CO!B34,FE!B34,PE!B34)</f>
        <v>0</v>
      </c>
      <c r="C34" s="5">
        <f>SUM(FO!C34,PO!C34,CO!C34,FE!C34,PE!C34)</f>
        <v>842.84</v>
      </c>
      <c r="D34" s="5">
        <f>SUM(FO!D34,PO!D34,CO!D34,FE!D34,PE!D34)</f>
        <v>1357.58</v>
      </c>
      <c r="E34" s="5">
        <f>SUM(FO!E34,PO!E34,CO!E34,FE!E34,PE!E34)</f>
        <v>703.54</v>
      </c>
      <c r="F34" s="5">
        <f>SUM(FO!F34,PO!F34,CO!F34,FE!F34,PE!F34)</f>
        <v>618.04</v>
      </c>
      <c r="G34" s="5">
        <f>SUM(FO!G34,PO!G34,CO!G34,FE!G34,PE!G34)</f>
        <v>634.79</v>
      </c>
      <c r="H34" s="5">
        <f>SUM(FO!H34,PO!H34,CO!H34,FE!H34,PE!H34)</f>
        <v>768.4</v>
      </c>
      <c r="I34" s="5">
        <f>SUM(FO!I34,PO!I34,CO!I34,FE!I34,PE!I34)</f>
        <v>592.79</v>
      </c>
      <c r="J34" s="5">
        <f>SUM(FO!J34,PO!J34,CO!J34,FE!J34,PE!J34)</f>
        <v>648</v>
      </c>
      <c r="K34" s="5">
        <f>SUM(FO!K34,PO!K34,CO!K34,FE!K34,PE!K34)</f>
        <v>648</v>
      </c>
      <c r="L34" s="5">
        <f>SUM(FO!L34,PO!L34,CO!L34,FE!L34,PE!L34)</f>
        <v>648</v>
      </c>
      <c r="M34" s="5">
        <f>SUM(FO!M34,PO!M34,CO!M34,FE!M34,PE!M34)</f>
        <v>648</v>
      </c>
      <c r="N34" s="5">
        <f t="shared" si="22"/>
        <v>8109.98</v>
      </c>
      <c r="O34" s="28">
        <f t="shared" si="23"/>
        <v>0.001092409219</v>
      </c>
      <c r="P34" s="5"/>
      <c r="Q34" s="5"/>
      <c r="R34" s="5"/>
      <c r="S34" s="5"/>
      <c r="T34" s="5"/>
      <c r="U34" s="5">
        <f>SUM(FO!U34,PO!U34,CO!U34,FE!U34,PE!U34)</f>
        <v>1580.22857</v>
      </c>
      <c r="V34" s="5">
        <f>SUM(FO!V34,PO!V34,CO!V34,FE!V34,PE!V34)</f>
        <v>1580.22857</v>
      </c>
      <c r="W34" s="5">
        <f>SUM(FO!W34,PO!W34,CO!W34,FE!W34,PE!W34)</f>
        <v>1580.22857</v>
      </c>
      <c r="X34" s="5">
        <f>SUM(FO!X34,PO!X34,CO!X34,FE!X34,PE!X34)</f>
        <v>1580.22857</v>
      </c>
      <c r="Y34" s="5">
        <f>SUM(FO!Y34,PO!Y34,CO!Y34,FE!Y34,PE!Y34)</f>
        <v>1580.22857</v>
      </c>
      <c r="Z34" s="5">
        <f>SUM(FO!Z34,PO!Z34,CO!Z34,FE!Z34,PE!Z34)</f>
        <v>1580.22857</v>
      </c>
      <c r="AA34" s="5">
        <f>SUM(FO!AA34,PO!AA34,CO!AA34,FE!AA34,PE!AA34)</f>
        <v>1580.22857</v>
      </c>
      <c r="AB34" s="5">
        <f>SUM(FO!AB34,PO!AB34,CO!AB34,FE!AB34,PE!AB34)</f>
        <v>1580.22857</v>
      </c>
      <c r="AC34" s="5">
        <f>SUM(FO!AC34,PO!AC34,CO!AC34,FE!AC34,PE!AC34)</f>
        <v>1580.22857</v>
      </c>
      <c r="AD34" s="5">
        <f>SUM(FO!AD34,PO!AD34,CO!AD34,FE!AD34,PE!AD34)</f>
        <v>1627.635427</v>
      </c>
      <c r="AE34" s="5">
        <f>SUM(FO!AE34,PO!AE34,CO!AE34,FE!AE34,PE!AE34)</f>
        <v>1627.635427</v>
      </c>
      <c r="AF34" s="5">
        <f>SUM(FO!AF34,PO!AF34,CO!AF34,FE!AF34,PE!AF34)</f>
        <v>1627.635427</v>
      </c>
      <c r="AG34" s="5">
        <f t="shared" si="24"/>
        <v>19104.96341</v>
      </c>
      <c r="AH34" s="28" t="str">
        <f t="shared" si="25"/>
        <v/>
      </c>
      <c r="AI34" s="4"/>
      <c r="AJ34" s="5">
        <f t="shared" si="26"/>
        <v>-10994.98341</v>
      </c>
      <c r="AK34" s="4"/>
    </row>
    <row r="35" ht="13.5" customHeight="1">
      <c r="A35" s="25" t="s">
        <v>58</v>
      </c>
      <c r="B35" s="5">
        <f>SUM(FO!B35,PO!B35,CO!B35,FE!B35,PE!B35)</f>
        <v>-18903.27</v>
      </c>
      <c r="C35" s="5">
        <f>SUM(FO!C35,PO!C35,CO!C35,FE!C35,PE!C35)</f>
        <v>-7499.98</v>
      </c>
      <c r="D35" s="5">
        <f>SUM(FO!D35,PO!D35,CO!D35,FE!D35,PE!D35)</f>
        <v>1464.77</v>
      </c>
      <c r="E35" s="5">
        <f>SUM(FO!E35,PO!E35,CO!E35,FE!E35,PE!E35)</f>
        <v>2876.74</v>
      </c>
      <c r="F35" s="5">
        <f>SUM(FO!F35,PO!F35,CO!F35,FE!F35,PE!F35)</f>
        <v>4138.12</v>
      </c>
      <c r="G35" s="5">
        <f>SUM(FO!G35,PO!G35,CO!G35,FE!G35,PE!G35)</f>
        <v>3992.14</v>
      </c>
      <c r="H35" s="5">
        <f>SUM(FO!H35,PO!H35,CO!H35,FE!H35,PE!H35)</f>
        <v>-6793.75</v>
      </c>
      <c r="I35" s="5">
        <f>SUM(FO!I35,PO!I35,CO!I35,FE!I35,PE!I35)</f>
        <v>2732.36</v>
      </c>
      <c r="J35" s="5">
        <f>SUM(FO!J35,PO!J35,CO!J35,FE!J35,PE!J35)</f>
        <v>4000</v>
      </c>
      <c r="K35" s="5">
        <f>SUM(FO!K35,PO!K35,CO!K35,FE!K35,PE!K35)</f>
        <v>4000</v>
      </c>
      <c r="L35" s="5">
        <f>SUM(FO!L35,PO!L35,CO!L35,FE!L35,PE!L35)</f>
        <v>4000</v>
      </c>
      <c r="M35" s="5">
        <f>SUM(FO!M35,PO!M35,CO!M35,FE!M35,PE!M35)</f>
        <v>4000</v>
      </c>
      <c r="N35" s="5">
        <f t="shared" si="22"/>
        <v>-1992.87</v>
      </c>
      <c r="O35" s="28">
        <f t="shared" si="23"/>
        <v>-0.000268438339</v>
      </c>
      <c r="P35" s="5"/>
      <c r="Q35" s="5"/>
      <c r="R35" s="5"/>
      <c r="S35" s="5"/>
      <c r="T35" s="5"/>
      <c r="U35" s="5">
        <f>SUM(FO!U35,PO!U35,CO!U35,FE!U35,PE!U35)</f>
        <v>8966.458751</v>
      </c>
      <c r="V35" s="5">
        <f>SUM(FO!V35,PO!V35,CO!V35,FE!V35,PE!V35)</f>
        <v>8966.458751</v>
      </c>
      <c r="W35" s="5">
        <f>SUM(FO!W35,PO!W35,CO!W35,FE!W35,PE!W35)</f>
        <v>8966.458751</v>
      </c>
      <c r="X35" s="5">
        <f>SUM(FO!X35,PO!X35,CO!X35,FE!X35,PE!X35)</f>
        <v>8966.458751</v>
      </c>
      <c r="Y35" s="5">
        <f>SUM(FO!Y35,PO!Y35,CO!Y35,FE!Y35,PE!Y35)</f>
        <v>8966.458751</v>
      </c>
      <c r="Z35" s="5">
        <f>SUM(FO!Z35,PO!Z35,CO!Z35,FE!Z35,PE!Z35)</f>
        <v>8966.458751</v>
      </c>
      <c r="AA35" s="5">
        <f>SUM(FO!AA35,PO!AA35,CO!AA35,FE!AA35,PE!AA35)</f>
        <v>8966.458751</v>
      </c>
      <c r="AB35" s="5">
        <f>SUM(FO!AB35,PO!AB35,CO!AB35,FE!AB35,PE!AB35)</f>
        <v>8966.458751</v>
      </c>
      <c r="AC35" s="5">
        <f>SUM(FO!AC35,PO!AC35,CO!AC35,FE!AC35,PE!AC35)</f>
        <v>8966.458751</v>
      </c>
      <c r="AD35" s="5">
        <f>SUM(FO!AD35,PO!AD35,CO!AD35,FE!AD35,PE!AD35)</f>
        <v>9235.452514</v>
      </c>
      <c r="AE35" s="5">
        <f>SUM(FO!AE35,PO!AE35,CO!AE35,FE!AE35,PE!AE35)</f>
        <v>9235.452514</v>
      </c>
      <c r="AF35" s="5">
        <f>SUM(FO!AF35,PO!AF35,CO!AF35,FE!AF35,PE!AF35)</f>
        <v>9235.452514</v>
      </c>
      <c r="AG35" s="5">
        <f t="shared" si="24"/>
        <v>108404.4863</v>
      </c>
      <c r="AH35" s="28" t="str">
        <f t="shared" si="25"/>
        <v/>
      </c>
      <c r="AI35" s="4"/>
      <c r="AJ35" s="5">
        <f t="shared" si="26"/>
        <v>-110397.3563</v>
      </c>
      <c r="AK35" s="4"/>
    </row>
    <row r="36" ht="13.5" customHeight="1">
      <c r="A36" s="33" t="s">
        <v>59</v>
      </c>
      <c r="B36" s="34">
        <f t="shared" ref="B36:M36" si="27">SUM(B33:B35)</f>
        <v>-18903.27</v>
      </c>
      <c r="C36" s="34">
        <f t="shared" si="27"/>
        <v>22676.33</v>
      </c>
      <c r="D36" s="34">
        <f t="shared" si="27"/>
        <v>14712.09</v>
      </c>
      <c r="E36" s="34">
        <f t="shared" si="27"/>
        <v>25227</v>
      </c>
      <c r="F36" s="34">
        <f t="shared" si="27"/>
        <v>22016.09</v>
      </c>
      <c r="G36" s="34">
        <f t="shared" si="27"/>
        <v>22081.13</v>
      </c>
      <c r="H36" s="34">
        <f t="shared" si="27"/>
        <v>13998.39</v>
      </c>
      <c r="I36" s="34">
        <f t="shared" si="27"/>
        <v>18174.57</v>
      </c>
      <c r="J36" s="34">
        <f t="shared" si="27"/>
        <v>22148</v>
      </c>
      <c r="K36" s="34">
        <f t="shared" si="27"/>
        <v>22148</v>
      </c>
      <c r="L36" s="34">
        <f t="shared" si="27"/>
        <v>22148</v>
      </c>
      <c r="M36" s="34">
        <f t="shared" si="27"/>
        <v>22148</v>
      </c>
      <c r="N36" s="34">
        <f t="shared" si="22"/>
        <v>208574.33</v>
      </c>
      <c r="O36" s="35">
        <f t="shared" si="23"/>
        <v>0.02809483143</v>
      </c>
      <c r="P36" s="5"/>
      <c r="Q36" s="5"/>
      <c r="R36" s="5"/>
      <c r="S36" s="5"/>
      <c r="T36" s="5"/>
      <c r="U36" s="34">
        <f t="shared" ref="U36:AF36" si="28">SUM(U33:U35)</f>
        <v>53996.68732</v>
      </c>
      <c r="V36" s="34">
        <f t="shared" si="28"/>
        <v>53996.68732</v>
      </c>
      <c r="W36" s="34">
        <f t="shared" si="28"/>
        <v>53996.68732</v>
      </c>
      <c r="X36" s="34">
        <f t="shared" si="28"/>
        <v>53996.68732</v>
      </c>
      <c r="Y36" s="34">
        <f t="shared" si="28"/>
        <v>53996.68732</v>
      </c>
      <c r="Z36" s="34">
        <f t="shared" si="28"/>
        <v>53996.68732</v>
      </c>
      <c r="AA36" s="34">
        <f t="shared" si="28"/>
        <v>53996.68732</v>
      </c>
      <c r="AB36" s="34">
        <f t="shared" si="28"/>
        <v>53996.68732</v>
      </c>
      <c r="AC36" s="34">
        <f t="shared" si="28"/>
        <v>53996.68732</v>
      </c>
      <c r="AD36" s="34">
        <f t="shared" si="28"/>
        <v>55616.58794</v>
      </c>
      <c r="AE36" s="34">
        <f t="shared" si="28"/>
        <v>55616.58794</v>
      </c>
      <c r="AF36" s="34">
        <f t="shared" si="28"/>
        <v>55616.58794</v>
      </c>
      <c r="AG36" s="34">
        <f t="shared" si="24"/>
        <v>652819.9497</v>
      </c>
      <c r="AH36" s="35" t="str">
        <f t="shared" si="25"/>
        <v/>
      </c>
      <c r="AI36" s="4"/>
      <c r="AJ36" s="34">
        <f t="shared" si="26"/>
        <v>-444245.6197</v>
      </c>
      <c r="AK36" s="4"/>
    </row>
    <row r="37" ht="13.5" customHeight="1">
      <c r="A37" s="33" t="s">
        <v>60</v>
      </c>
      <c r="B37" s="34">
        <f t="shared" ref="B37:M37" si="29">B19+B22+B27+B28+B29+B30+B31+B36+B20+B21</f>
        <v>150062</v>
      </c>
      <c r="C37" s="34">
        <f t="shared" si="29"/>
        <v>177551.58</v>
      </c>
      <c r="D37" s="34">
        <f t="shared" si="29"/>
        <v>188086.69</v>
      </c>
      <c r="E37" s="34">
        <f t="shared" si="29"/>
        <v>219001.28</v>
      </c>
      <c r="F37" s="34">
        <f t="shared" si="29"/>
        <v>192199.72</v>
      </c>
      <c r="G37" s="34">
        <f t="shared" si="29"/>
        <v>191563.96</v>
      </c>
      <c r="H37" s="34">
        <f t="shared" si="29"/>
        <v>170597.45</v>
      </c>
      <c r="I37" s="34">
        <f t="shared" si="29"/>
        <v>190947.42</v>
      </c>
      <c r="J37" s="34">
        <f t="shared" si="29"/>
        <v>208219.9105</v>
      </c>
      <c r="K37" s="34">
        <f t="shared" si="29"/>
        <v>209825.8629</v>
      </c>
      <c r="L37" s="34">
        <f t="shared" si="29"/>
        <v>202572.2914</v>
      </c>
      <c r="M37" s="34">
        <f t="shared" si="29"/>
        <v>204518.72</v>
      </c>
      <c r="N37" s="34">
        <f t="shared" si="22"/>
        <v>2305146.885</v>
      </c>
      <c r="O37" s="35">
        <f t="shared" si="23"/>
        <v>0.3105018395</v>
      </c>
      <c r="P37" s="5"/>
      <c r="Q37" s="5"/>
      <c r="R37" s="5"/>
      <c r="S37" s="5"/>
      <c r="T37" s="5"/>
      <c r="U37" s="34">
        <f t="shared" ref="U37:AF37" si="30">U19+U22+U27+U28+U29+U30+U31+U36+U20+U21</f>
        <v>64413.35399</v>
      </c>
      <c r="V37" s="34">
        <f t="shared" si="30"/>
        <v>59413.35399</v>
      </c>
      <c r="W37" s="34">
        <f t="shared" si="30"/>
        <v>59413.35399</v>
      </c>
      <c r="X37" s="34">
        <f t="shared" si="30"/>
        <v>59413.35399</v>
      </c>
      <c r="Y37" s="34">
        <f t="shared" si="30"/>
        <v>64413.35399</v>
      </c>
      <c r="Z37" s="34">
        <f t="shared" si="30"/>
        <v>59955.02065</v>
      </c>
      <c r="AA37" s="34">
        <f t="shared" si="30"/>
        <v>60225.85399</v>
      </c>
      <c r="AB37" s="34">
        <f t="shared" si="30"/>
        <v>60496.68732</v>
      </c>
      <c r="AC37" s="34">
        <f t="shared" si="30"/>
        <v>60767.52065</v>
      </c>
      <c r="AD37" s="34">
        <f t="shared" si="30"/>
        <v>66033.25461</v>
      </c>
      <c r="AE37" s="34">
        <f t="shared" si="30"/>
        <v>62929.08794</v>
      </c>
      <c r="AF37" s="34">
        <f t="shared" si="30"/>
        <v>63199.92127</v>
      </c>
      <c r="AG37" s="34">
        <f t="shared" si="24"/>
        <v>740674.1164</v>
      </c>
      <c r="AH37" s="35" t="str">
        <f t="shared" si="25"/>
        <v/>
      </c>
      <c r="AI37" s="4"/>
      <c r="AJ37" s="34">
        <f t="shared" si="26"/>
        <v>1564472.768</v>
      </c>
      <c r="AK37" s="4"/>
    </row>
    <row r="38" ht="13.5" customHeight="1">
      <c r="A38" s="25" t="s">
        <v>61</v>
      </c>
      <c r="B38" s="5">
        <f>SUM(FO!B38,PO!B38,CO!B38,FE!B38,PE!B38)</f>
        <v>0</v>
      </c>
      <c r="C38" s="5">
        <f>SUM(FO!C38,PO!C38,CO!C38,FE!C38,PE!C38)</f>
        <v>0</v>
      </c>
      <c r="D38" s="5">
        <f>SUM(FO!D38,PO!D38,CO!D38,FE!D38,PE!D38)</f>
        <v>2782.65</v>
      </c>
      <c r="E38" s="5">
        <f>SUM(FO!E38,PO!E38,CO!E38,FE!E38,PE!E38)</f>
        <v>56.1</v>
      </c>
      <c r="F38" s="5">
        <f>SUM(FO!F38,PO!F38,CO!F38,FE!F38,PE!F38)</f>
        <v>0</v>
      </c>
      <c r="G38" s="5">
        <f>SUM(FO!G38,PO!G38,CO!G38,FE!G38,PE!G38)</f>
        <v>-352.47</v>
      </c>
      <c r="H38" s="5">
        <f>SUM(FO!H38,PO!H38,CO!H38,FE!H38,PE!H38)</f>
        <v>0</v>
      </c>
      <c r="I38" s="5">
        <f>SUM(FO!I38,PO!I38,CO!I38,FE!I38,PE!I38)</f>
        <v>0</v>
      </c>
      <c r="J38" s="5">
        <f>SUM(FO!J38,PO!J38,CO!J38,FE!J38,PE!J38)</f>
        <v>0</v>
      </c>
      <c r="K38" s="5">
        <f>SUM(FO!K38,PO!K38,CO!K38,FE!K38,PE!K38)</f>
        <v>0</v>
      </c>
      <c r="L38" s="5">
        <f>SUM(FO!L38,PO!L38,CO!L38,FE!L38,PE!L38)</f>
        <v>0</v>
      </c>
      <c r="M38" s="5">
        <f>SUM(FO!M38,PO!M38,CO!M38,FE!M38,PE!M38)</f>
        <v>0</v>
      </c>
      <c r="N38" s="5">
        <f t="shared" si="22"/>
        <v>2486.28</v>
      </c>
      <c r="O38" s="28">
        <f t="shared" si="23"/>
        <v>0.0003349003565</v>
      </c>
      <c r="P38" s="5"/>
      <c r="Q38" s="5"/>
      <c r="R38" s="5"/>
      <c r="S38" s="5"/>
      <c r="T38" s="5"/>
      <c r="U38" s="5">
        <f>SUM(FO!U38,PO!U38,CO!U38,FE!U38,PE!U38)</f>
        <v>21250</v>
      </c>
      <c r="V38" s="5">
        <f>SUM(FO!V38,PO!V38,CO!V38,FE!V38,PE!V38)</f>
        <v>6250</v>
      </c>
      <c r="W38" s="5">
        <f>SUM(FO!W38,PO!W38,CO!W38,FE!W38,PE!W38)</f>
        <v>6250</v>
      </c>
      <c r="X38" s="5">
        <f>SUM(FO!X38,PO!X38,CO!X38,FE!X38,PE!X38)</f>
        <v>6250</v>
      </c>
      <c r="Y38" s="5">
        <f>SUM(FO!Y38,PO!Y38,CO!Y38,FE!Y38,PE!Y38)</f>
        <v>6562.5</v>
      </c>
      <c r="Z38" s="5">
        <f>SUM(FO!Z38,PO!Z38,CO!Z38,FE!Z38,PE!Z38)</f>
        <v>6875</v>
      </c>
      <c r="AA38" s="5">
        <f>SUM(FO!AA38,PO!AA38,CO!AA38,FE!AA38,PE!AA38)</f>
        <v>7187.5</v>
      </c>
      <c r="AB38" s="5">
        <f>SUM(FO!AB38,PO!AB38,CO!AB38,FE!AB38,PE!AB38)</f>
        <v>7500</v>
      </c>
      <c r="AC38" s="5">
        <f>SUM(FO!AC38,PO!AC38,CO!AC38,FE!AC38,PE!AC38)</f>
        <v>7812.5</v>
      </c>
      <c r="AD38" s="5">
        <f>SUM(FO!AD38,PO!AD38,CO!AD38,FE!AD38,PE!AD38)</f>
        <v>8125</v>
      </c>
      <c r="AE38" s="5">
        <f>SUM(FO!AE38,PO!AE38,CO!AE38,FE!AE38,PE!AE38)</f>
        <v>8437.5</v>
      </c>
      <c r="AF38" s="5">
        <f>SUM(FO!AF38,PO!AF38,CO!AF38,FE!AF38,PE!AF38)</f>
        <v>8750</v>
      </c>
      <c r="AG38" s="5">
        <f t="shared" si="24"/>
        <v>101250</v>
      </c>
      <c r="AH38" s="28" t="str">
        <f t="shared" si="25"/>
        <v/>
      </c>
      <c r="AI38" s="4"/>
      <c r="AJ38" s="5">
        <f t="shared" si="26"/>
        <v>-98763.72</v>
      </c>
      <c r="AK38" s="4"/>
    </row>
    <row r="39" ht="13.5" customHeight="1">
      <c r="A39" s="25" t="s">
        <v>63</v>
      </c>
      <c r="B39" s="5">
        <f>SUM(FO!B39,PO!B39,CO!B39,FE!B39,PE!B39)</f>
        <v>0</v>
      </c>
      <c r="C39" s="5">
        <f>SUM(FO!C39,PO!C39,CO!C39,FE!C39,PE!C39)</f>
        <v>0</v>
      </c>
      <c r="D39" s="5">
        <f>SUM(FO!D39,PO!D39,CO!D39,FE!D39,PE!D39)</f>
        <v>0</v>
      </c>
      <c r="E39" s="5">
        <f>SUM(FO!E39,PO!E39,CO!E39,FE!E39,PE!E39)</f>
        <v>0</v>
      </c>
      <c r="F39" s="5">
        <f>SUM(FO!F39,PO!F39,CO!F39,FE!F39,PE!F39)</f>
        <v>6857.32</v>
      </c>
      <c r="G39" s="5">
        <f>SUM(FO!G39,PO!G39,CO!G39,FE!G39,PE!G39)</f>
        <v>0</v>
      </c>
      <c r="H39" s="5">
        <f>SUM(FO!H39,PO!H39,CO!H39,FE!H39,PE!H39)</f>
        <v>10645.5</v>
      </c>
      <c r="I39" s="5">
        <f>SUM(FO!I39,PO!I39,CO!I39,FE!I39,PE!I39)</f>
        <v>6414.69</v>
      </c>
      <c r="J39" s="5">
        <f>SUM(FO!J39,PO!J39,CO!J39,FE!J39,PE!J39)</f>
        <v>3000</v>
      </c>
      <c r="K39" s="5">
        <f>SUM(FO!K39,PO!K39,CO!K39,FE!K39,PE!K39)</f>
        <v>1000</v>
      </c>
      <c r="L39" s="5">
        <f>SUM(FO!L39,PO!L39,CO!L39,FE!L39,PE!L39)</f>
        <v>1000</v>
      </c>
      <c r="M39" s="5">
        <f>SUM(FO!M39,PO!M39,CO!M39,FE!M39,PE!M39)</f>
        <v>1000</v>
      </c>
      <c r="N39" s="5">
        <f t="shared" si="22"/>
        <v>29917.51</v>
      </c>
      <c r="O39" s="28">
        <f t="shared" si="23"/>
        <v>0.004029869832</v>
      </c>
      <c r="P39" s="5"/>
      <c r="Q39" s="5"/>
      <c r="R39" s="5"/>
      <c r="S39" s="5"/>
      <c r="T39" s="5"/>
      <c r="U39" s="5">
        <f>SUM(FO!U39,PO!U39,CO!U39,FE!U39,PE!U39)</f>
        <v>2207.093875</v>
      </c>
      <c r="V39" s="5">
        <f>SUM(FO!V39,PO!V39,CO!V39,FE!V39,PE!V39)</f>
        <v>2207.093875</v>
      </c>
      <c r="W39" s="5">
        <f>SUM(FO!W39,PO!W39,CO!W39,FE!W39,PE!W39)</f>
        <v>2207.093875</v>
      </c>
      <c r="X39" s="5">
        <f>SUM(FO!X39,PO!X39,CO!X39,FE!X39,PE!X39)</f>
        <v>2207.093875</v>
      </c>
      <c r="Y39" s="5">
        <f>SUM(FO!Y39,PO!Y39,CO!Y39,FE!Y39,PE!Y39)</f>
        <v>2207.093875</v>
      </c>
      <c r="Z39" s="5">
        <f>SUM(FO!Z39,PO!Z39,CO!Z39,FE!Z39,PE!Z39)</f>
        <v>2207.093875</v>
      </c>
      <c r="AA39" s="5">
        <f>SUM(FO!AA39,PO!AA39,CO!AA39,FE!AA39,PE!AA39)</f>
        <v>2207.093875</v>
      </c>
      <c r="AB39" s="5">
        <f>SUM(FO!AB39,PO!AB39,CO!AB39,FE!AB39,PE!AB39)</f>
        <v>2207.093875</v>
      </c>
      <c r="AC39" s="5">
        <f>SUM(FO!AC39,PO!AC39,CO!AC39,FE!AC39,PE!AC39)</f>
        <v>2207.093875</v>
      </c>
      <c r="AD39" s="5">
        <f>SUM(FO!AD39,PO!AD39,CO!AD39,FE!AD39,PE!AD39)</f>
        <v>2207.093875</v>
      </c>
      <c r="AE39" s="5">
        <f>SUM(FO!AE39,PO!AE39,CO!AE39,FE!AE39,PE!AE39)</f>
        <v>2207.093875</v>
      </c>
      <c r="AF39" s="5">
        <f>SUM(FO!AF39,PO!AF39,CO!AF39,FE!AF39,PE!AF39)</f>
        <v>2207.093875</v>
      </c>
      <c r="AG39" s="5">
        <f t="shared" si="24"/>
        <v>26485.1265</v>
      </c>
      <c r="AH39" s="28" t="str">
        <f t="shared" si="25"/>
        <v/>
      </c>
      <c r="AI39" s="4"/>
      <c r="AJ39" s="5">
        <f t="shared" si="26"/>
        <v>3432.3835</v>
      </c>
      <c r="AK39" s="4"/>
    </row>
    <row r="40" ht="13.5" customHeight="1">
      <c r="A40" s="25" t="s">
        <v>65</v>
      </c>
      <c r="B40" s="5">
        <f>SUM(FO!B40,PO!B40,CO!B40,FE!B40,PE!B40)</f>
        <v>0</v>
      </c>
      <c r="C40" s="5">
        <f>SUM(FO!C40,PO!C40,CO!C40,FE!C40,PE!C40)</f>
        <v>0</v>
      </c>
      <c r="D40" s="5">
        <f>SUM(FO!D40,PO!D40,CO!D40,FE!D40,PE!D40)</f>
        <v>0</v>
      </c>
      <c r="E40" s="5">
        <f>SUM(FO!E40,PO!E40,CO!E40,FE!E40,PE!E40)</f>
        <v>0</v>
      </c>
      <c r="F40" s="5">
        <f>SUM(FO!F40,PO!F40,CO!F40,FE!F40,PE!F40)</f>
        <v>125</v>
      </c>
      <c r="G40" s="5">
        <f>SUM(FO!G40,PO!G40,CO!G40,FE!G40,PE!G40)</f>
        <v>-362.34</v>
      </c>
      <c r="H40" s="5">
        <f>SUM(FO!H40,PO!H40,CO!H40,FE!H40,PE!H40)</f>
        <v>0</v>
      </c>
      <c r="I40" s="5">
        <f>SUM(FO!I40,PO!I40,CO!I40,FE!I40,PE!I40)</f>
        <v>4095.3</v>
      </c>
      <c r="J40" s="5">
        <f>SUM(FO!J40,PO!J40,CO!J40,FE!J40,PE!J40)</f>
        <v>125</v>
      </c>
      <c r="K40" s="5">
        <f>SUM(FO!K40,PO!K40,CO!K40,FE!K40,PE!K40)</f>
        <v>125</v>
      </c>
      <c r="L40" s="5">
        <f>SUM(FO!L40,PO!L40,CO!L40,FE!L40,PE!L40)</f>
        <v>125</v>
      </c>
      <c r="M40" s="5">
        <f>SUM(FO!M40,PO!M40,CO!M40,FE!M40,PE!M40)</f>
        <v>125</v>
      </c>
      <c r="N40" s="5">
        <f t="shared" si="22"/>
        <v>4357.96</v>
      </c>
      <c r="O40" s="28">
        <f t="shared" si="23"/>
        <v>0.0005870144786</v>
      </c>
      <c r="P40" s="5"/>
      <c r="Q40" s="5"/>
      <c r="R40" s="5"/>
      <c r="S40" s="5"/>
      <c r="T40" s="5"/>
      <c r="U40" s="5">
        <f>SUM(FO!U40,PO!U40,CO!U40,FE!U40,PE!U40)</f>
        <v>381.3215</v>
      </c>
      <c r="V40" s="5">
        <f>SUM(FO!V40,PO!V40,CO!V40,FE!V40,PE!V40)</f>
        <v>381.3215</v>
      </c>
      <c r="W40" s="5">
        <f>SUM(FO!W40,PO!W40,CO!W40,FE!W40,PE!W40)</f>
        <v>381.3215</v>
      </c>
      <c r="X40" s="5">
        <f>SUM(FO!X40,PO!X40,CO!X40,FE!X40,PE!X40)</f>
        <v>381.3215</v>
      </c>
      <c r="Y40" s="5">
        <f>SUM(FO!Y40,PO!Y40,CO!Y40,FE!Y40,PE!Y40)</f>
        <v>381.3215</v>
      </c>
      <c r="Z40" s="5">
        <f>SUM(FO!Z40,PO!Z40,CO!Z40,FE!Z40,PE!Z40)</f>
        <v>381.3215</v>
      </c>
      <c r="AA40" s="5">
        <f>SUM(FO!AA40,PO!AA40,CO!AA40,FE!AA40,PE!AA40)</f>
        <v>381.3215</v>
      </c>
      <c r="AB40" s="5">
        <f>SUM(FO!AB40,PO!AB40,CO!AB40,FE!AB40,PE!AB40)</f>
        <v>381.3215</v>
      </c>
      <c r="AC40" s="5">
        <f>SUM(FO!AC40,PO!AC40,CO!AC40,FE!AC40,PE!AC40)</f>
        <v>381.3215</v>
      </c>
      <c r="AD40" s="5">
        <f>SUM(FO!AD40,PO!AD40,CO!AD40,FE!AD40,PE!AD40)</f>
        <v>381.3215</v>
      </c>
      <c r="AE40" s="5">
        <f>SUM(FO!AE40,PO!AE40,CO!AE40,FE!AE40,PE!AE40)</f>
        <v>381.3215</v>
      </c>
      <c r="AF40" s="5">
        <f>SUM(FO!AF40,PO!AF40,CO!AF40,FE!AF40,PE!AF40)</f>
        <v>381.3215</v>
      </c>
      <c r="AG40" s="5">
        <f t="shared" si="24"/>
        <v>4575.858</v>
      </c>
      <c r="AH40" s="28" t="str">
        <f t="shared" si="25"/>
        <v/>
      </c>
      <c r="AI40" s="4"/>
      <c r="AJ40" s="5">
        <f t="shared" si="26"/>
        <v>-217.898</v>
      </c>
      <c r="AK40" s="4"/>
    </row>
    <row r="41" ht="13.5" customHeight="1">
      <c r="A41" s="25" t="s">
        <v>66</v>
      </c>
      <c r="B41" s="5">
        <f>SUM(FO!B41,PO!B41,CO!B41,FE!B41,PE!B41)</f>
        <v>0</v>
      </c>
      <c r="C41" s="5">
        <f>SUM(FO!C41,PO!C41,CO!C41,FE!C41,PE!C41)</f>
        <v>0</v>
      </c>
      <c r="D41" s="5">
        <f>SUM(FO!D41,PO!D41,CO!D41,FE!D41,PE!D41)</f>
        <v>0</v>
      </c>
      <c r="E41" s="5">
        <f>SUM(FO!E41,PO!E41,CO!E41,FE!E41,PE!E41)</f>
        <v>0</v>
      </c>
      <c r="F41" s="5">
        <f>SUM(FO!F41,PO!F41,CO!F41,FE!F41,PE!F41)</f>
        <v>0</v>
      </c>
      <c r="G41" s="5">
        <f>SUM(FO!G41,PO!G41,CO!G41,FE!G41,PE!G41)</f>
        <v>1662.88</v>
      </c>
      <c r="H41" s="5">
        <f>SUM(FO!H41,PO!H41,CO!H41,FE!H41,PE!H41)</f>
        <v>818.38</v>
      </c>
      <c r="I41" s="5">
        <f>SUM(FO!I41,PO!I41,CO!I41,FE!I41,PE!I41)</f>
        <v>111429.29</v>
      </c>
      <c r="J41" s="5">
        <f>SUM(FO!J41,PO!J41,CO!J41,FE!J41,PE!J41)</f>
        <v>0</v>
      </c>
      <c r="K41" s="5">
        <f>SUM(FO!K41,PO!K41,CO!K41,FE!K41,PE!K41)</f>
        <v>0</v>
      </c>
      <c r="L41" s="5">
        <f>SUM(FO!L41,PO!L41,CO!L41,FE!L41,PE!L41)</f>
        <v>0</v>
      </c>
      <c r="M41" s="5">
        <f>SUM(FO!M41,PO!M41,CO!M41,FE!M41,PE!M41)</f>
        <v>0</v>
      </c>
      <c r="N41" s="5">
        <f t="shared" si="22"/>
        <v>113910.55</v>
      </c>
      <c r="O41" s="28">
        <f t="shared" si="23"/>
        <v>0.01534367964</v>
      </c>
      <c r="P41" s="5"/>
      <c r="Q41" s="5"/>
      <c r="R41" s="5"/>
      <c r="S41" s="5"/>
      <c r="T41" s="5"/>
      <c r="U41" s="5">
        <f>SUM(FO!U41,PO!U41,CO!U41,FE!U41,PE!U41)</f>
        <v>9492.545833</v>
      </c>
      <c r="V41" s="5">
        <f>SUM(FO!V41,PO!V41,CO!V41,FE!V41,PE!V41)</f>
        <v>9492.545833</v>
      </c>
      <c r="W41" s="5">
        <f>SUM(FO!W41,PO!W41,CO!W41,FE!W41,PE!W41)</f>
        <v>9492.545833</v>
      </c>
      <c r="X41" s="5">
        <f>SUM(FO!X41,PO!X41,CO!X41,FE!X41,PE!X41)</f>
        <v>9492.545833</v>
      </c>
      <c r="Y41" s="5">
        <f>SUM(FO!Y41,PO!Y41,CO!Y41,FE!Y41,PE!Y41)</f>
        <v>9492.545833</v>
      </c>
      <c r="Z41" s="5">
        <f>SUM(FO!Z41,PO!Z41,CO!Z41,FE!Z41,PE!Z41)</f>
        <v>9492.545833</v>
      </c>
      <c r="AA41" s="5">
        <f>SUM(FO!AA41,PO!AA41,CO!AA41,FE!AA41,PE!AA41)</f>
        <v>9492.545833</v>
      </c>
      <c r="AB41" s="5">
        <f>SUM(FO!AB41,PO!AB41,CO!AB41,FE!AB41,PE!AB41)</f>
        <v>9492.545833</v>
      </c>
      <c r="AC41" s="5">
        <f>SUM(FO!AC41,PO!AC41,CO!AC41,FE!AC41,PE!AC41)</f>
        <v>9492.545833</v>
      </c>
      <c r="AD41" s="5">
        <f>SUM(FO!AD41,PO!AD41,CO!AD41,FE!AD41,PE!AD41)</f>
        <v>9492.545833</v>
      </c>
      <c r="AE41" s="5">
        <f>SUM(FO!AE41,PO!AE41,CO!AE41,FE!AE41,PE!AE41)</f>
        <v>9492.545833</v>
      </c>
      <c r="AF41" s="5">
        <f>SUM(FO!AF41,PO!AF41,CO!AF41,FE!AF41,PE!AF41)</f>
        <v>9492.545833</v>
      </c>
      <c r="AG41" s="5">
        <f t="shared" si="24"/>
        <v>113910.55</v>
      </c>
      <c r="AH41" s="28" t="str">
        <f t="shared" si="25"/>
        <v/>
      </c>
      <c r="AI41" s="4"/>
      <c r="AJ41" s="5">
        <f t="shared" si="26"/>
        <v>0</v>
      </c>
      <c r="AK41" s="4"/>
    </row>
    <row r="42" ht="13.5" customHeight="1">
      <c r="A42" s="25" t="s">
        <v>67</v>
      </c>
      <c r="B42" s="5">
        <f>SUM(FO!B42,PO!B42,CO!B42,FE!B42,PE!B42)</f>
        <v>0</v>
      </c>
      <c r="C42" s="5">
        <f>SUM(FO!C42,PO!C42,CO!C42,FE!C42,PE!C42)</f>
        <v>0</v>
      </c>
      <c r="D42" s="5">
        <f>SUM(FO!D42,PO!D42,CO!D42,FE!D42,PE!D42)</f>
        <v>0</v>
      </c>
      <c r="E42" s="5">
        <f>SUM(FO!E42,PO!E42,CO!E42,FE!E42,PE!E42)</f>
        <v>0</v>
      </c>
      <c r="F42" s="5">
        <f>SUM(FO!F42,PO!F42,CO!F42,FE!F42,PE!F42)</f>
        <v>0</v>
      </c>
      <c r="G42" s="5">
        <f>SUM(FO!G42,PO!G42,CO!G42,FE!G42,PE!G42)</f>
        <v>0</v>
      </c>
      <c r="H42" s="5">
        <f>SUM(FO!H42,PO!H42,CO!H42,FE!H42,PE!H42)</f>
        <v>0</v>
      </c>
      <c r="I42" s="5">
        <f>SUM(FO!I42,PO!I42,CO!I42,FE!I42,PE!I42)</f>
        <v>0</v>
      </c>
      <c r="J42" s="5">
        <f>SUM(FO!J42,PO!J42,CO!J42,FE!J42,PE!J42)</f>
        <v>7000</v>
      </c>
      <c r="K42" s="5">
        <f>SUM(FO!K42,PO!K42,CO!K42,FE!K42,PE!K42)</f>
        <v>7000</v>
      </c>
      <c r="L42" s="5">
        <f>SUM(FO!L42,PO!L42,CO!L42,FE!L42,PE!L42)</f>
        <v>4000</v>
      </c>
      <c r="M42" s="5">
        <f>SUM(FO!M42,PO!M42,CO!M42,FE!M42,PE!M42)</f>
        <v>4000</v>
      </c>
      <c r="N42" s="5">
        <f t="shared" si="22"/>
        <v>22000</v>
      </c>
      <c r="O42" s="28">
        <f t="shared" si="23"/>
        <v>0.002963386201</v>
      </c>
      <c r="P42" s="5"/>
      <c r="Q42" s="5"/>
      <c r="R42" s="5"/>
      <c r="S42" s="5"/>
      <c r="T42" s="5"/>
      <c r="U42" s="5">
        <f>SUM(FO!U42,PO!U42,CO!U42,FE!U42,PE!U42)</f>
        <v>20000</v>
      </c>
      <c r="V42" s="5">
        <f>SUM(FO!V42,PO!V42,CO!V42,FE!V42,PE!V42)</f>
        <v>5000</v>
      </c>
      <c r="W42" s="5">
        <f>SUM(FO!W42,PO!W42,CO!W42,FE!W42,PE!W42)</f>
        <v>5000</v>
      </c>
      <c r="X42" s="5">
        <f>SUM(FO!X42,PO!X42,CO!X42,FE!X42,PE!X42)</f>
        <v>5000</v>
      </c>
      <c r="Y42" s="5">
        <f>SUM(FO!Y42,PO!Y42,CO!Y42,FE!Y42,PE!Y42)</f>
        <v>5000</v>
      </c>
      <c r="Z42" s="5">
        <f>SUM(FO!Z42,PO!Z42,CO!Z42,FE!Z42,PE!Z42)</f>
        <v>5000</v>
      </c>
      <c r="AA42" s="5">
        <f>SUM(FO!AA42,PO!AA42,CO!AA42,FE!AA42,PE!AA42)</f>
        <v>5000</v>
      </c>
      <c r="AB42" s="5">
        <f>SUM(FO!AB42,PO!AB42,CO!AB42,FE!AB42,PE!AB42)</f>
        <v>5000</v>
      </c>
      <c r="AC42" s="5">
        <f>SUM(FO!AC42,PO!AC42,CO!AC42,FE!AC42,PE!AC42)</f>
        <v>5000</v>
      </c>
      <c r="AD42" s="5">
        <f>SUM(FO!AD42,PO!AD42,CO!AD42,FE!AD42,PE!AD42)</f>
        <v>5000</v>
      </c>
      <c r="AE42" s="5">
        <f>SUM(FO!AE42,PO!AE42,CO!AE42,FE!AE42,PE!AE42)</f>
        <v>5000</v>
      </c>
      <c r="AF42" s="5">
        <f>SUM(FO!AF42,PO!AF42,CO!AF42,FE!AF42,PE!AF42)</f>
        <v>5000</v>
      </c>
      <c r="AG42" s="5">
        <f t="shared" si="24"/>
        <v>75000</v>
      </c>
      <c r="AH42" s="28" t="str">
        <f t="shared" si="25"/>
        <v/>
      </c>
      <c r="AI42" s="4"/>
      <c r="AJ42" s="5">
        <f t="shared" si="26"/>
        <v>-53000</v>
      </c>
      <c r="AK42" s="4"/>
    </row>
    <row r="43" ht="13.5" customHeight="1">
      <c r="A43" s="24" t="s">
        <v>68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28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28"/>
      <c r="AI43" s="4"/>
      <c r="AJ43" s="5"/>
      <c r="AK43" s="4"/>
    </row>
    <row r="44" ht="13.5" customHeight="1">
      <c r="A44" s="25" t="s">
        <v>69</v>
      </c>
      <c r="B44" s="5">
        <f>SUM(FO!B44,PO!B44,CO!B44,FE!B44,PE!B44)</f>
        <v>0</v>
      </c>
      <c r="C44" s="5">
        <f>SUM(FO!C44,PO!C44,CO!C44,FE!C44,PE!C44)</f>
        <v>0</v>
      </c>
      <c r="D44" s="5">
        <f>SUM(FO!D44,PO!D44,CO!D44,FE!D44,PE!D44)</f>
        <v>0</v>
      </c>
      <c r="E44" s="5">
        <f>SUM(FO!E44,PO!E44,CO!E44,FE!E44,PE!E44)</f>
        <v>0</v>
      </c>
      <c r="F44" s="5">
        <f>SUM(FO!F44,PO!F44,CO!F44,FE!F44,PE!F44)</f>
        <v>19808</v>
      </c>
      <c r="G44" s="5">
        <f>SUM(FO!G44,PO!G44,CO!G44,FE!G44,PE!G44)</f>
        <v>10009</v>
      </c>
      <c r="H44" s="5">
        <f>SUM(FO!H44,PO!H44,CO!H44,FE!H44,PE!H44)</f>
        <v>10968.52</v>
      </c>
      <c r="I44" s="5">
        <f>SUM(FO!I44,PO!I44,CO!I44,FE!I44,PE!I44)</f>
        <v>6116.47</v>
      </c>
      <c r="J44" s="5">
        <f>SUM(FO!J44,PO!J44,CO!J44,FE!J44,PE!J44)</f>
        <v>40350</v>
      </c>
      <c r="K44" s="5">
        <f>SUM(FO!K44,PO!K44,CO!K44,FE!K44,PE!K44)</f>
        <v>44270</v>
      </c>
      <c r="L44" s="5">
        <f>SUM(FO!L44,PO!L44,CO!L44,FE!L44,PE!L44)</f>
        <v>48190</v>
      </c>
      <c r="M44" s="5">
        <f>SUM(FO!M44,PO!M44,CO!M44,FE!M44,PE!M44)</f>
        <v>52110</v>
      </c>
      <c r="N44" s="5">
        <f t="shared" ref="N44:N50" si="31">SUM(B44:M44)</f>
        <v>231821.99</v>
      </c>
      <c r="O44" s="28">
        <f t="shared" ref="O44:O50" si="32">IFERROR(N44/N$16,"")</f>
        <v>0.03122627665</v>
      </c>
      <c r="P44" s="5"/>
      <c r="Q44" s="5"/>
      <c r="R44" s="5"/>
      <c r="S44" s="5"/>
      <c r="T44" s="5"/>
      <c r="U44" s="5">
        <f>SUM(FO!U44,PO!U44,CO!U44,FE!U44,PE!U44)</f>
        <v>0</v>
      </c>
      <c r="V44" s="5">
        <f>SUM(FO!V44,PO!V44,CO!V44,FE!V44,PE!V44)</f>
        <v>0</v>
      </c>
      <c r="W44" s="5">
        <f>SUM(FO!W44,PO!W44,CO!W44,FE!W44,PE!W44)</f>
        <v>0</v>
      </c>
      <c r="X44" s="5">
        <f>SUM(FO!X44,PO!X44,CO!X44,FE!X44,PE!X44)</f>
        <v>0</v>
      </c>
      <c r="Y44" s="5">
        <f>SUM(FO!Y44,PO!Y44,CO!Y44,FE!Y44,PE!Y44)</f>
        <v>0</v>
      </c>
      <c r="Z44" s="5">
        <f>SUM(FO!Z44,PO!Z44,CO!Z44,FE!Z44,PE!Z44)</f>
        <v>0</v>
      </c>
      <c r="AA44" s="5">
        <f>SUM(FO!AA44,PO!AA44,CO!AA44,FE!AA44,PE!AA44)</f>
        <v>0</v>
      </c>
      <c r="AB44" s="5">
        <f>SUM(FO!AB44,PO!AB44,CO!AB44,FE!AB44,PE!AB44)</f>
        <v>0</v>
      </c>
      <c r="AC44" s="5">
        <f>SUM(FO!AC44,PO!AC44,CO!AC44,FE!AC44,PE!AC44)</f>
        <v>0</v>
      </c>
      <c r="AD44" s="5">
        <f>SUM(FO!AD44,PO!AD44,CO!AD44,FE!AD44,PE!AD44)</f>
        <v>0</v>
      </c>
      <c r="AE44" s="5">
        <f>SUM(FO!AE44,PO!AE44,CO!AE44,FE!AE44,PE!AE44)</f>
        <v>0</v>
      </c>
      <c r="AF44" s="5">
        <f>SUM(FO!AF44,PO!AF44,CO!AF44,FE!AF44,PE!AF44)</f>
        <v>0</v>
      </c>
      <c r="AG44" s="5">
        <f t="shared" ref="AG44:AG50" si="33">SUM(U44:AF44)</f>
        <v>0</v>
      </c>
      <c r="AH44" s="28" t="str">
        <f t="shared" ref="AH44:AH50" si="34">IFERROR(AG44/AG$16,"")</f>
        <v/>
      </c>
      <c r="AI44" s="4"/>
      <c r="AJ44" s="5">
        <f t="shared" ref="AJ44:AJ50" si="35">N44-AG44</f>
        <v>231821.99</v>
      </c>
      <c r="AK44" s="4"/>
    </row>
    <row r="45" ht="13.5" customHeight="1">
      <c r="A45" s="25" t="s">
        <v>70</v>
      </c>
      <c r="B45" s="5">
        <f>SUM(FO!B45,PO!B45,CO!B45,FE!B45,PE!B45)</f>
        <v>6406.36</v>
      </c>
      <c r="C45" s="5">
        <f>SUM(FO!C45,PO!C45,CO!C45,FE!C45,PE!C45)</f>
        <v>256.47</v>
      </c>
      <c r="D45" s="5">
        <f>SUM(FO!D45,PO!D45,CO!D45,FE!D45,PE!D45)</f>
        <v>1327.17</v>
      </c>
      <c r="E45" s="5">
        <f>SUM(FO!E45,PO!E45,CO!E45,FE!E45,PE!E45)</f>
        <v>7521.93</v>
      </c>
      <c r="F45" s="5">
        <f>SUM(FO!F45,PO!F45,CO!F45,FE!F45,PE!F45)</f>
        <v>4983.81</v>
      </c>
      <c r="G45" s="5">
        <f>SUM(FO!G45,PO!G45,CO!G45,FE!G45,PE!G45)</f>
        <v>8114.45</v>
      </c>
      <c r="H45" s="5">
        <f>SUM(FO!H45,PO!H45,CO!H45,FE!H45,PE!H45)</f>
        <v>14179.16</v>
      </c>
      <c r="I45" s="5">
        <f>SUM(FO!I45,PO!I45,CO!I45,FE!I45,PE!I45)</f>
        <v>11260.12</v>
      </c>
      <c r="J45" s="5">
        <f>SUM(FO!J45,PO!J45,CO!J45,FE!J45,PE!J45)</f>
        <v>5750</v>
      </c>
      <c r="K45" s="5">
        <f>SUM(FO!K45,PO!K45,CO!K45,FE!K45,PE!K45)</f>
        <v>6000</v>
      </c>
      <c r="L45" s="5">
        <f>SUM(FO!L45,PO!L45,CO!L45,FE!L45,PE!L45)</f>
        <v>6250</v>
      </c>
      <c r="M45" s="5">
        <f>SUM(FO!M45,PO!M45,CO!M45,FE!M45,PE!M45)</f>
        <v>6500</v>
      </c>
      <c r="N45" s="5">
        <f t="shared" si="31"/>
        <v>78549.47</v>
      </c>
      <c r="O45" s="28">
        <f t="shared" si="32"/>
        <v>0.01058056434</v>
      </c>
      <c r="P45" s="5"/>
      <c r="Q45" s="5"/>
      <c r="R45" s="5"/>
      <c r="S45" s="5"/>
      <c r="T45" s="5"/>
      <c r="U45" s="5">
        <f>SUM(FO!U45,PO!U45,CO!U45,FE!U45,PE!U45)</f>
        <v>0</v>
      </c>
      <c r="V45" s="5">
        <f>SUM(FO!V45,PO!V45,CO!V45,FE!V45,PE!V45)</f>
        <v>0</v>
      </c>
      <c r="W45" s="5">
        <f>SUM(FO!W45,PO!W45,CO!W45,FE!W45,PE!W45)</f>
        <v>0</v>
      </c>
      <c r="X45" s="5">
        <f>SUM(FO!X45,PO!X45,CO!X45,FE!X45,PE!X45)</f>
        <v>0</v>
      </c>
      <c r="Y45" s="5">
        <f>SUM(FO!Y45,PO!Y45,CO!Y45,FE!Y45,PE!Y45)</f>
        <v>0</v>
      </c>
      <c r="Z45" s="5">
        <f>SUM(FO!Z45,PO!Z45,CO!Z45,FE!Z45,PE!Z45)</f>
        <v>0</v>
      </c>
      <c r="AA45" s="5">
        <f>SUM(FO!AA45,PO!AA45,CO!AA45,FE!AA45,PE!AA45)</f>
        <v>0</v>
      </c>
      <c r="AB45" s="5">
        <f>SUM(FO!AB45,PO!AB45,CO!AB45,FE!AB45,PE!AB45)</f>
        <v>0</v>
      </c>
      <c r="AC45" s="5">
        <f>SUM(FO!AC45,PO!AC45,CO!AC45,FE!AC45,PE!AC45)</f>
        <v>0</v>
      </c>
      <c r="AD45" s="5">
        <f>SUM(FO!AD45,PO!AD45,CO!AD45,FE!AD45,PE!AD45)</f>
        <v>0</v>
      </c>
      <c r="AE45" s="5">
        <f>SUM(FO!AE45,PO!AE45,CO!AE45,FE!AE45,PE!AE45)</f>
        <v>0</v>
      </c>
      <c r="AF45" s="5">
        <f>SUM(FO!AF45,PO!AF45,CO!AF45,FE!AF45,PE!AF45)</f>
        <v>0</v>
      </c>
      <c r="AG45" s="5">
        <f t="shared" si="33"/>
        <v>0</v>
      </c>
      <c r="AH45" s="28" t="str">
        <f t="shared" si="34"/>
        <v/>
      </c>
      <c r="AI45" s="4"/>
      <c r="AJ45" s="5">
        <f t="shared" si="35"/>
        <v>78549.47</v>
      </c>
      <c r="AK45" s="4"/>
    </row>
    <row r="46" ht="13.5" customHeight="1">
      <c r="A46" s="25" t="s">
        <v>71</v>
      </c>
      <c r="B46" s="5">
        <f>SUM(FO!B46,PO!B46,CO!B46,FE!B46,PE!B46)</f>
        <v>3561.5</v>
      </c>
      <c r="C46" s="5">
        <f>SUM(FO!C46,PO!C46,CO!C46,FE!C46,PE!C46)</f>
        <v>2541.74</v>
      </c>
      <c r="D46" s="5">
        <f>SUM(FO!D46,PO!D46,CO!D46,FE!D46,PE!D46)</f>
        <v>3711.38</v>
      </c>
      <c r="E46" s="5">
        <f>SUM(FO!E46,PO!E46,CO!E46,FE!E46,PE!E46)</f>
        <v>37.64</v>
      </c>
      <c r="F46" s="5">
        <f>SUM(FO!F46,PO!F46,CO!F46,FE!F46,PE!F46)</f>
        <v>3173.45</v>
      </c>
      <c r="G46" s="5">
        <f>SUM(FO!G46,PO!G46,CO!G46,FE!G46,PE!G46)</f>
        <v>694.03</v>
      </c>
      <c r="H46" s="5">
        <f>SUM(FO!H46,PO!H46,CO!H46,FE!H46,PE!H46)</f>
        <v>1220.52</v>
      </c>
      <c r="I46" s="5">
        <f>SUM(FO!I46,PO!I46,CO!I46,FE!I46,PE!I46)</f>
        <v>9614.79</v>
      </c>
      <c r="J46" s="5">
        <f>SUM(FO!J46,PO!J46,CO!J46,FE!J46,PE!J46)</f>
        <v>3400</v>
      </c>
      <c r="K46" s="5">
        <f>SUM(FO!K46,PO!K46,CO!K46,FE!K46,PE!K46)</f>
        <v>3400</v>
      </c>
      <c r="L46" s="5">
        <f>SUM(FO!L46,PO!L46,CO!L46,FE!L46,PE!L46)</f>
        <v>3400</v>
      </c>
      <c r="M46" s="5">
        <f>SUM(FO!M46,PO!M46,CO!M46,FE!M46,PE!M46)</f>
        <v>3400</v>
      </c>
      <c r="N46" s="5">
        <f t="shared" si="31"/>
        <v>38155.05</v>
      </c>
      <c r="O46" s="28">
        <f t="shared" si="32"/>
        <v>0.005139461303</v>
      </c>
      <c r="P46" s="5"/>
      <c r="Q46" s="5"/>
      <c r="R46" s="5"/>
      <c r="S46" s="5"/>
      <c r="T46" s="5"/>
      <c r="U46" s="5">
        <f>SUM(FO!U46,PO!U46,CO!U46,FE!U46,PE!U46)</f>
        <v>0</v>
      </c>
      <c r="V46" s="5">
        <f>SUM(FO!V46,PO!V46,CO!V46,FE!V46,PE!V46)</f>
        <v>0</v>
      </c>
      <c r="W46" s="5">
        <f>SUM(FO!W46,PO!W46,CO!W46,FE!W46,PE!W46)</f>
        <v>0</v>
      </c>
      <c r="X46" s="5">
        <f>SUM(FO!X46,PO!X46,CO!X46,FE!X46,PE!X46)</f>
        <v>0</v>
      </c>
      <c r="Y46" s="5">
        <f>SUM(FO!Y46,PO!Y46,CO!Y46,FE!Y46,PE!Y46)</f>
        <v>0</v>
      </c>
      <c r="Z46" s="5">
        <f>SUM(FO!Z46,PO!Z46,CO!Z46,FE!Z46,PE!Z46)</f>
        <v>0</v>
      </c>
      <c r="AA46" s="5">
        <f>SUM(FO!AA46,PO!AA46,CO!AA46,FE!AA46,PE!AA46)</f>
        <v>0</v>
      </c>
      <c r="AB46" s="5">
        <f>SUM(FO!AB46,PO!AB46,CO!AB46,FE!AB46,PE!AB46)</f>
        <v>0</v>
      </c>
      <c r="AC46" s="5">
        <f>SUM(FO!AC46,PO!AC46,CO!AC46,FE!AC46,PE!AC46)</f>
        <v>0</v>
      </c>
      <c r="AD46" s="5">
        <f>SUM(FO!AD46,PO!AD46,CO!AD46,FE!AD46,PE!AD46)</f>
        <v>0</v>
      </c>
      <c r="AE46" s="5">
        <f>SUM(FO!AE46,PO!AE46,CO!AE46,FE!AE46,PE!AE46)</f>
        <v>0</v>
      </c>
      <c r="AF46" s="5">
        <f>SUM(FO!AF46,PO!AF46,CO!AF46,FE!AF46,PE!AF46)</f>
        <v>0</v>
      </c>
      <c r="AG46" s="5">
        <f t="shared" si="33"/>
        <v>0</v>
      </c>
      <c r="AH46" s="28" t="str">
        <f t="shared" si="34"/>
        <v/>
      </c>
      <c r="AI46" s="4"/>
      <c r="AJ46" s="5">
        <f t="shared" si="35"/>
        <v>38155.05</v>
      </c>
      <c r="AK46" s="4"/>
    </row>
    <row r="47" ht="13.5" customHeight="1">
      <c r="A47" s="25" t="s">
        <v>72</v>
      </c>
      <c r="B47" s="5">
        <f>SUM(FO!B47,PO!B47,CO!B47,FE!B47,PE!B47)</f>
        <v>14676.39</v>
      </c>
      <c r="C47" s="5">
        <f>SUM(FO!C47,PO!C47,CO!C47,FE!C47,PE!C47)</f>
        <v>19314.55</v>
      </c>
      <c r="D47" s="5">
        <f>SUM(FO!D47,PO!D47,CO!D47,FE!D47,PE!D47)</f>
        <v>63529</v>
      </c>
      <c r="E47" s="5">
        <f>SUM(FO!E47,PO!E47,CO!E47,FE!E47,PE!E47)</f>
        <v>12929.3</v>
      </c>
      <c r="F47" s="5">
        <f>SUM(FO!F47,PO!F47,CO!F47,FE!F47,PE!F47)</f>
        <v>45540.82</v>
      </c>
      <c r="G47" s="5">
        <f>SUM(FO!G47,PO!G47,CO!G47,FE!G47,PE!G47)</f>
        <v>39676.61</v>
      </c>
      <c r="H47" s="5">
        <f>SUM(FO!H47,PO!H47,CO!H47,FE!H47,PE!H47)</f>
        <v>12049.91</v>
      </c>
      <c r="I47" s="5">
        <f>SUM(FO!I47,PO!I47,CO!I47,FE!I47,PE!I47)</f>
        <v>-8022.21</v>
      </c>
      <c r="J47" s="5">
        <f>SUM(FO!J47,PO!J47,CO!J47,FE!J47,PE!J47)</f>
        <v>29000</v>
      </c>
      <c r="K47" s="5">
        <f>SUM(FO!K47,PO!K47,CO!K47,FE!K47,PE!K47)</f>
        <v>29000</v>
      </c>
      <c r="L47" s="5">
        <f>SUM(FO!L47,PO!L47,CO!L47,FE!L47,PE!L47)</f>
        <v>31000</v>
      </c>
      <c r="M47" s="5">
        <f>SUM(FO!M47,PO!M47,CO!M47,FE!M47,PE!M47)</f>
        <v>31000</v>
      </c>
      <c r="N47" s="5">
        <f t="shared" si="31"/>
        <v>319694.37</v>
      </c>
      <c r="O47" s="28">
        <f t="shared" si="32"/>
        <v>0.04306263112</v>
      </c>
      <c r="P47" s="5"/>
      <c r="Q47" s="5"/>
      <c r="R47" s="5"/>
      <c r="S47" s="5"/>
      <c r="T47" s="5"/>
      <c r="U47" s="5">
        <f>SUM(FO!U47,PO!U47,CO!U47,FE!U47,PE!U47)</f>
        <v>2500</v>
      </c>
      <c r="V47" s="5">
        <f>SUM(FO!V47,PO!V47,CO!V47,FE!V47,PE!V47)</f>
        <v>2500</v>
      </c>
      <c r="W47" s="5">
        <f>SUM(FO!W47,PO!W47,CO!W47,FE!W47,PE!W47)</f>
        <v>2500</v>
      </c>
      <c r="X47" s="5">
        <f>SUM(FO!X47,PO!X47,CO!X47,FE!X47,PE!X47)</f>
        <v>2500</v>
      </c>
      <c r="Y47" s="5">
        <f>SUM(FO!Y47,PO!Y47,CO!Y47,FE!Y47,PE!Y47)</f>
        <v>2625</v>
      </c>
      <c r="Z47" s="5">
        <f>SUM(FO!Z47,PO!Z47,CO!Z47,FE!Z47,PE!Z47)</f>
        <v>2750</v>
      </c>
      <c r="AA47" s="5">
        <f>SUM(FO!AA47,PO!AA47,CO!AA47,FE!AA47,PE!AA47)</f>
        <v>2875</v>
      </c>
      <c r="AB47" s="5">
        <f>SUM(FO!AB47,PO!AB47,CO!AB47,FE!AB47,PE!AB47)</f>
        <v>3000</v>
      </c>
      <c r="AC47" s="5">
        <f>SUM(FO!AC47,PO!AC47,CO!AC47,FE!AC47,PE!AC47)</f>
        <v>3125</v>
      </c>
      <c r="AD47" s="5">
        <f>SUM(FO!AD47,PO!AD47,CO!AD47,FE!AD47,PE!AD47)</f>
        <v>3250</v>
      </c>
      <c r="AE47" s="5">
        <f>SUM(FO!AE47,PO!AE47,CO!AE47,FE!AE47,PE!AE47)</f>
        <v>3375</v>
      </c>
      <c r="AF47" s="5">
        <f>SUM(FO!AF47,PO!AF47,CO!AF47,FE!AF47,PE!AF47)</f>
        <v>3500</v>
      </c>
      <c r="AG47" s="5">
        <f t="shared" si="33"/>
        <v>34500</v>
      </c>
      <c r="AH47" s="28" t="str">
        <f t="shared" si="34"/>
        <v/>
      </c>
      <c r="AI47" s="4"/>
      <c r="AJ47" s="5">
        <f t="shared" si="35"/>
        <v>285194.37</v>
      </c>
      <c r="AK47" s="4"/>
    </row>
    <row r="48" ht="13.5" customHeight="1">
      <c r="A48" s="25" t="s">
        <v>73</v>
      </c>
      <c r="B48" s="5">
        <f>SUM(FO!B48,PO!B48,CO!B48,FE!B48,PE!B48)</f>
        <v>2745.99</v>
      </c>
      <c r="C48" s="5">
        <f>SUM(FO!C48,PO!C48,CO!C48,FE!C48,PE!C48)</f>
        <v>5395</v>
      </c>
      <c r="D48" s="5">
        <f>SUM(FO!D48,PO!D48,CO!D48,FE!D48,PE!D48)</f>
        <v>4120</v>
      </c>
      <c r="E48" s="5">
        <f>SUM(FO!E48,PO!E48,CO!E48,FE!E48,PE!E48)</f>
        <v>2500</v>
      </c>
      <c r="F48" s="5">
        <f>SUM(FO!F48,PO!F48,CO!F48,FE!F48,PE!F48)</f>
        <v>2680</v>
      </c>
      <c r="G48" s="5">
        <f>SUM(FO!G48,PO!G48,CO!G48,FE!G48,PE!G48)</f>
        <v>2560</v>
      </c>
      <c r="H48" s="5">
        <f>SUM(FO!H48,PO!H48,CO!H48,FE!H48,PE!H48)</f>
        <v>1240</v>
      </c>
      <c r="I48" s="5">
        <f>SUM(FO!I48,PO!I48,CO!I48,FE!I48,PE!I48)</f>
        <v>1060</v>
      </c>
      <c r="J48" s="5">
        <f>SUM(FO!J48,PO!J48,CO!J48,FE!J48,PE!J48)</f>
        <v>3000</v>
      </c>
      <c r="K48" s="5">
        <f>SUM(FO!K48,PO!K48,CO!K48,FE!K48,PE!K48)</f>
        <v>3000</v>
      </c>
      <c r="L48" s="5">
        <f>SUM(FO!L48,PO!L48,CO!L48,FE!L48,PE!L48)</f>
        <v>3000</v>
      </c>
      <c r="M48" s="5">
        <f>SUM(FO!M48,PO!M48,CO!M48,FE!M48,PE!M48)</f>
        <v>3000</v>
      </c>
      <c r="N48" s="5">
        <f t="shared" si="31"/>
        <v>34300.99</v>
      </c>
      <c r="O48" s="28">
        <f t="shared" si="32"/>
        <v>0.004620321839</v>
      </c>
      <c r="P48" s="5"/>
      <c r="Q48" s="5"/>
      <c r="R48" s="5"/>
      <c r="S48" s="5"/>
      <c r="T48" s="5"/>
      <c r="U48" s="5">
        <f>SUM(FO!U48,PO!U48,CO!U48,FE!U48,PE!U48)</f>
        <v>0</v>
      </c>
      <c r="V48" s="5">
        <f>SUM(FO!V48,PO!V48,CO!V48,FE!V48,PE!V48)</f>
        <v>0</v>
      </c>
      <c r="W48" s="5">
        <f>SUM(FO!W48,PO!W48,CO!W48,FE!W48,PE!W48)</f>
        <v>0</v>
      </c>
      <c r="X48" s="5">
        <f>SUM(FO!X48,PO!X48,CO!X48,FE!X48,PE!X48)</f>
        <v>0</v>
      </c>
      <c r="Y48" s="5">
        <f>SUM(FO!Y48,PO!Y48,CO!Y48,FE!Y48,PE!Y48)</f>
        <v>0</v>
      </c>
      <c r="Z48" s="5">
        <f>SUM(FO!Z48,PO!Z48,CO!Z48,FE!Z48,PE!Z48)</f>
        <v>0</v>
      </c>
      <c r="AA48" s="5">
        <f>SUM(FO!AA48,PO!AA48,CO!AA48,FE!AA48,PE!AA48)</f>
        <v>0</v>
      </c>
      <c r="AB48" s="5">
        <f>SUM(FO!AB48,PO!AB48,CO!AB48,FE!AB48,PE!AB48)</f>
        <v>0</v>
      </c>
      <c r="AC48" s="5">
        <f>SUM(FO!AC48,PO!AC48,CO!AC48,FE!AC48,PE!AC48)</f>
        <v>0</v>
      </c>
      <c r="AD48" s="5">
        <f>SUM(FO!AD48,PO!AD48,CO!AD48,FE!AD48,PE!AD48)</f>
        <v>0</v>
      </c>
      <c r="AE48" s="5">
        <f>SUM(FO!AE48,PO!AE48,CO!AE48,FE!AE48,PE!AE48)</f>
        <v>0</v>
      </c>
      <c r="AF48" s="5">
        <f>SUM(FO!AF48,PO!AF48,CO!AF48,FE!AF48,PE!AF48)</f>
        <v>0</v>
      </c>
      <c r="AG48" s="5">
        <f t="shared" si="33"/>
        <v>0</v>
      </c>
      <c r="AH48" s="28" t="str">
        <f t="shared" si="34"/>
        <v/>
      </c>
      <c r="AI48" s="4"/>
      <c r="AJ48" s="5">
        <f t="shared" si="35"/>
        <v>34300.99</v>
      </c>
      <c r="AK48" s="4"/>
    </row>
    <row r="49" ht="13.5" customHeight="1">
      <c r="A49" s="25" t="s">
        <v>74</v>
      </c>
      <c r="B49" s="5">
        <f>SUM(FO!B49,PO!B49,CO!B49,FE!B49,PE!B49)</f>
        <v>1960.25</v>
      </c>
      <c r="C49" s="5">
        <f>SUM(FO!C49,PO!C49,CO!C49,FE!C49,PE!C49)</f>
        <v>1371.12</v>
      </c>
      <c r="D49" s="5">
        <f>SUM(FO!D49,PO!D49,CO!D49,FE!D49,PE!D49)</f>
        <v>897.84</v>
      </c>
      <c r="E49" s="5">
        <f>SUM(FO!E49,PO!E49,CO!E49,FE!E49,PE!E49)</f>
        <v>881.53</v>
      </c>
      <c r="F49" s="5">
        <f>SUM(FO!F49,PO!F49,CO!F49,FE!F49,PE!F49)</f>
        <v>7011.68</v>
      </c>
      <c r="G49" s="5">
        <f>SUM(FO!G49,PO!G49,CO!G49,FE!G49,PE!G49)</f>
        <v>4314.54</v>
      </c>
      <c r="H49" s="5">
        <f>SUM(FO!H49,PO!H49,CO!H49,FE!H49,PE!H49)</f>
        <v>2792.06</v>
      </c>
      <c r="I49" s="5">
        <f>SUM(FO!I49,PO!I49,CO!I49,FE!I49,PE!I49)</f>
        <v>9114.23</v>
      </c>
      <c r="J49" s="5">
        <f>SUM(FO!J49,PO!J49,CO!J49,FE!J49,PE!J49)</f>
        <v>5000</v>
      </c>
      <c r="K49" s="5">
        <f>SUM(FO!K49,PO!K49,CO!K49,FE!K49,PE!K49)</f>
        <v>5000</v>
      </c>
      <c r="L49" s="5">
        <f>SUM(FO!L49,PO!L49,CO!L49,FE!L49,PE!L49)</f>
        <v>4000</v>
      </c>
      <c r="M49" s="5">
        <f>SUM(FO!M49,PO!M49,CO!M49,FE!M49,PE!M49)</f>
        <v>4000</v>
      </c>
      <c r="N49" s="5">
        <f t="shared" si="31"/>
        <v>46343.25</v>
      </c>
      <c r="O49" s="28">
        <f t="shared" si="32"/>
        <v>0.006242406707</v>
      </c>
      <c r="P49" s="5"/>
      <c r="Q49" s="5"/>
      <c r="R49" s="5"/>
      <c r="S49" s="5"/>
      <c r="T49" s="5"/>
      <c r="U49" s="5">
        <f>SUM(FO!U49,PO!U49,CO!U49,FE!U49,PE!U49)</f>
        <v>0</v>
      </c>
      <c r="V49" s="5">
        <f>SUM(FO!V49,PO!V49,CO!V49,FE!V49,PE!V49)</f>
        <v>0</v>
      </c>
      <c r="W49" s="5">
        <f>SUM(FO!W49,PO!W49,CO!W49,FE!W49,PE!W49)</f>
        <v>0</v>
      </c>
      <c r="X49" s="5">
        <f>SUM(FO!X49,PO!X49,CO!X49,FE!X49,PE!X49)</f>
        <v>0</v>
      </c>
      <c r="Y49" s="5">
        <f>SUM(FO!Y49,PO!Y49,CO!Y49,FE!Y49,PE!Y49)</f>
        <v>0</v>
      </c>
      <c r="Z49" s="5">
        <f>SUM(FO!Z49,PO!Z49,CO!Z49,FE!Z49,PE!Z49)</f>
        <v>0</v>
      </c>
      <c r="AA49" s="5">
        <f>SUM(FO!AA49,PO!AA49,CO!AA49,FE!AA49,PE!AA49)</f>
        <v>0</v>
      </c>
      <c r="AB49" s="5">
        <f>SUM(FO!AB49,PO!AB49,CO!AB49,FE!AB49,PE!AB49)</f>
        <v>0</v>
      </c>
      <c r="AC49" s="5">
        <f>SUM(FO!AC49,PO!AC49,CO!AC49,FE!AC49,PE!AC49)</f>
        <v>0</v>
      </c>
      <c r="AD49" s="5">
        <f>SUM(FO!AD49,PO!AD49,CO!AD49,FE!AD49,PE!AD49)</f>
        <v>0</v>
      </c>
      <c r="AE49" s="5">
        <f>SUM(FO!AE49,PO!AE49,CO!AE49,FE!AE49,PE!AE49)</f>
        <v>0</v>
      </c>
      <c r="AF49" s="5">
        <f>SUM(FO!AF49,PO!AF49,CO!AF49,FE!AF49,PE!AF49)</f>
        <v>0</v>
      </c>
      <c r="AG49" s="5">
        <f t="shared" si="33"/>
        <v>0</v>
      </c>
      <c r="AH49" s="28" t="str">
        <f t="shared" si="34"/>
        <v/>
      </c>
      <c r="AI49" s="4"/>
      <c r="AJ49" s="5">
        <f t="shared" si="35"/>
        <v>46343.25</v>
      </c>
      <c r="AK49" s="4"/>
    </row>
    <row r="50" ht="13.5" customHeight="1">
      <c r="A50" s="25" t="s">
        <v>75</v>
      </c>
      <c r="B50" s="5">
        <f>SUM(FO!B50,PO!B50,CO!B50,FE!B50,PE!B50)</f>
        <v>0</v>
      </c>
      <c r="C50" s="5">
        <f>SUM(FO!C50,PO!C50,CO!C50,FE!C50,PE!C50)</f>
        <v>121.5</v>
      </c>
      <c r="D50" s="5">
        <f>SUM(FO!D50,PO!D50,CO!D50,FE!D50,PE!D50)</f>
        <v>160.63</v>
      </c>
      <c r="E50" s="5">
        <f>SUM(FO!E50,PO!E50,CO!E50,FE!E50,PE!E50)</f>
        <v>0</v>
      </c>
      <c r="F50" s="5">
        <f>SUM(FO!F50,PO!F50,CO!F50,FE!F50,PE!F50)</f>
        <v>18.64</v>
      </c>
      <c r="G50" s="5">
        <f>SUM(FO!G50,PO!G50,CO!G50,FE!G50,PE!G50)</f>
        <v>0</v>
      </c>
      <c r="H50" s="5">
        <f>SUM(FO!H50,PO!H50,CO!H50,FE!H50,PE!H50)</f>
        <v>0</v>
      </c>
      <c r="I50" s="5">
        <f>SUM(FO!I50,PO!I50,CO!I50,FE!I50,PE!I50)</f>
        <v>175</v>
      </c>
      <c r="J50" s="5">
        <f>SUM(FO!J50,PO!J50,CO!J50,FE!J50,PE!J50)</f>
        <v>150</v>
      </c>
      <c r="K50" s="5">
        <f>SUM(FO!K50,PO!K50,CO!K50,FE!K50,PE!K50)</f>
        <v>150</v>
      </c>
      <c r="L50" s="5">
        <f>SUM(FO!L50,PO!L50,CO!L50,FE!L50,PE!L50)</f>
        <v>150</v>
      </c>
      <c r="M50" s="5">
        <f>SUM(FO!M50,PO!M50,CO!M50,FE!M50,PE!M50)</f>
        <v>150</v>
      </c>
      <c r="N50" s="5">
        <f t="shared" si="31"/>
        <v>1075.77</v>
      </c>
      <c r="O50" s="28">
        <f t="shared" si="32"/>
        <v>0.0001449055442</v>
      </c>
      <c r="P50" s="5"/>
      <c r="Q50" s="5"/>
      <c r="R50" s="5"/>
      <c r="S50" s="5"/>
      <c r="T50" s="5"/>
      <c r="U50" s="5">
        <f>SUM(FO!U50,PO!U50,CO!U50,FE!U50,PE!U50)</f>
        <v>0</v>
      </c>
      <c r="V50" s="5">
        <f>SUM(FO!V50,PO!V50,CO!V50,FE!V50,PE!V50)</f>
        <v>0</v>
      </c>
      <c r="W50" s="5">
        <f>SUM(FO!W50,PO!W50,CO!W50,FE!W50,PE!W50)</f>
        <v>0</v>
      </c>
      <c r="X50" s="5">
        <f>SUM(FO!X50,PO!X50,CO!X50,FE!X50,PE!X50)</f>
        <v>0</v>
      </c>
      <c r="Y50" s="5">
        <f>SUM(FO!Y50,PO!Y50,CO!Y50,FE!Y50,PE!Y50)</f>
        <v>0</v>
      </c>
      <c r="Z50" s="5">
        <f>SUM(FO!Z50,PO!Z50,CO!Z50,FE!Z50,PE!Z50)</f>
        <v>0</v>
      </c>
      <c r="AA50" s="5">
        <f>SUM(FO!AA50,PO!AA50,CO!AA50,FE!AA50,PE!AA50)</f>
        <v>0</v>
      </c>
      <c r="AB50" s="5">
        <f>SUM(FO!AB50,PO!AB50,CO!AB50,FE!AB50,PE!AB50)</f>
        <v>0</v>
      </c>
      <c r="AC50" s="5">
        <f>SUM(FO!AC50,PO!AC50,CO!AC50,FE!AC50,PE!AC50)</f>
        <v>0</v>
      </c>
      <c r="AD50" s="5">
        <f>SUM(FO!AD50,PO!AD50,CO!AD50,FE!AD50,PE!AD50)</f>
        <v>0</v>
      </c>
      <c r="AE50" s="5">
        <f>SUM(FO!AE50,PO!AE50,CO!AE50,FE!AE50,PE!AE50)</f>
        <v>0</v>
      </c>
      <c r="AF50" s="5">
        <f>SUM(FO!AF50,PO!AF50,CO!AF50,FE!AF50,PE!AF50)</f>
        <v>0</v>
      </c>
      <c r="AG50" s="5">
        <f t="shared" si="33"/>
        <v>0</v>
      </c>
      <c r="AH50" s="28" t="str">
        <f t="shared" si="34"/>
        <v/>
      </c>
      <c r="AI50" s="4"/>
      <c r="AJ50" s="5">
        <f t="shared" si="35"/>
        <v>1075.77</v>
      </c>
      <c r="AK50" s="4"/>
    </row>
    <row r="51" ht="13.5" customHeight="1">
      <c r="A51" s="24" t="s">
        <v>76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28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28"/>
      <c r="AI51" s="4"/>
      <c r="AJ51" s="5"/>
      <c r="AK51" s="4"/>
    </row>
    <row r="52" ht="13.5" customHeight="1">
      <c r="A52" s="25" t="s">
        <v>77</v>
      </c>
      <c r="B52" s="5">
        <f>SUM(FO!B52,PO!B52,CO!B52,FE!B52,PE!B52)</f>
        <v>41771.03</v>
      </c>
      <c r="C52" s="5">
        <f>SUM(FO!C52,PO!C52,CO!C52,FE!C52,PE!C52)</f>
        <v>38728.5</v>
      </c>
      <c r="D52" s="5">
        <f>SUM(FO!D52,PO!D52,CO!D52,FE!D52,PE!D52)</f>
        <v>55703.48</v>
      </c>
      <c r="E52" s="5">
        <f>SUM(FO!E52,PO!E52,CO!E52,FE!E52,PE!E52)</f>
        <v>77202.08</v>
      </c>
      <c r="F52" s="5">
        <f>SUM(FO!F52,PO!F52,CO!F52,FE!F52,PE!F52)</f>
        <v>72865.8</v>
      </c>
      <c r="G52" s="5">
        <f>SUM(FO!G52,PO!G52,CO!G52,FE!G52,PE!G52)</f>
        <v>64701.68</v>
      </c>
      <c r="H52" s="5">
        <f>SUM(FO!H52,PO!H52,CO!H52,FE!H52,PE!H52)</f>
        <v>82139.24</v>
      </c>
      <c r="I52" s="5">
        <f>SUM(FO!I52,PO!I52,CO!I52,FE!I52,PE!I52)</f>
        <v>79454.55</v>
      </c>
      <c r="J52" s="5">
        <f>SUM(FO!J52,PO!J52,CO!J52,FE!J52,PE!J52)</f>
        <v>90000</v>
      </c>
      <c r="K52" s="5">
        <f>SUM(FO!K52,PO!K52,CO!K52,FE!K52,PE!K52)</f>
        <v>92700</v>
      </c>
      <c r="L52" s="5">
        <f>SUM(FO!L52,PO!L52,CO!L52,FE!L52,PE!L52)</f>
        <v>95800</v>
      </c>
      <c r="M52" s="5">
        <f>SUM(FO!M52,PO!M52,CO!M52,FE!M52,PE!M52)</f>
        <v>96900</v>
      </c>
      <c r="N52" s="5">
        <f t="shared" ref="N52:N56" si="36">SUM(B52:M52)</f>
        <v>887966.36</v>
      </c>
      <c r="O52" s="28">
        <f t="shared" ref="O52:O56" si="37">IFERROR(N52/N$16,"")</f>
        <v>0.1196085117</v>
      </c>
      <c r="P52" s="5"/>
      <c r="Q52" s="5"/>
      <c r="R52" s="5"/>
      <c r="S52" s="5"/>
      <c r="T52" s="5"/>
      <c r="U52" s="5">
        <f>SUM(FO!U52,PO!U52,CO!U52,FE!U52,PE!U52)</f>
        <v>90012.58333</v>
      </c>
      <c r="V52" s="5">
        <f>SUM(FO!V52,PO!V52,CO!V52,FE!V52,PE!V52)</f>
        <v>90012.58333</v>
      </c>
      <c r="W52" s="5">
        <f>SUM(FO!W52,PO!W52,CO!W52,FE!W52,PE!W52)</f>
        <v>90012.58333</v>
      </c>
      <c r="X52" s="5">
        <f>SUM(FO!X52,PO!X52,CO!X52,FE!X52,PE!X52)</f>
        <v>90012.58333</v>
      </c>
      <c r="Y52" s="5">
        <f>SUM(FO!Y52,PO!Y52,CO!Y52,FE!Y52,PE!Y52)</f>
        <v>90012.58333</v>
      </c>
      <c r="Z52" s="5">
        <f>SUM(FO!Z52,PO!Z52,CO!Z52,FE!Z52,PE!Z52)</f>
        <v>90012.58333</v>
      </c>
      <c r="AA52" s="5">
        <f>SUM(FO!AA52,PO!AA52,CO!AA52,FE!AA52,PE!AA52)</f>
        <v>90012.58333</v>
      </c>
      <c r="AB52" s="5">
        <f>SUM(FO!AB52,PO!AB52,CO!AB52,FE!AB52,PE!AB52)</f>
        <v>90012.58333</v>
      </c>
      <c r="AC52" s="5">
        <f>SUM(FO!AC52,PO!AC52,CO!AC52,FE!AC52,PE!AC52)</f>
        <v>90012.58333</v>
      </c>
      <c r="AD52" s="5">
        <f>SUM(FO!AD52,PO!AD52,CO!AD52,FE!AD52,PE!AD52)</f>
        <v>92712.96083</v>
      </c>
      <c r="AE52" s="5">
        <f>SUM(FO!AE52,PO!AE52,CO!AE52,FE!AE52,PE!AE52)</f>
        <v>92712.96083</v>
      </c>
      <c r="AF52" s="5">
        <f>SUM(FO!AF52,PO!AF52,CO!AF52,FE!AF52,PE!AF52)</f>
        <v>92712.96083</v>
      </c>
      <c r="AG52" s="5">
        <f t="shared" ref="AG52:AG56" si="38">SUM(U52:AF52)</f>
        <v>1088252.133</v>
      </c>
      <c r="AH52" s="28" t="str">
        <f t="shared" ref="AH52:AH56" si="39">IFERROR(AG52/AG$16,"")</f>
        <v/>
      </c>
      <c r="AI52" s="4"/>
      <c r="AJ52" s="5">
        <f t="shared" ref="AJ52:AJ56" si="40">N52-AG52</f>
        <v>-200285.7725</v>
      </c>
      <c r="AK52" s="4"/>
    </row>
    <row r="53" ht="13.5" customHeight="1">
      <c r="A53" s="25" t="s">
        <v>78</v>
      </c>
      <c r="B53" s="5">
        <f>SUM(FO!B53,PO!B53,CO!B53,FE!B53,PE!B53)</f>
        <v>3714.57</v>
      </c>
      <c r="C53" s="5">
        <f>SUM(FO!C53,PO!C53,CO!C53,FE!C53,PE!C53)</f>
        <v>3251.23</v>
      </c>
      <c r="D53" s="5">
        <f>SUM(FO!D53,PO!D53,CO!D53,FE!D53,PE!D53)</f>
        <v>3711.25</v>
      </c>
      <c r="E53" s="5">
        <f>SUM(FO!E53,PO!E53,CO!E53,FE!E53,PE!E53)</f>
        <v>5152.42</v>
      </c>
      <c r="F53" s="5">
        <f>SUM(FO!F53,PO!F53,CO!F53,FE!F53,PE!F53)</f>
        <v>4827.71</v>
      </c>
      <c r="G53" s="5">
        <f>SUM(FO!G53,PO!G53,CO!G53,FE!G53,PE!G53)</f>
        <v>4403.72</v>
      </c>
      <c r="H53" s="5">
        <f>SUM(FO!H53,PO!H53,CO!H53,FE!H53,PE!H53)</f>
        <v>5573.24</v>
      </c>
      <c r="I53" s="5">
        <f>SUM(FO!I53,PO!I53,CO!I53,FE!I53,PE!I53)</f>
        <v>5853.77</v>
      </c>
      <c r="J53" s="5">
        <f>SUM(FO!J53,PO!J53,CO!J53,FE!J53,PE!J53)</f>
        <v>5850</v>
      </c>
      <c r="K53" s="5">
        <f>SUM(FO!K53,PO!K53,CO!K53,FE!K53,PE!K53)</f>
        <v>6026</v>
      </c>
      <c r="L53" s="5">
        <f>SUM(FO!L53,PO!L53,CO!L53,FE!L53,PE!L53)</f>
        <v>6227</v>
      </c>
      <c r="M53" s="5">
        <f>SUM(FO!M53,PO!M53,CO!M53,FE!M53,PE!M53)</f>
        <v>6299</v>
      </c>
      <c r="N53" s="5">
        <f t="shared" si="36"/>
        <v>60889.91</v>
      </c>
      <c r="O53" s="28">
        <f t="shared" si="37"/>
        <v>0.008201832685</v>
      </c>
      <c r="P53" s="5"/>
      <c r="Q53" s="5"/>
      <c r="R53" s="5"/>
      <c r="S53" s="5"/>
      <c r="T53" s="5"/>
      <c r="U53" s="5">
        <f>SUM(FO!U53,PO!U53,CO!U53,FE!U53,PE!U53)</f>
        <v>6163.243351</v>
      </c>
      <c r="V53" s="5">
        <f>SUM(FO!V53,PO!V53,CO!V53,FE!V53,PE!V53)</f>
        <v>6163.243351</v>
      </c>
      <c r="W53" s="5">
        <f>SUM(FO!W53,PO!W53,CO!W53,FE!W53,PE!W53)</f>
        <v>6163.243351</v>
      </c>
      <c r="X53" s="5">
        <f>SUM(FO!X53,PO!X53,CO!X53,FE!X53,PE!X53)</f>
        <v>6163.243351</v>
      </c>
      <c r="Y53" s="5">
        <f>SUM(FO!Y53,PO!Y53,CO!Y53,FE!Y53,PE!Y53)</f>
        <v>6163.243351</v>
      </c>
      <c r="Z53" s="5">
        <f>SUM(FO!Z53,PO!Z53,CO!Z53,FE!Z53,PE!Z53)</f>
        <v>6163.243351</v>
      </c>
      <c r="AA53" s="5">
        <f>SUM(FO!AA53,PO!AA53,CO!AA53,FE!AA53,PE!AA53)</f>
        <v>6163.243351</v>
      </c>
      <c r="AB53" s="5">
        <f>SUM(FO!AB53,PO!AB53,CO!AB53,FE!AB53,PE!AB53)</f>
        <v>6163.243351</v>
      </c>
      <c r="AC53" s="5">
        <f>SUM(FO!AC53,PO!AC53,CO!AC53,FE!AC53,PE!AC53)</f>
        <v>6163.243351</v>
      </c>
      <c r="AD53" s="5">
        <f>SUM(FO!AD53,PO!AD53,CO!AD53,FE!AD53,PE!AD53)</f>
        <v>6348.140652</v>
      </c>
      <c r="AE53" s="5">
        <f>SUM(FO!AE53,PO!AE53,CO!AE53,FE!AE53,PE!AE53)</f>
        <v>6348.140652</v>
      </c>
      <c r="AF53" s="5">
        <f>SUM(FO!AF53,PO!AF53,CO!AF53,FE!AF53,PE!AF53)</f>
        <v>6348.140652</v>
      </c>
      <c r="AG53" s="5">
        <f t="shared" si="38"/>
        <v>74513.61211</v>
      </c>
      <c r="AH53" s="28" t="str">
        <f t="shared" si="39"/>
        <v/>
      </c>
      <c r="AI53" s="4"/>
      <c r="AJ53" s="5">
        <f t="shared" si="40"/>
        <v>-13623.70211</v>
      </c>
      <c r="AK53" s="4"/>
    </row>
    <row r="54" ht="13.5" customHeight="1">
      <c r="A54" s="25" t="s">
        <v>79</v>
      </c>
      <c r="B54" s="5">
        <f>SUM(FO!B54,PO!B54,CO!B54,FE!B54,PE!B54)</f>
        <v>31338.07</v>
      </c>
      <c r="C54" s="5">
        <f>SUM(FO!C54,PO!C54,CO!C54,FE!C54,PE!C54)</f>
        <v>21236.59</v>
      </c>
      <c r="D54" s="5">
        <f>SUM(FO!D54,PO!D54,CO!D54,FE!D54,PE!D54)</f>
        <v>9448.65</v>
      </c>
      <c r="E54" s="5">
        <f>SUM(FO!E54,PO!E54,CO!E54,FE!E54,PE!E54)</f>
        <v>12493.8</v>
      </c>
      <c r="F54" s="5">
        <f>SUM(FO!F54,PO!F54,CO!F54,FE!F54,PE!F54)</f>
        <v>12115.76</v>
      </c>
      <c r="G54" s="5">
        <f>SUM(FO!G54,PO!G54,CO!G54,FE!G54,PE!G54)</f>
        <v>16324.25</v>
      </c>
      <c r="H54" s="5">
        <f>SUM(FO!H54,PO!H54,CO!H54,FE!H54,PE!H54)</f>
        <v>13014.13</v>
      </c>
      <c r="I54" s="5">
        <f>SUM(FO!I54,PO!I54,CO!I54,FE!I54,PE!I54)</f>
        <v>17324.26</v>
      </c>
      <c r="J54" s="5">
        <f>SUM(FO!J54,PO!J54,CO!J54,FE!J54,PE!J54)</f>
        <v>10800</v>
      </c>
      <c r="K54" s="5">
        <f>SUM(FO!K54,PO!K54,CO!K54,FE!K54,PE!K54)</f>
        <v>11124</v>
      </c>
      <c r="L54" s="5">
        <f>SUM(FO!L54,PO!L54,CO!L54,FE!L54,PE!L54)</f>
        <v>11496</v>
      </c>
      <c r="M54" s="5">
        <f>SUM(FO!M54,PO!M54,CO!M54,FE!M54,PE!M54)</f>
        <v>11628</v>
      </c>
      <c r="N54" s="5">
        <f t="shared" si="36"/>
        <v>178343.51</v>
      </c>
      <c r="O54" s="28">
        <f t="shared" si="37"/>
        <v>0.02402275894</v>
      </c>
      <c r="P54" s="5"/>
      <c r="Q54" s="5"/>
      <c r="R54" s="5"/>
      <c r="S54" s="5"/>
      <c r="T54" s="5"/>
      <c r="U54" s="5">
        <f>SUM(FO!U54,PO!U54,CO!U54,FE!U54,PE!U54)</f>
        <v>14766.89802</v>
      </c>
      <c r="V54" s="5">
        <f>SUM(FO!V54,PO!V54,CO!V54,FE!V54,PE!V54)</f>
        <v>14766.89802</v>
      </c>
      <c r="W54" s="5">
        <f>SUM(FO!W54,PO!W54,CO!W54,FE!W54,PE!W54)</f>
        <v>14766.89802</v>
      </c>
      <c r="X54" s="5">
        <f>SUM(FO!X54,PO!X54,CO!X54,FE!X54,PE!X54)</f>
        <v>14766.89802</v>
      </c>
      <c r="Y54" s="5">
        <f>SUM(FO!Y54,PO!Y54,CO!Y54,FE!Y54,PE!Y54)</f>
        <v>14766.89802</v>
      </c>
      <c r="Z54" s="5">
        <f>SUM(FO!Z54,PO!Z54,CO!Z54,FE!Z54,PE!Z54)</f>
        <v>14766.89802</v>
      </c>
      <c r="AA54" s="5">
        <f>SUM(FO!AA54,PO!AA54,CO!AA54,FE!AA54,PE!AA54)</f>
        <v>14766.89802</v>
      </c>
      <c r="AB54" s="5">
        <f>SUM(FO!AB54,PO!AB54,CO!AB54,FE!AB54,PE!AB54)</f>
        <v>14766.89802</v>
      </c>
      <c r="AC54" s="5">
        <f>SUM(FO!AC54,PO!AC54,CO!AC54,FE!AC54,PE!AC54)</f>
        <v>14766.89802</v>
      </c>
      <c r="AD54" s="5">
        <f>SUM(FO!AD54,PO!AD54,CO!AD54,FE!AD54,PE!AD54)</f>
        <v>15209.90496</v>
      </c>
      <c r="AE54" s="5">
        <f>SUM(FO!AE54,PO!AE54,CO!AE54,FE!AE54,PE!AE54)</f>
        <v>15209.90496</v>
      </c>
      <c r="AF54" s="5">
        <f>SUM(FO!AF54,PO!AF54,CO!AF54,FE!AF54,PE!AF54)</f>
        <v>15209.90496</v>
      </c>
      <c r="AG54" s="5">
        <f t="shared" si="38"/>
        <v>178531.797</v>
      </c>
      <c r="AH54" s="28" t="str">
        <f t="shared" si="39"/>
        <v/>
      </c>
      <c r="AI54" s="4"/>
      <c r="AJ54" s="5">
        <f t="shared" si="40"/>
        <v>-188.2870477</v>
      </c>
      <c r="AK54" s="4"/>
    </row>
    <row r="55" ht="13.5" customHeight="1">
      <c r="A55" s="33" t="s">
        <v>80</v>
      </c>
      <c r="B55" s="34">
        <f t="shared" ref="B55:M55" si="41">SUM(B52:B54)</f>
        <v>76823.67</v>
      </c>
      <c r="C55" s="34">
        <f t="shared" si="41"/>
        <v>63216.32</v>
      </c>
      <c r="D55" s="34">
        <f t="shared" si="41"/>
        <v>68863.38</v>
      </c>
      <c r="E55" s="34">
        <f t="shared" si="41"/>
        <v>94848.3</v>
      </c>
      <c r="F55" s="34">
        <f t="shared" si="41"/>
        <v>89809.27</v>
      </c>
      <c r="G55" s="34">
        <f t="shared" si="41"/>
        <v>85429.65</v>
      </c>
      <c r="H55" s="34">
        <f t="shared" si="41"/>
        <v>100726.61</v>
      </c>
      <c r="I55" s="34">
        <f t="shared" si="41"/>
        <v>102632.58</v>
      </c>
      <c r="J55" s="34">
        <f t="shared" si="41"/>
        <v>106650</v>
      </c>
      <c r="K55" s="34">
        <f t="shared" si="41"/>
        <v>109850</v>
      </c>
      <c r="L55" s="34">
        <f t="shared" si="41"/>
        <v>113523</v>
      </c>
      <c r="M55" s="34">
        <f t="shared" si="41"/>
        <v>114827</v>
      </c>
      <c r="N55" s="34">
        <f t="shared" si="36"/>
        <v>1127199.78</v>
      </c>
      <c r="O55" s="35">
        <f t="shared" si="37"/>
        <v>0.1518331034</v>
      </c>
      <c r="P55" s="5"/>
      <c r="Q55" s="5"/>
      <c r="R55" s="5"/>
      <c r="S55" s="5"/>
      <c r="T55" s="5"/>
      <c r="U55" s="34">
        <f t="shared" ref="U55:AF55" si="42">SUM(U52:U54)</f>
        <v>110942.7247</v>
      </c>
      <c r="V55" s="34">
        <f t="shared" si="42"/>
        <v>110942.7247</v>
      </c>
      <c r="W55" s="34">
        <f t="shared" si="42"/>
        <v>110942.7247</v>
      </c>
      <c r="X55" s="34">
        <f t="shared" si="42"/>
        <v>110942.7247</v>
      </c>
      <c r="Y55" s="34">
        <f t="shared" si="42"/>
        <v>110942.7247</v>
      </c>
      <c r="Z55" s="34">
        <f t="shared" si="42"/>
        <v>110942.7247</v>
      </c>
      <c r="AA55" s="34">
        <f t="shared" si="42"/>
        <v>110942.7247</v>
      </c>
      <c r="AB55" s="34">
        <f t="shared" si="42"/>
        <v>110942.7247</v>
      </c>
      <c r="AC55" s="34">
        <f t="shared" si="42"/>
        <v>110942.7247</v>
      </c>
      <c r="AD55" s="34">
        <f t="shared" si="42"/>
        <v>114271.0064</v>
      </c>
      <c r="AE55" s="34">
        <f t="shared" si="42"/>
        <v>114271.0064</v>
      </c>
      <c r="AF55" s="34">
        <f t="shared" si="42"/>
        <v>114271.0064</v>
      </c>
      <c r="AG55" s="34">
        <f t="shared" si="38"/>
        <v>1341297.542</v>
      </c>
      <c r="AH55" s="35" t="str">
        <f t="shared" si="39"/>
        <v/>
      </c>
      <c r="AI55" s="4"/>
      <c r="AJ55" s="34">
        <f t="shared" si="40"/>
        <v>-214097.7617</v>
      </c>
      <c r="AK55" s="4"/>
    </row>
    <row r="56" ht="13.5" customHeight="1">
      <c r="A56" s="33" t="s">
        <v>81</v>
      </c>
      <c r="B56" s="34">
        <f t="shared" ref="B56:M56" si="43">B44+B45+B46+B47+B48+B49+B50+B55</f>
        <v>106174.16</v>
      </c>
      <c r="C56" s="34">
        <f t="shared" si="43"/>
        <v>92216.7</v>
      </c>
      <c r="D56" s="34">
        <f t="shared" si="43"/>
        <v>142609.4</v>
      </c>
      <c r="E56" s="34">
        <f t="shared" si="43"/>
        <v>118718.7</v>
      </c>
      <c r="F56" s="34">
        <f t="shared" si="43"/>
        <v>173025.67</v>
      </c>
      <c r="G56" s="34">
        <f t="shared" si="43"/>
        <v>150798.28</v>
      </c>
      <c r="H56" s="34">
        <f t="shared" si="43"/>
        <v>143176.78</v>
      </c>
      <c r="I56" s="34">
        <f t="shared" si="43"/>
        <v>131950.98</v>
      </c>
      <c r="J56" s="34">
        <f t="shared" si="43"/>
        <v>193300</v>
      </c>
      <c r="K56" s="34">
        <f t="shared" si="43"/>
        <v>200670</v>
      </c>
      <c r="L56" s="34">
        <f t="shared" si="43"/>
        <v>209513</v>
      </c>
      <c r="M56" s="34">
        <f t="shared" si="43"/>
        <v>214987</v>
      </c>
      <c r="N56" s="34">
        <f t="shared" si="36"/>
        <v>1877140.67</v>
      </c>
      <c r="O56" s="35">
        <f t="shared" si="37"/>
        <v>0.2528496709</v>
      </c>
      <c r="P56" s="5"/>
      <c r="Q56" s="5"/>
      <c r="R56" s="5"/>
      <c r="S56" s="5"/>
      <c r="T56" s="5"/>
      <c r="U56" s="34">
        <f t="shared" ref="U56:AF56" si="44">U44+U45+U46+U47+U48+U49+U50+U55</f>
        <v>113442.7247</v>
      </c>
      <c r="V56" s="34">
        <f t="shared" si="44"/>
        <v>113442.7247</v>
      </c>
      <c r="W56" s="34">
        <f t="shared" si="44"/>
        <v>113442.7247</v>
      </c>
      <c r="X56" s="34">
        <f t="shared" si="44"/>
        <v>113442.7247</v>
      </c>
      <c r="Y56" s="34">
        <f t="shared" si="44"/>
        <v>113567.7247</v>
      </c>
      <c r="Z56" s="34">
        <f t="shared" si="44"/>
        <v>113692.7247</v>
      </c>
      <c r="AA56" s="34">
        <f t="shared" si="44"/>
        <v>113817.7247</v>
      </c>
      <c r="AB56" s="34">
        <f t="shared" si="44"/>
        <v>113942.7247</v>
      </c>
      <c r="AC56" s="34">
        <f t="shared" si="44"/>
        <v>114067.7247</v>
      </c>
      <c r="AD56" s="34">
        <f t="shared" si="44"/>
        <v>117521.0064</v>
      </c>
      <c r="AE56" s="34">
        <f t="shared" si="44"/>
        <v>117646.0064</v>
      </c>
      <c r="AF56" s="34">
        <f t="shared" si="44"/>
        <v>117771.0064</v>
      </c>
      <c r="AG56" s="34">
        <f t="shared" si="38"/>
        <v>1375797.542</v>
      </c>
      <c r="AH56" s="35" t="str">
        <f t="shared" si="39"/>
        <v/>
      </c>
      <c r="AI56" s="4"/>
      <c r="AJ56" s="34">
        <f t="shared" si="40"/>
        <v>501343.1283</v>
      </c>
      <c r="AK56" s="4"/>
    </row>
    <row r="57" ht="13.5" customHeight="1">
      <c r="A57" s="24" t="s">
        <v>82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28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28"/>
      <c r="AI57" s="4"/>
      <c r="AJ57" s="5"/>
      <c r="AK57" s="4"/>
    </row>
    <row r="58" ht="13.5" customHeight="1">
      <c r="A58" s="25" t="s">
        <v>83</v>
      </c>
      <c r="B58" s="5">
        <f>SUM(FO!B58,PO!B58,CO!B58,FE!B58,PE!B58)</f>
        <v>11975.85</v>
      </c>
      <c r="C58" s="5">
        <f>SUM(FO!C58,PO!C58,CO!C58,FE!C58,PE!C58)</f>
        <v>11156.17</v>
      </c>
      <c r="D58" s="5">
        <f>SUM(FO!D58,PO!D58,CO!D58,FE!D58,PE!D58)</f>
        <v>11961.24</v>
      </c>
      <c r="E58" s="5">
        <f>SUM(FO!E58,PO!E58,CO!E58,FE!E58,PE!E58)</f>
        <v>7090.45</v>
      </c>
      <c r="F58" s="5">
        <f>SUM(FO!F58,PO!F58,CO!F58,FE!F58,PE!F58)</f>
        <v>12334.88</v>
      </c>
      <c r="G58" s="5">
        <f>SUM(FO!G58,PO!G58,CO!G58,FE!G58,PE!G58)</f>
        <v>13958.17</v>
      </c>
      <c r="H58" s="5">
        <f>SUM(FO!H58,PO!H58,CO!H58,FE!H58,PE!H58)</f>
        <v>17445.88</v>
      </c>
      <c r="I58" s="5">
        <f>SUM(FO!I58,PO!I58,CO!I58,FE!I58,PE!I58)</f>
        <v>13773.96</v>
      </c>
      <c r="J58" s="5">
        <f>SUM(FO!J58,PO!J58,CO!J58,FE!J58,PE!J58)</f>
        <v>5208</v>
      </c>
      <c r="K58" s="5">
        <f>SUM(FO!K58,PO!K58,CO!K58,FE!K58,PE!K58)</f>
        <v>5208</v>
      </c>
      <c r="L58" s="5">
        <f>SUM(FO!L58,PO!L58,CO!L58,FE!L58,PE!L58)</f>
        <v>5208</v>
      </c>
      <c r="M58" s="5">
        <f>SUM(FO!M58,PO!M58,CO!M58,FE!M58,PE!M58)</f>
        <v>5208</v>
      </c>
      <c r="N58" s="5">
        <f t="shared" ref="N58:N64" si="45">SUM(B58:M58)</f>
        <v>120528.6</v>
      </c>
      <c r="O58" s="28">
        <f t="shared" ref="O58:O64" si="46">IFERROR(N58/N$16,"")</f>
        <v>0.01623512682</v>
      </c>
      <c r="P58" s="5"/>
      <c r="Q58" s="5"/>
      <c r="R58" s="5"/>
      <c r="S58" s="5"/>
      <c r="T58" s="5"/>
      <c r="U58" s="5">
        <f>SUM(FO!U58,PO!U58,CO!U58,FE!U58,PE!U58)</f>
        <v>0</v>
      </c>
      <c r="V58" s="5">
        <f>SUM(FO!V58,PO!V58,CO!V58,FE!V58,PE!V58)</f>
        <v>0</v>
      </c>
      <c r="W58" s="5">
        <f>SUM(FO!W58,PO!W58,CO!W58,FE!W58,PE!W58)</f>
        <v>0</v>
      </c>
      <c r="X58" s="5">
        <f>SUM(FO!X58,PO!X58,CO!X58,FE!X58,PE!X58)</f>
        <v>0</v>
      </c>
      <c r="Y58" s="5">
        <f>SUM(FO!Y58,PO!Y58,CO!Y58,FE!Y58,PE!Y58)</f>
        <v>0</v>
      </c>
      <c r="Z58" s="5">
        <f>SUM(FO!Z58,PO!Z58,CO!Z58,FE!Z58,PE!Z58)</f>
        <v>0</v>
      </c>
      <c r="AA58" s="5">
        <f>SUM(FO!AA58,PO!AA58,CO!AA58,FE!AA58,PE!AA58)</f>
        <v>0</v>
      </c>
      <c r="AB58" s="5">
        <f>SUM(FO!AB58,PO!AB58,CO!AB58,FE!AB58,PE!AB58)</f>
        <v>0</v>
      </c>
      <c r="AC58" s="5">
        <f>SUM(FO!AC58,PO!AC58,CO!AC58,FE!AC58,PE!AC58)</f>
        <v>0</v>
      </c>
      <c r="AD58" s="5">
        <f>SUM(FO!AD58,PO!AD58,CO!AD58,FE!AD58,PE!AD58)</f>
        <v>0</v>
      </c>
      <c r="AE58" s="5">
        <f>SUM(FO!AE58,PO!AE58,CO!AE58,FE!AE58,PE!AE58)</f>
        <v>0</v>
      </c>
      <c r="AF58" s="5">
        <f>SUM(FO!AF58,PO!AF58,CO!AF58,FE!AF58,PE!AF58)</f>
        <v>0</v>
      </c>
      <c r="AG58" s="5">
        <f t="shared" ref="AG58:AG64" si="47">SUM(U58:AF58)</f>
        <v>0</v>
      </c>
      <c r="AH58" s="28" t="str">
        <f t="shared" ref="AH58:AH64" si="48">IFERROR(AG58/AG$16,"")</f>
        <v/>
      </c>
      <c r="AI58" s="4"/>
      <c r="AJ58" s="5">
        <f t="shared" ref="AJ58:AJ63" si="49">N58-AG58</f>
        <v>120528.6</v>
      </c>
      <c r="AK58" s="4"/>
    </row>
    <row r="59" ht="13.5" customHeight="1">
      <c r="A59" s="25" t="s">
        <v>84</v>
      </c>
      <c r="B59" s="5">
        <f>SUM(FO!B59,PO!B59,CO!B59,FE!B59,PE!B59)</f>
        <v>65</v>
      </c>
      <c r="C59" s="5">
        <f>SUM(FO!C59,PO!C59,CO!C59,FE!C59,PE!C59)</f>
        <v>0</v>
      </c>
      <c r="D59" s="5">
        <f>SUM(FO!D59,PO!D59,CO!D59,FE!D59,PE!D59)</f>
        <v>0</v>
      </c>
      <c r="E59" s="5">
        <f>SUM(FO!E59,PO!E59,CO!E59,FE!E59,PE!E59)</f>
        <v>0</v>
      </c>
      <c r="F59" s="5">
        <f>SUM(FO!F59,PO!F59,CO!F59,FE!F59,PE!F59)</f>
        <v>119.9</v>
      </c>
      <c r="G59" s="5">
        <f>SUM(FO!G59,PO!G59,CO!G59,FE!G59,PE!G59)</f>
        <v>0</v>
      </c>
      <c r="H59" s="5">
        <f>SUM(FO!H59,PO!H59,CO!H59,FE!H59,PE!H59)</f>
        <v>1921.29</v>
      </c>
      <c r="I59" s="5">
        <f>SUM(FO!I59,PO!I59,CO!I59,FE!I59,PE!I59)</f>
        <v>0</v>
      </c>
      <c r="J59" s="5">
        <f>SUM(FO!J59,PO!J59,CO!J59,FE!J59,PE!J59)</f>
        <v>40</v>
      </c>
      <c r="K59" s="5">
        <f>SUM(FO!K59,PO!K59,CO!K59,FE!K59,PE!K59)</f>
        <v>40</v>
      </c>
      <c r="L59" s="5">
        <f>SUM(FO!L59,PO!L59,CO!L59,FE!L59,PE!L59)</f>
        <v>40</v>
      </c>
      <c r="M59" s="5">
        <f>SUM(FO!M59,PO!M59,CO!M59,FE!M59,PE!M59)</f>
        <v>40</v>
      </c>
      <c r="N59" s="5">
        <f t="shared" si="45"/>
        <v>2266.19</v>
      </c>
      <c r="O59" s="28">
        <f t="shared" si="46"/>
        <v>0.0003052543716</v>
      </c>
      <c r="P59" s="5"/>
      <c r="Q59" s="5"/>
      <c r="R59" s="5"/>
      <c r="S59" s="5"/>
      <c r="T59" s="5"/>
      <c r="U59" s="5">
        <f>SUM(FO!U59,PO!U59,CO!U59,FE!U59,PE!U59)</f>
        <v>41.66666667</v>
      </c>
      <c r="V59" s="5">
        <f>SUM(FO!V59,PO!V59,CO!V59,FE!V59,PE!V59)</f>
        <v>41.66666667</v>
      </c>
      <c r="W59" s="5">
        <f>SUM(FO!W59,PO!W59,CO!W59,FE!W59,PE!W59)</f>
        <v>41.66666667</v>
      </c>
      <c r="X59" s="5">
        <f>SUM(FO!X59,PO!X59,CO!X59,FE!X59,PE!X59)</f>
        <v>41.66666667</v>
      </c>
      <c r="Y59" s="5">
        <f>SUM(FO!Y59,PO!Y59,CO!Y59,FE!Y59,PE!Y59)</f>
        <v>41.66666667</v>
      </c>
      <c r="Z59" s="5">
        <f>SUM(FO!Z59,PO!Z59,CO!Z59,FE!Z59,PE!Z59)</f>
        <v>41.66666667</v>
      </c>
      <c r="AA59" s="5">
        <f>SUM(FO!AA59,PO!AA59,CO!AA59,FE!AA59,PE!AA59)</f>
        <v>41.66666667</v>
      </c>
      <c r="AB59" s="5">
        <f>SUM(FO!AB59,PO!AB59,CO!AB59,FE!AB59,PE!AB59)</f>
        <v>41.66666667</v>
      </c>
      <c r="AC59" s="5">
        <f>SUM(FO!AC59,PO!AC59,CO!AC59,FE!AC59,PE!AC59)</f>
        <v>41.66666667</v>
      </c>
      <c r="AD59" s="5">
        <f>SUM(FO!AD59,PO!AD59,CO!AD59,FE!AD59,PE!AD59)</f>
        <v>41.66666667</v>
      </c>
      <c r="AE59" s="5">
        <f>SUM(FO!AE59,PO!AE59,CO!AE59,FE!AE59,PE!AE59)</f>
        <v>41.66666667</v>
      </c>
      <c r="AF59" s="5">
        <f>SUM(FO!AF59,PO!AF59,CO!AF59,FE!AF59,PE!AF59)</f>
        <v>41.66666667</v>
      </c>
      <c r="AG59" s="5">
        <f t="shared" si="47"/>
        <v>500</v>
      </c>
      <c r="AH59" s="28" t="str">
        <f t="shared" si="48"/>
        <v/>
      </c>
      <c r="AI59" s="4"/>
      <c r="AJ59" s="5">
        <f t="shared" si="49"/>
        <v>1766.19</v>
      </c>
      <c r="AK59" s="4"/>
    </row>
    <row r="60" ht="13.5" customHeight="1">
      <c r="A60" s="25" t="s">
        <v>85</v>
      </c>
      <c r="B60" s="5">
        <f>SUM(FO!B60,PO!B60,CO!B60,FE!B60,PE!B60)</f>
        <v>281.96</v>
      </c>
      <c r="C60" s="5">
        <f>SUM(FO!C60,PO!C60,CO!C60,FE!C60,PE!C60)</f>
        <v>47.22</v>
      </c>
      <c r="D60" s="5">
        <f>SUM(FO!D60,PO!D60,CO!D60,FE!D60,PE!D60)</f>
        <v>0</v>
      </c>
      <c r="E60" s="5">
        <f>SUM(FO!E60,PO!E60,CO!E60,FE!E60,PE!E60)</f>
        <v>0</v>
      </c>
      <c r="F60" s="5">
        <f>SUM(FO!F60,PO!F60,CO!F60,FE!F60,PE!F60)</f>
        <v>0</v>
      </c>
      <c r="G60" s="5">
        <f>SUM(FO!G60,PO!G60,CO!G60,FE!G60,PE!G60)</f>
        <v>0</v>
      </c>
      <c r="H60" s="5">
        <f>SUM(FO!H60,PO!H60,CO!H60,FE!H60,PE!H60)</f>
        <v>20.7</v>
      </c>
      <c r="I60" s="5">
        <f>SUM(FO!I60,PO!I60,CO!I60,FE!I60,PE!I60)</f>
        <v>321.5</v>
      </c>
      <c r="J60" s="5">
        <f>SUM(FO!J60,PO!J60,CO!J60,FE!J60,PE!J60)</f>
        <v>0</v>
      </c>
      <c r="K60" s="5">
        <f>SUM(FO!K60,PO!K60,CO!K60,FE!K60,PE!K60)</f>
        <v>0</v>
      </c>
      <c r="L60" s="5">
        <f>SUM(FO!L60,PO!L60,CO!L60,FE!L60,PE!L60)</f>
        <v>0</v>
      </c>
      <c r="M60" s="5">
        <f>SUM(FO!M60,PO!M60,CO!M60,FE!M60,PE!M60)</f>
        <v>0</v>
      </c>
      <c r="N60" s="5">
        <f t="shared" si="45"/>
        <v>671.38</v>
      </c>
      <c r="O60" s="28">
        <f t="shared" si="46"/>
        <v>0.00009043446489</v>
      </c>
      <c r="P60" s="5"/>
      <c r="Q60" s="5"/>
      <c r="R60" s="5"/>
      <c r="S60" s="5"/>
      <c r="T60" s="5"/>
      <c r="U60" s="5">
        <f>SUM(FO!U60,PO!U60,CO!U60,FE!U60,PE!U60)</f>
        <v>0</v>
      </c>
      <c r="V60" s="5">
        <f>SUM(FO!V60,PO!V60,CO!V60,FE!V60,PE!V60)</f>
        <v>0</v>
      </c>
      <c r="W60" s="5">
        <f>SUM(FO!W60,PO!W60,CO!W60,FE!W60,PE!W60)</f>
        <v>0</v>
      </c>
      <c r="X60" s="5">
        <f>SUM(FO!X60,PO!X60,CO!X60,FE!X60,PE!X60)</f>
        <v>0</v>
      </c>
      <c r="Y60" s="5">
        <f>SUM(FO!Y60,PO!Y60,CO!Y60,FE!Y60,PE!Y60)</f>
        <v>0</v>
      </c>
      <c r="Z60" s="5">
        <f>SUM(FO!Z60,PO!Z60,CO!Z60,FE!Z60,PE!Z60)</f>
        <v>0</v>
      </c>
      <c r="AA60" s="5">
        <f>SUM(FO!AA60,PO!AA60,CO!AA60,FE!AA60,PE!AA60)</f>
        <v>0</v>
      </c>
      <c r="AB60" s="5">
        <f>SUM(FO!AB60,PO!AB60,CO!AB60,FE!AB60,PE!AB60)</f>
        <v>0</v>
      </c>
      <c r="AC60" s="5">
        <f>SUM(FO!AC60,PO!AC60,CO!AC60,FE!AC60,PE!AC60)</f>
        <v>0</v>
      </c>
      <c r="AD60" s="5">
        <f>SUM(FO!AD60,PO!AD60,CO!AD60,FE!AD60,PE!AD60)</f>
        <v>0</v>
      </c>
      <c r="AE60" s="5">
        <f>SUM(FO!AE60,PO!AE60,CO!AE60,FE!AE60,PE!AE60)</f>
        <v>0</v>
      </c>
      <c r="AF60" s="5">
        <f>SUM(FO!AF60,PO!AF60,CO!AF60,FE!AF60,PE!AF60)</f>
        <v>0</v>
      </c>
      <c r="AG60" s="5">
        <f t="shared" si="47"/>
        <v>0</v>
      </c>
      <c r="AH60" s="28" t="str">
        <f t="shared" si="48"/>
        <v/>
      </c>
      <c r="AI60" s="4"/>
      <c r="AJ60" s="5">
        <f t="shared" si="49"/>
        <v>671.38</v>
      </c>
      <c r="AK60" s="4"/>
    </row>
    <row r="61" ht="13.5" customHeight="1">
      <c r="A61" s="33" t="s">
        <v>86</v>
      </c>
      <c r="B61" s="46">
        <f t="shared" ref="B61:M61" si="50">SUM(B58:B60)</f>
        <v>12322.81</v>
      </c>
      <c r="C61" s="46">
        <f t="shared" si="50"/>
        <v>11203.39</v>
      </c>
      <c r="D61" s="46">
        <f t="shared" si="50"/>
        <v>11961.24</v>
      </c>
      <c r="E61" s="46">
        <f t="shared" si="50"/>
        <v>7090.45</v>
      </c>
      <c r="F61" s="46">
        <f t="shared" si="50"/>
        <v>12454.78</v>
      </c>
      <c r="G61" s="46">
        <f t="shared" si="50"/>
        <v>13958.17</v>
      </c>
      <c r="H61" s="46">
        <f t="shared" si="50"/>
        <v>19387.87</v>
      </c>
      <c r="I61" s="46">
        <f t="shared" si="50"/>
        <v>14095.46</v>
      </c>
      <c r="J61" s="46">
        <f t="shared" si="50"/>
        <v>5248</v>
      </c>
      <c r="K61" s="46">
        <f t="shared" si="50"/>
        <v>5248</v>
      </c>
      <c r="L61" s="46">
        <f t="shared" si="50"/>
        <v>5248</v>
      </c>
      <c r="M61" s="46">
        <f t="shared" si="50"/>
        <v>5248</v>
      </c>
      <c r="N61" s="46">
        <f t="shared" si="45"/>
        <v>123466.17</v>
      </c>
      <c r="O61" s="47">
        <f t="shared" si="46"/>
        <v>0.01663081566</v>
      </c>
      <c r="P61" s="5"/>
      <c r="Q61" s="5"/>
      <c r="R61" s="5"/>
      <c r="S61" s="5"/>
      <c r="T61" s="5"/>
      <c r="U61" s="46">
        <f t="shared" ref="U61:AF61" si="51">SUM(U58:U60)</f>
        <v>41.66666667</v>
      </c>
      <c r="V61" s="46">
        <f t="shared" si="51"/>
        <v>41.66666667</v>
      </c>
      <c r="W61" s="46">
        <f t="shared" si="51"/>
        <v>41.66666667</v>
      </c>
      <c r="X61" s="46">
        <f t="shared" si="51"/>
        <v>41.66666667</v>
      </c>
      <c r="Y61" s="46">
        <f t="shared" si="51"/>
        <v>41.66666667</v>
      </c>
      <c r="Z61" s="46">
        <f t="shared" si="51"/>
        <v>41.66666667</v>
      </c>
      <c r="AA61" s="46">
        <f t="shared" si="51"/>
        <v>41.66666667</v>
      </c>
      <c r="AB61" s="46">
        <f t="shared" si="51"/>
        <v>41.66666667</v>
      </c>
      <c r="AC61" s="46">
        <f t="shared" si="51"/>
        <v>41.66666667</v>
      </c>
      <c r="AD61" s="46">
        <f t="shared" si="51"/>
        <v>41.66666667</v>
      </c>
      <c r="AE61" s="46">
        <f t="shared" si="51"/>
        <v>41.66666667</v>
      </c>
      <c r="AF61" s="46">
        <f t="shared" si="51"/>
        <v>41.66666667</v>
      </c>
      <c r="AG61" s="46">
        <f t="shared" si="47"/>
        <v>500</v>
      </c>
      <c r="AH61" s="47" t="str">
        <f t="shared" si="48"/>
        <v/>
      </c>
      <c r="AI61" s="4"/>
      <c r="AJ61" s="34">
        <f t="shared" si="49"/>
        <v>122966.17</v>
      </c>
      <c r="AK61" s="4"/>
    </row>
    <row r="62" ht="13.5" customHeight="1">
      <c r="A62" s="48" t="s">
        <v>87</v>
      </c>
      <c r="B62" s="5">
        <f>SUM(FO!B62,PO!B62,CO!B62,FE!B62,PE!B62)</f>
        <v>0</v>
      </c>
      <c r="C62" s="5">
        <f>SUM(FO!C62,PO!C62,CO!C62,FE!C62,PE!C62)</f>
        <v>0</v>
      </c>
      <c r="D62" s="5">
        <f>SUM(FO!D62,PO!D62,CO!D62,FE!D62,PE!D62)</f>
        <v>0</v>
      </c>
      <c r="E62" s="5">
        <f>SUM(FO!E62,PO!E62,CO!E62,FE!E62,PE!E62)</f>
        <v>0</v>
      </c>
      <c r="F62" s="5">
        <f>SUM(FO!F62,PO!F62,CO!F62,FE!F62,PE!F62)</f>
        <v>0</v>
      </c>
      <c r="G62" s="5">
        <f>SUM(FO!G62,PO!G62,CO!G62,FE!G62,PE!G62)</f>
        <v>0</v>
      </c>
      <c r="H62" s="5">
        <f>SUM(FO!H62,PO!H62,CO!H62,FE!H62,PE!H62)</f>
        <v>-410.41</v>
      </c>
      <c r="I62" s="5">
        <f>SUM(FO!I62,PO!I62,CO!I62,FE!I62,PE!I62)</f>
        <v>0</v>
      </c>
      <c r="J62" s="5">
        <f>SUM(FO!J62,PO!J62,CO!J62,FE!J62,PE!J62)</f>
        <v>0</v>
      </c>
      <c r="K62" s="5">
        <f>SUM(FO!K62,PO!K62,CO!K62,FE!K62,PE!K62)</f>
        <v>0</v>
      </c>
      <c r="L62" s="5">
        <f>SUM(FO!L62,PO!L62,CO!L62,FE!L62,PE!L62)</f>
        <v>0</v>
      </c>
      <c r="M62" s="5">
        <f>SUM(FO!M62,PO!M62,CO!M62,FE!M62,PE!M62)</f>
        <v>0</v>
      </c>
      <c r="N62" s="5">
        <f t="shared" si="45"/>
        <v>-410.41</v>
      </c>
      <c r="O62" s="28">
        <f t="shared" si="46"/>
        <v>-0.00005528196958</v>
      </c>
      <c r="P62" s="5"/>
      <c r="Q62" s="5"/>
      <c r="R62" s="5"/>
      <c r="S62" s="5"/>
      <c r="T62" s="5"/>
      <c r="U62" s="5">
        <f>SUM(FO!U62,PO!U62,CO!U62,FE!U62,PE!U62)</f>
        <v>0</v>
      </c>
      <c r="V62" s="5">
        <f>SUM(FO!V62,PO!V62,CO!V62,FE!V62,PE!V62)</f>
        <v>0</v>
      </c>
      <c r="W62" s="5">
        <f>SUM(FO!W62,PO!W62,CO!W62,FE!W62,PE!W62)</f>
        <v>0</v>
      </c>
      <c r="X62" s="5">
        <f>SUM(FO!X62,PO!X62,CO!X62,FE!X62,PE!X62)</f>
        <v>0</v>
      </c>
      <c r="Y62" s="5">
        <f>SUM(FO!Y62,PO!Y62,CO!Y62,FE!Y62,PE!Y62)</f>
        <v>0</v>
      </c>
      <c r="Z62" s="5">
        <f>SUM(FO!Z62,PO!Z62,CO!Z62,FE!Z62,PE!Z62)</f>
        <v>0</v>
      </c>
      <c r="AA62" s="5">
        <f>SUM(FO!AA62,PO!AA62,CO!AA62,FE!AA62,PE!AA62)</f>
        <v>0</v>
      </c>
      <c r="AB62" s="5">
        <f>SUM(FO!AB62,PO!AB62,CO!AB62,FE!AB62,PE!AB62)</f>
        <v>0</v>
      </c>
      <c r="AC62" s="5">
        <f>SUM(FO!AC62,PO!AC62,CO!AC62,FE!AC62,PE!AC62)</f>
        <v>0</v>
      </c>
      <c r="AD62" s="5">
        <f>SUM(FO!AD62,PO!AD62,CO!AD62,FE!AD62,PE!AD62)</f>
        <v>0</v>
      </c>
      <c r="AE62" s="5">
        <f>SUM(FO!AE62,PO!AE62,CO!AE62,FE!AE62,PE!AE62)</f>
        <v>0</v>
      </c>
      <c r="AF62" s="5">
        <f>SUM(FO!AF62,PO!AF62,CO!AF62,FE!AF62,PE!AF62)</f>
        <v>0</v>
      </c>
      <c r="AG62" s="5">
        <f t="shared" si="47"/>
        <v>0</v>
      </c>
      <c r="AH62" s="28" t="str">
        <f t="shared" si="48"/>
        <v/>
      </c>
      <c r="AI62" s="4"/>
      <c r="AJ62" s="5">
        <f t="shared" si="49"/>
        <v>-410.41</v>
      </c>
      <c r="AK62" s="4"/>
    </row>
    <row r="63" ht="13.5" customHeight="1">
      <c r="A63" s="33" t="s">
        <v>88</v>
      </c>
      <c r="B63" s="34">
        <f t="shared" ref="B63:M63" si="52">B37+B38+B39+B40+B41+B42+B56+B61+B62</f>
        <v>268558.97</v>
      </c>
      <c r="C63" s="34">
        <f t="shared" si="52"/>
        <v>280971.67</v>
      </c>
      <c r="D63" s="34">
        <f t="shared" si="52"/>
        <v>345439.98</v>
      </c>
      <c r="E63" s="34">
        <f t="shared" si="52"/>
        <v>344866.53</v>
      </c>
      <c r="F63" s="34">
        <f t="shared" si="52"/>
        <v>384662.49</v>
      </c>
      <c r="G63" s="34">
        <f t="shared" si="52"/>
        <v>357268.48</v>
      </c>
      <c r="H63" s="34">
        <f t="shared" si="52"/>
        <v>344215.57</v>
      </c>
      <c r="I63" s="34">
        <f t="shared" si="52"/>
        <v>458933.14</v>
      </c>
      <c r="J63" s="34">
        <f t="shared" si="52"/>
        <v>416892.9105</v>
      </c>
      <c r="K63" s="34">
        <f t="shared" si="52"/>
        <v>423868.8629</v>
      </c>
      <c r="L63" s="34">
        <f t="shared" si="52"/>
        <v>422458.2914</v>
      </c>
      <c r="M63" s="34">
        <f t="shared" si="52"/>
        <v>429878.72</v>
      </c>
      <c r="N63" s="34">
        <f t="shared" si="45"/>
        <v>4478015.615</v>
      </c>
      <c r="O63" s="35">
        <f t="shared" si="46"/>
        <v>0.6031858946</v>
      </c>
      <c r="P63" s="5"/>
      <c r="Q63" s="5"/>
      <c r="R63" s="5"/>
      <c r="S63" s="5"/>
      <c r="T63" s="5"/>
      <c r="U63" s="34">
        <f t="shared" ref="U63:AF63" si="53">U37+U38+U39+U40+U41+U42+U56+U61+U62</f>
        <v>231228.7066</v>
      </c>
      <c r="V63" s="34">
        <f t="shared" si="53"/>
        <v>196228.7066</v>
      </c>
      <c r="W63" s="34">
        <f t="shared" si="53"/>
        <v>196228.7066</v>
      </c>
      <c r="X63" s="34">
        <f t="shared" si="53"/>
        <v>196228.7066</v>
      </c>
      <c r="Y63" s="34">
        <f t="shared" si="53"/>
        <v>201666.2066</v>
      </c>
      <c r="Z63" s="34">
        <f t="shared" si="53"/>
        <v>197645.3732</v>
      </c>
      <c r="AA63" s="34">
        <f t="shared" si="53"/>
        <v>198353.7066</v>
      </c>
      <c r="AB63" s="34">
        <f t="shared" si="53"/>
        <v>199062.0399</v>
      </c>
      <c r="AC63" s="34">
        <f t="shared" si="53"/>
        <v>199770.3732</v>
      </c>
      <c r="AD63" s="34">
        <f t="shared" si="53"/>
        <v>208801.8889</v>
      </c>
      <c r="AE63" s="34">
        <f t="shared" si="53"/>
        <v>206135.2223</v>
      </c>
      <c r="AF63" s="34">
        <f t="shared" si="53"/>
        <v>206843.5556</v>
      </c>
      <c r="AG63" s="34">
        <f t="shared" si="47"/>
        <v>2438193.193</v>
      </c>
      <c r="AH63" s="35" t="str">
        <f t="shared" si="48"/>
        <v/>
      </c>
      <c r="AI63" s="4"/>
      <c r="AJ63" s="34">
        <f t="shared" si="49"/>
        <v>2039822.422</v>
      </c>
      <c r="AK63" s="4"/>
    </row>
    <row r="64" ht="13.5" customHeight="1">
      <c r="A64" s="40" t="s">
        <v>89</v>
      </c>
      <c r="B64" s="41">
        <f t="shared" ref="B64:M64" si="54">B16-B63</f>
        <v>274435.59</v>
      </c>
      <c r="C64" s="41">
        <f t="shared" si="54"/>
        <v>222255.39</v>
      </c>
      <c r="D64" s="41">
        <f t="shared" si="54"/>
        <v>201441.35</v>
      </c>
      <c r="E64" s="41">
        <f t="shared" si="54"/>
        <v>404837.45</v>
      </c>
      <c r="F64" s="41">
        <f t="shared" si="54"/>
        <v>135283.4</v>
      </c>
      <c r="G64" s="41">
        <f t="shared" si="54"/>
        <v>122474.52</v>
      </c>
      <c r="H64" s="41">
        <f t="shared" si="54"/>
        <v>296993.26</v>
      </c>
      <c r="I64" s="41">
        <f t="shared" si="54"/>
        <v>12372.42</v>
      </c>
      <c r="J64" s="41">
        <f t="shared" si="54"/>
        <v>234714.4229</v>
      </c>
      <c r="K64" s="41">
        <f t="shared" si="54"/>
        <v>323571.8038</v>
      </c>
      <c r="L64" s="41">
        <f t="shared" si="54"/>
        <v>349982.3752</v>
      </c>
      <c r="M64" s="41">
        <f t="shared" si="54"/>
        <v>367561.9467</v>
      </c>
      <c r="N64" s="41">
        <f t="shared" si="45"/>
        <v>2945923.929</v>
      </c>
      <c r="O64" s="42">
        <f t="shared" si="46"/>
        <v>0.3968141054</v>
      </c>
      <c r="P64" s="5"/>
      <c r="Q64" s="5"/>
      <c r="R64" s="5"/>
      <c r="S64" s="5"/>
      <c r="T64" s="5"/>
      <c r="U64" s="41">
        <f t="shared" ref="U64:AF64" si="55">U16-U63</f>
        <v>-231228.7066</v>
      </c>
      <c r="V64" s="41">
        <f t="shared" si="55"/>
        <v>-196228.7066</v>
      </c>
      <c r="W64" s="41">
        <f t="shared" si="55"/>
        <v>-196228.7066</v>
      </c>
      <c r="X64" s="41">
        <f t="shared" si="55"/>
        <v>-196228.7066</v>
      </c>
      <c r="Y64" s="41">
        <f t="shared" si="55"/>
        <v>-201666.2066</v>
      </c>
      <c r="Z64" s="41">
        <f t="shared" si="55"/>
        <v>-197645.3732</v>
      </c>
      <c r="AA64" s="41">
        <f t="shared" si="55"/>
        <v>-198353.7066</v>
      </c>
      <c r="AB64" s="41">
        <f t="shared" si="55"/>
        <v>-199062.0399</v>
      </c>
      <c r="AC64" s="41">
        <f t="shared" si="55"/>
        <v>-199770.3732</v>
      </c>
      <c r="AD64" s="41">
        <f t="shared" si="55"/>
        <v>-208801.8889</v>
      </c>
      <c r="AE64" s="41">
        <f t="shared" si="55"/>
        <v>-206135.2223</v>
      </c>
      <c r="AF64" s="41">
        <f t="shared" si="55"/>
        <v>-206843.5556</v>
      </c>
      <c r="AG64" s="41">
        <f t="shared" si="47"/>
        <v>-2438193.193</v>
      </c>
      <c r="AH64" s="42" t="str">
        <f t="shared" si="48"/>
        <v/>
      </c>
      <c r="AI64" s="4"/>
      <c r="AJ64" s="41">
        <f>AG64-N64</f>
        <v>-5384117.121</v>
      </c>
      <c r="AK64" s="4"/>
    </row>
    <row r="65" ht="13.5" customHeight="1">
      <c r="A65" s="24" t="s">
        <v>90</v>
      </c>
      <c r="B65" s="57">
        <f t="shared" ref="B65:N65" si="56">IFERROR(B64/B16,"")</f>
        <v>0.5054113065</v>
      </c>
      <c r="C65" s="57">
        <f t="shared" si="56"/>
        <v>0.4416602517</v>
      </c>
      <c r="D65" s="57">
        <f t="shared" si="56"/>
        <v>0.3683456336</v>
      </c>
      <c r="E65" s="57">
        <f t="shared" si="56"/>
        <v>0.5399963996</v>
      </c>
      <c r="F65" s="57">
        <f t="shared" si="56"/>
        <v>0.2601874591</v>
      </c>
      <c r="G65" s="57">
        <f t="shared" si="56"/>
        <v>0.2552919376</v>
      </c>
      <c r="H65" s="57">
        <f t="shared" si="56"/>
        <v>0.4631771213</v>
      </c>
      <c r="I65" s="57">
        <f t="shared" si="56"/>
        <v>0.02625137713</v>
      </c>
      <c r="J65" s="57">
        <f t="shared" si="56"/>
        <v>0.3602083814</v>
      </c>
      <c r="K65" s="57">
        <f t="shared" si="56"/>
        <v>0.4329063406</v>
      </c>
      <c r="L65" s="57">
        <f t="shared" si="56"/>
        <v>0.4530864186</v>
      </c>
      <c r="M65" s="57">
        <f t="shared" si="56"/>
        <v>0.4609270157</v>
      </c>
      <c r="N65" s="57">
        <f t="shared" si="56"/>
        <v>0.3968141054</v>
      </c>
      <c r="O65" s="57"/>
      <c r="P65" s="58"/>
      <c r="Q65" s="58"/>
      <c r="R65" s="58"/>
      <c r="S65" s="58"/>
      <c r="T65" s="58"/>
      <c r="U65" s="57" t="str">
        <f t="shared" ref="U65:AG65" si="57">IFERROR(U64/U16,"")</f>
        <v/>
      </c>
      <c r="V65" s="57" t="str">
        <f t="shared" si="57"/>
        <v/>
      </c>
      <c r="W65" s="57" t="str">
        <f t="shared" si="57"/>
        <v/>
      </c>
      <c r="X65" s="57" t="str">
        <f t="shared" si="57"/>
        <v/>
      </c>
      <c r="Y65" s="57" t="str">
        <f t="shared" si="57"/>
        <v/>
      </c>
      <c r="Z65" s="57" t="str">
        <f t="shared" si="57"/>
        <v/>
      </c>
      <c r="AA65" s="57" t="str">
        <f t="shared" si="57"/>
        <v/>
      </c>
      <c r="AB65" s="57" t="str">
        <f t="shared" si="57"/>
        <v/>
      </c>
      <c r="AC65" s="57" t="str">
        <f t="shared" si="57"/>
        <v/>
      </c>
      <c r="AD65" s="57" t="str">
        <f t="shared" si="57"/>
        <v/>
      </c>
      <c r="AE65" s="57" t="str">
        <f t="shared" si="57"/>
        <v/>
      </c>
      <c r="AF65" s="57" t="str">
        <f t="shared" si="57"/>
        <v/>
      </c>
      <c r="AG65" s="57" t="str">
        <f t="shared" si="57"/>
        <v/>
      </c>
      <c r="AH65" s="57"/>
      <c r="AI65" s="59"/>
      <c r="AJ65" s="57"/>
      <c r="AK65" s="59"/>
    </row>
    <row r="66" ht="13.5" customHeight="1">
      <c r="A66" s="24" t="s">
        <v>91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28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28"/>
      <c r="AI66" s="4"/>
      <c r="AJ66" s="5"/>
      <c r="AK66" s="4"/>
    </row>
    <row r="67" ht="13.5" customHeight="1">
      <c r="A67" s="25" t="s">
        <v>92</v>
      </c>
      <c r="B67" s="5">
        <f>SUM(FO!B67,PO!B67,CO!B67,FE!B67,PE!B67)</f>
        <v>54176.66</v>
      </c>
      <c r="C67" s="5">
        <f>SUM(FO!C67,PO!C67,CO!C67,FE!C67,PE!C67)</f>
        <v>-73775.58</v>
      </c>
      <c r="D67" s="5">
        <f>SUM(FO!D67,PO!D67,CO!D67,FE!D67,PE!D67)</f>
        <v>140925.68</v>
      </c>
      <c r="E67" s="5">
        <f>SUM(FO!E67,PO!E67,CO!E67,FE!E67,PE!E67)</f>
        <v>134198.53</v>
      </c>
      <c r="F67" s="5">
        <f>SUM(FO!F67,PO!F67,CO!F67,FE!F67,PE!F67)</f>
        <v>203069.15</v>
      </c>
      <c r="G67" s="5">
        <f>SUM(FO!G67,PO!G67,CO!G67,FE!G67,PE!G67)</f>
        <v>190550.34</v>
      </c>
      <c r="H67" s="5">
        <f>SUM(FO!H67,PO!H67,CO!H67,FE!H67,PE!H67)</f>
        <v>184829.3</v>
      </c>
      <c r="I67" s="5">
        <f>SUM(FO!I67,PO!I67,CO!I67,FE!I67,PE!I67)</f>
        <v>197514.57</v>
      </c>
      <c r="J67" s="5">
        <f>SUM(FO!J67,PO!J67,CO!J67,FE!J67,PE!J67)</f>
        <v>265600</v>
      </c>
      <c r="K67" s="5">
        <f>SUM(FO!K67,PO!K67,CO!K67,FE!K67,PE!K67)</f>
        <v>287700</v>
      </c>
      <c r="L67" s="5">
        <f>SUM(FO!L67,PO!L67,CO!L67,FE!L67,PE!L67)</f>
        <v>290000</v>
      </c>
      <c r="M67" s="5">
        <f>SUM(FO!M67,PO!M67,CO!M67,FE!M67,PE!M67)</f>
        <v>299600</v>
      </c>
      <c r="N67" s="5">
        <f t="shared" ref="N67:N80" si="58">SUM(B67:M67)</f>
        <v>2174388.65</v>
      </c>
      <c r="O67" s="28">
        <f t="shared" ref="O67:O80" si="59">IFERROR(N67/N$16,"")</f>
        <v>0.2928887873</v>
      </c>
      <c r="P67" s="5"/>
      <c r="Q67" s="5"/>
      <c r="R67" s="5"/>
      <c r="S67" s="5"/>
      <c r="T67" s="5"/>
      <c r="U67" s="5">
        <f>SUM(FO!U67,PO!U67,CO!U67,FE!U67,PE!U67)</f>
        <v>188765.3333</v>
      </c>
      <c r="V67" s="5">
        <f>SUM(FO!V67,PO!V67,CO!V67,FE!V67,PE!V67)</f>
        <v>188765.3333</v>
      </c>
      <c r="W67" s="5">
        <f>SUM(FO!W67,PO!W67,CO!W67,FE!W67,PE!W67)</f>
        <v>188765.3333</v>
      </c>
      <c r="X67" s="5">
        <f>SUM(FO!X67,PO!X67,CO!X67,FE!X67,PE!X67)</f>
        <v>188765.3333</v>
      </c>
      <c r="Y67" s="5">
        <f>SUM(FO!Y67,PO!Y67,CO!Y67,FE!Y67,PE!Y67)</f>
        <v>188765.3333</v>
      </c>
      <c r="Z67" s="5">
        <f>SUM(FO!Z67,PO!Z67,CO!Z67,FE!Z67,PE!Z67)</f>
        <v>188765.3333</v>
      </c>
      <c r="AA67" s="5">
        <f>SUM(FO!AA67,PO!AA67,CO!AA67,FE!AA67,PE!AA67)</f>
        <v>188765.3333</v>
      </c>
      <c r="AB67" s="5">
        <f>SUM(FO!AB67,PO!AB67,CO!AB67,FE!AB67,PE!AB67)</f>
        <v>188765.3333</v>
      </c>
      <c r="AC67" s="5">
        <f>SUM(FO!AC67,PO!AC67,CO!AC67,FE!AC67,PE!AC67)</f>
        <v>188765.3333</v>
      </c>
      <c r="AD67" s="5">
        <f>SUM(FO!AD67,PO!AD67,CO!AD67,FE!AD67,PE!AD67)</f>
        <v>194428.2933</v>
      </c>
      <c r="AE67" s="5">
        <f>SUM(FO!AE67,PO!AE67,CO!AE67,FE!AE67,PE!AE67)</f>
        <v>194428.2933</v>
      </c>
      <c r="AF67" s="5">
        <f>SUM(FO!AF67,PO!AF67,CO!AF67,FE!AF67,PE!AF67)</f>
        <v>194428.2933</v>
      </c>
      <c r="AG67" s="5">
        <f t="shared" ref="AG67:AG80" si="60">SUM(U67:AF67)</f>
        <v>2282172.88</v>
      </c>
      <c r="AH67" s="28" t="str">
        <f t="shared" ref="AH67:AH80" si="61">IFERROR(AG67/AG$16,"")</f>
        <v/>
      </c>
      <c r="AI67" s="4"/>
      <c r="AJ67" s="5">
        <f t="shared" ref="AJ67:AJ80" si="62">N67-AG67</f>
        <v>-107784.23</v>
      </c>
      <c r="AK67" s="4"/>
    </row>
    <row r="68" ht="13.5" customHeight="1">
      <c r="A68" s="25" t="s">
        <v>93</v>
      </c>
      <c r="B68" s="5">
        <f>SUM(FO!B68,PO!B68,CO!B68,FE!B68,PE!B68)</f>
        <v>14246.86</v>
      </c>
      <c r="C68" s="5">
        <f>SUM(FO!C68,PO!C68,CO!C68,FE!C68,PE!C68)</f>
        <v>38431.92</v>
      </c>
      <c r="D68" s="5">
        <f>SUM(FO!D68,PO!D68,CO!D68,FE!D68,PE!D68)</f>
        <v>6290.03</v>
      </c>
      <c r="E68" s="5">
        <f>SUM(FO!E68,PO!E68,CO!E68,FE!E68,PE!E68)</f>
        <v>5633.46</v>
      </c>
      <c r="F68" s="5">
        <f>SUM(FO!F68,PO!F68,CO!F68,FE!F68,PE!F68)</f>
        <v>7753.08</v>
      </c>
      <c r="G68" s="5">
        <f>SUM(FO!G68,PO!G68,CO!G68,FE!G68,PE!G68)</f>
        <v>7265.23</v>
      </c>
      <c r="H68" s="5">
        <f>SUM(FO!H68,PO!H68,CO!H68,FE!H68,PE!H68)</f>
        <v>7181.3</v>
      </c>
      <c r="I68" s="5">
        <f>SUM(FO!I68,PO!I68,CO!I68,FE!I68,PE!I68)</f>
        <v>10596.09</v>
      </c>
      <c r="J68" s="5">
        <f>SUM(FO!J68,PO!J68,CO!J68,FE!J68,PE!J68)</f>
        <v>10133</v>
      </c>
      <c r="K68" s="5">
        <f>SUM(FO!K68,PO!K68,CO!K68,FE!K68,PE!K68)</f>
        <v>11006</v>
      </c>
      <c r="L68" s="5">
        <f>SUM(FO!L68,PO!L68,CO!L68,FE!L68,PE!L68)</f>
        <v>11098</v>
      </c>
      <c r="M68" s="5">
        <f>SUM(FO!M68,PO!M68,CO!M68,FE!M68,PE!M68)</f>
        <v>11444</v>
      </c>
      <c r="N68" s="5">
        <f t="shared" si="58"/>
        <v>141078.97</v>
      </c>
      <c r="O68" s="28">
        <f t="shared" si="59"/>
        <v>0.01900324877</v>
      </c>
      <c r="P68" s="5"/>
      <c r="Q68" s="5"/>
      <c r="R68" s="5"/>
      <c r="S68" s="5"/>
      <c r="T68" s="5"/>
      <c r="U68" s="5">
        <f>SUM(FO!U68,PO!U68,CO!U68,FE!U68,PE!U68)</f>
        <v>7741.081465</v>
      </c>
      <c r="V68" s="5">
        <f>SUM(FO!V68,PO!V68,CO!V68,FE!V68,PE!V68)</f>
        <v>7741.081465</v>
      </c>
      <c r="W68" s="5">
        <f>SUM(FO!W68,PO!W68,CO!W68,FE!W68,PE!W68)</f>
        <v>7741.081465</v>
      </c>
      <c r="X68" s="5">
        <f>SUM(FO!X68,PO!X68,CO!X68,FE!X68,PE!X68)</f>
        <v>7741.081465</v>
      </c>
      <c r="Y68" s="5">
        <f>SUM(FO!Y68,PO!Y68,CO!Y68,FE!Y68,PE!Y68)</f>
        <v>7741.081465</v>
      </c>
      <c r="Z68" s="5">
        <f>SUM(FO!Z68,PO!Z68,CO!Z68,FE!Z68,PE!Z68)</f>
        <v>7741.081465</v>
      </c>
      <c r="AA68" s="5">
        <f>SUM(FO!AA68,PO!AA68,CO!AA68,FE!AA68,PE!AA68)</f>
        <v>7741.081465</v>
      </c>
      <c r="AB68" s="5">
        <f>SUM(FO!AB68,PO!AB68,CO!AB68,FE!AB68,PE!AB68)</f>
        <v>7741.081465</v>
      </c>
      <c r="AC68" s="5">
        <f>SUM(FO!AC68,PO!AC68,CO!AC68,FE!AC68,PE!AC68)</f>
        <v>7741.081465</v>
      </c>
      <c r="AD68" s="5">
        <f>SUM(FO!AD68,PO!AD68,CO!AD68,FE!AD68,PE!AD68)</f>
        <v>7973.313909</v>
      </c>
      <c r="AE68" s="5">
        <f>SUM(FO!AE68,PO!AE68,CO!AE68,FE!AE68,PE!AE68)</f>
        <v>7973.313909</v>
      </c>
      <c r="AF68" s="5">
        <f>SUM(FO!AF68,PO!AF68,CO!AF68,FE!AF68,PE!AF68)</f>
        <v>7973.313909</v>
      </c>
      <c r="AG68" s="5">
        <f t="shared" si="60"/>
        <v>93589.67491</v>
      </c>
      <c r="AH68" s="28" t="str">
        <f t="shared" si="61"/>
        <v/>
      </c>
      <c r="AI68" s="4"/>
      <c r="AJ68" s="5">
        <f t="shared" si="62"/>
        <v>47489.29509</v>
      </c>
      <c r="AK68" s="4"/>
    </row>
    <row r="69" ht="13.5" customHeight="1">
      <c r="A69" s="25" t="s">
        <v>94</v>
      </c>
      <c r="B69" s="5">
        <f>SUM(FO!B69,PO!B69,CO!B69,FE!B69,PE!B69)</f>
        <v>56302.42</v>
      </c>
      <c r="C69" s="5">
        <f>SUM(FO!C69,PO!C69,CO!C69,FE!C69,PE!C69)</f>
        <v>25595.52</v>
      </c>
      <c r="D69" s="5">
        <f>SUM(FO!D69,PO!D69,CO!D69,FE!D69,PE!D69)</f>
        <v>20283.02</v>
      </c>
      <c r="E69" s="5">
        <f>SUM(FO!E69,PO!E69,CO!E69,FE!E69,PE!E69)</f>
        <v>21911.8</v>
      </c>
      <c r="F69" s="5">
        <f>SUM(FO!F69,PO!F69,CO!F69,FE!F69,PE!F69)</f>
        <v>14943.43</v>
      </c>
      <c r="G69" s="5">
        <f>SUM(FO!G69,PO!G69,CO!G69,FE!G69,PE!G69)</f>
        <v>18184.32</v>
      </c>
      <c r="H69" s="5">
        <f>SUM(FO!H69,PO!H69,CO!H69,FE!H69,PE!H69)</f>
        <v>12933.23</v>
      </c>
      <c r="I69" s="5">
        <f>SUM(FO!I69,PO!I69,CO!I69,FE!I69,PE!I69)</f>
        <v>20943.04</v>
      </c>
      <c r="J69" s="5">
        <f>SUM(FO!J69,PO!J69,CO!J69,FE!J69,PE!J69)</f>
        <v>23905</v>
      </c>
      <c r="K69" s="5">
        <f>SUM(FO!K69,PO!K69,CO!K69,FE!K69,PE!K69)</f>
        <v>26185</v>
      </c>
      <c r="L69" s="5">
        <f>SUM(FO!L69,PO!L69,CO!L69,FE!L69,PE!L69)</f>
        <v>26433</v>
      </c>
      <c r="M69" s="5">
        <f>SUM(FO!M69,PO!M69,CO!M69,FE!M69,PE!M69)</f>
        <v>27124</v>
      </c>
      <c r="N69" s="5">
        <f t="shared" si="58"/>
        <v>294743.78</v>
      </c>
      <c r="O69" s="28">
        <f t="shared" si="59"/>
        <v>0.0397018023</v>
      </c>
      <c r="P69" s="5"/>
      <c r="Q69" s="5"/>
      <c r="R69" s="5"/>
      <c r="S69" s="5"/>
      <c r="T69" s="5"/>
      <c r="U69" s="5">
        <f>SUM(FO!U69,PO!U69,CO!U69,FE!U69,PE!U69)</f>
        <v>17108.18279</v>
      </c>
      <c r="V69" s="5">
        <f>SUM(FO!V69,PO!V69,CO!V69,FE!V69,PE!V69)</f>
        <v>17108.18279</v>
      </c>
      <c r="W69" s="5">
        <f>SUM(FO!W69,PO!W69,CO!W69,FE!W69,PE!W69)</f>
        <v>17108.18279</v>
      </c>
      <c r="X69" s="5">
        <f>SUM(FO!X69,PO!X69,CO!X69,FE!X69,PE!X69)</f>
        <v>17108.18279</v>
      </c>
      <c r="Y69" s="5">
        <f>SUM(FO!Y69,PO!Y69,CO!Y69,FE!Y69,PE!Y69)</f>
        <v>17108.18279</v>
      </c>
      <c r="Z69" s="5">
        <f>SUM(FO!Z69,PO!Z69,CO!Z69,FE!Z69,PE!Z69)</f>
        <v>17108.18279</v>
      </c>
      <c r="AA69" s="5">
        <f>SUM(FO!AA69,PO!AA69,CO!AA69,FE!AA69,PE!AA69)</f>
        <v>17108.18279</v>
      </c>
      <c r="AB69" s="5">
        <f>SUM(FO!AB69,PO!AB69,CO!AB69,FE!AB69,PE!AB69)</f>
        <v>17108.18279</v>
      </c>
      <c r="AC69" s="5">
        <f>SUM(FO!AC69,PO!AC69,CO!AC69,FE!AC69,PE!AC69)</f>
        <v>17108.18279</v>
      </c>
      <c r="AD69" s="5">
        <f>SUM(FO!AD69,PO!AD69,CO!AD69,FE!AD69,PE!AD69)</f>
        <v>17621.42827</v>
      </c>
      <c r="AE69" s="5">
        <f>SUM(FO!AE69,PO!AE69,CO!AE69,FE!AE69,PE!AE69)</f>
        <v>17621.42827</v>
      </c>
      <c r="AF69" s="5">
        <f>SUM(FO!AF69,PO!AF69,CO!AF69,FE!AF69,PE!AF69)</f>
        <v>17621.42827</v>
      </c>
      <c r="AG69" s="5">
        <f t="shared" si="60"/>
        <v>206837.9299</v>
      </c>
      <c r="AH69" s="28" t="str">
        <f t="shared" si="61"/>
        <v/>
      </c>
      <c r="AI69" s="4"/>
      <c r="AJ69" s="5">
        <f t="shared" si="62"/>
        <v>87905.85008</v>
      </c>
      <c r="AK69" s="4"/>
    </row>
    <row r="70" ht="13.5" customHeight="1">
      <c r="A70" s="25" t="s">
        <v>95</v>
      </c>
      <c r="B70" s="5">
        <f>SUM(FO!B70,PO!B70,CO!B70,FE!B70,PE!B70)</f>
        <v>0</v>
      </c>
      <c r="C70" s="5">
        <f>SUM(FO!C70,PO!C70,CO!C70,FE!C70,PE!C70)</f>
        <v>0</v>
      </c>
      <c r="D70" s="5">
        <f>SUM(FO!D70,PO!D70,CO!D70,FE!D70,PE!D70)</f>
        <v>0</v>
      </c>
      <c r="E70" s="5">
        <f>SUM(FO!E70,PO!E70,CO!E70,FE!E70,PE!E70)</f>
        <v>0</v>
      </c>
      <c r="F70" s="5">
        <f>SUM(FO!F70,PO!F70,CO!F70,FE!F70,PE!F70)</f>
        <v>0</v>
      </c>
      <c r="G70" s="5">
        <f>SUM(FO!G70,PO!G70,CO!G70,FE!G70,PE!G70)</f>
        <v>0</v>
      </c>
      <c r="H70" s="5">
        <f>SUM(FO!H70,PO!H70,CO!H70,FE!H70,PE!H70)</f>
        <v>0</v>
      </c>
      <c r="I70" s="5">
        <f>SUM(FO!I70,PO!I70,CO!I70,FE!I70,PE!I70)</f>
        <v>0</v>
      </c>
      <c r="J70" s="5">
        <f>SUM(FO!J70,PO!J70,CO!J70,FE!J70,PE!J70)</f>
        <v>0</v>
      </c>
      <c r="K70" s="5">
        <f>SUM(FO!K70,PO!K70,CO!K70,FE!K70,PE!K70)</f>
        <v>0</v>
      </c>
      <c r="L70" s="5">
        <f>SUM(FO!L70,PO!L70,CO!L70,FE!L70,PE!L70)</f>
        <v>0</v>
      </c>
      <c r="M70" s="5">
        <f>SUM(FO!M70,PO!M70,CO!M70,FE!M70,PE!M70)</f>
        <v>0</v>
      </c>
      <c r="N70" s="5">
        <f t="shared" si="58"/>
        <v>0</v>
      </c>
      <c r="O70" s="28">
        <f t="shared" si="59"/>
        <v>0</v>
      </c>
      <c r="P70" s="5"/>
      <c r="Q70" s="5"/>
      <c r="R70" s="5"/>
      <c r="S70" s="5"/>
      <c r="T70" s="5"/>
      <c r="U70" s="5">
        <f>SUM(FO!U70,PO!U70,CO!U70,FE!U70,PE!U70)</f>
        <v>0</v>
      </c>
      <c r="V70" s="5">
        <f>SUM(FO!V70,PO!V70,CO!V70,FE!V70,PE!V70)</f>
        <v>0</v>
      </c>
      <c r="W70" s="5">
        <f>SUM(FO!W70,PO!W70,CO!W70,FE!W70,PE!W70)</f>
        <v>0</v>
      </c>
      <c r="X70" s="5">
        <f>SUM(FO!X70,PO!X70,CO!X70,FE!X70,PE!X70)</f>
        <v>0</v>
      </c>
      <c r="Y70" s="5">
        <f>SUM(FO!Y70,PO!Y70,CO!Y70,FE!Y70,PE!Y70)</f>
        <v>0</v>
      </c>
      <c r="Z70" s="5">
        <f>SUM(FO!Z70,PO!Z70,CO!Z70,FE!Z70,PE!Z70)</f>
        <v>0</v>
      </c>
      <c r="AA70" s="5">
        <f>SUM(FO!AA70,PO!AA70,CO!AA70,FE!AA70,PE!AA70)</f>
        <v>0</v>
      </c>
      <c r="AB70" s="5">
        <f>SUM(FO!AB70,PO!AB70,CO!AB70,FE!AB70,PE!AB70)</f>
        <v>0</v>
      </c>
      <c r="AC70" s="5">
        <f>SUM(FO!AC70,PO!AC70,CO!AC70,FE!AC70,PE!AC70)</f>
        <v>0</v>
      </c>
      <c r="AD70" s="5">
        <f>SUM(FO!AD70,PO!AD70,CO!AD70,FE!AD70,PE!AD70)</f>
        <v>0</v>
      </c>
      <c r="AE70" s="5">
        <f>SUM(FO!AE70,PO!AE70,CO!AE70,FE!AE70,PE!AE70)</f>
        <v>0</v>
      </c>
      <c r="AF70" s="5">
        <f>SUM(FO!AF70,PO!AF70,CO!AF70,FE!AF70,PE!AF70)</f>
        <v>0</v>
      </c>
      <c r="AG70" s="5">
        <f t="shared" si="60"/>
        <v>0</v>
      </c>
      <c r="AH70" s="28" t="str">
        <f t="shared" si="61"/>
        <v/>
      </c>
      <c r="AI70" s="4"/>
      <c r="AJ70" s="5">
        <f t="shared" si="62"/>
        <v>0</v>
      </c>
      <c r="AK70" s="4"/>
    </row>
    <row r="71" ht="13.5" customHeight="1">
      <c r="A71" s="25" t="s">
        <v>96</v>
      </c>
      <c r="B71" s="5">
        <f>SUM(FO!B71,PO!B71,CO!B71,FE!B71,PE!B71)</f>
        <v>0</v>
      </c>
      <c r="C71" s="5">
        <f>SUM(FO!C71,PO!C71,CO!C71,FE!C71,PE!C71)</f>
        <v>0</v>
      </c>
      <c r="D71" s="5">
        <f>SUM(FO!D71,PO!D71,CO!D71,FE!D71,PE!D71)</f>
        <v>0</v>
      </c>
      <c r="E71" s="5">
        <f>SUM(FO!E71,PO!E71,CO!E71,FE!E71,PE!E71)</f>
        <v>0</v>
      </c>
      <c r="F71" s="5">
        <f>SUM(FO!F71,PO!F71,CO!F71,FE!F71,PE!F71)</f>
        <v>0</v>
      </c>
      <c r="G71" s="5">
        <f>SUM(FO!G71,PO!G71,CO!G71,FE!G71,PE!G71)</f>
        <v>0</v>
      </c>
      <c r="H71" s="5">
        <f>SUM(FO!H71,PO!H71,CO!H71,FE!H71,PE!H71)</f>
        <v>0</v>
      </c>
      <c r="I71" s="5">
        <f>SUM(FO!I71,PO!I71,CO!I71,FE!I71,PE!I71)</f>
        <v>0</v>
      </c>
      <c r="J71" s="5">
        <f>SUM(FO!J71,PO!J71,CO!J71,FE!J71,PE!J71)</f>
        <v>0</v>
      </c>
      <c r="K71" s="5">
        <f>SUM(FO!K71,PO!K71,CO!K71,FE!K71,PE!K71)</f>
        <v>0</v>
      </c>
      <c r="L71" s="5">
        <f>SUM(FO!L71,PO!L71,CO!L71,FE!L71,PE!L71)</f>
        <v>0</v>
      </c>
      <c r="M71" s="5">
        <f>SUM(FO!M71,PO!M71,CO!M71,FE!M71,PE!M71)</f>
        <v>0</v>
      </c>
      <c r="N71" s="5">
        <f t="shared" si="58"/>
        <v>0</v>
      </c>
      <c r="O71" s="28">
        <f t="shared" si="59"/>
        <v>0</v>
      </c>
      <c r="P71" s="5"/>
      <c r="Q71" s="5"/>
      <c r="R71" s="5"/>
      <c r="S71" s="5"/>
      <c r="T71" s="5"/>
      <c r="U71" s="5">
        <f>SUM(FO!U71,PO!U71,CO!U71,FE!U71,PE!U71)</f>
        <v>0</v>
      </c>
      <c r="V71" s="5">
        <f>SUM(FO!V71,PO!V71,CO!V71,FE!V71,PE!V71)</f>
        <v>0</v>
      </c>
      <c r="W71" s="5">
        <f>SUM(FO!W71,PO!W71,CO!W71,FE!W71,PE!W71)</f>
        <v>0</v>
      </c>
      <c r="X71" s="5">
        <f>SUM(FO!X71,PO!X71,CO!X71,FE!X71,PE!X71)</f>
        <v>0</v>
      </c>
      <c r="Y71" s="5">
        <f>SUM(FO!Y71,PO!Y71,CO!Y71,FE!Y71,PE!Y71)</f>
        <v>0</v>
      </c>
      <c r="Z71" s="5">
        <f>SUM(FO!Z71,PO!Z71,CO!Z71,FE!Z71,PE!Z71)</f>
        <v>0</v>
      </c>
      <c r="AA71" s="5">
        <f>SUM(FO!AA71,PO!AA71,CO!AA71,FE!AA71,PE!AA71)</f>
        <v>0</v>
      </c>
      <c r="AB71" s="5">
        <f>SUM(FO!AB71,PO!AB71,CO!AB71,FE!AB71,PE!AB71)</f>
        <v>0</v>
      </c>
      <c r="AC71" s="5">
        <f>SUM(FO!AC71,PO!AC71,CO!AC71,FE!AC71,PE!AC71)</f>
        <v>0</v>
      </c>
      <c r="AD71" s="5">
        <f>SUM(FO!AD71,PO!AD71,CO!AD71,FE!AD71,PE!AD71)</f>
        <v>0</v>
      </c>
      <c r="AE71" s="5">
        <f>SUM(FO!AE71,PO!AE71,CO!AE71,FE!AE71,PE!AE71)</f>
        <v>0</v>
      </c>
      <c r="AF71" s="5">
        <f>SUM(FO!AF71,PO!AF71,CO!AF71,FE!AF71,PE!AF71)</f>
        <v>0</v>
      </c>
      <c r="AG71" s="5">
        <f t="shared" si="60"/>
        <v>0</v>
      </c>
      <c r="AH71" s="28" t="str">
        <f t="shared" si="61"/>
        <v/>
      </c>
      <c r="AI71" s="4"/>
      <c r="AJ71" s="5">
        <f t="shared" si="62"/>
        <v>0</v>
      </c>
      <c r="AK71" s="4"/>
    </row>
    <row r="72" ht="13.5" customHeight="1">
      <c r="A72" s="25" t="s">
        <v>97</v>
      </c>
      <c r="B72" s="5">
        <f>SUM(FO!B72,PO!B72,CO!B72,FE!B72,PE!B72)</f>
        <v>0</v>
      </c>
      <c r="C72" s="5">
        <f>SUM(FO!C72,PO!C72,CO!C72,FE!C72,PE!C72)</f>
        <v>0</v>
      </c>
      <c r="D72" s="5">
        <f>SUM(FO!D72,PO!D72,CO!D72,FE!D72,PE!D72)</f>
        <v>0</v>
      </c>
      <c r="E72" s="5">
        <f>SUM(FO!E72,PO!E72,CO!E72,FE!E72,PE!E72)</f>
        <v>0</v>
      </c>
      <c r="F72" s="5">
        <f>SUM(FO!F72,PO!F72,CO!F72,FE!F72,PE!F72)</f>
        <v>0</v>
      </c>
      <c r="G72" s="5">
        <f>SUM(FO!G72,PO!G72,CO!G72,FE!G72,PE!G72)</f>
        <v>0</v>
      </c>
      <c r="H72" s="5">
        <f>SUM(FO!H72,PO!H72,CO!H72,FE!H72,PE!H72)</f>
        <v>0</v>
      </c>
      <c r="I72" s="5">
        <f>SUM(FO!I72,PO!I72,CO!I72,FE!I72,PE!I72)</f>
        <v>0</v>
      </c>
      <c r="J72" s="5">
        <f>SUM(FO!J72,PO!J72,CO!J72,FE!J72,PE!J72)</f>
        <v>0</v>
      </c>
      <c r="K72" s="5">
        <f>SUM(FO!K72,PO!K72,CO!K72,FE!K72,PE!K72)</f>
        <v>0</v>
      </c>
      <c r="L72" s="5">
        <f>SUM(FO!L72,PO!L72,CO!L72,FE!L72,PE!L72)</f>
        <v>0</v>
      </c>
      <c r="M72" s="5">
        <f>SUM(FO!M72,PO!M72,CO!M72,FE!M72,PE!M72)</f>
        <v>0</v>
      </c>
      <c r="N72" s="5">
        <f t="shared" si="58"/>
        <v>0</v>
      </c>
      <c r="O72" s="28">
        <f t="shared" si="59"/>
        <v>0</v>
      </c>
      <c r="P72" s="5"/>
      <c r="Q72" s="5"/>
      <c r="R72" s="5"/>
      <c r="S72" s="5"/>
      <c r="T72" s="5"/>
      <c r="U72" s="5">
        <f>SUM(FO!U72,PO!U72,CO!U72,FE!U72,PE!U72)</f>
        <v>0</v>
      </c>
      <c r="V72" s="5">
        <f>SUM(FO!V72,PO!V72,CO!V72,FE!V72,PE!V72)</f>
        <v>0</v>
      </c>
      <c r="W72" s="5">
        <f>SUM(FO!W72,PO!W72,CO!W72,FE!W72,PE!W72)</f>
        <v>0</v>
      </c>
      <c r="X72" s="5">
        <f>SUM(FO!X72,PO!X72,CO!X72,FE!X72,PE!X72)</f>
        <v>0</v>
      </c>
      <c r="Y72" s="5">
        <f>SUM(FO!Y72,PO!Y72,CO!Y72,FE!Y72,PE!Y72)</f>
        <v>0</v>
      </c>
      <c r="Z72" s="5">
        <f>SUM(FO!Z72,PO!Z72,CO!Z72,FE!Z72,PE!Z72)</f>
        <v>0</v>
      </c>
      <c r="AA72" s="5">
        <f>SUM(FO!AA72,PO!AA72,CO!AA72,FE!AA72,PE!AA72)</f>
        <v>0</v>
      </c>
      <c r="AB72" s="5">
        <f>SUM(FO!AB72,PO!AB72,CO!AB72,FE!AB72,PE!AB72)</f>
        <v>0</v>
      </c>
      <c r="AC72" s="5">
        <f>SUM(FO!AC72,PO!AC72,CO!AC72,FE!AC72,PE!AC72)</f>
        <v>0</v>
      </c>
      <c r="AD72" s="5">
        <f>SUM(FO!AD72,PO!AD72,CO!AD72,FE!AD72,PE!AD72)</f>
        <v>0</v>
      </c>
      <c r="AE72" s="5">
        <f>SUM(FO!AE72,PO!AE72,CO!AE72,FE!AE72,PE!AE72)</f>
        <v>0</v>
      </c>
      <c r="AF72" s="5">
        <f>SUM(FO!AF72,PO!AF72,CO!AF72,FE!AF72,PE!AF72)</f>
        <v>0</v>
      </c>
      <c r="AG72" s="5">
        <f t="shared" si="60"/>
        <v>0</v>
      </c>
      <c r="AH72" s="28" t="str">
        <f t="shared" si="61"/>
        <v/>
      </c>
      <c r="AI72" s="4"/>
      <c r="AJ72" s="5">
        <f t="shared" si="62"/>
        <v>0</v>
      </c>
      <c r="AK72" s="4"/>
    </row>
    <row r="73" ht="13.5" customHeight="1">
      <c r="A73" s="60" t="s">
        <v>98</v>
      </c>
      <c r="B73" s="61">
        <f t="shared" ref="B73:M73" si="63">SUM(B67:B72)</f>
        <v>124725.94</v>
      </c>
      <c r="C73" s="61">
        <f t="shared" si="63"/>
        <v>-9748.14</v>
      </c>
      <c r="D73" s="61">
        <f t="shared" si="63"/>
        <v>167498.73</v>
      </c>
      <c r="E73" s="61">
        <f t="shared" si="63"/>
        <v>161743.79</v>
      </c>
      <c r="F73" s="61">
        <f t="shared" si="63"/>
        <v>225765.66</v>
      </c>
      <c r="G73" s="61">
        <f t="shared" si="63"/>
        <v>215999.89</v>
      </c>
      <c r="H73" s="61">
        <f t="shared" si="63"/>
        <v>204943.83</v>
      </c>
      <c r="I73" s="61">
        <f t="shared" si="63"/>
        <v>229053.7</v>
      </c>
      <c r="J73" s="61">
        <f t="shared" si="63"/>
        <v>299638</v>
      </c>
      <c r="K73" s="61">
        <f t="shared" si="63"/>
        <v>324891</v>
      </c>
      <c r="L73" s="61">
        <f t="shared" si="63"/>
        <v>327531</v>
      </c>
      <c r="M73" s="61">
        <f t="shared" si="63"/>
        <v>338168</v>
      </c>
      <c r="N73" s="61">
        <f t="shared" si="58"/>
        <v>2610211.4</v>
      </c>
      <c r="O73" s="62">
        <f t="shared" si="59"/>
        <v>0.3515938384</v>
      </c>
      <c r="P73" s="5"/>
      <c r="Q73" s="5"/>
      <c r="R73" s="5"/>
      <c r="S73" s="5"/>
      <c r="T73" s="5"/>
      <c r="U73" s="61">
        <f t="shared" ref="U73:AF73" si="64">SUM(U67:U72)</f>
        <v>213614.5976</v>
      </c>
      <c r="V73" s="61">
        <f t="shared" si="64"/>
        <v>213614.5976</v>
      </c>
      <c r="W73" s="61">
        <f t="shared" si="64"/>
        <v>213614.5976</v>
      </c>
      <c r="X73" s="61">
        <f t="shared" si="64"/>
        <v>213614.5976</v>
      </c>
      <c r="Y73" s="61">
        <f t="shared" si="64"/>
        <v>213614.5976</v>
      </c>
      <c r="Z73" s="61">
        <f t="shared" si="64"/>
        <v>213614.5976</v>
      </c>
      <c r="AA73" s="61">
        <f t="shared" si="64"/>
        <v>213614.5976</v>
      </c>
      <c r="AB73" s="61">
        <f t="shared" si="64"/>
        <v>213614.5976</v>
      </c>
      <c r="AC73" s="61">
        <f t="shared" si="64"/>
        <v>213614.5976</v>
      </c>
      <c r="AD73" s="61">
        <f t="shared" si="64"/>
        <v>220023.0355</v>
      </c>
      <c r="AE73" s="61">
        <f t="shared" si="64"/>
        <v>220023.0355</v>
      </c>
      <c r="AF73" s="61">
        <f t="shared" si="64"/>
        <v>220023.0355</v>
      </c>
      <c r="AG73" s="61">
        <f t="shared" si="60"/>
        <v>2582600.485</v>
      </c>
      <c r="AH73" s="62" t="str">
        <f t="shared" si="61"/>
        <v/>
      </c>
      <c r="AI73" s="4"/>
      <c r="AJ73" s="61">
        <f t="shared" si="62"/>
        <v>27610.91517</v>
      </c>
      <c r="AK73" s="4"/>
    </row>
    <row r="74" ht="13.5" customHeight="1">
      <c r="A74" s="25" t="s">
        <v>99</v>
      </c>
      <c r="B74" s="5">
        <f>SUM(FO!B74,PO!B74,CO!B74,FE!B74,PE!B74)</f>
        <v>1875.49</v>
      </c>
      <c r="C74" s="5">
        <f>SUM(FO!C74,PO!C74,CO!C74,FE!C74,PE!C74)</f>
        <v>1791.21</v>
      </c>
      <c r="D74" s="5">
        <f>SUM(FO!D74,PO!D74,CO!D74,FE!D74,PE!D74)</f>
        <v>2123.14</v>
      </c>
      <c r="E74" s="5">
        <f>SUM(FO!E74,PO!E74,CO!E74,FE!E74,PE!E74)</f>
        <v>9767.2</v>
      </c>
      <c r="F74" s="5">
        <f>SUM(FO!F74,PO!F74,CO!F74,FE!F74,PE!F74)</f>
        <v>6562.35</v>
      </c>
      <c r="G74" s="5">
        <f>SUM(FO!G74,PO!G74,CO!G74,FE!G74,PE!G74)</f>
        <v>12287.21</v>
      </c>
      <c r="H74" s="5">
        <f>SUM(FO!H74,PO!H74,CO!H74,FE!H74,PE!H74)</f>
        <v>9428.97</v>
      </c>
      <c r="I74" s="5">
        <f>SUM(FO!I74,PO!I74,CO!I74,FE!I74,PE!I74)</f>
        <v>3944</v>
      </c>
      <c r="J74" s="5">
        <f>SUM(FO!J74,PO!J74,CO!J74,FE!J74,PE!J74)</f>
        <v>7500</v>
      </c>
      <c r="K74" s="5">
        <f>SUM(FO!K74,PO!K74,CO!K74,FE!K74,PE!K74)</f>
        <v>7500</v>
      </c>
      <c r="L74" s="5">
        <f>SUM(FO!L74,PO!L74,CO!L74,FE!L74,PE!L74)</f>
        <v>7500</v>
      </c>
      <c r="M74" s="5">
        <f>SUM(FO!M74,PO!M74,CO!M74,FE!M74,PE!M74)</f>
        <v>7500</v>
      </c>
      <c r="N74" s="5">
        <f t="shared" si="58"/>
        <v>77779.57</v>
      </c>
      <c r="O74" s="28">
        <f t="shared" si="59"/>
        <v>0.01047685929</v>
      </c>
      <c r="P74" s="5"/>
      <c r="Q74" s="5"/>
      <c r="R74" s="5"/>
      <c r="S74" s="5"/>
      <c r="T74" s="5"/>
      <c r="U74" s="5">
        <f>SUM(FO!U74,PO!U74,CO!U74,FE!U74,PE!U74)</f>
        <v>500</v>
      </c>
      <c r="V74" s="5">
        <f>SUM(FO!V74,PO!V74,CO!V74,FE!V74,PE!V74)</f>
        <v>500</v>
      </c>
      <c r="W74" s="5">
        <f>SUM(FO!W74,PO!W74,CO!W74,FE!W74,PE!W74)</f>
        <v>1500</v>
      </c>
      <c r="X74" s="5">
        <f>SUM(FO!X74,PO!X74,CO!X74,FE!X74,PE!X74)</f>
        <v>1500</v>
      </c>
      <c r="Y74" s="5">
        <f>SUM(FO!Y74,PO!Y74,CO!Y74,FE!Y74,PE!Y74)</f>
        <v>2000</v>
      </c>
      <c r="Z74" s="5">
        <f>SUM(FO!Z74,PO!Z74,CO!Z74,FE!Z74,PE!Z74)</f>
        <v>2000</v>
      </c>
      <c r="AA74" s="5">
        <f>SUM(FO!AA74,PO!AA74,CO!AA74,FE!AA74,PE!AA74)</f>
        <v>2500</v>
      </c>
      <c r="AB74" s="5">
        <f>SUM(FO!AB74,PO!AB74,CO!AB74,FE!AB74,PE!AB74)</f>
        <v>2500</v>
      </c>
      <c r="AC74" s="5">
        <f>SUM(FO!AC74,PO!AC74,CO!AC74,FE!AC74,PE!AC74)</f>
        <v>3000</v>
      </c>
      <c r="AD74" s="5">
        <f>SUM(FO!AD74,PO!AD74,CO!AD74,FE!AD74,PE!AD74)</f>
        <v>3000</v>
      </c>
      <c r="AE74" s="5">
        <f>SUM(FO!AE74,PO!AE74,CO!AE74,FE!AE74,PE!AE74)</f>
        <v>3500</v>
      </c>
      <c r="AF74" s="5">
        <f>SUM(FO!AF74,PO!AF74,CO!AF74,FE!AF74,PE!AF74)</f>
        <v>4000</v>
      </c>
      <c r="AG74" s="5">
        <f t="shared" si="60"/>
        <v>26500</v>
      </c>
      <c r="AH74" s="28" t="str">
        <f t="shared" si="61"/>
        <v/>
      </c>
      <c r="AI74" s="4"/>
      <c r="AJ74" s="5">
        <f t="shared" si="62"/>
        <v>51279.57</v>
      </c>
      <c r="AK74" s="4"/>
    </row>
    <row r="75" ht="13.5" customHeight="1">
      <c r="A75" s="25" t="s">
        <v>100</v>
      </c>
      <c r="B75" s="5">
        <f>SUM(FO!B75,PO!B75,CO!B75,FE!B75,PE!B75)</f>
        <v>399.67</v>
      </c>
      <c r="C75" s="5">
        <f>SUM(FO!C75,PO!C75,CO!C75,FE!C75,PE!C75)</f>
        <v>218.65</v>
      </c>
      <c r="D75" s="5">
        <f>SUM(FO!D75,PO!D75,CO!D75,FE!D75,PE!D75)</f>
        <v>0</v>
      </c>
      <c r="E75" s="5">
        <f>SUM(FO!E75,PO!E75,CO!E75,FE!E75,PE!E75)</f>
        <v>3145.44</v>
      </c>
      <c r="F75" s="5">
        <f>SUM(FO!F75,PO!F75,CO!F75,FE!F75,PE!F75)</f>
        <v>0</v>
      </c>
      <c r="G75" s="5">
        <f>SUM(FO!G75,PO!G75,CO!G75,FE!G75,PE!G75)</f>
        <v>327.78</v>
      </c>
      <c r="H75" s="5">
        <f>SUM(FO!H75,PO!H75,CO!H75,FE!H75,PE!H75)</f>
        <v>234.79</v>
      </c>
      <c r="I75" s="5">
        <f>SUM(FO!I75,PO!I75,CO!I75,FE!I75,PE!I75)</f>
        <v>310.75</v>
      </c>
      <c r="J75" s="5">
        <f>SUM(FO!J75,PO!J75,CO!J75,FE!J75,PE!J75)</f>
        <v>850</v>
      </c>
      <c r="K75" s="5">
        <f>SUM(FO!K75,PO!K75,CO!K75,FE!K75,PE!K75)</f>
        <v>850</v>
      </c>
      <c r="L75" s="5">
        <f>SUM(FO!L75,PO!L75,CO!L75,FE!L75,PE!L75)</f>
        <v>850</v>
      </c>
      <c r="M75" s="5">
        <f>SUM(FO!M75,PO!M75,CO!M75,FE!M75,PE!M75)</f>
        <v>850</v>
      </c>
      <c r="N75" s="5">
        <f t="shared" si="58"/>
        <v>8037.08</v>
      </c>
      <c r="O75" s="28">
        <f t="shared" si="59"/>
        <v>0.001082589635</v>
      </c>
      <c r="P75" s="5"/>
      <c r="Q75" s="5"/>
      <c r="R75" s="5"/>
      <c r="S75" s="5"/>
      <c r="T75" s="5"/>
      <c r="U75" s="5">
        <f>SUM(FO!U75,PO!U75,CO!U75,FE!U75,PE!U75)</f>
        <v>0</v>
      </c>
      <c r="V75" s="5">
        <f>SUM(FO!V75,PO!V75,CO!V75,FE!V75,PE!V75)</f>
        <v>0</v>
      </c>
      <c r="W75" s="5">
        <f>SUM(FO!W75,PO!W75,CO!W75,FE!W75,PE!W75)</f>
        <v>0</v>
      </c>
      <c r="X75" s="5">
        <f>SUM(FO!X75,PO!X75,CO!X75,FE!X75,PE!X75)</f>
        <v>0</v>
      </c>
      <c r="Y75" s="5">
        <f>SUM(FO!Y75,PO!Y75,CO!Y75,FE!Y75,PE!Y75)</f>
        <v>0</v>
      </c>
      <c r="Z75" s="5">
        <f>SUM(FO!Z75,PO!Z75,CO!Z75,FE!Z75,PE!Z75)</f>
        <v>0</v>
      </c>
      <c r="AA75" s="5">
        <f>SUM(FO!AA75,PO!AA75,CO!AA75,FE!AA75,PE!AA75)</f>
        <v>0</v>
      </c>
      <c r="AB75" s="5">
        <f>SUM(FO!AB75,PO!AB75,CO!AB75,FE!AB75,PE!AB75)</f>
        <v>0</v>
      </c>
      <c r="AC75" s="5">
        <f>SUM(FO!AC75,PO!AC75,CO!AC75,FE!AC75,PE!AC75)</f>
        <v>0</v>
      </c>
      <c r="AD75" s="5">
        <f>SUM(FO!AD75,PO!AD75,CO!AD75,FE!AD75,PE!AD75)</f>
        <v>0</v>
      </c>
      <c r="AE75" s="5">
        <f>SUM(FO!AE75,PO!AE75,CO!AE75,FE!AE75,PE!AE75)</f>
        <v>0</v>
      </c>
      <c r="AF75" s="5">
        <f>SUM(FO!AF75,PO!AF75,CO!AF75,FE!AF75,PE!AF75)</f>
        <v>0</v>
      </c>
      <c r="AG75" s="5">
        <f t="shared" si="60"/>
        <v>0</v>
      </c>
      <c r="AH75" s="28" t="str">
        <f t="shared" si="61"/>
        <v/>
      </c>
      <c r="AI75" s="4"/>
      <c r="AJ75" s="5">
        <f t="shared" si="62"/>
        <v>8037.08</v>
      </c>
      <c r="AK75" s="4"/>
    </row>
    <row r="76" ht="13.5" customHeight="1">
      <c r="A76" s="25" t="s">
        <v>101</v>
      </c>
      <c r="B76" s="5">
        <f>SUM(FO!B76,PO!B76,CO!B76,FE!B76,PE!B76)</f>
        <v>410.24</v>
      </c>
      <c r="C76" s="5">
        <f>SUM(FO!C76,PO!C76,CO!C76,FE!C76,PE!C76)</f>
        <v>0</v>
      </c>
      <c r="D76" s="5">
        <f>SUM(FO!D76,PO!D76,CO!D76,FE!D76,PE!D76)</f>
        <v>356.53</v>
      </c>
      <c r="E76" s="5">
        <f>SUM(FO!E76,PO!E76,CO!E76,FE!E76,PE!E76)</f>
        <v>683.77</v>
      </c>
      <c r="F76" s="5">
        <f>SUM(FO!F76,PO!F76,CO!F76,FE!F76,PE!F76)</f>
        <v>55.11</v>
      </c>
      <c r="G76" s="5">
        <f>SUM(FO!G76,PO!G76,CO!G76,FE!G76,PE!G76)</f>
        <v>0</v>
      </c>
      <c r="H76" s="5">
        <f>SUM(FO!H76,PO!H76,CO!H76,FE!H76,PE!H76)</f>
        <v>0</v>
      </c>
      <c r="I76" s="5">
        <f>SUM(FO!I76,PO!I76,CO!I76,FE!I76,PE!I76)</f>
        <v>119.7</v>
      </c>
      <c r="J76" s="5">
        <f>SUM(FO!J76,PO!J76,CO!J76,FE!J76,PE!J76)</f>
        <v>300</v>
      </c>
      <c r="K76" s="5">
        <f>SUM(FO!K76,PO!K76,CO!K76,FE!K76,PE!K76)</f>
        <v>300</v>
      </c>
      <c r="L76" s="5">
        <f>SUM(FO!L76,PO!L76,CO!L76,FE!L76,PE!L76)</f>
        <v>300</v>
      </c>
      <c r="M76" s="5">
        <f>SUM(FO!M76,PO!M76,CO!M76,FE!M76,PE!M76)</f>
        <v>300</v>
      </c>
      <c r="N76" s="5">
        <f t="shared" si="58"/>
        <v>2825.35</v>
      </c>
      <c r="O76" s="28">
        <f t="shared" si="59"/>
        <v>0.0003805728729</v>
      </c>
      <c r="P76" s="5"/>
      <c r="Q76" s="5"/>
      <c r="R76" s="5"/>
      <c r="S76" s="5"/>
      <c r="T76" s="5"/>
      <c r="U76" s="5">
        <f>SUM(FO!U76,PO!U76,CO!U76,FE!U76,PE!U76)</f>
        <v>100</v>
      </c>
      <c r="V76" s="5">
        <f>SUM(FO!V76,PO!V76,CO!V76,FE!V76,PE!V76)</f>
        <v>100</v>
      </c>
      <c r="W76" s="5">
        <f>SUM(FO!W76,PO!W76,CO!W76,FE!W76,PE!W76)</f>
        <v>300</v>
      </c>
      <c r="X76" s="5">
        <f>SUM(FO!X76,PO!X76,CO!X76,FE!X76,PE!X76)</f>
        <v>300</v>
      </c>
      <c r="Y76" s="5">
        <f>SUM(FO!Y76,PO!Y76,CO!Y76,FE!Y76,PE!Y76)</f>
        <v>400</v>
      </c>
      <c r="Z76" s="5">
        <f>SUM(FO!Z76,PO!Z76,CO!Z76,FE!Z76,PE!Z76)</f>
        <v>400</v>
      </c>
      <c r="AA76" s="5">
        <f>SUM(FO!AA76,PO!AA76,CO!AA76,FE!AA76,PE!AA76)</f>
        <v>500</v>
      </c>
      <c r="AB76" s="5">
        <f>SUM(FO!AB76,PO!AB76,CO!AB76,FE!AB76,PE!AB76)</f>
        <v>500</v>
      </c>
      <c r="AC76" s="5">
        <f>SUM(FO!AC76,PO!AC76,CO!AC76,FE!AC76,PE!AC76)</f>
        <v>600</v>
      </c>
      <c r="AD76" s="5">
        <f>SUM(FO!AD76,PO!AD76,CO!AD76,FE!AD76,PE!AD76)</f>
        <v>600</v>
      </c>
      <c r="AE76" s="5">
        <f>SUM(FO!AE76,PO!AE76,CO!AE76,FE!AE76,PE!AE76)</f>
        <v>700</v>
      </c>
      <c r="AF76" s="5">
        <f>SUM(FO!AF76,PO!AF76,CO!AF76,FE!AF76,PE!AF76)</f>
        <v>800</v>
      </c>
      <c r="AG76" s="5">
        <f t="shared" si="60"/>
        <v>5300</v>
      </c>
      <c r="AH76" s="28" t="str">
        <f t="shared" si="61"/>
        <v/>
      </c>
      <c r="AI76" s="4"/>
      <c r="AJ76" s="5">
        <f t="shared" si="62"/>
        <v>-2474.65</v>
      </c>
      <c r="AK76" s="4"/>
    </row>
    <row r="77" ht="13.5" customHeight="1">
      <c r="A77" s="25" t="s">
        <v>102</v>
      </c>
      <c r="B77" s="5">
        <f>SUM(FO!B77,PO!B77,CO!B77,FE!B77,PE!B77)</f>
        <v>0</v>
      </c>
      <c r="C77" s="5">
        <f>SUM(FO!C77,PO!C77,CO!C77,FE!C77,PE!C77)</f>
        <v>0</v>
      </c>
      <c r="D77" s="5">
        <f>SUM(FO!D77,PO!D77,CO!D77,FE!D77,PE!D77)</f>
        <v>0</v>
      </c>
      <c r="E77" s="5">
        <f>SUM(FO!E77,PO!E77,CO!E77,FE!E77,PE!E77)</f>
        <v>0</v>
      </c>
      <c r="F77" s="5">
        <f>SUM(FO!F77,PO!F77,CO!F77,FE!F77,PE!F77)</f>
        <v>0</v>
      </c>
      <c r="G77" s="5">
        <f>SUM(FO!G77,PO!G77,CO!G77,FE!G77,PE!G77)</f>
        <v>0</v>
      </c>
      <c r="H77" s="5">
        <f>SUM(FO!H77,PO!H77,CO!H77,FE!H77,PE!H77)</f>
        <v>0</v>
      </c>
      <c r="I77" s="5">
        <f>SUM(FO!I77,PO!I77,CO!I77,FE!I77,PE!I77)</f>
        <v>0</v>
      </c>
      <c r="J77" s="5">
        <f>SUM(FO!J77,PO!J77,CO!J77,FE!J77,PE!J77)</f>
        <v>0</v>
      </c>
      <c r="K77" s="5">
        <f>SUM(FO!K77,PO!K77,CO!K77,FE!K77,PE!K77)</f>
        <v>0</v>
      </c>
      <c r="L77" s="5">
        <f>SUM(FO!L77,PO!L77,CO!L77,FE!L77,PE!L77)</f>
        <v>0</v>
      </c>
      <c r="M77" s="5">
        <f>SUM(FO!M77,PO!M77,CO!M77,FE!M77,PE!M77)</f>
        <v>0</v>
      </c>
      <c r="N77" s="5">
        <f t="shared" si="58"/>
        <v>0</v>
      </c>
      <c r="O77" s="28">
        <f t="shared" si="59"/>
        <v>0</v>
      </c>
      <c r="P77" s="5"/>
      <c r="Q77" s="5"/>
      <c r="R77" s="5"/>
      <c r="S77" s="5"/>
      <c r="T77" s="5"/>
      <c r="U77" s="5">
        <f>SUM(FO!U77,PO!U77,CO!U77,FE!U77,PE!U77)</f>
        <v>0</v>
      </c>
      <c r="V77" s="5">
        <f>SUM(FO!V77,PO!V77,CO!V77,FE!V77,PE!V77)</f>
        <v>0</v>
      </c>
      <c r="W77" s="5">
        <f>SUM(FO!W77,PO!W77,CO!W77,FE!W77,PE!W77)</f>
        <v>0</v>
      </c>
      <c r="X77" s="5">
        <f>SUM(FO!X77,PO!X77,CO!X77,FE!X77,PE!X77)</f>
        <v>0</v>
      </c>
      <c r="Y77" s="5">
        <f>SUM(FO!Y77,PO!Y77,CO!Y77,FE!Y77,PE!Y77)</f>
        <v>0</v>
      </c>
      <c r="Z77" s="5">
        <f>SUM(FO!Z77,PO!Z77,CO!Z77,FE!Z77,PE!Z77)</f>
        <v>0</v>
      </c>
      <c r="AA77" s="5">
        <f>SUM(FO!AA77,PO!AA77,CO!AA77,FE!AA77,PE!AA77)</f>
        <v>0</v>
      </c>
      <c r="AB77" s="5">
        <f>SUM(FO!AB77,PO!AB77,CO!AB77,FE!AB77,PE!AB77)</f>
        <v>0</v>
      </c>
      <c r="AC77" s="5">
        <f>SUM(FO!AC77,PO!AC77,CO!AC77,FE!AC77,PE!AC77)</f>
        <v>0</v>
      </c>
      <c r="AD77" s="5">
        <f>SUM(FO!AD77,PO!AD77,CO!AD77,FE!AD77,PE!AD77)</f>
        <v>0</v>
      </c>
      <c r="AE77" s="5">
        <f>SUM(FO!AE77,PO!AE77,CO!AE77,FE!AE77,PE!AE77)</f>
        <v>0</v>
      </c>
      <c r="AF77" s="5">
        <f>SUM(FO!AF77,PO!AF77,CO!AF77,FE!AF77,PE!AF77)</f>
        <v>0</v>
      </c>
      <c r="AG77" s="5">
        <f t="shared" si="60"/>
        <v>0</v>
      </c>
      <c r="AH77" s="28" t="str">
        <f t="shared" si="61"/>
        <v/>
      </c>
      <c r="AI77" s="4"/>
      <c r="AJ77" s="5">
        <f t="shared" si="62"/>
        <v>0</v>
      </c>
      <c r="AK77" s="4"/>
    </row>
    <row r="78" ht="13.5" customHeight="1">
      <c r="A78" s="25" t="s">
        <v>103</v>
      </c>
      <c r="B78" s="5">
        <f>SUM(FO!B78,PO!B78,CO!B78,FE!B78,PE!B78)</f>
        <v>0</v>
      </c>
      <c r="C78" s="5">
        <f>SUM(FO!C78,PO!C78,CO!C78,FE!C78,PE!C78)</f>
        <v>0</v>
      </c>
      <c r="D78" s="5">
        <f>SUM(FO!D78,PO!D78,CO!D78,FE!D78,PE!D78)</f>
        <v>0</v>
      </c>
      <c r="E78" s="5">
        <f>SUM(FO!E78,PO!E78,CO!E78,FE!E78,PE!E78)</f>
        <v>0</v>
      </c>
      <c r="F78" s="5">
        <f>SUM(FO!F78,PO!F78,CO!F78,FE!F78,PE!F78)</f>
        <v>0</v>
      </c>
      <c r="G78" s="5">
        <f>SUM(FO!G78,PO!G78,CO!G78,FE!G78,PE!G78)</f>
        <v>0</v>
      </c>
      <c r="H78" s="5">
        <f>SUM(FO!H78,PO!H78,CO!H78,FE!H78,PE!H78)</f>
        <v>0</v>
      </c>
      <c r="I78" s="5">
        <f>SUM(FO!I78,PO!I78,CO!I78,FE!I78,PE!I78)</f>
        <v>0</v>
      </c>
      <c r="J78" s="5">
        <f>SUM(FO!J78,PO!J78,CO!J78,FE!J78,PE!J78)</f>
        <v>300</v>
      </c>
      <c r="K78" s="5">
        <f>SUM(FO!K78,PO!K78,CO!K78,FE!K78,PE!K78)</f>
        <v>300</v>
      </c>
      <c r="L78" s="5">
        <f>SUM(FO!L78,PO!L78,CO!L78,FE!L78,PE!L78)</f>
        <v>300</v>
      </c>
      <c r="M78" s="5">
        <f>SUM(FO!M78,PO!M78,CO!M78,FE!M78,PE!M78)</f>
        <v>300</v>
      </c>
      <c r="N78" s="5">
        <f t="shared" si="58"/>
        <v>1200</v>
      </c>
      <c r="O78" s="28">
        <f t="shared" si="59"/>
        <v>0.0001616392473</v>
      </c>
      <c r="P78" s="5"/>
      <c r="Q78" s="5"/>
      <c r="R78" s="5"/>
      <c r="S78" s="5"/>
      <c r="T78" s="5"/>
      <c r="U78" s="5">
        <f>SUM(FO!U78,PO!U78,CO!U78,FE!U78,PE!U78)</f>
        <v>0</v>
      </c>
      <c r="V78" s="5">
        <f>SUM(FO!V78,PO!V78,CO!V78,FE!V78,PE!V78)</f>
        <v>0</v>
      </c>
      <c r="W78" s="5">
        <f>SUM(FO!W78,PO!W78,CO!W78,FE!W78,PE!W78)</f>
        <v>0</v>
      </c>
      <c r="X78" s="5">
        <f>SUM(FO!X78,PO!X78,CO!X78,FE!X78,PE!X78)</f>
        <v>0</v>
      </c>
      <c r="Y78" s="5">
        <f>SUM(FO!Y78,PO!Y78,CO!Y78,FE!Y78,PE!Y78)</f>
        <v>0</v>
      </c>
      <c r="Z78" s="5">
        <f>SUM(FO!Z78,PO!Z78,CO!Z78,FE!Z78,PE!Z78)</f>
        <v>0</v>
      </c>
      <c r="AA78" s="5">
        <f>SUM(FO!AA78,PO!AA78,CO!AA78,FE!AA78,PE!AA78)</f>
        <v>0</v>
      </c>
      <c r="AB78" s="5">
        <f>SUM(FO!AB78,PO!AB78,CO!AB78,FE!AB78,PE!AB78)</f>
        <v>0</v>
      </c>
      <c r="AC78" s="5">
        <f>SUM(FO!AC78,PO!AC78,CO!AC78,FE!AC78,PE!AC78)</f>
        <v>0</v>
      </c>
      <c r="AD78" s="5">
        <f>SUM(FO!AD78,PO!AD78,CO!AD78,FE!AD78,PE!AD78)</f>
        <v>0</v>
      </c>
      <c r="AE78" s="5">
        <f>SUM(FO!AE78,PO!AE78,CO!AE78,FE!AE78,PE!AE78)</f>
        <v>0</v>
      </c>
      <c r="AF78" s="5">
        <f>SUM(FO!AF78,PO!AF78,CO!AF78,FE!AF78,PE!AF78)</f>
        <v>0</v>
      </c>
      <c r="AG78" s="5">
        <f t="shared" si="60"/>
        <v>0</v>
      </c>
      <c r="AH78" s="28" t="str">
        <f t="shared" si="61"/>
        <v/>
      </c>
      <c r="AI78" s="4"/>
      <c r="AJ78" s="5">
        <f t="shared" si="62"/>
        <v>1200</v>
      </c>
      <c r="AK78" s="4"/>
    </row>
    <row r="79" ht="13.5" customHeight="1">
      <c r="A79" s="25" t="s">
        <v>104</v>
      </c>
      <c r="B79" s="5">
        <f>SUM(FO!B79,PO!B79,CO!B79,FE!B79,PE!B79)</f>
        <v>0</v>
      </c>
      <c r="C79" s="5">
        <f>SUM(FO!C79,PO!C79,CO!C79,FE!C79,PE!C79)</f>
        <v>0</v>
      </c>
      <c r="D79" s="5">
        <f>SUM(FO!D79,PO!D79,CO!D79,FE!D79,PE!D79)</f>
        <v>871.4</v>
      </c>
      <c r="E79" s="5">
        <f>SUM(FO!E79,PO!E79,CO!E79,FE!E79,PE!E79)</f>
        <v>2711.33</v>
      </c>
      <c r="F79" s="5">
        <f>SUM(FO!F79,PO!F79,CO!F79,FE!F79,PE!F79)</f>
        <v>0</v>
      </c>
      <c r="G79" s="5">
        <f>SUM(FO!G79,PO!G79,CO!G79,FE!G79,PE!G79)</f>
        <v>2900</v>
      </c>
      <c r="H79" s="5">
        <f>SUM(FO!H79,PO!H79,CO!H79,FE!H79,PE!H79)</f>
        <v>0</v>
      </c>
      <c r="I79" s="5">
        <f>SUM(FO!I79,PO!I79,CO!I79,FE!I79,PE!I79)</f>
        <v>0</v>
      </c>
      <c r="J79" s="5">
        <f>SUM(FO!J79,PO!J79,CO!J79,FE!J79,PE!J79)</f>
        <v>1000</v>
      </c>
      <c r="K79" s="5">
        <f>SUM(FO!K79,PO!K79,CO!K79,FE!K79,PE!K79)</f>
        <v>1000</v>
      </c>
      <c r="L79" s="5">
        <f>SUM(FO!L79,PO!L79,CO!L79,FE!L79,PE!L79)</f>
        <v>3000</v>
      </c>
      <c r="M79" s="5">
        <f>SUM(FO!M79,PO!M79,CO!M79,FE!M79,PE!M79)</f>
        <v>1000</v>
      </c>
      <c r="N79" s="5">
        <f t="shared" si="58"/>
        <v>12482.73</v>
      </c>
      <c r="O79" s="28">
        <f t="shared" si="59"/>
        <v>0.001681415902</v>
      </c>
      <c r="P79" s="5"/>
      <c r="Q79" s="5"/>
      <c r="R79" s="5"/>
      <c r="S79" s="5"/>
      <c r="T79" s="5"/>
      <c r="U79" s="5">
        <f>SUM(FO!U79,PO!U79,CO!U79,FE!U79,PE!U79)</f>
        <v>0</v>
      </c>
      <c r="V79" s="5">
        <f>SUM(FO!V79,PO!V79,CO!V79,FE!V79,PE!V79)</f>
        <v>0</v>
      </c>
      <c r="W79" s="5">
        <f>SUM(FO!W79,PO!W79,CO!W79,FE!W79,PE!W79)</f>
        <v>0</v>
      </c>
      <c r="X79" s="5">
        <f>SUM(FO!X79,PO!X79,CO!X79,FE!X79,PE!X79)</f>
        <v>0</v>
      </c>
      <c r="Y79" s="5">
        <f>SUM(FO!Y79,PO!Y79,CO!Y79,FE!Y79,PE!Y79)</f>
        <v>0</v>
      </c>
      <c r="Z79" s="5">
        <f>SUM(FO!Z79,PO!Z79,CO!Z79,FE!Z79,PE!Z79)</f>
        <v>0</v>
      </c>
      <c r="AA79" s="5">
        <f>SUM(FO!AA79,PO!AA79,CO!AA79,FE!AA79,PE!AA79)</f>
        <v>0</v>
      </c>
      <c r="AB79" s="5">
        <f>SUM(FO!AB79,PO!AB79,CO!AB79,FE!AB79,PE!AB79)</f>
        <v>0</v>
      </c>
      <c r="AC79" s="5">
        <f>SUM(FO!AC79,PO!AC79,CO!AC79,FE!AC79,PE!AC79)</f>
        <v>0</v>
      </c>
      <c r="AD79" s="5">
        <f>SUM(FO!AD79,PO!AD79,CO!AD79,FE!AD79,PE!AD79)</f>
        <v>0</v>
      </c>
      <c r="AE79" s="5">
        <f>SUM(FO!AE79,PO!AE79,CO!AE79,FE!AE79,PE!AE79)</f>
        <v>0</v>
      </c>
      <c r="AF79" s="5">
        <f>SUM(FO!AF79,PO!AF79,CO!AF79,FE!AF79,PE!AF79)</f>
        <v>0</v>
      </c>
      <c r="AG79" s="5">
        <f t="shared" si="60"/>
        <v>0</v>
      </c>
      <c r="AH79" s="28" t="str">
        <f t="shared" si="61"/>
        <v/>
      </c>
      <c r="AI79" s="4"/>
      <c r="AJ79" s="5">
        <f t="shared" si="62"/>
        <v>12482.73</v>
      </c>
      <c r="AK79" s="4"/>
    </row>
    <row r="80" ht="13.5" customHeight="1">
      <c r="A80" s="25" t="s">
        <v>105</v>
      </c>
      <c r="B80" s="5">
        <f>SUM(FO!B80,PO!B80,CO!B80,FE!B80,PE!B80)</f>
        <v>70.88</v>
      </c>
      <c r="C80" s="5">
        <f>SUM(FO!C80,PO!C80,CO!C80,FE!C80,PE!C80)</f>
        <v>205.88</v>
      </c>
      <c r="D80" s="5">
        <f>SUM(FO!D80,PO!D80,CO!D80,FE!D80,PE!D80)</f>
        <v>355.89</v>
      </c>
      <c r="E80" s="5">
        <f>SUM(FO!E80,PO!E80,CO!E80,FE!E80,PE!E80)</f>
        <v>255.89</v>
      </c>
      <c r="F80" s="5">
        <f>SUM(FO!F80,PO!F80,CO!F80,FE!F80,PE!F80)</f>
        <v>34.99</v>
      </c>
      <c r="G80" s="5">
        <f>SUM(FO!G80,PO!G80,CO!G80,FE!G80,PE!G80)</f>
        <v>0</v>
      </c>
      <c r="H80" s="5">
        <f>SUM(FO!H80,PO!H80,CO!H80,FE!H80,PE!H80)</f>
        <v>0</v>
      </c>
      <c r="I80" s="5">
        <f>SUM(FO!I80,PO!I80,CO!I80,FE!I80,PE!I80)</f>
        <v>0</v>
      </c>
      <c r="J80" s="5">
        <f>SUM(FO!J80,PO!J80,CO!J80,FE!J80,PE!J80)</f>
        <v>210</v>
      </c>
      <c r="K80" s="5">
        <f>SUM(FO!K80,PO!K80,CO!K80,FE!K80,PE!K80)</f>
        <v>210</v>
      </c>
      <c r="L80" s="5">
        <f>SUM(FO!L80,PO!L80,CO!L80,FE!L80,PE!L80)</f>
        <v>210</v>
      </c>
      <c r="M80" s="5">
        <f>SUM(FO!M80,PO!M80,CO!M80,FE!M80,PE!M80)</f>
        <v>210</v>
      </c>
      <c r="N80" s="5">
        <f t="shared" si="58"/>
        <v>1763.53</v>
      </c>
      <c r="O80" s="28">
        <f t="shared" si="59"/>
        <v>0.0002375463849</v>
      </c>
      <c r="P80" s="5"/>
      <c r="Q80" s="5"/>
      <c r="R80" s="5"/>
      <c r="S80" s="5"/>
      <c r="T80" s="5"/>
      <c r="U80" s="5">
        <f>SUM(FO!U80,PO!U80,CO!U80,FE!U80,PE!U80)</f>
        <v>150</v>
      </c>
      <c r="V80" s="5">
        <f>SUM(FO!V80,PO!V80,CO!V80,FE!V80,PE!V80)</f>
        <v>150</v>
      </c>
      <c r="W80" s="5">
        <f>SUM(FO!W80,PO!W80,CO!W80,FE!W80,PE!W80)</f>
        <v>150</v>
      </c>
      <c r="X80" s="5">
        <f>SUM(FO!X80,PO!X80,CO!X80,FE!X80,PE!X80)</f>
        <v>150</v>
      </c>
      <c r="Y80" s="5">
        <f>SUM(FO!Y80,PO!Y80,CO!Y80,FE!Y80,PE!Y80)</f>
        <v>150</v>
      </c>
      <c r="Z80" s="5">
        <f>SUM(FO!Z80,PO!Z80,CO!Z80,FE!Z80,PE!Z80)</f>
        <v>150</v>
      </c>
      <c r="AA80" s="5">
        <f>SUM(FO!AA80,PO!AA80,CO!AA80,FE!AA80,PE!AA80)</f>
        <v>150</v>
      </c>
      <c r="AB80" s="5">
        <f>SUM(FO!AB80,PO!AB80,CO!AB80,FE!AB80,PE!AB80)</f>
        <v>150</v>
      </c>
      <c r="AC80" s="5">
        <f>SUM(FO!AC80,PO!AC80,CO!AC80,FE!AC80,PE!AC80)</f>
        <v>150</v>
      </c>
      <c r="AD80" s="5">
        <f>SUM(FO!AD80,PO!AD80,CO!AD80,FE!AD80,PE!AD80)</f>
        <v>150</v>
      </c>
      <c r="AE80" s="5">
        <f>SUM(FO!AE80,PO!AE80,CO!AE80,FE!AE80,PE!AE80)</f>
        <v>150</v>
      </c>
      <c r="AF80" s="5">
        <f>SUM(FO!AF80,PO!AF80,CO!AF80,FE!AF80,PE!AF80)</f>
        <v>150</v>
      </c>
      <c r="AG80" s="5">
        <f t="shared" si="60"/>
        <v>1800</v>
      </c>
      <c r="AH80" s="28" t="str">
        <f t="shared" si="61"/>
        <v/>
      </c>
      <c r="AI80" s="4"/>
      <c r="AJ80" s="5">
        <f t="shared" si="62"/>
        <v>-36.47</v>
      </c>
      <c r="AK80" s="4"/>
    </row>
    <row r="81" ht="13.5" customHeight="1">
      <c r="A81" s="24" t="s">
        <v>106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28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28"/>
      <c r="AI81" s="4"/>
      <c r="AJ81" s="5"/>
      <c r="AK81" s="4"/>
    </row>
    <row r="82" ht="13.5" customHeight="1">
      <c r="A82" s="25" t="s">
        <v>107</v>
      </c>
      <c r="B82" s="5">
        <f>SUM(FO!B82,PO!B82,CO!B82,FE!B82,PE!B82)</f>
        <v>0</v>
      </c>
      <c r="C82" s="5">
        <f>SUM(FO!C82,PO!C82,CO!C82,FE!C82,PE!C82)</f>
        <v>0</v>
      </c>
      <c r="D82" s="5">
        <f>SUM(FO!D82,PO!D82,CO!D82,FE!D82,PE!D82)</f>
        <v>0</v>
      </c>
      <c r="E82" s="5">
        <f>SUM(FO!E82,PO!E82,CO!E82,FE!E82,PE!E82)</f>
        <v>0</v>
      </c>
      <c r="F82" s="5">
        <f>SUM(FO!F82,PO!F82,CO!F82,FE!F82,PE!F82)</f>
        <v>0</v>
      </c>
      <c r="G82" s="5">
        <f>SUM(FO!G82,PO!G82,CO!G82,FE!G82,PE!G82)</f>
        <v>0</v>
      </c>
      <c r="H82" s="5">
        <f>SUM(FO!H82,PO!H82,CO!H82,FE!H82,PE!H82)</f>
        <v>0</v>
      </c>
      <c r="I82" s="5">
        <f>SUM(FO!I82,PO!I82,CO!I82,FE!I82,PE!I82)</f>
        <v>0</v>
      </c>
      <c r="J82" s="5">
        <f>SUM(FO!J82,PO!J82,CO!J82,FE!J82,PE!J82)</f>
        <v>0</v>
      </c>
      <c r="K82" s="5">
        <f>SUM(FO!K82,PO!K82,CO!K82,FE!K82,PE!K82)</f>
        <v>0</v>
      </c>
      <c r="L82" s="5">
        <f>SUM(FO!L82,PO!L82,CO!L82,FE!L82,PE!L82)</f>
        <v>0</v>
      </c>
      <c r="M82" s="5">
        <f>SUM(FO!M82,PO!M82,CO!M82,FE!M82,PE!M82)</f>
        <v>0</v>
      </c>
      <c r="N82" s="5">
        <f t="shared" ref="N82:N117" si="65">SUM(B82:M82)</f>
        <v>0</v>
      </c>
      <c r="O82" s="28">
        <f t="shared" ref="O82:O117" si="66">IFERROR(N82/N$16,"")</f>
        <v>0</v>
      </c>
      <c r="P82" s="5"/>
      <c r="Q82" s="5"/>
      <c r="R82" s="5"/>
      <c r="S82" s="5"/>
      <c r="T82" s="5"/>
      <c r="U82" s="5">
        <f>SUM(FO!U82,PO!U82,CO!U82,FE!U82,PE!U82)</f>
        <v>0</v>
      </c>
      <c r="V82" s="5">
        <f>SUM(FO!V82,PO!V82,CO!V82,FE!V82,PE!V82)</f>
        <v>0</v>
      </c>
      <c r="W82" s="5">
        <f>SUM(FO!W82,PO!W82,CO!W82,FE!W82,PE!W82)</f>
        <v>0</v>
      </c>
      <c r="X82" s="5">
        <f>SUM(FO!X82,PO!X82,CO!X82,FE!X82,PE!X82)</f>
        <v>0</v>
      </c>
      <c r="Y82" s="5">
        <f>SUM(FO!Y82,PO!Y82,CO!Y82,FE!Y82,PE!Y82)</f>
        <v>0</v>
      </c>
      <c r="Z82" s="5">
        <f>SUM(FO!Z82,PO!Z82,CO!Z82,FE!Z82,PE!Z82)</f>
        <v>0</v>
      </c>
      <c r="AA82" s="5">
        <f>SUM(FO!AA82,PO!AA82,CO!AA82,FE!AA82,PE!AA82)</f>
        <v>0</v>
      </c>
      <c r="AB82" s="5">
        <f>SUM(FO!AB82,PO!AB82,CO!AB82,FE!AB82,PE!AB82)</f>
        <v>0</v>
      </c>
      <c r="AC82" s="5">
        <f>SUM(FO!AC82,PO!AC82,CO!AC82,FE!AC82,PE!AC82)</f>
        <v>0</v>
      </c>
      <c r="AD82" s="5">
        <f>SUM(FO!AD82,PO!AD82,CO!AD82,FE!AD82,PE!AD82)</f>
        <v>0</v>
      </c>
      <c r="AE82" s="5">
        <f>SUM(FO!AE82,PO!AE82,CO!AE82,FE!AE82,PE!AE82)</f>
        <v>0</v>
      </c>
      <c r="AF82" s="5">
        <f>SUM(FO!AF82,PO!AF82,CO!AF82,FE!AF82,PE!AF82)</f>
        <v>0</v>
      </c>
      <c r="AG82" s="5">
        <f t="shared" ref="AG82:AG117" si="67">SUM(U82:AF82)</f>
        <v>0</v>
      </c>
      <c r="AH82" s="28" t="str">
        <f t="shared" ref="AH82:AH117" si="68">IFERROR(AG82/AG$16,"")</f>
        <v/>
      </c>
      <c r="AI82" s="4"/>
      <c r="AJ82" s="5">
        <f t="shared" ref="AJ82:AJ116" si="69">N82-AG82</f>
        <v>0</v>
      </c>
      <c r="AK82" s="4"/>
    </row>
    <row r="83" ht="13.5" customHeight="1">
      <c r="A83" s="25" t="s">
        <v>108</v>
      </c>
      <c r="B83" s="5">
        <f>SUM(FO!B83,PO!B83,CO!B83,FE!B83,PE!B83)</f>
        <v>1716.81</v>
      </c>
      <c r="C83" s="5">
        <f>SUM(FO!C83,PO!C83,CO!C83,FE!C83,PE!C83)</f>
        <v>1639.89</v>
      </c>
      <c r="D83" s="5">
        <f>SUM(FO!D83,PO!D83,CO!D83,FE!D83,PE!D83)</f>
        <v>654.95</v>
      </c>
      <c r="E83" s="5">
        <f>SUM(FO!E83,PO!E83,CO!E83,FE!E83,PE!E83)</f>
        <v>0</v>
      </c>
      <c r="F83" s="5">
        <f>SUM(FO!F83,PO!F83,CO!F83,FE!F83,PE!F83)</f>
        <v>596.5</v>
      </c>
      <c r="G83" s="5">
        <f>SUM(FO!G83,PO!G83,CO!G83,FE!G83,PE!G83)</f>
        <v>1755.52</v>
      </c>
      <c r="H83" s="5">
        <f>SUM(FO!H83,PO!H83,CO!H83,FE!H83,PE!H83)</f>
        <v>728.5</v>
      </c>
      <c r="I83" s="5">
        <f>SUM(FO!I83,PO!I83,CO!I83,FE!I83,PE!I83)</f>
        <v>0</v>
      </c>
      <c r="J83" s="5">
        <f>SUM(FO!J83,PO!J83,CO!J83,FE!J83,PE!J83)</f>
        <v>1500</v>
      </c>
      <c r="K83" s="5">
        <f>SUM(FO!K83,PO!K83,CO!K83,FE!K83,PE!K83)</f>
        <v>1500</v>
      </c>
      <c r="L83" s="5">
        <f>SUM(FO!L83,PO!L83,CO!L83,FE!L83,PE!L83)</f>
        <v>3000</v>
      </c>
      <c r="M83" s="5">
        <f>SUM(FO!M83,PO!M83,CO!M83,FE!M83,PE!M83)</f>
        <v>1500</v>
      </c>
      <c r="N83" s="5">
        <f t="shared" si="65"/>
        <v>14592.17</v>
      </c>
      <c r="O83" s="28">
        <f t="shared" si="66"/>
        <v>0.001965556146</v>
      </c>
      <c r="P83" s="5"/>
      <c r="Q83" s="5"/>
      <c r="R83" s="5"/>
      <c r="S83" s="5"/>
      <c r="T83" s="5"/>
      <c r="U83" s="5">
        <f>SUM(FO!U83,PO!U83,CO!U83,FE!U83,PE!U83)</f>
        <v>0</v>
      </c>
      <c r="V83" s="5">
        <f>SUM(FO!V83,PO!V83,CO!V83,FE!V83,PE!V83)</f>
        <v>0</v>
      </c>
      <c r="W83" s="5">
        <f>SUM(FO!W83,PO!W83,CO!W83,FE!W83,PE!W83)</f>
        <v>0</v>
      </c>
      <c r="X83" s="5">
        <f>SUM(FO!X83,PO!X83,CO!X83,FE!X83,PE!X83)</f>
        <v>0</v>
      </c>
      <c r="Y83" s="5">
        <f>SUM(FO!Y83,PO!Y83,CO!Y83,FE!Y83,PE!Y83)</f>
        <v>0</v>
      </c>
      <c r="Z83" s="5">
        <f>SUM(FO!Z83,PO!Z83,CO!Z83,FE!Z83,PE!Z83)</f>
        <v>0</v>
      </c>
      <c r="AA83" s="5">
        <f>SUM(FO!AA83,PO!AA83,CO!AA83,FE!AA83,PE!AA83)</f>
        <v>0</v>
      </c>
      <c r="AB83" s="5">
        <f>SUM(FO!AB83,PO!AB83,CO!AB83,FE!AB83,PE!AB83)</f>
        <v>0</v>
      </c>
      <c r="AC83" s="5">
        <f>SUM(FO!AC83,PO!AC83,CO!AC83,FE!AC83,PE!AC83)</f>
        <v>0</v>
      </c>
      <c r="AD83" s="5">
        <f>SUM(FO!AD83,PO!AD83,CO!AD83,FE!AD83,PE!AD83)</f>
        <v>0</v>
      </c>
      <c r="AE83" s="5">
        <f>SUM(FO!AE83,PO!AE83,CO!AE83,FE!AE83,PE!AE83)</f>
        <v>0</v>
      </c>
      <c r="AF83" s="5">
        <f>SUM(FO!AF83,PO!AF83,CO!AF83,FE!AF83,PE!AF83)</f>
        <v>0</v>
      </c>
      <c r="AG83" s="5">
        <f t="shared" si="67"/>
        <v>0</v>
      </c>
      <c r="AH83" s="28" t="str">
        <f t="shared" si="68"/>
        <v/>
      </c>
      <c r="AI83" s="4"/>
      <c r="AJ83" s="5">
        <f t="shared" si="69"/>
        <v>14592.17</v>
      </c>
      <c r="AK83" s="4"/>
    </row>
    <row r="84" ht="13.5" customHeight="1">
      <c r="A84" s="25" t="s">
        <v>109</v>
      </c>
      <c r="B84" s="5">
        <f>SUM(FO!B84,PO!B84,CO!B84,FE!B84,PE!B84)</f>
        <v>153.63</v>
      </c>
      <c r="C84" s="5">
        <f>SUM(FO!C84,PO!C84,CO!C84,FE!C84,PE!C84)</f>
        <v>1867.65</v>
      </c>
      <c r="D84" s="5">
        <f>SUM(FO!D84,PO!D84,CO!D84,FE!D84,PE!D84)</f>
        <v>0</v>
      </c>
      <c r="E84" s="5">
        <f>SUM(FO!E84,PO!E84,CO!E84,FE!E84,PE!E84)</f>
        <v>0</v>
      </c>
      <c r="F84" s="5">
        <f>SUM(FO!F84,PO!F84,CO!F84,FE!F84,PE!F84)</f>
        <v>901.61</v>
      </c>
      <c r="G84" s="5">
        <f>SUM(FO!G84,PO!G84,CO!G84,FE!G84,PE!G84)</f>
        <v>20</v>
      </c>
      <c r="H84" s="5">
        <f>SUM(FO!H84,PO!H84,CO!H84,FE!H84,PE!H84)</f>
        <v>270.05</v>
      </c>
      <c r="I84" s="5">
        <f>SUM(FO!I84,PO!I84,CO!I84,FE!I84,PE!I84)</f>
        <v>0</v>
      </c>
      <c r="J84" s="5">
        <f>SUM(FO!J84,PO!J84,CO!J84,FE!J84,PE!J84)</f>
        <v>600</v>
      </c>
      <c r="K84" s="5">
        <f>SUM(FO!K84,PO!K84,CO!K84,FE!K84,PE!K84)</f>
        <v>600</v>
      </c>
      <c r="L84" s="5">
        <f>SUM(FO!L84,PO!L84,CO!L84,FE!L84,PE!L84)</f>
        <v>600</v>
      </c>
      <c r="M84" s="5">
        <f>SUM(FO!M84,PO!M84,CO!M84,FE!M84,PE!M84)</f>
        <v>600</v>
      </c>
      <c r="N84" s="5">
        <f t="shared" si="65"/>
        <v>5612.94</v>
      </c>
      <c r="O84" s="28">
        <f t="shared" si="66"/>
        <v>0.0007560594974</v>
      </c>
      <c r="P84" s="5"/>
      <c r="Q84" s="5"/>
      <c r="R84" s="5"/>
      <c r="S84" s="5"/>
      <c r="T84" s="5"/>
      <c r="U84" s="5">
        <f>SUM(FO!U84,PO!U84,CO!U84,FE!U84,PE!U84)</f>
        <v>0</v>
      </c>
      <c r="V84" s="5">
        <f>SUM(FO!V84,PO!V84,CO!V84,FE!V84,PE!V84)</f>
        <v>0</v>
      </c>
      <c r="W84" s="5">
        <f>SUM(FO!W84,PO!W84,CO!W84,FE!W84,PE!W84)</f>
        <v>0</v>
      </c>
      <c r="X84" s="5">
        <f>SUM(FO!X84,PO!X84,CO!X84,FE!X84,PE!X84)</f>
        <v>0</v>
      </c>
      <c r="Y84" s="5">
        <f>SUM(FO!Y84,PO!Y84,CO!Y84,FE!Y84,PE!Y84)</f>
        <v>0</v>
      </c>
      <c r="Z84" s="5">
        <f>SUM(FO!Z84,PO!Z84,CO!Z84,FE!Z84,PE!Z84)</f>
        <v>0</v>
      </c>
      <c r="AA84" s="5">
        <f>SUM(FO!AA84,PO!AA84,CO!AA84,FE!AA84,PE!AA84)</f>
        <v>0</v>
      </c>
      <c r="AB84" s="5">
        <f>SUM(FO!AB84,PO!AB84,CO!AB84,FE!AB84,PE!AB84)</f>
        <v>0</v>
      </c>
      <c r="AC84" s="5">
        <f>SUM(FO!AC84,PO!AC84,CO!AC84,FE!AC84,PE!AC84)</f>
        <v>0</v>
      </c>
      <c r="AD84" s="5">
        <f>SUM(FO!AD84,PO!AD84,CO!AD84,FE!AD84,PE!AD84)</f>
        <v>0</v>
      </c>
      <c r="AE84" s="5">
        <f>SUM(FO!AE84,PO!AE84,CO!AE84,FE!AE84,PE!AE84)</f>
        <v>0</v>
      </c>
      <c r="AF84" s="5">
        <f>SUM(FO!AF84,PO!AF84,CO!AF84,FE!AF84,PE!AF84)</f>
        <v>0</v>
      </c>
      <c r="AG84" s="5">
        <f t="shared" si="67"/>
        <v>0</v>
      </c>
      <c r="AH84" s="28" t="str">
        <f t="shared" si="68"/>
        <v/>
      </c>
      <c r="AI84" s="4"/>
      <c r="AJ84" s="5">
        <f t="shared" si="69"/>
        <v>5612.94</v>
      </c>
      <c r="AK84" s="4"/>
    </row>
    <row r="85" ht="13.5" customHeight="1">
      <c r="A85" s="25" t="s">
        <v>110</v>
      </c>
      <c r="B85" s="5">
        <f>SUM(FO!B85,PO!B85,CO!B85,FE!B85,PE!B85)</f>
        <v>2186.21</v>
      </c>
      <c r="C85" s="5">
        <f>SUM(FO!C85,PO!C85,CO!C85,FE!C85,PE!C85)</f>
        <v>3511.69</v>
      </c>
      <c r="D85" s="5">
        <f>SUM(FO!D85,PO!D85,CO!D85,FE!D85,PE!D85)</f>
        <v>325.9</v>
      </c>
      <c r="E85" s="5">
        <f>SUM(FO!E85,PO!E85,CO!E85,FE!E85,PE!E85)</f>
        <v>1638.14</v>
      </c>
      <c r="F85" s="5">
        <f>SUM(FO!F85,PO!F85,CO!F85,FE!F85,PE!F85)</f>
        <v>1041.91</v>
      </c>
      <c r="G85" s="5">
        <f>SUM(FO!G85,PO!G85,CO!G85,FE!G85,PE!G85)</f>
        <v>721.44</v>
      </c>
      <c r="H85" s="5">
        <f>SUM(FO!H85,PO!H85,CO!H85,FE!H85,PE!H85)</f>
        <v>1816.86</v>
      </c>
      <c r="I85" s="5">
        <f>SUM(FO!I85,PO!I85,CO!I85,FE!I85,PE!I85)</f>
        <v>0</v>
      </c>
      <c r="J85" s="5">
        <f>SUM(FO!J85,PO!J85,CO!J85,FE!J85,PE!J85)</f>
        <v>1500</v>
      </c>
      <c r="K85" s="5">
        <f>SUM(FO!K85,PO!K85,CO!K85,FE!K85,PE!K85)</f>
        <v>1500</v>
      </c>
      <c r="L85" s="5">
        <f>SUM(FO!L85,PO!L85,CO!L85,FE!L85,PE!L85)</f>
        <v>4000</v>
      </c>
      <c r="M85" s="5">
        <f>SUM(FO!M85,PO!M85,CO!M85,FE!M85,PE!M85)</f>
        <v>1500</v>
      </c>
      <c r="N85" s="5">
        <f t="shared" si="65"/>
        <v>19742.15</v>
      </c>
      <c r="O85" s="28">
        <f t="shared" si="66"/>
        <v>0.002659255222</v>
      </c>
      <c r="P85" s="5"/>
      <c r="Q85" s="5"/>
      <c r="R85" s="5"/>
      <c r="S85" s="5"/>
      <c r="T85" s="5"/>
      <c r="U85" s="5">
        <f>SUM(FO!U85,PO!U85,CO!U85,FE!U85,PE!U85)</f>
        <v>0</v>
      </c>
      <c r="V85" s="5">
        <f>SUM(FO!V85,PO!V85,CO!V85,FE!V85,PE!V85)</f>
        <v>0</v>
      </c>
      <c r="W85" s="5">
        <f>SUM(FO!W85,PO!W85,CO!W85,FE!W85,PE!W85)</f>
        <v>0</v>
      </c>
      <c r="X85" s="5">
        <f>SUM(FO!X85,PO!X85,CO!X85,FE!X85,PE!X85)</f>
        <v>0</v>
      </c>
      <c r="Y85" s="5">
        <f>SUM(FO!Y85,PO!Y85,CO!Y85,FE!Y85,PE!Y85)</f>
        <v>0</v>
      </c>
      <c r="Z85" s="5">
        <f>SUM(FO!Z85,PO!Z85,CO!Z85,FE!Z85,PE!Z85)</f>
        <v>0</v>
      </c>
      <c r="AA85" s="5">
        <f>SUM(FO!AA85,PO!AA85,CO!AA85,FE!AA85,PE!AA85)</f>
        <v>0</v>
      </c>
      <c r="AB85" s="5">
        <f>SUM(FO!AB85,PO!AB85,CO!AB85,FE!AB85,PE!AB85)</f>
        <v>0</v>
      </c>
      <c r="AC85" s="5">
        <f>SUM(FO!AC85,PO!AC85,CO!AC85,FE!AC85,PE!AC85)</f>
        <v>0</v>
      </c>
      <c r="AD85" s="5">
        <f>SUM(FO!AD85,PO!AD85,CO!AD85,FE!AD85,PE!AD85)</f>
        <v>0</v>
      </c>
      <c r="AE85" s="5">
        <f>SUM(FO!AE85,PO!AE85,CO!AE85,FE!AE85,PE!AE85)</f>
        <v>0</v>
      </c>
      <c r="AF85" s="5">
        <f>SUM(FO!AF85,PO!AF85,CO!AF85,FE!AF85,PE!AF85)</f>
        <v>0</v>
      </c>
      <c r="AG85" s="5">
        <f t="shared" si="67"/>
        <v>0</v>
      </c>
      <c r="AH85" s="28" t="str">
        <f t="shared" si="68"/>
        <v/>
      </c>
      <c r="AI85" s="4"/>
      <c r="AJ85" s="5">
        <f t="shared" si="69"/>
        <v>19742.15</v>
      </c>
      <c r="AK85" s="4"/>
    </row>
    <row r="86" ht="13.5" customHeight="1">
      <c r="A86" s="25" t="s">
        <v>111</v>
      </c>
      <c r="B86" s="5">
        <f>SUM(FO!B86,PO!B86,CO!B86,FE!B86,PE!B86)</f>
        <v>143.34</v>
      </c>
      <c r="C86" s="5">
        <f>SUM(FO!C86,PO!C86,CO!C86,FE!C86,PE!C86)</f>
        <v>368.8</v>
      </c>
      <c r="D86" s="5">
        <f>SUM(FO!D86,PO!D86,CO!D86,FE!D86,PE!D86)</f>
        <v>160.18</v>
      </c>
      <c r="E86" s="5">
        <f>SUM(FO!E86,PO!E86,CO!E86,FE!E86,PE!E86)</f>
        <v>0</v>
      </c>
      <c r="F86" s="5">
        <f>SUM(FO!F86,PO!F86,CO!F86,FE!F86,PE!F86)</f>
        <v>235.48</v>
      </c>
      <c r="G86" s="5">
        <f>SUM(FO!G86,PO!G86,CO!G86,FE!G86,PE!G86)</f>
        <v>241.47</v>
      </c>
      <c r="H86" s="5">
        <f>SUM(FO!H86,PO!H86,CO!H86,FE!H86,PE!H86)</f>
        <v>169.9</v>
      </c>
      <c r="I86" s="5">
        <f>SUM(FO!I86,PO!I86,CO!I86,FE!I86,PE!I86)</f>
        <v>0</v>
      </c>
      <c r="J86" s="5">
        <f>SUM(FO!J86,PO!J86,CO!J86,FE!J86,PE!J86)</f>
        <v>200</v>
      </c>
      <c r="K86" s="5">
        <f>SUM(FO!K86,PO!K86,CO!K86,FE!K86,PE!K86)</f>
        <v>200</v>
      </c>
      <c r="L86" s="5">
        <f>SUM(FO!L86,PO!L86,CO!L86,FE!L86,PE!L86)</f>
        <v>500</v>
      </c>
      <c r="M86" s="5">
        <f>SUM(FO!M86,PO!M86,CO!M86,FE!M86,PE!M86)</f>
        <v>200</v>
      </c>
      <c r="N86" s="5">
        <f t="shared" si="65"/>
        <v>2419.17</v>
      </c>
      <c r="O86" s="28">
        <f t="shared" si="66"/>
        <v>0.0003258606816</v>
      </c>
      <c r="P86" s="5"/>
      <c r="Q86" s="5"/>
      <c r="R86" s="5"/>
      <c r="S86" s="5"/>
      <c r="T86" s="5"/>
      <c r="U86" s="5">
        <f>SUM(FO!U86,PO!U86,CO!U86,FE!U86,PE!U86)</f>
        <v>0</v>
      </c>
      <c r="V86" s="5">
        <f>SUM(FO!V86,PO!V86,CO!V86,FE!V86,PE!V86)</f>
        <v>0</v>
      </c>
      <c r="W86" s="5">
        <f>SUM(FO!W86,PO!W86,CO!W86,FE!W86,PE!W86)</f>
        <v>0</v>
      </c>
      <c r="X86" s="5">
        <f>SUM(FO!X86,PO!X86,CO!X86,FE!X86,PE!X86)</f>
        <v>0</v>
      </c>
      <c r="Y86" s="5">
        <f>SUM(FO!Y86,PO!Y86,CO!Y86,FE!Y86,PE!Y86)</f>
        <v>0</v>
      </c>
      <c r="Z86" s="5">
        <f>SUM(FO!Z86,PO!Z86,CO!Z86,FE!Z86,PE!Z86)</f>
        <v>0</v>
      </c>
      <c r="AA86" s="5">
        <f>SUM(FO!AA86,PO!AA86,CO!AA86,FE!AA86,PE!AA86)</f>
        <v>0</v>
      </c>
      <c r="AB86" s="5">
        <f>SUM(FO!AB86,PO!AB86,CO!AB86,FE!AB86,PE!AB86)</f>
        <v>0</v>
      </c>
      <c r="AC86" s="5">
        <f>SUM(FO!AC86,PO!AC86,CO!AC86,FE!AC86,PE!AC86)</f>
        <v>0</v>
      </c>
      <c r="AD86" s="5">
        <f>SUM(FO!AD86,PO!AD86,CO!AD86,FE!AD86,PE!AD86)</f>
        <v>0</v>
      </c>
      <c r="AE86" s="5">
        <f>SUM(FO!AE86,PO!AE86,CO!AE86,FE!AE86,PE!AE86)</f>
        <v>0</v>
      </c>
      <c r="AF86" s="5">
        <f>SUM(FO!AF86,PO!AF86,CO!AF86,FE!AF86,PE!AF86)</f>
        <v>0</v>
      </c>
      <c r="AG86" s="5">
        <f t="shared" si="67"/>
        <v>0</v>
      </c>
      <c r="AH86" s="28" t="str">
        <f t="shared" si="68"/>
        <v/>
      </c>
      <c r="AI86" s="4"/>
      <c r="AJ86" s="5">
        <f t="shared" si="69"/>
        <v>2419.17</v>
      </c>
      <c r="AK86" s="4"/>
    </row>
    <row r="87" ht="13.5" customHeight="1">
      <c r="A87" s="33" t="s">
        <v>112</v>
      </c>
      <c r="B87" s="34">
        <f t="shared" ref="B87:M87" si="70">SUM(B82:B86)</f>
        <v>4199.99</v>
      </c>
      <c r="C87" s="34">
        <f t="shared" si="70"/>
        <v>7388.03</v>
      </c>
      <c r="D87" s="34">
        <f t="shared" si="70"/>
        <v>1141.03</v>
      </c>
      <c r="E87" s="34">
        <f t="shared" si="70"/>
        <v>1638.14</v>
      </c>
      <c r="F87" s="34">
        <f t="shared" si="70"/>
        <v>2775.5</v>
      </c>
      <c r="G87" s="34">
        <f t="shared" si="70"/>
        <v>2738.43</v>
      </c>
      <c r="H87" s="34">
        <f t="shared" si="70"/>
        <v>2985.31</v>
      </c>
      <c r="I87" s="34">
        <f t="shared" si="70"/>
        <v>0</v>
      </c>
      <c r="J87" s="34">
        <f t="shared" si="70"/>
        <v>3800</v>
      </c>
      <c r="K87" s="34">
        <f t="shared" si="70"/>
        <v>3800</v>
      </c>
      <c r="L87" s="34">
        <f t="shared" si="70"/>
        <v>8100</v>
      </c>
      <c r="M87" s="34">
        <f t="shared" si="70"/>
        <v>3800</v>
      </c>
      <c r="N87" s="34">
        <f t="shared" si="65"/>
        <v>42366.43</v>
      </c>
      <c r="O87" s="35">
        <f t="shared" si="66"/>
        <v>0.005706731548</v>
      </c>
      <c r="P87" s="5"/>
      <c r="Q87" s="5"/>
      <c r="R87" s="5"/>
      <c r="S87" s="5"/>
      <c r="T87" s="5"/>
      <c r="U87" s="34">
        <f t="shared" ref="U87:AF87" si="71">SUM(U82:U86)</f>
        <v>0</v>
      </c>
      <c r="V87" s="34">
        <f t="shared" si="71"/>
        <v>0</v>
      </c>
      <c r="W87" s="34">
        <f t="shared" si="71"/>
        <v>0</v>
      </c>
      <c r="X87" s="34">
        <f t="shared" si="71"/>
        <v>0</v>
      </c>
      <c r="Y87" s="34">
        <f t="shared" si="71"/>
        <v>0</v>
      </c>
      <c r="Z87" s="34">
        <f t="shared" si="71"/>
        <v>0</v>
      </c>
      <c r="AA87" s="34">
        <f t="shared" si="71"/>
        <v>0</v>
      </c>
      <c r="AB87" s="34">
        <f t="shared" si="71"/>
        <v>0</v>
      </c>
      <c r="AC87" s="34">
        <f t="shared" si="71"/>
        <v>0</v>
      </c>
      <c r="AD87" s="34">
        <f t="shared" si="71"/>
        <v>0</v>
      </c>
      <c r="AE87" s="34">
        <f t="shared" si="71"/>
        <v>0</v>
      </c>
      <c r="AF87" s="34">
        <f t="shared" si="71"/>
        <v>0</v>
      </c>
      <c r="AG87" s="34">
        <f t="shared" si="67"/>
        <v>0</v>
      </c>
      <c r="AH87" s="35" t="str">
        <f t="shared" si="68"/>
        <v/>
      </c>
      <c r="AI87" s="4"/>
      <c r="AJ87" s="34">
        <f t="shared" si="69"/>
        <v>42366.43</v>
      </c>
      <c r="AK87" s="4"/>
    </row>
    <row r="88" ht="13.5" customHeight="1">
      <c r="A88" s="25" t="s">
        <v>113</v>
      </c>
      <c r="B88" s="5">
        <f>SUM(FO!B88,PO!B88,CO!B88,FE!B88,PE!B88)</f>
        <v>0</v>
      </c>
      <c r="C88" s="5">
        <f>SUM(FO!C88,PO!C88,CO!C88,FE!C88,PE!C88)</f>
        <v>0</v>
      </c>
      <c r="D88" s="5">
        <f>SUM(FO!D88,PO!D88,CO!D88,FE!D88,PE!D88)</f>
        <v>0</v>
      </c>
      <c r="E88" s="5">
        <f>SUM(FO!E88,PO!E88,CO!E88,FE!E88,PE!E88)</f>
        <v>0</v>
      </c>
      <c r="F88" s="5">
        <f>SUM(FO!F88,PO!F88,CO!F88,FE!F88,PE!F88)</f>
        <v>0</v>
      </c>
      <c r="G88" s="5">
        <f>SUM(FO!G88,PO!G88,CO!G88,FE!G88,PE!G88)</f>
        <v>0</v>
      </c>
      <c r="H88" s="5">
        <f>SUM(FO!H88,PO!H88,CO!H88,FE!H88,PE!H88)</f>
        <v>0</v>
      </c>
      <c r="I88" s="5">
        <f>SUM(FO!I88,PO!I88,CO!I88,FE!I88,PE!I88)</f>
        <v>0</v>
      </c>
      <c r="J88" s="5">
        <f>SUM(FO!J88,PO!J88,CO!J88,FE!J88,PE!J88)</f>
        <v>0</v>
      </c>
      <c r="K88" s="5">
        <f>SUM(FO!K88,PO!K88,CO!K88,FE!K88,PE!K88)</f>
        <v>0</v>
      </c>
      <c r="L88" s="5">
        <f>SUM(FO!L88,PO!L88,CO!L88,FE!L88,PE!L88)</f>
        <v>0</v>
      </c>
      <c r="M88" s="5">
        <f>SUM(FO!M88,PO!M88,CO!M88,FE!M88,PE!M88)</f>
        <v>0</v>
      </c>
      <c r="N88" s="5">
        <f t="shared" si="65"/>
        <v>0</v>
      </c>
      <c r="O88" s="28">
        <f t="shared" si="66"/>
        <v>0</v>
      </c>
      <c r="P88" s="5"/>
      <c r="Q88" s="5"/>
      <c r="R88" s="5"/>
      <c r="S88" s="5"/>
      <c r="T88" s="5"/>
      <c r="U88" s="5">
        <f>SUM(FO!U88,PO!U88,CO!U88,FE!U88,PE!U88)</f>
        <v>0</v>
      </c>
      <c r="V88" s="5">
        <f>SUM(FO!V88,PO!V88,CO!V88,FE!V88,PE!V88)</f>
        <v>0</v>
      </c>
      <c r="W88" s="5">
        <f>SUM(FO!W88,PO!W88,CO!W88,FE!W88,PE!W88)</f>
        <v>0</v>
      </c>
      <c r="X88" s="5">
        <f>SUM(FO!X88,PO!X88,CO!X88,FE!X88,PE!X88)</f>
        <v>0</v>
      </c>
      <c r="Y88" s="5">
        <f>SUM(FO!Y88,PO!Y88,CO!Y88,FE!Y88,PE!Y88)</f>
        <v>0</v>
      </c>
      <c r="Z88" s="5">
        <f>SUM(FO!Z88,PO!Z88,CO!Z88,FE!Z88,PE!Z88)</f>
        <v>0</v>
      </c>
      <c r="AA88" s="5">
        <f>SUM(FO!AA88,PO!AA88,CO!AA88,FE!AA88,PE!AA88)</f>
        <v>0</v>
      </c>
      <c r="AB88" s="5">
        <f>SUM(FO!AB88,PO!AB88,CO!AB88,FE!AB88,PE!AB88)</f>
        <v>0</v>
      </c>
      <c r="AC88" s="5">
        <f>SUM(FO!AC88,PO!AC88,CO!AC88,FE!AC88,PE!AC88)</f>
        <v>0</v>
      </c>
      <c r="AD88" s="5">
        <f>SUM(FO!AD88,PO!AD88,CO!AD88,FE!AD88,PE!AD88)</f>
        <v>0</v>
      </c>
      <c r="AE88" s="5">
        <f>SUM(FO!AE88,PO!AE88,CO!AE88,FE!AE88,PE!AE88)</f>
        <v>0</v>
      </c>
      <c r="AF88" s="5">
        <f>SUM(FO!AF88,PO!AF88,CO!AF88,FE!AF88,PE!AF88)</f>
        <v>0</v>
      </c>
      <c r="AG88" s="5">
        <f t="shared" si="67"/>
        <v>0</v>
      </c>
      <c r="AH88" s="28" t="str">
        <f t="shared" si="68"/>
        <v/>
      </c>
      <c r="AI88" s="4"/>
      <c r="AJ88" s="5">
        <f t="shared" si="69"/>
        <v>0</v>
      </c>
      <c r="AK88" s="4"/>
    </row>
    <row r="89" ht="13.5" customHeight="1">
      <c r="A89" s="25" t="s">
        <v>114</v>
      </c>
      <c r="B89" s="5">
        <f>SUM(FO!B89,PO!B89,CO!B89,FE!B89,PE!B89)</f>
        <v>0</v>
      </c>
      <c r="C89" s="5">
        <f>SUM(FO!C89,PO!C89,CO!C89,FE!C89,PE!C89)</f>
        <v>0</v>
      </c>
      <c r="D89" s="5">
        <f>SUM(FO!D89,PO!D89,CO!D89,FE!D89,PE!D89)</f>
        <v>0</v>
      </c>
      <c r="E89" s="5">
        <f>SUM(FO!E89,PO!E89,CO!E89,FE!E89,PE!E89)</f>
        <v>0</v>
      </c>
      <c r="F89" s="5">
        <f>SUM(FO!F89,PO!F89,CO!F89,FE!F89,PE!F89)</f>
        <v>0</v>
      </c>
      <c r="G89" s="5">
        <f>SUM(FO!G89,PO!G89,CO!G89,FE!G89,PE!G89)</f>
        <v>31320</v>
      </c>
      <c r="H89" s="5">
        <f>SUM(FO!H89,PO!H89,CO!H89,FE!H89,PE!H89)</f>
        <v>-8375</v>
      </c>
      <c r="I89" s="5">
        <f>SUM(FO!I89,PO!I89,CO!I89,FE!I89,PE!I89)</f>
        <v>-8375</v>
      </c>
      <c r="J89" s="5">
        <f>SUM(FO!J89,PO!J89,CO!J89,FE!J89,PE!J89)</f>
        <v>0</v>
      </c>
      <c r="K89" s="5">
        <f>SUM(FO!K89,PO!K89,CO!K89,FE!K89,PE!K89)</f>
        <v>0</v>
      </c>
      <c r="L89" s="5">
        <f>SUM(FO!L89,PO!L89,CO!L89,FE!L89,PE!L89)</f>
        <v>0</v>
      </c>
      <c r="M89" s="5">
        <f>SUM(FO!M89,PO!M89,CO!M89,FE!M89,PE!M89)</f>
        <v>0</v>
      </c>
      <c r="N89" s="5">
        <f t="shared" si="65"/>
        <v>14570</v>
      </c>
      <c r="O89" s="28">
        <f t="shared" si="66"/>
        <v>0.001962569861</v>
      </c>
      <c r="P89" s="5"/>
      <c r="Q89" s="5"/>
      <c r="R89" s="5"/>
      <c r="S89" s="5"/>
      <c r="T89" s="5"/>
      <c r="U89" s="5">
        <f>SUM(FO!U89,PO!U89,CO!U89,FE!U89,PE!U89)</f>
        <v>0</v>
      </c>
      <c r="V89" s="5">
        <f>SUM(FO!V89,PO!V89,CO!V89,FE!V89,PE!V89)</f>
        <v>0</v>
      </c>
      <c r="W89" s="5">
        <f>SUM(FO!W89,PO!W89,CO!W89,FE!W89,PE!W89)</f>
        <v>0</v>
      </c>
      <c r="X89" s="5">
        <f>SUM(FO!X89,PO!X89,CO!X89,FE!X89,PE!X89)</f>
        <v>0</v>
      </c>
      <c r="Y89" s="5">
        <f>SUM(FO!Y89,PO!Y89,CO!Y89,FE!Y89,PE!Y89)</f>
        <v>0</v>
      </c>
      <c r="Z89" s="5">
        <f>SUM(FO!Z89,PO!Z89,CO!Z89,FE!Z89,PE!Z89)</f>
        <v>0</v>
      </c>
      <c r="AA89" s="5">
        <f>SUM(FO!AA89,PO!AA89,CO!AA89,FE!AA89,PE!AA89)</f>
        <v>0</v>
      </c>
      <c r="AB89" s="5">
        <f>SUM(FO!AB89,PO!AB89,CO!AB89,FE!AB89,PE!AB89)</f>
        <v>0</v>
      </c>
      <c r="AC89" s="5">
        <f>SUM(FO!AC89,PO!AC89,CO!AC89,FE!AC89,PE!AC89)</f>
        <v>0</v>
      </c>
      <c r="AD89" s="5">
        <f>SUM(FO!AD89,PO!AD89,CO!AD89,FE!AD89,PE!AD89)</f>
        <v>0</v>
      </c>
      <c r="AE89" s="5">
        <f>SUM(FO!AE89,PO!AE89,CO!AE89,FE!AE89,PE!AE89)</f>
        <v>0</v>
      </c>
      <c r="AF89" s="5">
        <f>SUM(FO!AF89,PO!AF89,CO!AF89,FE!AF89,PE!AF89)</f>
        <v>0</v>
      </c>
      <c r="AG89" s="5">
        <f t="shared" si="67"/>
        <v>0</v>
      </c>
      <c r="AH89" s="28" t="str">
        <f t="shared" si="68"/>
        <v/>
      </c>
      <c r="AI89" s="4"/>
      <c r="AJ89" s="5">
        <f t="shared" si="69"/>
        <v>14570</v>
      </c>
      <c r="AK89" s="4"/>
    </row>
    <row r="90" ht="13.5" customHeight="1">
      <c r="A90" s="25" t="s">
        <v>115</v>
      </c>
      <c r="B90" s="5">
        <f>SUM(FO!B90,PO!B90,CO!B90,FE!B90,PE!B90)</f>
        <v>0</v>
      </c>
      <c r="C90" s="5">
        <f>SUM(FO!C90,PO!C90,CO!C90,FE!C90,PE!C90)</f>
        <v>0</v>
      </c>
      <c r="D90" s="5">
        <f>SUM(FO!D90,PO!D90,CO!D90,FE!D90,PE!D90)</f>
        <v>0</v>
      </c>
      <c r="E90" s="5">
        <f>SUM(FO!E90,PO!E90,CO!E90,FE!E90,PE!E90)</f>
        <v>0</v>
      </c>
      <c r="F90" s="5">
        <f>SUM(FO!F90,PO!F90,CO!F90,FE!F90,PE!F90)</f>
        <v>0</v>
      </c>
      <c r="G90" s="5">
        <f>SUM(FO!G90,PO!G90,CO!G90,FE!G90,PE!G90)</f>
        <v>0</v>
      </c>
      <c r="H90" s="5">
        <f>SUM(FO!H90,PO!H90,CO!H90,FE!H90,PE!H90)</f>
        <v>0</v>
      </c>
      <c r="I90" s="5">
        <f>SUM(FO!I90,PO!I90,CO!I90,FE!I90,PE!I90)</f>
        <v>0</v>
      </c>
      <c r="J90" s="5">
        <f>SUM(FO!J90,PO!J90,CO!J90,FE!J90,PE!J90)</f>
        <v>0</v>
      </c>
      <c r="K90" s="5">
        <f>SUM(FO!K90,PO!K90,CO!K90,FE!K90,PE!K90)</f>
        <v>0</v>
      </c>
      <c r="L90" s="5">
        <f>SUM(FO!L90,PO!L90,CO!L90,FE!L90,PE!L90)</f>
        <v>0</v>
      </c>
      <c r="M90" s="5">
        <f>SUM(FO!M90,PO!M90,CO!M90,FE!M90,PE!M90)</f>
        <v>0</v>
      </c>
      <c r="N90" s="5">
        <f t="shared" si="65"/>
        <v>0</v>
      </c>
      <c r="O90" s="28">
        <f t="shared" si="66"/>
        <v>0</v>
      </c>
      <c r="P90" s="5"/>
      <c r="Q90" s="5"/>
      <c r="R90" s="5"/>
      <c r="S90" s="5"/>
      <c r="T90" s="5"/>
      <c r="U90" s="5">
        <f>SUM(FO!U90,PO!U90,CO!U90,FE!U90,PE!U90)</f>
        <v>0</v>
      </c>
      <c r="V90" s="5">
        <f>SUM(FO!V90,PO!V90,CO!V90,FE!V90,PE!V90)</f>
        <v>0</v>
      </c>
      <c r="W90" s="5">
        <f>SUM(FO!W90,PO!W90,CO!W90,FE!W90,PE!W90)</f>
        <v>0</v>
      </c>
      <c r="X90" s="5">
        <f>SUM(FO!X90,PO!X90,CO!X90,FE!X90,PE!X90)</f>
        <v>0</v>
      </c>
      <c r="Y90" s="5">
        <f>SUM(FO!Y90,PO!Y90,CO!Y90,FE!Y90,PE!Y90)</f>
        <v>0</v>
      </c>
      <c r="Z90" s="5">
        <f>SUM(FO!Z90,PO!Z90,CO!Z90,FE!Z90,PE!Z90)</f>
        <v>0</v>
      </c>
      <c r="AA90" s="5">
        <f>SUM(FO!AA90,PO!AA90,CO!AA90,FE!AA90,PE!AA90)</f>
        <v>0</v>
      </c>
      <c r="AB90" s="5">
        <f>SUM(FO!AB90,PO!AB90,CO!AB90,FE!AB90,PE!AB90)</f>
        <v>0</v>
      </c>
      <c r="AC90" s="5">
        <f>SUM(FO!AC90,PO!AC90,CO!AC90,FE!AC90,PE!AC90)</f>
        <v>0</v>
      </c>
      <c r="AD90" s="5">
        <f>SUM(FO!AD90,PO!AD90,CO!AD90,FE!AD90,PE!AD90)</f>
        <v>0</v>
      </c>
      <c r="AE90" s="5">
        <f>SUM(FO!AE90,PO!AE90,CO!AE90,FE!AE90,PE!AE90)</f>
        <v>0</v>
      </c>
      <c r="AF90" s="5">
        <f>SUM(FO!AF90,PO!AF90,CO!AF90,FE!AF90,PE!AF90)</f>
        <v>0</v>
      </c>
      <c r="AG90" s="5">
        <f t="shared" si="67"/>
        <v>0</v>
      </c>
      <c r="AH90" s="28" t="str">
        <f t="shared" si="68"/>
        <v/>
      </c>
      <c r="AI90" s="4"/>
      <c r="AJ90" s="5">
        <f t="shared" si="69"/>
        <v>0</v>
      </c>
      <c r="AK90" s="4"/>
    </row>
    <row r="91" ht="13.5" customHeight="1">
      <c r="A91" s="25" t="s">
        <v>116</v>
      </c>
      <c r="B91" s="5">
        <f>SUM(FO!B91,PO!B91,CO!B91,FE!B91,PE!B91)</f>
        <v>0</v>
      </c>
      <c r="C91" s="5">
        <f>SUM(FO!C91,PO!C91,CO!C91,FE!C91,PE!C91)</f>
        <v>11217.74</v>
      </c>
      <c r="D91" s="5">
        <f>SUM(FO!D91,PO!D91,CO!D91,FE!D91,PE!D91)</f>
        <v>51810.95</v>
      </c>
      <c r="E91" s="5">
        <f>SUM(FO!E91,PO!E91,CO!E91,FE!E91,PE!E91)</f>
        <v>34690.39</v>
      </c>
      <c r="F91" s="5">
        <f>SUM(FO!F91,PO!F91,CO!F91,FE!F91,PE!F91)</f>
        <v>36509.27</v>
      </c>
      <c r="G91" s="5">
        <f>SUM(FO!G91,PO!G91,CO!G91,FE!G91,PE!G91)</f>
        <v>56672.78</v>
      </c>
      <c r="H91" s="5">
        <f>SUM(FO!H91,PO!H91,CO!H91,FE!H91,PE!H91)</f>
        <v>8883.71</v>
      </c>
      <c r="I91" s="5">
        <f>SUM(FO!I91,PO!I91,CO!I91,FE!I91,PE!I91)</f>
        <v>14805.67</v>
      </c>
      <c r="J91" s="5">
        <f>SUM(FO!J91,PO!J91,CO!J91,FE!J91,PE!J91)</f>
        <v>0</v>
      </c>
      <c r="K91" s="5">
        <f>SUM(FO!K91,PO!K91,CO!K91,FE!K91,PE!K91)</f>
        <v>0</v>
      </c>
      <c r="L91" s="5">
        <f>SUM(FO!L91,PO!L91,CO!L91,FE!L91,PE!L91)</f>
        <v>0</v>
      </c>
      <c r="M91" s="5">
        <f>SUM(FO!M91,PO!M91,CO!M91,FE!M91,PE!M91)</f>
        <v>0</v>
      </c>
      <c r="N91" s="5">
        <f t="shared" si="65"/>
        <v>214590.51</v>
      </c>
      <c r="O91" s="28">
        <f t="shared" si="66"/>
        <v>0.0289052071</v>
      </c>
      <c r="P91" s="5"/>
      <c r="Q91" s="5"/>
      <c r="R91" s="5"/>
      <c r="S91" s="5"/>
      <c r="T91" s="5"/>
      <c r="U91" s="5">
        <f>SUM(FO!U91,PO!U91,CO!U91,FE!U91,PE!U91)</f>
        <v>0</v>
      </c>
      <c r="V91" s="5">
        <f>SUM(FO!V91,PO!V91,CO!V91,FE!V91,PE!V91)</f>
        <v>0</v>
      </c>
      <c r="W91" s="5">
        <f>SUM(FO!W91,PO!W91,CO!W91,FE!W91,PE!W91)</f>
        <v>0</v>
      </c>
      <c r="X91" s="5">
        <f>SUM(FO!X91,PO!X91,CO!X91,FE!X91,PE!X91)</f>
        <v>0</v>
      </c>
      <c r="Y91" s="5">
        <f>SUM(FO!Y91,PO!Y91,CO!Y91,FE!Y91,PE!Y91)</f>
        <v>0</v>
      </c>
      <c r="Z91" s="5">
        <f>SUM(FO!Z91,PO!Z91,CO!Z91,FE!Z91,PE!Z91)</f>
        <v>0</v>
      </c>
      <c r="AA91" s="5">
        <f>SUM(FO!AA91,PO!AA91,CO!AA91,FE!AA91,PE!AA91)</f>
        <v>0</v>
      </c>
      <c r="AB91" s="5">
        <f>SUM(FO!AB91,PO!AB91,CO!AB91,FE!AB91,PE!AB91)</f>
        <v>0</v>
      </c>
      <c r="AC91" s="5">
        <f>SUM(FO!AC91,PO!AC91,CO!AC91,FE!AC91,PE!AC91)</f>
        <v>0</v>
      </c>
      <c r="AD91" s="5">
        <f>SUM(FO!AD91,PO!AD91,CO!AD91,FE!AD91,PE!AD91)</f>
        <v>0</v>
      </c>
      <c r="AE91" s="5">
        <f>SUM(FO!AE91,PO!AE91,CO!AE91,FE!AE91,PE!AE91)</f>
        <v>0</v>
      </c>
      <c r="AF91" s="5">
        <f>SUM(FO!AF91,PO!AF91,CO!AF91,FE!AF91,PE!AF91)</f>
        <v>0</v>
      </c>
      <c r="AG91" s="5">
        <f t="shared" si="67"/>
        <v>0</v>
      </c>
      <c r="AH91" s="28" t="str">
        <f t="shared" si="68"/>
        <v/>
      </c>
      <c r="AI91" s="4"/>
      <c r="AJ91" s="5">
        <f t="shared" si="69"/>
        <v>214590.51</v>
      </c>
      <c r="AK91" s="4"/>
    </row>
    <row r="92" ht="13.5" customHeight="1">
      <c r="A92" s="25" t="s">
        <v>117</v>
      </c>
      <c r="B92" s="5">
        <f>SUM(FO!B92,PO!B92,CO!B92,FE!B92,PE!B92)</f>
        <v>2556.61</v>
      </c>
      <c r="C92" s="5">
        <f>SUM(FO!C92,PO!C92,CO!C92,FE!C92,PE!C92)</f>
        <v>2642.64</v>
      </c>
      <c r="D92" s="5">
        <f>SUM(FO!D92,PO!D92,CO!D92,FE!D92,PE!D92)</f>
        <v>4142.74</v>
      </c>
      <c r="E92" s="5">
        <f>SUM(FO!E92,PO!E92,CO!E92,FE!E92,PE!E92)</f>
        <v>3000.52</v>
      </c>
      <c r="F92" s="5">
        <f>SUM(FO!F92,PO!F92,CO!F92,FE!F92,PE!F92)</f>
        <v>9578.03</v>
      </c>
      <c r="G92" s="5">
        <f>SUM(FO!G92,PO!G92,CO!G92,FE!G92,PE!G92)</f>
        <v>3128.81</v>
      </c>
      <c r="H92" s="5">
        <f>SUM(FO!H92,PO!H92,CO!H92,FE!H92,PE!H92)</f>
        <v>0</v>
      </c>
      <c r="I92" s="5">
        <f>SUM(FO!I92,PO!I92,CO!I92,FE!I92,PE!I92)</f>
        <v>811.1</v>
      </c>
      <c r="J92" s="5">
        <f>SUM(FO!J92,PO!J92,CO!J92,FE!J92,PE!J92)</f>
        <v>0</v>
      </c>
      <c r="K92" s="5">
        <f>SUM(FO!K92,PO!K92,CO!K92,FE!K92,PE!K92)</f>
        <v>0</v>
      </c>
      <c r="L92" s="5">
        <f>SUM(FO!L92,PO!L92,CO!L92,FE!L92,PE!L92)</f>
        <v>0</v>
      </c>
      <c r="M92" s="5">
        <f>SUM(FO!M92,PO!M92,CO!M92,FE!M92,PE!M92)</f>
        <v>0</v>
      </c>
      <c r="N92" s="5">
        <f t="shared" si="65"/>
        <v>25860.45</v>
      </c>
      <c r="O92" s="28">
        <f t="shared" si="66"/>
        <v>0.003483386395</v>
      </c>
      <c r="P92" s="5"/>
      <c r="Q92" s="5"/>
      <c r="R92" s="5"/>
      <c r="S92" s="5"/>
      <c r="T92" s="5"/>
      <c r="U92" s="5">
        <f>SUM(FO!U92,PO!U92,CO!U92,FE!U92,PE!U92)</f>
        <v>0</v>
      </c>
      <c r="V92" s="5">
        <f>SUM(FO!V92,PO!V92,CO!V92,FE!V92,PE!V92)</f>
        <v>0</v>
      </c>
      <c r="W92" s="5">
        <f>SUM(FO!W92,PO!W92,CO!W92,FE!W92,PE!W92)</f>
        <v>0</v>
      </c>
      <c r="X92" s="5">
        <f>SUM(FO!X92,PO!X92,CO!X92,FE!X92,PE!X92)</f>
        <v>0</v>
      </c>
      <c r="Y92" s="5">
        <f>SUM(FO!Y92,PO!Y92,CO!Y92,FE!Y92,PE!Y92)</f>
        <v>0</v>
      </c>
      <c r="Z92" s="5">
        <f>SUM(FO!Z92,PO!Z92,CO!Z92,FE!Z92,PE!Z92)</f>
        <v>0</v>
      </c>
      <c r="AA92" s="5">
        <f>SUM(FO!AA92,PO!AA92,CO!AA92,FE!AA92,PE!AA92)</f>
        <v>0</v>
      </c>
      <c r="AB92" s="5">
        <f>SUM(FO!AB92,PO!AB92,CO!AB92,FE!AB92,PE!AB92)</f>
        <v>0</v>
      </c>
      <c r="AC92" s="5">
        <f>SUM(FO!AC92,PO!AC92,CO!AC92,FE!AC92,PE!AC92)</f>
        <v>0</v>
      </c>
      <c r="AD92" s="5">
        <f>SUM(FO!AD92,PO!AD92,CO!AD92,FE!AD92,PE!AD92)</f>
        <v>0</v>
      </c>
      <c r="AE92" s="5">
        <f>SUM(FO!AE92,PO!AE92,CO!AE92,FE!AE92,PE!AE92)</f>
        <v>0</v>
      </c>
      <c r="AF92" s="5">
        <f>SUM(FO!AF92,PO!AF92,CO!AF92,FE!AF92,PE!AF92)</f>
        <v>0</v>
      </c>
      <c r="AG92" s="5">
        <f t="shared" si="67"/>
        <v>0</v>
      </c>
      <c r="AH92" s="28" t="str">
        <f t="shared" si="68"/>
        <v/>
      </c>
      <c r="AI92" s="4"/>
      <c r="AJ92" s="5">
        <f t="shared" si="69"/>
        <v>25860.45</v>
      </c>
      <c r="AK92" s="4"/>
    </row>
    <row r="93" ht="13.5" customHeight="1">
      <c r="A93" s="25" t="s">
        <v>118</v>
      </c>
      <c r="B93" s="5">
        <f>SUM(FO!B93,PO!B93,CO!B93,FE!B93,PE!B93)</f>
        <v>695.8</v>
      </c>
      <c r="C93" s="5">
        <f>SUM(FO!C93,PO!C93,CO!C93,FE!C93,PE!C93)</f>
        <v>1174.04</v>
      </c>
      <c r="D93" s="5">
        <f>SUM(FO!D93,PO!D93,CO!D93,FE!D93,PE!D93)</f>
        <v>946.56</v>
      </c>
      <c r="E93" s="5">
        <f>SUM(FO!E93,PO!E93,CO!E93,FE!E93,PE!E93)</f>
        <v>2409.75</v>
      </c>
      <c r="F93" s="5">
        <f>SUM(FO!F93,PO!F93,CO!F93,FE!F93,PE!F93)</f>
        <v>5233.37</v>
      </c>
      <c r="G93" s="5">
        <f>SUM(FO!G93,PO!G93,CO!G93,FE!G93,PE!G93)</f>
        <v>555.44</v>
      </c>
      <c r="H93" s="5">
        <f>SUM(FO!H93,PO!H93,CO!H93,FE!H93,PE!H93)</f>
        <v>0</v>
      </c>
      <c r="I93" s="5">
        <f>SUM(FO!I93,PO!I93,CO!I93,FE!I93,PE!I93)</f>
        <v>19.07</v>
      </c>
      <c r="J93" s="5">
        <f>SUM(FO!J93,PO!J93,CO!J93,FE!J93,PE!J93)</f>
        <v>1100</v>
      </c>
      <c r="K93" s="5">
        <f>SUM(FO!K93,PO!K93,CO!K93,FE!K93,PE!K93)</f>
        <v>5300</v>
      </c>
      <c r="L93" s="5">
        <f>SUM(FO!L93,PO!L93,CO!L93,FE!L93,PE!L93)</f>
        <v>5300</v>
      </c>
      <c r="M93" s="5">
        <f>SUM(FO!M93,PO!M93,CO!M93,FE!M93,PE!M93)</f>
        <v>5300</v>
      </c>
      <c r="N93" s="5">
        <f t="shared" si="65"/>
        <v>28034.03</v>
      </c>
      <c r="O93" s="28">
        <f t="shared" si="66"/>
        <v>0.003776166257</v>
      </c>
      <c r="P93" s="5"/>
      <c r="Q93" s="5"/>
      <c r="R93" s="5"/>
      <c r="S93" s="5"/>
      <c r="T93" s="5"/>
      <c r="U93" s="5">
        <f>SUM(FO!U93,PO!U93,CO!U93,FE!U93,PE!U93)</f>
        <v>1116.666667</v>
      </c>
      <c r="V93" s="5">
        <f>SUM(FO!V93,PO!V93,CO!V93,FE!V93,PE!V93)</f>
        <v>1116.666667</v>
      </c>
      <c r="W93" s="5">
        <f>SUM(FO!W93,PO!W93,CO!W93,FE!W93,PE!W93)</f>
        <v>1116.666667</v>
      </c>
      <c r="X93" s="5">
        <f>SUM(FO!X93,PO!X93,CO!X93,FE!X93,PE!X93)</f>
        <v>1116.666667</v>
      </c>
      <c r="Y93" s="5">
        <f>SUM(FO!Y93,PO!Y93,CO!Y93,FE!Y93,PE!Y93)</f>
        <v>1172.5</v>
      </c>
      <c r="Z93" s="5">
        <f>SUM(FO!Z93,PO!Z93,CO!Z93,FE!Z93,PE!Z93)</f>
        <v>1228.333333</v>
      </c>
      <c r="AA93" s="5">
        <f>SUM(FO!AA93,PO!AA93,CO!AA93,FE!AA93,PE!AA93)</f>
        <v>1284.166667</v>
      </c>
      <c r="AB93" s="5">
        <f>SUM(FO!AB93,PO!AB93,CO!AB93,FE!AB93,PE!AB93)</f>
        <v>1340</v>
      </c>
      <c r="AC93" s="5">
        <f>SUM(FO!AC93,PO!AC93,CO!AC93,FE!AC93,PE!AC93)</f>
        <v>1395.833333</v>
      </c>
      <c r="AD93" s="5">
        <f>SUM(FO!AD93,PO!AD93,CO!AD93,FE!AD93,PE!AD93)</f>
        <v>1451.666667</v>
      </c>
      <c r="AE93" s="5">
        <f>SUM(FO!AE93,PO!AE93,CO!AE93,FE!AE93,PE!AE93)</f>
        <v>1507.5</v>
      </c>
      <c r="AF93" s="5">
        <f>SUM(FO!AF93,PO!AF93,CO!AF93,FE!AF93,PE!AF93)</f>
        <v>1283.333333</v>
      </c>
      <c r="AG93" s="5">
        <f t="shared" si="67"/>
        <v>15130</v>
      </c>
      <c r="AH93" s="28" t="str">
        <f t="shared" si="68"/>
        <v/>
      </c>
      <c r="AI93" s="4"/>
      <c r="AJ93" s="5">
        <f t="shared" si="69"/>
        <v>12904.03</v>
      </c>
      <c r="AK93" s="4"/>
    </row>
    <row r="94" ht="13.5" customHeight="1">
      <c r="A94" s="25" t="s">
        <v>119</v>
      </c>
      <c r="B94" s="5">
        <f>SUM(FO!B94,PO!B94,CO!B94,FE!B94,PE!B94)</f>
        <v>0</v>
      </c>
      <c r="C94" s="5">
        <f>SUM(FO!C94,PO!C94,CO!C94,FE!C94,PE!C94)</f>
        <v>0</v>
      </c>
      <c r="D94" s="5">
        <f>SUM(FO!D94,PO!D94,CO!D94,FE!D94,PE!D94)</f>
        <v>0</v>
      </c>
      <c r="E94" s="5">
        <f>SUM(FO!E94,PO!E94,CO!E94,FE!E94,PE!E94)</f>
        <v>0</v>
      </c>
      <c r="F94" s="5">
        <f>SUM(FO!F94,PO!F94,CO!F94,FE!F94,PE!F94)</f>
        <v>0</v>
      </c>
      <c r="G94" s="5">
        <f>SUM(FO!G94,PO!G94,CO!G94,FE!G94,PE!G94)</f>
        <v>0</v>
      </c>
      <c r="H94" s="5">
        <f>SUM(FO!H94,PO!H94,CO!H94,FE!H94,PE!H94)</f>
        <v>0</v>
      </c>
      <c r="I94" s="5">
        <f>SUM(FO!I94,PO!I94,CO!I94,FE!I94,PE!I94)</f>
        <v>0</v>
      </c>
      <c r="J94" s="5">
        <f>SUM(FO!J94,PO!J94,CO!J94,FE!J94,PE!J94)</f>
        <v>0</v>
      </c>
      <c r="K94" s="5">
        <f>SUM(FO!K94,PO!K94,CO!K94,FE!K94,PE!K94)</f>
        <v>0</v>
      </c>
      <c r="L94" s="5">
        <f>SUM(FO!L94,PO!L94,CO!L94,FE!L94,PE!L94)</f>
        <v>0</v>
      </c>
      <c r="M94" s="5">
        <f>SUM(FO!M94,PO!M94,CO!M94,FE!M94,PE!M94)</f>
        <v>0</v>
      </c>
      <c r="N94" s="5">
        <f t="shared" si="65"/>
        <v>0</v>
      </c>
      <c r="O94" s="28">
        <f t="shared" si="66"/>
        <v>0</v>
      </c>
      <c r="P94" s="5"/>
      <c r="Q94" s="5"/>
      <c r="R94" s="5"/>
      <c r="S94" s="5"/>
      <c r="T94" s="5"/>
      <c r="U94" s="5">
        <f>SUM(FO!U94,PO!U94,CO!U94,FE!U94,PE!U94)</f>
        <v>0</v>
      </c>
      <c r="V94" s="5">
        <f>SUM(FO!V94,PO!V94,CO!V94,FE!V94,PE!V94)</f>
        <v>0</v>
      </c>
      <c r="W94" s="5">
        <f>SUM(FO!W94,PO!W94,CO!W94,FE!W94,PE!W94)</f>
        <v>0</v>
      </c>
      <c r="X94" s="5">
        <f>SUM(FO!X94,PO!X94,CO!X94,FE!X94,PE!X94)</f>
        <v>0</v>
      </c>
      <c r="Y94" s="5">
        <f>SUM(FO!Y94,PO!Y94,CO!Y94,FE!Y94,PE!Y94)</f>
        <v>0</v>
      </c>
      <c r="Z94" s="5">
        <f>SUM(FO!Z94,PO!Z94,CO!Z94,FE!Z94,PE!Z94)</f>
        <v>0</v>
      </c>
      <c r="AA94" s="5">
        <f>SUM(FO!AA94,PO!AA94,CO!AA94,FE!AA94,PE!AA94)</f>
        <v>0</v>
      </c>
      <c r="AB94" s="5">
        <f>SUM(FO!AB94,PO!AB94,CO!AB94,FE!AB94,PE!AB94)</f>
        <v>0</v>
      </c>
      <c r="AC94" s="5">
        <f>SUM(FO!AC94,PO!AC94,CO!AC94,FE!AC94,PE!AC94)</f>
        <v>0</v>
      </c>
      <c r="AD94" s="5">
        <f>SUM(FO!AD94,PO!AD94,CO!AD94,FE!AD94,PE!AD94)</f>
        <v>0</v>
      </c>
      <c r="AE94" s="5">
        <f>SUM(FO!AE94,PO!AE94,CO!AE94,FE!AE94,PE!AE94)</f>
        <v>0</v>
      </c>
      <c r="AF94" s="5">
        <f>SUM(FO!AF94,PO!AF94,CO!AF94,FE!AF94,PE!AF94)</f>
        <v>0</v>
      </c>
      <c r="AG94" s="5">
        <f t="shared" si="67"/>
        <v>0</v>
      </c>
      <c r="AH94" s="28" t="str">
        <f t="shared" si="68"/>
        <v/>
      </c>
      <c r="AI94" s="4"/>
      <c r="AJ94" s="5">
        <f t="shared" si="69"/>
        <v>0</v>
      </c>
      <c r="AK94" s="4"/>
    </row>
    <row r="95" ht="13.5" customHeight="1">
      <c r="A95" s="25" t="s">
        <v>120</v>
      </c>
      <c r="B95" s="5">
        <f>SUM(FO!B95,PO!B95,CO!B95,FE!B95,PE!B95)</f>
        <v>5265.28</v>
      </c>
      <c r="C95" s="5">
        <f>SUM(FO!C95,PO!C95,CO!C95,FE!C95,PE!C95)</f>
        <v>2452.18</v>
      </c>
      <c r="D95" s="5">
        <f>SUM(FO!D95,PO!D95,CO!D95,FE!D95,PE!D95)</f>
        <v>4962.84</v>
      </c>
      <c r="E95" s="5">
        <f>SUM(FO!E95,PO!E95,CO!E95,FE!E95,PE!E95)</f>
        <v>6484.85</v>
      </c>
      <c r="F95" s="5">
        <f>SUM(FO!F95,PO!F95,CO!F95,FE!F95,PE!F95)</f>
        <v>2744.63</v>
      </c>
      <c r="G95" s="5">
        <f>SUM(FO!G95,PO!G95,CO!G95,FE!G95,PE!G95)</f>
        <v>-14.29</v>
      </c>
      <c r="H95" s="5">
        <f>SUM(FO!H95,PO!H95,CO!H95,FE!H95,PE!H95)</f>
        <v>3654.69</v>
      </c>
      <c r="I95" s="5">
        <f>SUM(FO!I95,PO!I95,CO!I95,FE!I95,PE!I95)</f>
        <v>2514.69</v>
      </c>
      <c r="J95" s="5">
        <f>SUM(FO!J95,PO!J95,CO!J95,FE!J95,PE!J95)</f>
        <v>7450</v>
      </c>
      <c r="K95" s="5">
        <f>SUM(FO!K95,PO!K95,CO!K95,FE!K95,PE!K95)</f>
        <v>7450</v>
      </c>
      <c r="L95" s="5">
        <f>SUM(FO!L95,PO!L95,CO!L95,FE!L95,PE!L95)</f>
        <v>7450</v>
      </c>
      <c r="M95" s="5">
        <f>SUM(FO!M95,PO!M95,CO!M95,FE!M95,PE!M95)</f>
        <v>7450</v>
      </c>
      <c r="N95" s="5">
        <f t="shared" si="65"/>
        <v>57864.87</v>
      </c>
      <c r="O95" s="28">
        <f t="shared" si="66"/>
        <v>0.007794361695</v>
      </c>
      <c r="P95" s="5"/>
      <c r="Q95" s="5"/>
      <c r="R95" s="5"/>
      <c r="S95" s="5"/>
      <c r="T95" s="5"/>
      <c r="U95" s="5">
        <f>SUM(FO!U95,PO!U95,CO!U95,FE!U95,PE!U95)</f>
        <v>4866.666667</v>
      </c>
      <c r="V95" s="5">
        <f>SUM(FO!V95,PO!V95,CO!V95,FE!V95,PE!V95)</f>
        <v>4866.666667</v>
      </c>
      <c r="W95" s="5">
        <f>SUM(FO!W95,PO!W95,CO!W95,FE!W95,PE!W95)</f>
        <v>4866.666667</v>
      </c>
      <c r="X95" s="5">
        <f>SUM(FO!X95,PO!X95,CO!X95,FE!X95,PE!X95)</f>
        <v>4866.666667</v>
      </c>
      <c r="Y95" s="5">
        <f>SUM(FO!Y95,PO!Y95,CO!Y95,FE!Y95,PE!Y95)</f>
        <v>5110</v>
      </c>
      <c r="Z95" s="5">
        <f>SUM(FO!Z95,PO!Z95,CO!Z95,FE!Z95,PE!Z95)</f>
        <v>5353.333333</v>
      </c>
      <c r="AA95" s="5">
        <f>SUM(FO!AA95,PO!AA95,CO!AA95,FE!AA95,PE!AA95)</f>
        <v>5596.666667</v>
      </c>
      <c r="AB95" s="5">
        <f>SUM(FO!AB95,PO!AB95,CO!AB95,FE!AB95,PE!AB95)</f>
        <v>5840</v>
      </c>
      <c r="AC95" s="5">
        <f>SUM(FO!AC95,PO!AC95,CO!AC95,FE!AC95,PE!AC95)</f>
        <v>6083.333333</v>
      </c>
      <c r="AD95" s="5">
        <f>SUM(FO!AD95,PO!AD95,CO!AD95,FE!AD95,PE!AD95)</f>
        <v>6326.666667</v>
      </c>
      <c r="AE95" s="5">
        <f>SUM(FO!AE95,PO!AE95,CO!AE95,FE!AE95,PE!AE95)</f>
        <v>6570</v>
      </c>
      <c r="AF95" s="5">
        <f>SUM(FO!AF95,PO!AF95,CO!AF95,FE!AF95,PE!AF95)</f>
        <v>5733.333333</v>
      </c>
      <c r="AG95" s="5">
        <f t="shared" si="67"/>
        <v>66080</v>
      </c>
      <c r="AH95" s="28" t="str">
        <f t="shared" si="68"/>
        <v/>
      </c>
      <c r="AI95" s="4"/>
      <c r="AJ95" s="5">
        <f t="shared" si="69"/>
        <v>-8215.13</v>
      </c>
      <c r="AK95" s="4"/>
    </row>
    <row r="96" ht="13.5" customHeight="1">
      <c r="A96" s="25" t="s">
        <v>121</v>
      </c>
      <c r="B96" s="5">
        <f>SUM(FO!B96,PO!B96,CO!B96,FE!B96,PE!B96)</f>
        <v>4965.69</v>
      </c>
      <c r="C96" s="5">
        <f>SUM(FO!C96,PO!C96,CO!C96,FE!C96,PE!C96)</f>
        <v>15.09</v>
      </c>
      <c r="D96" s="5">
        <f>SUM(FO!D96,PO!D96,CO!D96,FE!D96,PE!D96)</f>
        <v>765.15</v>
      </c>
      <c r="E96" s="5">
        <f>SUM(FO!E96,PO!E96,CO!E96,FE!E96,PE!E96)</f>
        <v>9652.71</v>
      </c>
      <c r="F96" s="5">
        <f>SUM(FO!F96,PO!F96,CO!F96,FE!F96,PE!F96)</f>
        <v>1174.75</v>
      </c>
      <c r="G96" s="5">
        <f>SUM(FO!G96,PO!G96,CO!G96,FE!G96,PE!G96)</f>
        <v>4659.04</v>
      </c>
      <c r="H96" s="5">
        <f>SUM(FO!H96,PO!H96,CO!H96,FE!H96,PE!H96)</f>
        <v>561.23</v>
      </c>
      <c r="I96" s="5">
        <f>SUM(FO!I96,PO!I96,CO!I96,FE!I96,PE!I96)</f>
        <v>273.43</v>
      </c>
      <c r="J96" s="5">
        <f>SUM(FO!J96,PO!J96,CO!J96,FE!J96,PE!J96)</f>
        <v>600</v>
      </c>
      <c r="K96" s="5">
        <f>SUM(FO!K96,PO!K96,CO!K96,FE!K96,PE!K96)</f>
        <v>600</v>
      </c>
      <c r="L96" s="5">
        <f>SUM(FO!L96,PO!L96,CO!L96,FE!L96,PE!L96)</f>
        <v>600</v>
      </c>
      <c r="M96" s="5">
        <f>SUM(FO!M96,PO!M96,CO!M96,FE!M96,PE!M96)</f>
        <v>600</v>
      </c>
      <c r="N96" s="5">
        <f t="shared" si="65"/>
        <v>24467.09</v>
      </c>
      <c r="O96" s="28">
        <f t="shared" si="66"/>
        <v>0.003295701677</v>
      </c>
      <c r="P96" s="5"/>
      <c r="Q96" s="5"/>
      <c r="R96" s="5"/>
      <c r="S96" s="5"/>
      <c r="T96" s="5"/>
      <c r="U96" s="5">
        <f>SUM(FO!U96,PO!U96,CO!U96,FE!U96,PE!U96)</f>
        <v>500</v>
      </c>
      <c r="V96" s="5">
        <f>SUM(FO!V96,PO!V96,CO!V96,FE!V96,PE!V96)</f>
        <v>500</v>
      </c>
      <c r="W96" s="5">
        <f>SUM(FO!W96,PO!W96,CO!W96,FE!W96,PE!W96)</f>
        <v>500</v>
      </c>
      <c r="X96" s="5">
        <f>SUM(FO!X96,PO!X96,CO!X96,FE!X96,PE!X96)</f>
        <v>500</v>
      </c>
      <c r="Y96" s="5">
        <f>SUM(FO!Y96,PO!Y96,CO!Y96,FE!Y96,PE!Y96)</f>
        <v>500</v>
      </c>
      <c r="Z96" s="5">
        <f>SUM(FO!Z96,PO!Z96,CO!Z96,FE!Z96,PE!Z96)</f>
        <v>500</v>
      </c>
      <c r="AA96" s="5">
        <f>SUM(FO!AA96,PO!AA96,CO!AA96,FE!AA96,PE!AA96)</f>
        <v>500</v>
      </c>
      <c r="AB96" s="5">
        <f>SUM(FO!AB96,PO!AB96,CO!AB96,FE!AB96,PE!AB96)</f>
        <v>500</v>
      </c>
      <c r="AC96" s="5">
        <f>SUM(FO!AC96,PO!AC96,CO!AC96,FE!AC96,PE!AC96)</f>
        <v>500</v>
      </c>
      <c r="AD96" s="5">
        <f>SUM(FO!AD96,PO!AD96,CO!AD96,FE!AD96,PE!AD96)</f>
        <v>500</v>
      </c>
      <c r="AE96" s="5">
        <f>SUM(FO!AE96,PO!AE96,CO!AE96,FE!AE96,PE!AE96)</f>
        <v>500</v>
      </c>
      <c r="AF96" s="5">
        <f>SUM(FO!AF96,PO!AF96,CO!AF96,FE!AF96,PE!AF96)</f>
        <v>500</v>
      </c>
      <c r="AG96" s="5">
        <f t="shared" si="67"/>
        <v>6000</v>
      </c>
      <c r="AH96" s="28" t="str">
        <f t="shared" si="68"/>
        <v/>
      </c>
      <c r="AI96" s="4"/>
      <c r="AJ96" s="5">
        <f t="shared" si="69"/>
        <v>18467.09</v>
      </c>
      <c r="AK96" s="4"/>
    </row>
    <row r="97" ht="13.5" customHeight="1">
      <c r="A97" s="25" t="s">
        <v>122</v>
      </c>
      <c r="B97" s="5">
        <f>SUM(FO!B97,PO!B97,CO!B97,FE!B97,PE!B97)</f>
        <v>0</v>
      </c>
      <c r="C97" s="5">
        <f>SUM(FO!C97,PO!C97,CO!C97,FE!C97,PE!C97)</f>
        <v>0</v>
      </c>
      <c r="D97" s="5">
        <f>SUM(FO!D97,PO!D97,CO!D97,FE!D97,PE!D97)</f>
        <v>0</v>
      </c>
      <c r="E97" s="5">
        <f>SUM(FO!E97,PO!E97,CO!E97,FE!E97,PE!E97)</f>
        <v>0</v>
      </c>
      <c r="F97" s="5">
        <f>SUM(FO!F97,PO!F97,CO!F97,FE!F97,PE!F97)</f>
        <v>0</v>
      </c>
      <c r="G97" s="5">
        <f>SUM(FO!G97,PO!G97,CO!G97,FE!G97,PE!G97)</f>
        <v>0</v>
      </c>
      <c r="H97" s="5">
        <f>SUM(FO!H97,PO!H97,CO!H97,FE!H97,PE!H97)</f>
        <v>0</v>
      </c>
      <c r="I97" s="5">
        <f>SUM(FO!I97,PO!I97,CO!I97,FE!I97,PE!I97)</f>
        <v>0</v>
      </c>
      <c r="J97" s="5">
        <f>SUM(FO!J97,PO!J97,CO!J97,FE!J97,PE!J97)</f>
        <v>0</v>
      </c>
      <c r="K97" s="5">
        <f>SUM(FO!K97,PO!K97,CO!K97,FE!K97,PE!K97)</f>
        <v>0</v>
      </c>
      <c r="L97" s="5">
        <f>SUM(FO!L97,PO!L97,CO!L97,FE!L97,PE!L97)</f>
        <v>0</v>
      </c>
      <c r="M97" s="5">
        <f>SUM(FO!M97,PO!M97,CO!M97,FE!M97,PE!M97)</f>
        <v>0</v>
      </c>
      <c r="N97" s="5">
        <f t="shared" si="65"/>
        <v>0</v>
      </c>
      <c r="O97" s="28">
        <f t="shared" si="66"/>
        <v>0</v>
      </c>
      <c r="P97" s="5"/>
      <c r="Q97" s="5"/>
      <c r="R97" s="5"/>
      <c r="S97" s="5"/>
      <c r="T97" s="5"/>
      <c r="U97" s="5">
        <f>SUM(FO!U97,PO!U97,CO!U97,FE!U97,PE!U97)</f>
        <v>0</v>
      </c>
      <c r="V97" s="5">
        <f>SUM(FO!V97,PO!V97,CO!V97,FE!V97,PE!V97)</f>
        <v>0</v>
      </c>
      <c r="W97" s="5">
        <f>SUM(FO!W97,PO!W97,CO!W97,FE!W97,PE!W97)</f>
        <v>0</v>
      </c>
      <c r="X97" s="5">
        <f>SUM(FO!X97,PO!X97,CO!X97,FE!X97,PE!X97)</f>
        <v>0</v>
      </c>
      <c r="Y97" s="5">
        <f>SUM(FO!Y97,PO!Y97,CO!Y97,FE!Y97,PE!Y97)</f>
        <v>0</v>
      </c>
      <c r="Z97" s="5">
        <f>SUM(FO!Z97,PO!Z97,CO!Z97,FE!Z97,PE!Z97)</f>
        <v>0</v>
      </c>
      <c r="AA97" s="5">
        <f>SUM(FO!AA97,PO!AA97,CO!AA97,FE!AA97,PE!AA97)</f>
        <v>0</v>
      </c>
      <c r="AB97" s="5">
        <f>SUM(FO!AB97,PO!AB97,CO!AB97,FE!AB97,PE!AB97)</f>
        <v>0</v>
      </c>
      <c r="AC97" s="5">
        <f>SUM(FO!AC97,PO!AC97,CO!AC97,FE!AC97,PE!AC97)</f>
        <v>0</v>
      </c>
      <c r="AD97" s="5">
        <f>SUM(FO!AD97,PO!AD97,CO!AD97,FE!AD97,PE!AD97)</f>
        <v>0</v>
      </c>
      <c r="AE97" s="5">
        <f>SUM(FO!AE97,PO!AE97,CO!AE97,FE!AE97,PE!AE97)</f>
        <v>0</v>
      </c>
      <c r="AF97" s="5">
        <f>SUM(FO!AF97,PO!AF97,CO!AF97,FE!AF97,PE!AF97)</f>
        <v>0</v>
      </c>
      <c r="AG97" s="5">
        <f t="shared" si="67"/>
        <v>0</v>
      </c>
      <c r="AH97" s="28" t="str">
        <f t="shared" si="68"/>
        <v/>
      </c>
      <c r="AI97" s="4"/>
      <c r="AJ97" s="5">
        <f t="shared" si="69"/>
        <v>0</v>
      </c>
      <c r="AK97" s="4"/>
    </row>
    <row r="98" ht="13.5" customHeight="1">
      <c r="A98" s="25" t="s">
        <v>123</v>
      </c>
      <c r="B98" s="5">
        <f>SUM(FO!B98,PO!B98,CO!B98,FE!B98,PE!B98)</f>
        <v>0</v>
      </c>
      <c r="C98" s="5">
        <f>SUM(FO!C98,PO!C98,CO!C98,FE!C98,PE!C98)</f>
        <v>0</v>
      </c>
      <c r="D98" s="5">
        <f>SUM(FO!D98,PO!D98,CO!D98,FE!D98,PE!D98)</f>
        <v>0</v>
      </c>
      <c r="E98" s="5">
        <f>SUM(FO!E98,PO!E98,CO!E98,FE!E98,PE!E98)</f>
        <v>0</v>
      </c>
      <c r="F98" s="5">
        <f>SUM(FO!F98,PO!F98,CO!F98,FE!F98,PE!F98)</f>
        <v>0</v>
      </c>
      <c r="G98" s="5">
        <f>SUM(FO!G98,PO!G98,CO!G98,FE!G98,PE!G98)</f>
        <v>0</v>
      </c>
      <c r="H98" s="5">
        <f>SUM(FO!H98,PO!H98,CO!H98,FE!H98,PE!H98)</f>
        <v>0</v>
      </c>
      <c r="I98" s="5">
        <f>SUM(FO!I98,PO!I98,CO!I98,FE!I98,PE!I98)</f>
        <v>0</v>
      </c>
      <c r="J98" s="5">
        <f>SUM(FO!J98,PO!J98,CO!J98,FE!J98,PE!J98)</f>
        <v>630000</v>
      </c>
      <c r="K98" s="5">
        <f>SUM(FO!K98,PO!K98,CO!K98,FE!K98,PE!K98)</f>
        <v>2000</v>
      </c>
      <c r="L98" s="5">
        <f>SUM(FO!L98,PO!L98,CO!L98,FE!L98,PE!L98)</f>
        <v>2000</v>
      </c>
      <c r="M98" s="5">
        <f>SUM(FO!M98,PO!M98,CO!M98,FE!M98,PE!M98)</f>
        <v>2000</v>
      </c>
      <c r="N98" s="5">
        <f t="shared" si="65"/>
        <v>636000</v>
      </c>
      <c r="O98" s="28">
        <f t="shared" si="66"/>
        <v>0.08566880108</v>
      </c>
      <c r="P98" s="5"/>
      <c r="Q98" s="5"/>
      <c r="R98" s="5"/>
      <c r="S98" s="5"/>
      <c r="T98" s="5"/>
      <c r="U98" s="5">
        <f>SUM(FO!U98,PO!U98,CO!U98,FE!U98,PE!U98)</f>
        <v>0</v>
      </c>
      <c r="V98" s="5">
        <f>SUM(FO!V98,PO!V98,CO!V98,FE!V98,PE!V98)</f>
        <v>0</v>
      </c>
      <c r="W98" s="5">
        <f>SUM(FO!W98,PO!W98,CO!W98,FE!W98,PE!W98)</f>
        <v>0</v>
      </c>
      <c r="X98" s="5">
        <f>SUM(FO!X98,PO!X98,CO!X98,FE!X98,PE!X98)</f>
        <v>0</v>
      </c>
      <c r="Y98" s="5">
        <f>SUM(FO!Y98,PO!Y98,CO!Y98,FE!Y98,PE!Y98)</f>
        <v>0</v>
      </c>
      <c r="Z98" s="5">
        <f>SUM(FO!Z98,PO!Z98,CO!Z98,FE!Z98,PE!Z98)</f>
        <v>0</v>
      </c>
      <c r="AA98" s="5">
        <f>SUM(FO!AA98,PO!AA98,CO!AA98,FE!AA98,PE!AA98)</f>
        <v>0</v>
      </c>
      <c r="AB98" s="5">
        <f>SUM(FO!AB98,PO!AB98,CO!AB98,FE!AB98,PE!AB98)</f>
        <v>0</v>
      </c>
      <c r="AC98" s="5">
        <f>SUM(FO!AC98,PO!AC98,CO!AC98,FE!AC98,PE!AC98)</f>
        <v>0</v>
      </c>
      <c r="AD98" s="5">
        <f>SUM(FO!AD98,PO!AD98,CO!AD98,FE!AD98,PE!AD98)</f>
        <v>0</v>
      </c>
      <c r="AE98" s="5">
        <f>SUM(FO!AE98,PO!AE98,CO!AE98,FE!AE98,PE!AE98)</f>
        <v>0</v>
      </c>
      <c r="AF98" s="5">
        <f>SUM(FO!AF98,PO!AF98,CO!AF98,FE!AF98,PE!AF98)</f>
        <v>0</v>
      </c>
      <c r="AG98" s="5">
        <f t="shared" si="67"/>
        <v>0</v>
      </c>
      <c r="AH98" s="28" t="str">
        <f t="shared" si="68"/>
        <v/>
      </c>
      <c r="AI98" s="4"/>
      <c r="AJ98" s="5">
        <f t="shared" si="69"/>
        <v>636000</v>
      </c>
      <c r="AK98" s="4"/>
    </row>
    <row r="99" ht="13.5" customHeight="1">
      <c r="A99" s="25" t="s">
        <v>124</v>
      </c>
      <c r="B99" s="5">
        <f>SUM(FO!B99,PO!B99,CO!B99,FE!B99,PE!B99)</f>
        <v>5040.75</v>
      </c>
      <c r="C99" s="5">
        <f>SUM(FO!C99,PO!C99,CO!C99,FE!C99,PE!C99)</f>
        <v>826.9</v>
      </c>
      <c r="D99" s="5">
        <f>SUM(FO!D99,PO!D99,CO!D99,FE!D99,PE!D99)</f>
        <v>303.94</v>
      </c>
      <c r="E99" s="5">
        <f>SUM(FO!E99,PO!E99,CO!E99,FE!E99,PE!E99)</f>
        <v>557.39</v>
      </c>
      <c r="F99" s="5">
        <f>SUM(FO!F99,PO!F99,CO!F99,FE!F99,PE!F99)</f>
        <v>597.8</v>
      </c>
      <c r="G99" s="5">
        <f>SUM(FO!G99,PO!G99,CO!G99,FE!G99,PE!G99)</f>
        <v>497.39</v>
      </c>
      <c r="H99" s="5">
        <f>SUM(FO!H99,PO!H99,CO!H99,FE!H99,PE!H99)</f>
        <v>573.49</v>
      </c>
      <c r="I99" s="5">
        <f>SUM(FO!I99,PO!I99,CO!I99,FE!I99,PE!I99)</f>
        <v>512.64</v>
      </c>
      <c r="J99" s="5">
        <f>SUM(FO!J99,PO!J99,CO!J99,FE!J99,PE!J99)</f>
        <v>2210</v>
      </c>
      <c r="K99" s="5">
        <f>SUM(FO!K99,PO!K99,CO!K99,FE!K99,PE!K99)</f>
        <v>2210</v>
      </c>
      <c r="L99" s="5">
        <f>SUM(FO!L99,PO!L99,CO!L99,FE!L99,PE!L99)</f>
        <v>2210</v>
      </c>
      <c r="M99" s="5">
        <f>SUM(FO!M99,PO!M99,CO!M99,FE!M99,PE!M99)</f>
        <v>2210</v>
      </c>
      <c r="N99" s="5">
        <f t="shared" si="65"/>
        <v>17750.3</v>
      </c>
      <c r="O99" s="28">
        <f t="shared" si="66"/>
        <v>0.002390954277</v>
      </c>
      <c r="P99" s="5"/>
      <c r="Q99" s="5"/>
      <c r="R99" s="5"/>
      <c r="S99" s="5"/>
      <c r="T99" s="5"/>
      <c r="U99" s="5">
        <f>SUM(FO!U99,PO!U99,CO!U99,FE!U99,PE!U99)</f>
        <v>2116.666667</v>
      </c>
      <c r="V99" s="5">
        <f>SUM(FO!V99,PO!V99,CO!V99,FE!V99,PE!V99)</f>
        <v>2116.666667</v>
      </c>
      <c r="W99" s="5">
        <f>SUM(FO!W99,PO!W99,CO!W99,FE!W99,PE!W99)</f>
        <v>2116.666667</v>
      </c>
      <c r="X99" s="5">
        <f>SUM(FO!X99,PO!X99,CO!X99,FE!X99,PE!X99)</f>
        <v>2116.666667</v>
      </c>
      <c r="Y99" s="5">
        <f>SUM(FO!Y99,PO!Y99,CO!Y99,FE!Y99,PE!Y99)</f>
        <v>2116.666667</v>
      </c>
      <c r="Z99" s="5">
        <f>SUM(FO!Z99,PO!Z99,CO!Z99,FE!Z99,PE!Z99)</f>
        <v>2116.666667</v>
      </c>
      <c r="AA99" s="5">
        <f>SUM(FO!AA99,PO!AA99,CO!AA99,FE!AA99,PE!AA99)</f>
        <v>2116.666667</v>
      </c>
      <c r="AB99" s="5">
        <f>SUM(FO!AB99,PO!AB99,CO!AB99,FE!AB99,PE!AB99)</f>
        <v>2116.666667</v>
      </c>
      <c r="AC99" s="5">
        <f>SUM(FO!AC99,PO!AC99,CO!AC99,FE!AC99,PE!AC99)</f>
        <v>2116.666667</v>
      </c>
      <c r="AD99" s="5">
        <f>SUM(FO!AD99,PO!AD99,CO!AD99,FE!AD99,PE!AD99)</f>
        <v>2116.666667</v>
      </c>
      <c r="AE99" s="5">
        <f>SUM(FO!AE99,PO!AE99,CO!AE99,FE!AE99,PE!AE99)</f>
        <v>2116.666667</v>
      </c>
      <c r="AF99" s="5">
        <f>SUM(FO!AF99,PO!AF99,CO!AF99,FE!AF99,PE!AF99)</f>
        <v>2116.666667</v>
      </c>
      <c r="AG99" s="5">
        <f t="shared" si="67"/>
        <v>25400</v>
      </c>
      <c r="AH99" s="28" t="str">
        <f t="shared" si="68"/>
        <v/>
      </c>
      <c r="AI99" s="4"/>
      <c r="AJ99" s="5">
        <f t="shared" si="69"/>
        <v>-7649.7</v>
      </c>
      <c r="AK99" s="4"/>
    </row>
    <row r="100" ht="13.5" customHeight="1">
      <c r="A100" s="25" t="s">
        <v>126</v>
      </c>
      <c r="B100" s="5">
        <f>SUM(FO!B100,PO!B100,CO!B100,FE!B100,PE!B100)</f>
        <v>0</v>
      </c>
      <c r="C100" s="5">
        <f>SUM(FO!C100,PO!C100,CO!C100,FE!C100,PE!C100)</f>
        <v>0</v>
      </c>
      <c r="D100" s="5">
        <f>SUM(FO!D100,PO!D100,CO!D100,FE!D100,PE!D100)</f>
        <v>930</v>
      </c>
      <c r="E100" s="5">
        <f>SUM(FO!E100,PO!E100,CO!E100,FE!E100,PE!E100)</f>
        <v>450</v>
      </c>
      <c r="F100" s="5">
        <f>SUM(FO!F100,PO!F100,CO!F100,FE!F100,PE!F100)</f>
        <v>450</v>
      </c>
      <c r="G100" s="5">
        <f>SUM(FO!G100,PO!G100,CO!G100,FE!G100,PE!G100)</f>
        <v>450</v>
      </c>
      <c r="H100" s="5">
        <f>SUM(FO!H100,PO!H100,CO!H100,FE!H100,PE!H100)</f>
        <v>450</v>
      </c>
      <c r="I100" s="5">
        <f>SUM(FO!I100,PO!I100,CO!I100,FE!I100,PE!I100)</f>
        <v>450</v>
      </c>
      <c r="J100" s="5">
        <f>SUM(FO!J100,PO!J100,CO!J100,FE!J100,PE!J100)</f>
        <v>450</v>
      </c>
      <c r="K100" s="5">
        <f>SUM(FO!K100,PO!K100,CO!K100,FE!K100,PE!K100)</f>
        <v>450</v>
      </c>
      <c r="L100" s="5">
        <f>SUM(FO!L100,PO!L100,CO!L100,FE!L100,PE!L100)</f>
        <v>450</v>
      </c>
      <c r="M100" s="5">
        <f>SUM(FO!M100,PO!M100,CO!M100,FE!M100,PE!M100)</f>
        <v>450</v>
      </c>
      <c r="N100" s="5">
        <f t="shared" si="65"/>
        <v>4980</v>
      </c>
      <c r="O100" s="28">
        <f t="shared" si="66"/>
        <v>0.0006708028764</v>
      </c>
      <c r="P100" s="5"/>
      <c r="Q100" s="5"/>
      <c r="R100" s="5"/>
      <c r="S100" s="5"/>
      <c r="T100" s="5"/>
      <c r="U100" s="5">
        <f>SUM(FO!U100,PO!U100,CO!U100,FE!U100,PE!U100)</f>
        <v>0</v>
      </c>
      <c r="V100" s="5">
        <f>SUM(FO!V100,PO!V100,CO!V100,FE!V100,PE!V100)</f>
        <v>0</v>
      </c>
      <c r="W100" s="5">
        <f>SUM(FO!W100,PO!W100,CO!W100,FE!W100,PE!W100)</f>
        <v>0</v>
      </c>
      <c r="X100" s="5">
        <f>SUM(FO!X100,PO!X100,CO!X100,FE!X100,PE!X100)</f>
        <v>0</v>
      </c>
      <c r="Y100" s="5">
        <f>SUM(FO!Y100,PO!Y100,CO!Y100,FE!Y100,PE!Y100)</f>
        <v>0</v>
      </c>
      <c r="Z100" s="5">
        <f>SUM(FO!Z100,PO!Z100,CO!Z100,FE!Z100,PE!Z100)</f>
        <v>0</v>
      </c>
      <c r="AA100" s="5">
        <f>SUM(FO!AA100,PO!AA100,CO!AA100,FE!AA100,PE!AA100)</f>
        <v>0</v>
      </c>
      <c r="AB100" s="5">
        <f>SUM(FO!AB100,PO!AB100,CO!AB100,FE!AB100,PE!AB100)</f>
        <v>0</v>
      </c>
      <c r="AC100" s="5">
        <f>SUM(FO!AC100,PO!AC100,CO!AC100,FE!AC100,PE!AC100)</f>
        <v>0</v>
      </c>
      <c r="AD100" s="5">
        <f>SUM(FO!AD100,PO!AD100,CO!AD100,FE!AD100,PE!AD100)</f>
        <v>0</v>
      </c>
      <c r="AE100" s="5">
        <f>SUM(FO!AE100,PO!AE100,CO!AE100,FE!AE100,PE!AE100)</f>
        <v>0</v>
      </c>
      <c r="AF100" s="5">
        <f>SUM(FO!AF100,PO!AF100,CO!AF100,FE!AF100,PE!AF100)</f>
        <v>0</v>
      </c>
      <c r="AG100" s="5">
        <f t="shared" si="67"/>
        <v>0</v>
      </c>
      <c r="AH100" s="28" t="str">
        <f t="shared" si="68"/>
        <v/>
      </c>
      <c r="AI100" s="4"/>
      <c r="AJ100" s="5">
        <f t="shared" si="69"/>
        <v>4980</v>
      </c>
      <c r="AK100" s="4"/>
    </row>
    <row r="101" ht="13.5" customHeight="1">
      <c r="A101" s="25" t="s">
        <v>128</v>
      </c>
      <c r="B101" s="5">
        <f>SUM(FO!B101,PO!B101,CO!B101,FE!B101,PE!B101)</f>
        <v>2546.7</v>
      </c>
      <c r="C101" s="5">
        <f>SUM(FO!C101,PO!C101,CO!C101,FE!C101,PE!C101)</f>
        <v>1667.4</v>
      </c>
      <c r="D101" s="5">
        <f>SUM(FO!D101,PO!D101,CO!D101,FE!D101,PE!D101)</f>
        <v>2572.86</v>
      </c>
      <c r="E101" s="5">
        <f>SUM(FO!E101,PO!E101,CO!E101,FE!E101,PE!E101)</f>
        <v>2170.39</v>
      </c>
      <c r="F101" s="5">
        <f>SUM(FO!F101,PO!F101,CO!F101,FE!F101,PE!F101)</f>
        <v>2114.52</v>
      </c>
      <c r="G101" s="5">
        <f>SUM(FO!G101,PO!G101,CO!G101,FE!G101,PE!G101)</f>
        <v>2730.36</v>
      </c>
      <c r="H101" s="5">
        <f>SUM(FO!H101,PO!H101,CO!H101,FE!H101,PE!H101)</f>
        <v>2114.51</v>
      </c>
      <c r="I101" s="5">
        <f>SUM(FO!I101,PO!I101,CO!I101,FE!I101,PE!I101)</f>
        <v>0</v>
      </c>
      <c r="J101" s="5">
        <f>SUM(FO!J101,PO!J101,CO!J101,FE!J101,PE!J101)</f>
        <v>2200</v>
      </c>
      <c r="K101" s="5">
        <f>SUM(FO!K101,PO!K101,CO!K101,FE!K101,PE!K101)</f>
        <v>2200</v>
      </c>
      <c r="L101" s="5">
        <f>SUM(FO!L101,PO!L101,CO!L101,FE!L101,PE!L101)</f>
        <v>2200</v>
      </c>
      <c r="M101" s="5">
        <f>SUM(FO!M101,PO!M101,CO!M101,FE!M101,PE!M101)</f>
        <v>2200</v>
      </c>
      <c r="N101" s="5">
        <f t="shared" si="65"/>
        <v>24716.74</v>
      </c>
      <c r="O101" s="28">
        <f t="shared" si="66"/>
        <v>0.003329329375</v>
      </c>
      <c r="P101" s="5"/>
      <c r="Q101" s="5"/>
      <c r="R101" s="5"/>
      <c r="S101" s="5"/>
      <c r="T101" s="5"/>
      <c r="U101" s="5">
        <f>SUM(FO!U101,PO!U101,CO!U101,FE!U101,PE!U101)</f>
        <v>4166.666667</v>
      </c>
      <c r="V101" s="5">
        <f>SUM(FO!V101,PO!V101,CO!V101,FE!V101,PE!V101)</f>
        <v>4166.666667</v>
      </c>
      <c r="W101" s="5">
        <f>SUM(FO!W101,PO!W101,CO!W101,FE!W101,PE!W101)</f>
        <v>4166.666667</v>
      </c>
      <c r="X101" s="5">
        <f>SUM(FO!X101,PO!X101,CO!X101,FE!X101,PE!X101)</f>
        <v>4166.666667</v>
      </c>
      <c r="Y101" s="5">
        <f>SUM(FO!Y101,PO!Y101,CO!Y101,FE!Y101,PE!Y101)</f>
        <v>4166.666667</v>
      </c>
      <c r="Z101" s="5">
        <f>SUM(FO!Z101,PO!Z101,CO!Z101,FE!Z101,PE!Z101)</f>
        <v>4166.666667</v>
      </c>
      <c r="AA101" s="5">
        <f>SUM(FO!AA101,PO!AA101,CO!AA101,FE!AA101,PE!AA101)</f>
        <v>4166.666667</v>
      </c>
      <c r="AB101" s="5">
        <f>SUM(FO!AB101,PO!AB101,CO!AB101,FE!AB101,PE!AB101)</f>
        <v>4166.666667</v>
      </c>
      <c r="AC101" s="5">
        <f>SUM(FO!AC101,PO!AC101,CO!AC101,FE!AC101,PE!AC101)</f>
        <v>4166.666667</v>
      </c>
      <c r="AD101" s="5">
        <f>SUM(FO!AD101,PO!AD101,CO!AD101,FE!AD101,PE!AD101)</f>
        <v>4166.666667</v>
      </c>
      <c r="AE101" s="5">
        <f>SUM(FO!AE101,PO!AE101,CO!AE101,FE!AE101,PE!AE101)</f>
        <v>4166.666667</v>
      </c>
      <c r="AF101" s="5">
        <f>SUM(FO!AF101,PO!AF101,CO!AF101,FE!AF101,PE!AF101)</f>
        <v>4166.666667</v>
      </c>
      <c r="AG101" s="5">
        <f t="shared" si="67"/>
        <v>50000</v>
      </c>
      <c r="AH101" s="28" t="str">
        <f t="shared" si="68"/>
        <v/>
      </c>
      <c r="AI101" s="4"/>
      <c r="AJ101" s="5">
        <f t="shared" si="69"/>
        <v>-25283.26</v>
      </c>
      <c r="AK101" s="4"/>
    </row>
    <row r="102" ht="13.5" customHeight="1">
      <c r="A102" s="25" t="s">
        <v>129</v>
      </c>
      <c r="B102" s="5">
        <f>SUM(FO!B102,PO!B102,CO!B102,FE!B102,PE!B102)</f>
        <v>0</v>
      </c>
      <c r="C102" s="5">
        <f>SUM(FO!C102,PO!C102,CO!C102,FE!C102,PE!C102)</f>
        <v>270.16</v>
      </c>
      <c r="D102" s="5">
        <f>SUM(FO!D102,PO!D102,CO!D102,FE!D102,PE!D102)</f>
        <v>0</v>
      </c>
      <c r="E102" s="5">
        <f>SUM(FO!E102,PO!E102,CO!E102,FE!E102,PE!E102)</f>
        <v>36.2</v>
      </c>
      <c r="F102" s="5">
        <f>SUM(FO!F102,PO!F102,CO!F102,FE!F102,PE!F102)</f>
        <v>21.59</v>
      </c>
      <c r="G102" s="5">
        <f>SUM(FO!G102,PO!G102,CO!G102,FE!G102,PE!G102)</f>
        <v>10.06</v>
      </c>
      <c r="H102" s="5">
        <f>SUM(FO!H102,PO!H102,CO!H102,FE!H102,PE!H102)</f>
        <v>0</v>
      </c>
      <c r="I102" s="5">
        <f>SUM(FO!I102,PO!I102,CO!I102,FE!I102,PE!I102)</f>
        <v>238.27</v>
      </c>
      <c r="J102" s="5">
        <f>SUM(FO!J102,PO!J102,CO!J102,FE!J102,PE!J102)</f>
        <v>50</v>
      </c>
      <c r="K102" s="5">
        <f>SUM(FO!K102,PO!K102,CO!K102,FE!K102,PE!K102)</f>
        <v>50</v>
      </c>
      <c r="L102" s="5">
        <f>SUM(FO!L102,PO!L102,CO!L102,FE!L102,PE!L102)</f>
        <v>50</v>
      </c>
      <c r="M102" s="5">
        <f>SUM(FO!M102,PO!M102,CO!M102,FE!M102,PE!M102)</f>
        <v>50</v>
      </c>
      <c r="N102" s="5">
        <f t="shared" si="65"/>
        <v>776.28</v>
      </c>
      <c r="O102" s="28">
        <f t="shared" si="66"/>
        <v>0.0001045644291</v>
      </c>
      <c r="P102" s="5"/>
      <c r="Q102" s="5"/>
      <c r="R102" s="5"/>
      <c r="S102" s="5"/>
      <c r="T102" s="5"/>
      <c r="U102" s="5">
        <f>SUM(FO!U102,PO!U102,CO!U102,FE!U102,PE!U102)</f>
        <v>0</v>
      </c>
      <c r="V102" s="5">
        <f>SUM(FO!V102,PO!V102,CO!V102,FE!V102,PE!V102)</f>
        <v>0</v>
      </c>
      <c r="W102" s="5">
        <f>SUM(FO!W102,PO!W102,CO!W102,FE!W102,PE!W102)</f>
        <v>0</v>
      </c>
      <c r="X102" s="5">
        <f>SUM(FO!X102,PO!X102,CO!X102,FE!X102,PE!X102)</f>
        <v>0</v>
      </c>
      <c r="Y102" s="5">
        <f>SUM(FO!Y102,PO!Y102,CO!Y102,FE!Y102,PE!Y102)</f>
        <v>0</v>
      </c>
      <c r="Z102" s="5">
        <f>SUM(FO!Z102,PO!Z102,CO!Z102,FE!Z102,PE!Z102)</f>
        <v>0</v>
      </c>
      <c r="AA102" s="5">
        <f>SUM(FO!AA102,PO!AA102,CO!AA102,FE!AA102,PE!AA102)</f>
        <v>0</v>
      </c>
      <c r="AB102" s="5">
        <f>SUM(FO!AB102,PO!AB102,CO!AB102,FE!AB102,PE!AB102)</f>
        <v>0</v>
      </c>
      <c r="AC102" s="5">
        <f>SUM(FO!AC102,PO!AC102,CO!AC102,FE!AC102,PE!AC102)</f>
        <v>0</v>
      </c>
      <c r="AD102" s="5">
        <f>SUM(FO!AD102,PO!AD102,CO!AD102,FE!AD102,PE!AD102)</f>
        <v>0</v>
      </c>
      <c r="AE102" s="5">
        <f>SUM(FO!AE102,PO!AE102,CO!AE102,FE!AE102,PE!AE102)</f>
        <v>0</v>
      </c>
      <c r="AF102" s="5">
        <f>SUM(FO!AF102,PO!AF102,CO!AF102,FE!AF102,PE!AF102)</f>
        <v>0</v>
      </c>
      <c r="AG102" s="5">
        <f t="shared" si="67"/>
        <v>0</v>
      </c>
      <c r="AH102" s="28" t="str">
        <f t="shared" si="68"/>
        <v/>
      </c>
      <c r="AI102" s="4"/>
      <c r="AJ102" s="5">
        <f t="shared" si="69"/>
        <v>776.28</v>
      </c>
      <c r="AK102" s="4"/>
    </row>
    <row r="103" ht="13.5" customHeight="1">
      <c r="A103" s="25" t="s">
        <v>130</v>
      </c>
      <c r="B103" s="5">
        <f>SUM(FO!B103,PO!B103,CO!B103,FE!B103,PE!B103)</f>
        <v>0</v>
      </c>
      <c r="C103" s="5">
        <f>SUM(FO!C103,PO!C103,CO!C103,FE!C103,PE!C103)</f>
        <v>0</v>
      </c>
      <c r="D103" s="5">
        <f>SUM(FO!D103,PO!D103,CO!D103,FE!D103,PE!D103)</f>
        <v>0</v>
      </c>
      <c r="E103" s="5">
        <f>SUM(FO!E103,PO!E103,CO!E103,FE!E103,PE!E103)</f>
        <v>0</v>
      </c>
      <c r="F103" s="5">
        <f>SUM(FO!F103,PO!F103,CO!F103,FE!F103,PE!F103)</f>
        <v>0</v>
      </c>
      <c r="G103" s="5">
        <f>SUM(FO!G103,PO!G103,CO!G103,FE!G103,PE!G103)</f>
        <v>0</v>
      </c>
      <c r="H103" s="5">
        <f>SUM(FO!H103,PO!H103,CO!H103,FE!H103,PE!H103)</f>
        <v>0</v>
      </c>
      <c r="I103" s="5">
        <f>SUM(FO!I103,PO!I103,CO!I103,FE!I103,PE!I103)</f>
        <v>0</v>
      </c>
      <c r="J103" s="5">
        <f>SUM(FO!J103,PO!J103,CO!J103,FE!J103,PE!J103)</f>
        <v>0</v>
      </c>
      <c r="K103" s="5">
        <f>SUM(FO!K103,PO!K103,CO!K103,FE!K103,PE!K103)</f>
        <v>0</v>
      </c>
      <c r="L103" s="5">
        <f>SUM(FO!L103,PO!L103,CO!L103,FE!L103,PE!L103)</f>
        <v>0</v>
      </c>
      <c r="M103" s="5">
        <f>SUM(FO!M103,PO!M103,CO!M103,FE!M103,PE!M103)</f>
        <v>0</v>
      </c>
      <c r="N103" s="5">
        <f t="shared" si="65"/>
        <v>0</v>
      </c>
      <c r="O103" s="28">
        <f t="shared" si="66"/>
        <v>0</v>
      </c>
      <c r="P103" s="5"/>
      <c r="Q103" s="5"/>
      <c r="R103" s="5"/>
      <c r="S103" s="5"/>
      <c r="T103" s="5"/>
      <c r="U103" s="5">
        <f>SUM(FO!U103,PO!U103,CO!U103,FE!U103,PE!U103)</f>
        <v>0</v>
      </c>
      <c r="V103" s="5">
        <f>SUM(FO!V103,PO!V103,CO!V103,FE!V103,PE!V103)</f>
        <v>0</v>
      </c>
      <c r="W103" s="5">
        <f>SUM(FO!W103,PO!W103,CO!W103,FE!W103,PE!W103)</f>
        <v>0</v>
      </c>
      <c r="X103" s="5">
        <f>SUM(FO!X103,PO!X103,CO!X103,FE!X103,PE!X103)</f>
        <v>0</v>
      </c>
      <c r="Y103" s="5">
        <f>SUM(FO!Y103,PO!Y103,CO!Y103,FE!Y103,PE!Y103)</f>
        <v>0</v>
      </c>
      <c r="Z103" s="5">
        <f>SUM(FO!Z103,PO!Z103,CO!Z103,FE!Z103,PE!Z103)</f>
        <v>0</v>
      </c>
      <c r="AA103" s="5">
        <f>SUM(FO!AA103,PO!AA103,CO!AA103,FE!AA103,PE!AA103)</f>
        <v>0</v>
      </c>
      <c r="AB103" s="5">
        <f>SUM(FO!AB103,PO!AB103,CO!AB103,FE!AB103,PE!AB103)</f>
        <v>0</v>
      </c>
      <c r="AC103" s="5">
        <f>SUM(FO!AC103,PO!AC103,CO!AC103,FE!AC103,PE!AC103)</f>
        <v>0</v>
      </c>
      <c r="AD103" s="5">
        <f>SUM(FO!AD103,PO!AD103,CO!AD103,FE!AD103,PE!AD103)</f>
        <v>0</v>
      </c>
      <c r="AE103" s="5">
        <f>SUM(FO!AE103,PO!AE103,CO!AE103,FE!AE103,PE!AE103)</f>
        <v>0</v>
      </c>
      <c r="AF103" s="5">
        <f>SUM(FO!AF103,PO!AF103,CO!AF103,FE!AF103,PE!AF103)</f>
        <v>0</v>
      </c>
      <c r="AG103" s="5">
        <f t="shared" si="67"/>
        <v>0</v>
      </c>
      <c r="AH103" s="28" t="str">
        <f t="shared" si="68"/>
        <v/>
      </c>
      <c r="AI103" s="4"/>
      <c r="AJ103" s="5">
        <f t="shared" si="69"/>
        <v>0</v>
      </c>
      <c r="AK103" s="4"/>
    </row>
    <row r="104" ht="13.5" customHeight="1">
      <c r="A104" s="25" t="s">
        <v>131</v>
      </c>
      <c r="B104" s="5">
        <f>SUM(FO!B104,PO!B104,CO!B104,FE!B104,PE!B104)</f>
        <v>0</v>
      </c>
      <c r="C104" s="5">
        <f>SUM(FO!C104,PO!C104,CO!C104,FE!C104,PE!C104)</f>
        <v>0</v>
      </c>
      <c r="D104" s="5">
        <f>SUM(FO!D104,PO!D104,CO!D104,FE!D104,PE!D104)</f>
        <v>0</v>
      </c>
      <c r="E104" s="5">
        <f>SUM(FO!E104,PO!E104,CO!E104,FE!E104,PE!E104)</f>
        <v>2070.05</v>
      </c>
      <c r="F104" s="5">
        <f>SUM(FO!F104,PO!F104,CO!F104,FE!F104,PE!F104)</f>
        <v>0</v>
      </c>
      <c r="G104" s="5">
        <f>SUM(FO!G104,PO!G104,CO!G104,FE!G104,PE!G104)</f>
        <v>676.49</v>
      </c>
      <c r="H104" s="5">
        <f>SUM(FO!H104,PO!H104,CO!H104,FE!H104,PE!H104)</f>
        <v>0</v>
      </c>
      <c r="I104" s="5">
        <f>SUM(FO!I104,PO!I104,CO!I104,FE!I104,PE!I104)</f>
        <v>0</v>
      </c>
      <c r="J104" s="5">
        <f>SUM(FO!J104,PO!J104,CO!J104,FE!J104,PE!J104)</f>
        <v>0</v>
      </c>
      <c r="K104" s="5">
        <f>SUM(FO!K104,PO!K104,CO!K104,FE!K104,PE!K104)</f>
        <v>0</v>
      </c>
      <c r="L104" s="5">
        <f>SUM(FO!L104,PO!L104,CO!L104,FE!L104,PE!L104)</f>
        <v>0</v>
      </c>
      <c r="M104" s="5">
        <f>SUM(FO!M104,PO!M104,CO!M104,FE!M104,PE!M104)</f>
        <v>0</v>
      </c>
      <c r="N104" s="5">
        <f t="shared" si="65"/>
        <v>2746.54</v>
      </c>
      <c r="O104" s="28">
        <f t="shared" si="66"/>
        <v>0.0003699572153</v>
      </c>
      <c r="P104" s="5"/>
      <c r="Q104" s="5"/>
      <c r="R104" s="5"/>
      <c r="S104" s="5"/>
      <c r="T104" s="5"/>
      <c r="U104" s="5">
        <f>SUM(FO!U104,PO!U104,CO!U104,FE!U104,PE!U104)</f>
        <v>0</v>
      </c>
      <c r="V104" s="5">
        <f>SUM(FO!V104,PO!V104,CO!V104,FE!V104,PE!V104)</f>
        <v>0</v>
      </c>
      <c r="W104" s="5">
        <f>SUM(FO!W104,PO!W104,CO!W104,FE!W104,PE!W104)</f>
        <v>0</v>
      </c>
      <c r="X104" s="5">
        <f>SUM(FO!X104,PO!X104,CO!X104,FE!X104,PE!X104)</f>
        <v>0</v>
      </c>
      <c r="Y104" s="5">
        <f>SUM(FO!Y104,PO!Y104,CO!Y104,FE!Y104,PE!Y104)</f>
        <v>0</v>
      </c>
      <c r="Z104" s="5">
        <f>SUM(FO!Z104,PO!Z104,CO!Z104,FE!Z104,PE!Z104)</f>
        <v>0</v>
      </c>
      <c r="AA104" s="5">
        <f>SUM(FO!AA104,PO!AA104,CO!AA104,FE!AA104,PE!AA104)</f>
        <v>0</v>
      </c>
      <c r="AB104" s="5">
        <f>SUM(FO!AB104,PO!AB104,CO!AB104,FE!AB104,PE!AB104)</f>
        <v>0</v>
      </c>
      <c r="AC104" s="5">
        <f>SUM(FO!AC104,PO!AC104,CO!AC104,FE!AC104,PE!AC104)</f>
        <v>0</v>
      </c>
      <c r="AD104" s="5">
        <f>SUM(FO!AD104,PO!AD104,CO!AD104,FE!AD104,PE!AD104)</f>
        <v>0</v>
      </c>
      <c r="AE104" s="5">
        <f>SUM(FO!AE104,PO!AE104,CO!AE104,FE!AE104,PE!AE104)</f>
        <v>0</v>
      </c>
      <c r="AF104" s="5">
        <f>SUM(FO!AF104,PO!AF104,CO!AF104,FE!AF104,PE!AF104)</f>
        <v>0</v>
      </c>
      <c r="AG104" s="5">
        <f t="shared" si="67"/>
        <v>0</v>
      </c>
      <c r="AH104" s="28" t="str">
        <f t="shared" si="68"/>
        <v/>
      </c>
      <c r="AI104" s="4"/>
      <c r="AJ104" s="5">
        <f t="shared" si="69"/>
        <v>2746.54</v>
      </c>
      <c r="AK104" s="4"/>
    </row>
    <row r="105" ht="13.5" customHeight="1">
      <c r="A105" s="25" t="s">
        <v>132</v>
      </c>
      <c r="B105" s="5">
        <f>SUM(FO!B105,PO!B105,CO!B105,FE!B105,PE!B105)</f>
        <v>0</v>
      </c>
      <c r="C105" s="5">
        <f>SUM(FO!C105,PO!C105,CO!C105,FE!C105,PE!C105)</f>
        <v>0</v>
      </c>
      <c r="D105" s="5">
        <f>SUM(FO!D105,PO!D105,CO!D105,FE!D105,PE!D105)</f>
        <v>0</v>
      </c>
      <c r="E105" s="5">
        <f>SUM(FO!E105,PO!E105,CO!E105,FE!E105,PE!E105)</f>
        <v>0</v>
      </c>
      <c r="F105" s="5">
        <f>SUM(FO!F105,PO!F105,CO!F105,FE!F105,PE!F105)</f>
        <v>0</v>
      </c>
      <c r="G105" s="5">
        <f>SUM(FO!G105,PO!G105,CO!G105,FE!G105,PE!G105)</f>
        <v>0</v>
      </c>
      <c r="H105" s="5">
        <f>SUM(FO!H105,PO!H105,CO!H105,FE!H105,PE!H105)</f>
        <v>0</v>
      </c>
      <c r="I105" s="5">
        <f>SUM(FO!I105,PO!I105,CO!I105,FE!I105,PE!I105)</f>
        <v>0</v>
      </c>
      <c r="J105" s="5">
        <f>SUM(FO!J105,PO!J105,CO!J105,FE!J105,PE!J105)</f>
        <v>0</v>
      </c>
      <c r="K105" s="5">
        <f>SUM(FO!K105,PO!K105,CO!K105,FE!K105,PE!K105)</f>
        <v>0</v>
      </c>
      <c r="L105" s="5">
        <f>SUM(FO!L105,PO!L105,CO!L105,FE!L105,PE!L105)</f>
        <v>0</v>
      </c>
      <c r="M105" s="5">
        <f>SUM(FO!M105,PO!M105,CO!M105,FE!M105,PE!M105)</f>
        <v>0</v>
      </c>
      <c r="N105" s="5">
        <f t="shared" si="65"/>
        <v>0</v>
      </c>
      <c r="O105" s="28">
        <f t="shared" si="66"/>
        <v>0</v>
      </c>
      <c r="P105" s="5"/>
      <c r="Q105" s="5"/>
      <c r="R105" s="5"/>
      <c r="S105" s="5"/>
      <c r="T105" s="5"/>
      <c r="U105" s="5">
        <f>SUM(FO!U105,PO!U105,CO!U105,FE!U105,PE!U105)</f>
        <v>0</v>
      </c>
      <c r="V105" s="5">
        <f>SUM(FO!V105,PO!V105,CO!V105,FE!V105,PE!V105)</f>
        <v>0</v>
      </c>
      <c r="W105" s="5">
        <f>SUM(FO!W105,PO!W105,CO!W105,FE!W105,PE!W105)</f>
        <v>0</v>
      </c>
      <c r="X105" s="5">
        <f>SUM(FO!X105,PO!X105,CO!X105,FE!X105,PE!X105)</f>
        <v>0</v>
      </c>
      <c r="Y105" s="5">
        <f>SUM(FO!Y105,PO!Y105,CO!Y105,FE!Y105,PE!Y105)</f>
        <v>0</v>
      </c>
      <c r="Z105" s="5">
        <f>SUM(FO!Z105,PO!Z105,CO!Z105,FE!Z105,PE!Z105)</f>
        <v>0</v>
      </c>
      <c r="AA105" s="5">
        <f>SUM(FO!AA105,PO!AA105,CO!AA105,FE!AA105,PE!AA105)</f>
        <v>0</v>
      </c>
      <c r="AB105" s="5">
        <f>SUM(FO!AB105,PO!AB105,CO!AB105,FE!AB105,PE!AB105)</f>
        <v>0</v>
      </c>
      <c r="AC105" s="5">
        <f>SUM(FO!AC105,PO!AC105,CO!AC105,FE!AC105,PE!AC105)</f>
        <v>0</v>
      </c>
      <c r="AD105" s="5">
        <f>SUM(FO!AD105,PO!AD105,CO!AD105,FE!AD105,PE!AD105)</f>
        <v>0</v>
      </c>
      <c r="AE105" s="5">
        <f>SUM(FO!AE105,PO!AE105,CO!AE105,FE!AE105,PE!AE105)</f>
        <v>0</v>
      </c>
      <c r="AF105" s="5">
        <f>SUM(FO!AF105,PO!AF105,CO!AF105,FE!AF105,PE!AF105)</f>
        <v>0</v>
      </c>
      <c r="AG105" s="5">
        <f t="shared" si="67"/>
        <v>0</v>
      </c>
      <c r="AH105" s="28" t="str">
        <f t="shared" si="68"/>
        <v/>
      </c>
      <c r="AI105" s="4"/>
      <c r="AJ105" s="5">
        <f t="shared" si="69"/>
        <v>0</v>
      </c>
      <c r="AK105" s="4"/>
    </row>
    <row r="106" ht="13.5" customHeight="1">
      <c r="A106" s="25" t="s">
        <v>133</v>
      </c>
      <c r="B106" s="5">
        <f>SUM(FO!B106,PO!B106,CO!B106,FE!B106,PE!B106)</f>
        <v>2271</v>
      </c>
      <c r="C106" s="5">
        <f>SUM(FO!C106,PO!C106,CO!C106,FE!C106,PE!C106)</f>
        <v>10588.35</v>
      </c>
      <c r="D106" s="5">
        <f>SUM(FO!D106,PO!D106,CO!D106,FE!D106,PE!D106)</f>
        <v>4997.13</v>
      </c>
      <c r="E106" s="5">
        <f>SUM(FO!E106,PO!E106,CO!E106,FE!E106,PE!E106)</f>
        <v>6587.76</v>
      </c>
      <c r="F106" s="5">
        <f>SUM(FO!F106,PO!F106,CO!F106,FE!F106,PE!F106)</f>
        <v>526.42</v>
      </c>
      <c r="G106" s="5">
        <f>SUM(FO!G106,PO!G106,CO!G106,FE!G106,PE!G106)</f>
        <v>0</v>
      </c>
      <c r="H106" s="5">
        <f>SUM(FO!H106,PO!H106,CO!H106,FE!H106,PE!H106)</f>
        <v>150</v>
      </c>
      <c r="I106" s="5">
        <f>SUM(FO!I106,PO!I106,CO!I106,FE!I106,PE!I106)</f>
        <v>2590.92</v>
      </c>
      <c r="J106" s="5">
        <f>SUM(FO!J106,PO!J106,CO!J106,FE!J106,PE!J106)</f>
        <v>4000</v>
      </c>
      <c r="K106" s="5">
        <f>SUM(FO!K106,PO!K106,CO!K106,FE!K106,PE!K106)</f>
        <v>6500</v>
      </c>
      <c r="L106" s="5">
        <f>SUM(FO!L106,PO!L106,CO!L106,FE!L106,PE!L106)</f>
        <v>6500</v>
      </c>
      <c r="M106" s="5">
        <f>SUM(FO!M106,PO!M106,CO!M106,FE!M106,PE!M106)</f>
        <v>6500</v>
      </c>
      <c r="N106" s="5">
        <f t="shared" si="65"/>
        <v>51211.58</v>
      </c>
      <c r="O106" s="28">
        <f t="shared" si="66"/>
        <v>0.006898167705</v>
      </c>
      <c r="P106" s="5"/>
      <c r="Q106" s="5"/>
      <c r="R106" s="5"/>
      <c r="S106" s="5"/>
      <c r="T106" s="5"/>
      <c r="U106" s="5">
        <f>SUM(FO!U106,PO!U106,CO!U106,FE!U106,PE!U106)</f>
        <v>0</v>
      </c>
      <c r="V106" s="5">
        <f>SUM(FO!V106,PO!V106,CO!V106,FE!V106,PE!V106)</f>
        <v>0</v>
      </c>
      <c r="W106" s="5">
        <f>SUM(FO!W106,PO!W106,CO!W106,FE!W106,PE!W106)</f>
        <v>0</v>
      </c>
      <c r="X106" s="5">
        <f>SUM(FO!X106,PO!X106,CO!X106,FE!X106,PE!X106)</f>
        <v>0</v>
      </c>
      <c r="Y106" s="5">
        <f>SUM(FO!Y106,PO!Y106,CO!Y106,FE!Y106,PE!Y106)</f>
        <v>0</v>
      </c>
      <c r="Z106" s="5">
        <f>SUM(FO!Z106,PO!Z106,CO!Z106,FE!Z106,PE!Z106)</f>
        <v>0</v>
      </c>
      <c r="AA106" s="5">
        <f>SUM(FO!AA106,PO!AA106,CO!AA106,FE!AA106,PE!AA106)</f>
        <v>0</v>
      </c>
      <c r="AB106" s="5">
        <f>SUM(FO!AB106,PO!AB106,CO!AB106,FE!AB106,PE!AB106)</f>
        <v>0</v>
      </c>
      <c r="AC106" s="5">
        <f>SUM(FO!AC106,PO!AC106,CO!AC106,FE!AC106,PE!AC106)</f>
        <v>0</v>
      </c>
      <c r="AD106" s="5">
        <f>SUM(FO!AD106,PO!AD106,CO!AD106,FE!AD106,PE!AD106)</f>
        <v>0</v>
      </c>
      <c r="AE106" s="5">
        <f>SUM(FO!AE106,PO!AE106,CO!AE106,FE!AE106,PE!AE106)</f>
        <v>0</v>
      </c>
      <c r="AF106" s="5">
        <f>SUM(FO!AF106,PO!AF106,CO!AF106,FE!AF106,PE!AF106)</f>
        <v>0</v>
      </c>
      <c r="AG106" s="5">
        <f t="shared" si="67"/>
        <v>0</v>
      </c>
      <c r="AH106" s="28" t="str">
        <f t="shared" si="68"/>
        <v/>
      </c>
      <c r="AI106" s="4"/>
      <c r="AJ106" s="5">
        <f t="shared" si="69"/>
        <v>51211.58</v>
      </c>
      <c r="AK106" s="4"/>
    </row>
    <row r="107" ht="13.5" customHeight="1">
      <c r="A107" s="25" t="s">
        <v>135</v>
      </c>
      <c r="B107" s="5">
        <f>SUM(FO!B107,PO!B107,CO!B107,FE!B107,PE!B107)</f>
        <v>4830.25</v>
      </c>
      <c r="C107" s="5">
        <f>SUM(FO!C107,PO!C107,CO!C107,FE!C107,PE!C107)</f>
        <v>5363.35</v>
      </c>
      <c r="D107" s="5">
        <f>SUM(FO!D107,PO!D107,CO!D107,FE!D107,PE!D107)</f>
        <v>4304.45</v>
      </c>
      <c r="E107" s="5">
        <f>SUM(FO!E107,PO!E107,CO!E107,FE!E107,PE!E107)</f>
        <v>4118.95</v>
      </c>
      <c r="F107" s="5">
        <f>SUM(FO!F107,PO!F107,CO!F107,FE!F107,PE!F107)</f>
        <v>5555.2</v>
      </c>
      <c r="G107" s="5">
        <f>SUM(FO!G107,PO!G107,CO!G107,FE!G107,PE!G107)</f>
        <v>4469.11</v>
      </c>
      <c r="H107" s="5">
        <f>SUM(FO!H107,PO!H107,CO!H107,FE!H107,PE!H107)</f>
        <v>0</v>
      </c>
      <c r="I107" s="5">
        <f>SUM(FO!I107,PO!I107,CO!I107,FE!I107,PE!I107)</f>
        <v>7531.48</v>
      </c>
      <c r="J107" s="5">
        <f>SUM(FO!J107,PO!J107,CO!J107,FE!J107,PE!J107)</f>
        <v>4800</v>
      </c>
      <c r="K107" s="5">
        <f>SUM(FO!K107,PO!K107,CO!K107,FE!K107,PE!K107)</f>
        <v>4800</v>
      </c>
      <c r="L107" s="5">
        <f>SUM(FO!L107,PO!L107,CO!L107,FE!L107,PE!L107)</f>
        <v>4800</v>
      </c>
      <c r="M107" s="5">
        <f>SUM(FO!M107,PO!M107,CO!M107,FE!M107,PE!M107)</f>
        <v>4800</v>
      </c>
      <c r="N107" s="5">
        <f t="shared" si="65"/>
        <v>55372.79</v>
      </c>
      <c r="O107" s="28">
        <f t="shared" si="66"/>
        <v>0.007458680082</v>
      </c>
      <c r="P107" s="5"/>
      <c r="Q107" s="5"/>
      <c r="R107" s="5"/>
      <c r="S107" s="5"/>
      <c r="T107" s="5"/>
      <c r="U107" s="5">
        <f>SUM(FO!U107,PO!U107,CO!U107,FE!U107,PE!U107)</f>
        <v>5000</v>
      </c>
      <c r="V107" s="5">
        <f>SUM(FO!V107,PO!V107,CO!V107,FE!V107,PE!V107)</f>
        <v>5000</v>
      </c>
      <c r="W107" s="5">
        <f>SUM(FO!W107,PO!W107,CO!W107,FE!W107,PE!W107)</f>
        <v>5000</v>
      </c>
      <c r="X107" s="5">
        <f>SUM(FO!X107,PO!X107,CO!X107,FE!X107,PE!X107)</f>
        <v>5000</v>
      </c>
      <c r="Y107" s="5">
        <f>SUM(FO!Y107,PO!Y107,CO!Y107,FE!Y107,PE!Y107)</f>
        <v>5000</v>
      </c>
      <c r="Z107" s="5">
        <f>SUM(FO!Z107,PO!Z107,CO!Z107,FE!Z107,PE!Z107)</f>
        <v>5000</v>
      </c>
      <c r="AA107" s="5">
        <f>SUM(FO!AA107,PO!AA107,CO!AA107,FE!AA107,PE!AA107)</f>
        <v>5000</v>
      </c>
      <c r="AB107" s="5">
        <f>SUM(FO!AB107,PO!AB107,CO!AB107,FE!AB107,PE!AB107)</f>
        <v>5000</v>
      </c>
      <c r="AC107" s="5">
        <f>SUM(FO!AC107,PO!AC107,CO!AC107,FE!AC107,PE!AC107)</f>
        <v>5000</v>
      </c>
      <c r="AD107" s="5">
        <f>SUM(FO!AD107,PO!AD107,CO!AD107,FE!AD107,PE!AD107)</f>
        <v>5000</v>
      </c>
      <c r="AE107" s="5">
        <f>SUM(FO!AE107,PO!AE107,CO!AE107,FE!AE107,PE!AE107)</f>
        <v>5000</v>
      </c>
      <c r="AF107" s="5">
        <f>SUM(FO!AF107,PO!AF107,CO!AF107,FE!AF107,PE!AF107)</f>
        <v>5000</v>
      </c>
      <c r="AG107" s="5">
        <f t="shared" si="67"/>
        <v>60000</v>
      </c>
      <c r="AH107" s="28" t="str">
        <f t="shared" si="68"/>
        <v/>
      </c>
      <c r="AI107" s="4"/>
      <c r="AJ107" s="5">
        <f t="shared" si="69"/>
        <v>-4627.21</v>
      </c>
      <c r="AK107" s="4"/>
    </row>
    <row r="108" ht="13.5" customHeight="1">
      <c r="A108" s="25" t="s">
        <v>136</v>
      </c>
      <c r="B108" s="5">
        <f>SUM(FO!B108,PO!B108,CO!B108,FE!B108,PE!B108)</f>
        <v>0</v>
      </c>
      <c r="C108" s="5">
        <f>SUM(FO!C108,PO!C108,CO!C108,FE!C108,PE!C108)</f>
        <v>0</v>
      </c>
      <c r="D108" s="5">
        <f>SUM(FO!D108,PO!D108,CO!D108,FE!D108,PE!D108)</f>
        <v>0</v>
      </c>
      <c r="E108" s="5">
        <f>SUM(FO!E108,PO!E108,CO!E108,FE!E108,PE!E108)</f>
        <v>0</v>
      </c>
      <c r="F108" s="5">
        <f>SUM(FO!F108,PO!F108,CO!F108,FE!F108,PE!F108)</f>
        <v>0</v>
      </c>
      <c r="G108" s="5">
        <f>SUM(FO!G108,PO!G108,CO!G108,FE!G108,PE!G108)</f>
        <v>0</v>
      </c>
      <c r="H108" s="5">
        <f>SUM(FO!H108,PO!H108,CO!H108,FE!H108,PE!H108)</f>
        <v>0</v>
      </c>
      <c r="I108" s="5">
        <f>SUM(FO!I108,PO!I108,CO!I108,FE!I108,PE!I108)</f>
        <v>0</v>
      </c>
      <c r="J108" s="5">
        <f>SUM(FO!J108,PO!J108,CO!J108,FE!J108,PE!J108)</f>
        <v>0</v>
      </c>
      <c r="K108" s="5">
        <f>SUM(FO!K108,PO!K108,CO!K108,FE!K108,PE!K108)</f>
        <v>0</v>
      </c>
      <c r="L108" s="5">
        <f>SUM(FO!L108,PO!L108,CO!L108,FE!L108,PE!L108)</f>
        <v>0</v>
      </c>
      <c r="M108" s="5">
        <f>SUM(FO!M108,PO!M108,CO!M108,FE!M108,PE!M108)</f>
        <v>0</v>
      </c>
      <c r="N108" s="5">
        <f t="shared" si="65"/>
        <v>0</v>
      </c>
      <c r="O108" s="28">
        <f t="shared" si="66"/>
        <v>0</v>
      </c>
      <c r="P108" s="5"/>
      <c r="Q108" s="5"/>
      <c r="R108" s="5"/>
      <c r="S108" s="5"/>
      <c r="T108" s="5"/>
      <c r="U108" s="5">
        <f>SUM(FO!U108,PO!U108,CO!U108,FE!U108,PE!U108)</f>
        <v>0</v>
      </c>
      <c r="V108" s="5">
        <f>SUM(FO!V108,PO!V108,CO!V108,FE!V108,PE!V108)</f>
        <v>0</v>
      </c>
      <c r="W108" s="5">
        <f>SUM(FO!W108,PO!W108,CO!W108,FE!W108,PE!W108)</f>
        <v>0</v>
      </c>
      <c r="X108" s="5">
        <f>SUM(FO!X108,PO!X108,CO!X108,FE!X108,PE!X108)</f>
        <v>0</v>
      </c>
      <c r="Y108" s="5">
        <f>SUM(FO!Y108,PO!Y108,CO!Y108,FE!Y108,PE!Y108)</f>
        <v>0</v>
      </c>
      <c r="Z108" s="5">
        <f>SUM(FO!Z108,PO!Z108,CO!Z108,FE!Z108,PE!Z108)</f>
        <v>0</v>
      </c>
      <c r="AA108" s="5">
        <f>SUM(FO!AA108,PO!AA108,CO!AA108,FE!AA108,PE!AA108)</f>
        <v>0</v>
      </c>
      <c r="AB108" s="5">
        <f>SUM(FO!AB108,PO!AB108,CO!AB108,FE!AB108,PE!AB108)</f>
        <v>0</v>
      </c>
      <c r="AC108" s="5">
        <f>SUM(FO!AC108,PO!AC108,CO!AC108,FE!AC108,PE!AC108)</f>
        <v>0</v>
      </c>
      <c r="AD108" s="5">
        <f>SUM(FO!AD108,PO!AD108,CO!AD108,FE!AD108,PE!AD108)</f>
        <v>0</v>
      </c>
      <c r="AE108" s="5">
        <f>SUM(FO!AE108,PO!AE108,CO!AE108,FE!AE108,PE!AE108)</f>
        <v>0</v>
      </c>
      <c r="AF108" s="5">
        <f>SUM(FO!AF108,PO!AF108,CO!AF108,FE!AF108,PE!AF108)</f>
        <v>0</v>
      </c>
      <c r="AG108" s="5">
        <f t="shared" si="67"/>
        <v>0</v>
      </c>
      <c r="AH108" s="28" t="str">
        <f t="shared" si="68"/>
        <v/>
      </c>
      <c r="AI108" s="4"/>
      <c r="AJ108" s="5">
        <f t="shared" si="69"/>
        <v>0</v>
      </c>
      <c r="AK108" s="4"/>
    </row>
    <row r="109" ht="13.5" customHeight="1">
      <c r="A109" s="25" t="s">
        <v>137</v>
      </c>
      <c r="B109" s="5">
        <f>SUM(FO!B109,PO!B109,CO!B109,FE!B109,PE!B109)</f>
        <v>0</v>
      </c>
      <c r="C109" s="5">
        <f>SUM(FO!C109,PO!C109,CO!C109,FE!C109,PE!C109)</f>
        <v>0</v>
      </c>
      <c r="D109" s="5">
        <f>SUM(FO!D109,PO!D109,CO!D109,FE!D109,PE!D109)</f>
        <v>0</v>
      </c>
      <c r="E109" s="5">
        <f>SUM(FO!E109,PO!E109,CO!E109,FE!E109,PE!E109)</f>
        <v>0</v>
      </c>
      <c r="F109" s="5">
        <f>SUM(FO!F109,PO!F109,CO!F109,FE!F109,PE!F109)</f>
        <v>0</v>
      </c>
      <c r="G109" s="5">
        <f>SUM(FO!G109,PO!G109,CO!G109,FE!G109,PE!G109)</f>
        <v>0</v>
      </c>
      <c r="H109" s="5">
        <f>SUM(FO!H109,PO!H109,CO!H109,FE!H109,PE!H109)</f>
        <v>0</v>
      </c>
      <c r="I109" s="5">
        <f>SUM(FO!I109,PO!I109,CO!I109,FE!I109,PE!I109)</f>
        <v>0</v>
      </c>
      <c r="J109" s="5">
        <f>SUM(FO!J109,PO!J109,CO!J109,FE!J109,PE!J109)</f>
        <v>0</v>
      </c>
      <c r="K109" s="5">
        <f>SUM(FO!K109,PO!K109,CO!K109,FE!K109,PE!K109)</f>
        <v>0</v>
      </c>
      <c r="L109" s="5">
        <f>SUM(FO!L109,PO!L109,CO!L109,FE!L109,PE!L109)</f>
        <v>0</v>
      </c>
      <c r="M109" s="5">
        <f>SUM(FO!M109,PO!M109,CO!M109,FE!M109,PE!M109)</f>
        <v>0</v>
      </c>
      <c r="N109" s="5">
        <f t="shared" si="65"/>
        <v>0</v>
      </c>
      <c r="O109" s="28">
        <f t="shared" si="66"/>
        <v>0</v>
      </c>
      <c r="P109" s="5"/>
      <c r="Q109" s="5"/>
      <c r="R109" s="5"/>
      <c r="S109" s="5"/>
      <c r="T109" s="5"/>
      <c r="U109" s="5">
        <f>SUM(FO!U109,PO!U109,CO!U109,FE!U109,PE!U109)</f>
        <v>0</v>
      </c>
      <c r="V109" s="5">
        <f>SUM(FO!V109,PO!V109,CO!V109,FE!V109,PE!V109)</f>
        <v>0</v>
      </c>
      <c r="W109" s="5">
        <f>SUM(FO!W109,PO!W109,CO!W109,FE!W109,PE!W109)</f>
        <v>0</v>
      </c>
      <c r="X109" s="5">
        <f>SUM(FO!X109,PO!X109,CO!X109,FE!X109,PE!X109)</f>
        <v>0</v>
      </c>
      <c r="Y109" s="5">
        <f>SUM(FO!Y109,PO!Y109,CO!Y109,FE!Y109,PE!Y109)</f>
        <v>0</v>
      </c>
      <c r="Z109" s="5">
        <f>SUM(FO!Z109,PO!Z109,CO!Z109,FE!Z109,PE!Z109)</f>
        <v>0</v>
      </c>
      <c r="AA109" s="5">
        <f>SUM(FO!AA109,PO!AA109,CO!AA109,FE!AA109,PE!AA109)</f>
        <v>0</v>
      </c>
      <c r="AB109" s="5">
        <f>SUM(FO!AB109,PO!AB109,CO!AB109,FE!AB109,PE!AB109)</f>
        <v>0</v>
      </c>
      <c r="AC109" s="5">
        <f>SUM(FO!AC109,PO!AC109,CO!AC109,FE!AC109,PE!AC109)</f>
        <v>0</v>
      </c>
      <c r="AD109" s="5">
        <f>SUM(FO!AD109,PO!AD109,CO!AD109,FE!AD109,PE!AD109)</f>
        <v>0</v>
      </c>
      <c r="AE109" s="5">
        <f>SUM(FO!AE109,PO!AE109,CO!AE109,FE!AE109,PE!AE109)</f>
        <v>0</v>
      </c>
      <c r="AF109" s="5">
        <f>SUM(FO!AF109,PO!AF109,CO!AF109,FE!AF109,PE!AF109)</f>
        <v>0</v>
      </c>
      <c r="AG109" s="5">
        <f t="shared" si="67"/>
        <v>0</v>
      </c>
      <c r="AH109" s="28" t="str">
        <f t="shared" si="68"/>
        <v/>
      </c>
      <c r="AI109" s="4"/>
      <c r="AJ109" s="5">
        <f t="shared" si="69"/>
        <v>0</v>
      </c>
      <c r="AK109" s="4"/>
    </row>
    <row r="110" ht="13.5" customHeight="1">
      <c r="A110" s="25" t="s">
        <v>138</v>
      </c>
      <c r="B110" s="5">
        <f>SUM(FO!B110,PO!B110,CO!B110,FE!B110,PE!B110)</f>
        <v>0</v>
      </c>
      <c r="C110" s="5">
        <f>SUM(FO!C110,PO!C110,CO!C110,FE!C110,PE!C110)</f>
        <v>0</v>
      </c>
      <c r="D110" s="5">
        <f>SUM(FO!D110,PO!D110,CO!D110,FE!D110,PE!D110)</f>
        <v>0</v>
      </c>
      <c r="E110" s="5">
        <f>SUM(FO!E110,PO!E110,CO!E110,FE!E110,PE!E110)</f>
        <v>5</v>
      </c>
      <c r="F110" s="5">
        <f>SUM(FO!F110,PO!F110,CO!F110,FE!F110,PE!F110)</f>
        <v>0</v>
      </c>
      <c r="G110" s="5">
        <f>SUM(FO!G110,PO!G110,CO!G110,FE!G110,PE!G110)</f>
        <v>6515</v>
      </c>
      <c r="H110" s="5">
        <f>SUM(FO!H110,PO!H110,CO!H110,FE!H110,PE!H110)</f>
        <v>3900</v>
      </c>
      <c r="I110" s="5">
        <f>SUM(FO!I110,PO!I110,CO!I110,FE!I110,PE!I110)</f>
        <v>3900</v>
      </c>
      <c r="J110" s="5">
        <f>SUM(FO!J110,PO!J110,CO!J110,FE!J110,PE!J110)</f>
        <v>0</v>
      </c>
      <c r="K110" s="5">
        <f>SUM(FO!K110,PO!K110,CO!K110,FE!K110,PE!K110)</f>
        <v>0</v>
      </c>
      <c r="L110" s="5">
        <f>SUM(FO!L110,PO!L110,CO!L110,FE!L110,PE!L110)</f>
        <v>0</v>
      </c>
      <c r="M110" s="5">
        <f>SUM(FO!M110,PO!M110,CO!M110,FE!M110,PE!M110)</f>
        <v>0</v>
      </c>
      <c r="N110" s="5">
        <f t="shared" si="65"/>
        <v>14320</v>
      </c>
      <c r="O110" s="28">
        <f t="shared" si="66"/>
        <v>0.001928895018</v>
      </c>
      <c r="P110" s="5"/>
      <c r="Q110" s="5"/>
      <c r="R110" s="5"/>
      <c r="S110" s="5"/>
      <c r="T110" s="5"/>
      <c r="U110" s="5">
        <f>SUM(FO!U110,PO!U110,CO!U110,FE!U110,PE!U110)</f>
        <v>0</v>
      </c>
      <c r="V110" s="5">
        <f>SUM(FO!V110,PO!V110,CO!V110,FE!V110,PE!V110)</f>
        <v>0</v>
      </c>
      <c r="W110" s="5">
        <f>SUM(FO!W110,PO!W110,CO!W110,FE!W110,PE!W110)</f>
        <v>0</v>
      </c>
      <c r="X110" s="5">
        <f>SUM(FO!X110,PO!X110,CO!X110,FE!X110,PE!X110)</f>
        <v>0</v>
      </c>
      <c r="Y110" s="5">
        <f>SUM(FO!Y110,PO!Y110,CO!Y110,FE!Y110,PE!Y110)</f>
        <v>0</v>
      </c>
      <c r="Z110" s="5">
        <f>SUM(FO!Z110,PO!Z110,CO!Z110,FE!Z110,PE!Z110)</f>
        <v>0</v>
      </c>
      <c r="AA110" s="5">
        <f>SUM(FO!AA110,PO!AA110,CO!AA110,FE!AA110,PE!AA110)</f>
        <v>0</v>
      </c>
      <c r="AB110" s="5">
        <f>SUM(FO!AB110,PO!AB110,CO!AB110,FE!AB110,PE!AB110)</f>
        <v>0</v>
      </c>
      <c r="AC110" s="5">
        <f>SUM(FO!AC110,PO!AC110,CO!AC110,FE!AC110,PE!AC110)</f>
        <v>0</v>
      </c>
      <c r="AD110" s="5">
        <f>SUM(FO!AD110,PO!AD110,CO!AD110,FE!AD110,PE!AD110)</f>
        <v>0</v>
      </c>
      <c r="AE110" s="5">
        <f>SUM(FO!AE110,PO!AE110,CO!AE110,FE!AE110,PE!AE110)</f>
        <v>0</v>
      </c>
      <c r="AF110" s="5">
        <f>SUM(FO!AF110,PO!AF110,CO!AF110,FE!AF110,PE!AF110)</f>
        <v>0</v>
      </c>
      <c r="AG110" s="5">
        <f t="shared" si="67"/>
        <v>0</v>
      </c>
      <c r="AH110" s="28" t="str">
        <f t="shared" si="68"/>
        <v/>
      </c>
      <c r="AI110" s="4"/>
      <c r="AJ110" s="5">
        <f t="shared" si="69"/>
        <v>14320</v>
      </c>
      <c r="AK110" s="4"/>
    </row>
    <row r="111" ht="13.5" customHeight="1">
      <c r="A111" s="25" t="s">
        <v>140</v>
      </c>
      <c r="B111" s="5">
        <f>SUM(FO!B111,PO!B111,CO!B111,FE!B111,PE!B111)</f>
        <v>0</v>
      </c>
      <c r="C111" s="5">
        <f>SUM(FO!C111,PO!C111,CO!C111,FE!C111,PE!C111)</f>
        <v>0</v>
      </c>
      <c r="D111" s="5">
        <f>SUM(FO!D111,PO!D111,CO!D111,FE!D111,PE!D111)</f>
        <v>0</v>
      </c>
      <c r="E111" s="5">
        <f>SUM(FO!E111,PO!E111,CO!E111,FE!E111,PE!E111)</f>
        <v>0</v>
      </c>
      <c r="F111" s="5">
        <f>SUM(FO!F111,PO!F111,CO!F111,FE!F111,PE!F111)</f>
        <v>0</v>
      </c>
      <c r="G111" s="5">
        <f>SUM(FO!G111,PO!G111,CO!G111,FE!G111,PE!G111)</f>
        <v>0</v>
      </c>
      <c r="H111" s="5">
        <f>SUM(FO!H111,PO!H111,CO!H111,FE!H111,PE!H111)</f>
        <v>0</v>
      </c>
      <c r="I111" s="5">
        <f>SUM(FO!I111,PO!I111,CO!I111,FE!I111,PE!I111)</f>
        <v>0</v>
      </c>
      <c r="J111" s="5">
        <f>SUM(FO!J111,PO!J111,CO!J111,FE!J111,PE!J111)</f>
        <v>0</v>
      </c>
      <c r="K111" s="5">
        <f>SUM(FO!K111,PO!K111,CO!K111,FE!K111,PE!K111)</f>
        <v>0</v>
      </c>
      <c r="L111" s="5">
        <f>SUM(FO!L111,PO!L111,CO!L111,FE!L111,PE!L111)</f>
        <v>0</v>
      </c>
      <c r="M111" s="5">
        <f>SUM(FO!M111,PO!M111,CO!M111,FE!M111,PE!M111)</f>
        <v>0</v>
      </c>
      <c r="N111" s="5">
        <f t="shared" si="65"/>
        <v>0</v>
      </c>
      <c r="O111" s="28">
        <f t="shared" si="66"/>
        <v>0</v>
      </c>
      <c r="P111" s="5"/>
      <c r="Q111" s="5"/>
      <c r="R111" s="5"/>
      <c r="S111" s="5"/>
      <c r="T111" s="5"/>
      <c r="U111" s="5">
        <f>SUM(FO!U111,PO!U111,CO!U111,FE!U111,PE!U111)</f>
        <v>0</v>
      </c>
      <c r="V111" s="5">
        <f>SUM(FO!V111,PO!V111,CO!V111,FE!V111,PE!V111)</f>
        <v>0</v>
      </c>
      <c r="W111" s="5">
        <f>SUM(FO!W111,PO!W111,CO!W111,FE!W111,PE!W111)</f>
        <v>0</v>
      </c>
      <c r="X111" s="5">
        <f>SUM(FO!X111,PO!X111,CO!X111,FE!X111,PE!X111)</f>
        <v>0</v>
      </c>
      <c r="Y111" s="5">
        <f>SUM(FO!Y111,PO!Y111,CO!Y111,FE!Y111,PE!Y111)</f>
        <v>0</v>
      </c>
      <c r="Z111" s="5">
        <f>SUM(FO!Z111,PO!Z111,CO!Z111,FE!Z111,PE!Z111)</f>
        <v>0</v>
      </c>
      <c r="AA111" s="5">
        <f>SUM(FO!AA111,PO!AA111,CO!AA111,FE!AA111,PE!AA111)</f>
        <v>0</v>
      </c>
      <c r="AB111" s="5">
        <f>SUM(FO!AB111,PO!AB111,CO!AB111,FE!AB111,PE!AB111)</f>
        <v>0</v>
      </c>
      <c r="AC111" s="5">
        <f>SUM(FO!AC111,PO!AC111,CO!AC111,FE!AC111,PE!AC111)</f>
        <v>0</v>
      </c>
      <c r="AD111" s="5">
        <f>SUM(FO!AD111,PO!AD111,CO!AD111,FE!AD111,PE!AD111)</f>
        <v>0</v>
      </c>
      <c r="AE111" s="5">
        <f>SUM(FO!AE111,PO!AE111,CO!AE111,FE!AE111,PE!AE111)</f>
        <v>0</v>
      </c>
      <c r="AF111" s="5">
        <f>SUM(FO!AF111,PO!AF111,CO!AF111,FE!AF111,PE!AF111)</f>
        <v>0</v>
      </c>
      <c r="AG111" s="5">
        <f t="shared" si="67"/>
        <v>0</v>
      </c>
      <c r="AH111" s="28" t="str">
        <f t="shared" si="68"/>
        <v/>
      </c>
      <c r="AI111" s="4"/>
      <c r="AJ111" s="5">
        <f t="shared" si="69"/>
        <v>0</v>
      </c>
      <c r="AK111" s="4"/>
    </row>
    <row r="112" ht="13.5" customHeight="1">
      <c r="A112" s="25" t="s">
        <v>141</v>
      </c>
      <c r="B112" s="5">
        <f>SUM(FO!B112,PO!B112,CO!B112,FE!B112,PE!B112)</f>
        <v>0</v>
      </c>
      <c r="C112" s="5">
        <f>SUM(FO!C112,PO!C112,CO!C112,FE!C112,PE!C112)</f>
        <v>0</v>
      </c>
      <c r="D112" s="5">
        <f>SUM(FO!D112,PO!D112,CO!D112,FE!D112,PE!D112)</f>
        <v>0</v>
      </c>
      <c r="E112" s="5">
        <f>SUM(FO!E112,PO!E112,CO!E112,FE!E112,PE!E112)</f>
        <v>0</v>
      </c>
      <c r="F112" s="5">
        <f>SUM(FO!F112,PO!F112,CO!F112,FE!F112,PE!F112)</f>
        <v>0</v>
      </c>
      <c r="G112" s="5">
        <f>SUM(FO!G112,PO!G112,CO!G112,FE!G112,PE!G112)</f>
        <v>0</v>
      </c>
      <c r="H112" s="5">
        <f>SUM(FO!H112,PO!H112,CO!H112,FE!H112,PE!H112)</f>
        <v>0</v>
      </c>
      <c r="I112" s="5">
        <f>SUM(FO!I112,PO!I112,CO!I112,FE!I112,PE!I112)</f>
        <v>0</v>
      </c>
      <c r="J112" s="5">
        <f>SUM(FO!J112,PO!J112,CO!J112,FE!J112,PE!J112)</f>
        <v>0</v>
      </c>
      <c r="K112" s="5">
        <f>SUM(FO!K112,PO!K112,CO!K112,FE!K112,PE!K112)</f>
        <v>0</v>
      </c>
      <c r="L112" s="5">
        <f>SUM(FO!L112,PO!L112,CO!L112,FE!L112,PE!L112)</f>
        <v>0</v>
      </c>
      <c r="M112" s="5">
        <f>SUM(FO!M112,PO!M112,CO!M112,FE!M112,PE!M112)</f>
        <v>0</v>
      </c>
      <c r="N112" s="5">
        <f t="shared" si="65"/>
        <v>0</v>
      </c>
      <c r="O112" s="28">
        <f t="shared" si="66"/>
        <v>0</v>
      </c>
      <c r="P112" s="5"/>
      <c r="Q112" s="5"/>
      <c r="R112" s="5"/>
      <c r="S112" s="5"/>
      <c r="T112" s="5"/>
      <c r="U112" s="5">
        <f>SUM(FO!U112,PO!U112,CO!U112,FE!U112,PE!U112)</f>
        <v>0</v>
      </c>
      <c r="V112" s="5">
        <f>SUM(FO!V112,PO!V112,CO!V112,FE!V112,PE!V112)</f>
        <v>0</v>
      </c>
      <c r="W112" s="5">
        <f>SUM(FO!W112,PO!W112,CO!W112,FE!W112,PE!W112)</f>
        <v>0</v>
      </c>
      <c r="X112" s="5">
        <f>SUM(FO!X112,PO!X112,CO!X112,FE!X112,PE!X112)</f>
        <v>0</v>
      </c>
      <c r="Y112" s="5">
        <f>SUM(FO!Y112,PO!Y112,CO!Y112,FE!Y112,PE!Y112)</f>
        <v>0</v>
      </c>
      <c r="Z112" s="5">
        <f>SUM(FO!Z112,PO!Z112,CO!Z112,FE!Z112,PE!Z112)</f>
        <v>0</v>
      </c>
      <c r="AA112" s="5">
        <f>SUM(FO!AA112,PO!AA112,CO!AA112,FE!AA112,PE!AA112)</f>
        <v>0</v>
      </c>
      <c r="AB112" s="5">
        <f>SUM(FO!AB112,PO!AB112,CO!AB112,FE!AB112,PE!AB112)</f>
        <v>0</v>
      </c>
      <c r="AC112" s="5">
        <f>SUM(FO!AC112,PO!AC112,CO!AC112,FE!AC112,PE!AC112)</f>
        <v>0</v>
      </c>
      <c r="AD112" s="5">
        <f>SUM(FO!AD112,PO!AD112,CO!AD112,FE!AD112,PE!AD112)</f>
        <v>0</v>
      </c>
      <c r="AE112" s="5">
        <f>SUM(FO!AE112,PO!AE112,CO!AE112,FE!AE112,PE!AE112)</f>
        <v>0</v>
      </c>
      <c r="AF112" s="5">
        <f>SUM(FO!AF112,PO!AF112,CO!AF112,FE!AF112,PE!AF112)</f>
        <v>0</v>
      </c>
      <c r="AG112" s="5">
        <f t="shared" si="67"/>
        <v>0</v>
      </c>
      <c r="AH112" s="28" t="str">
        <f t="shared" si="68"/>
        <v/>
      </c>
      <c r="AI112" s="4"/>
      <c r="AJ112" s="5">
        <f t="shared" si="69"/>
        <v>0</v>
      </c>
      <c r="AK112" s="4"/>
    </row>
    <row r="113" ht="13.5" customHeight="1">
      <c r="A113" s="25" t="s">
        <v>142</v>
      </c>
      <c r="B113" s="5">
        <f>SUM(FO!B113,PO!B113,CO!B113,FE!B113,PE!B113)</f>
        <v>0</v>
      </c>
      <c r="C113" s="5">
        <f>SUM(FO!C113,PO!C113,CO!C113,FE!C113,PE!C113)</f>
        <v>0</v>
      </c>
      <c r="D113" s="5">
        <f>SUM(FO!D113,PO!D113,CO!D113,FE!D113,PE!D113)</f>
        <v>0</v>
      </c>
      <c r="E113" s="5">
        <f>SUM(FO!E113,PO!E113,CO!E113,FE!E113,PE!E113)</f>
        <v>0</v>
      </c>
      <c r="F113" s="5">
        <f>SUM(FO!F113,PO!F113,CO!F113,FE!F113,PE!F113)</f>
        <v>0</v>
      </c>
      <c r="G113" s="5">
        <f>SUM(FO!G113,PO!G113,CO!G113,FE!G113,PE!G113)</f>
        <v>0</v>
      </c>
      <c r="H113" s="5">
        <f>SUM(FO!H113,PO!H113,CO!H113,FE!H113,PE!H113)</f>
        <v>0</v>
      </c>
      <c r="I113" s="5">
        <f>SUM(FO!I113,PO!I113,CO!I113,FE!I113,PE!I113)</f>
        <v>0</v>
      </c>
      <c r="J113" s="5">
        <f>SUM(FO!J113,PO!J113,CO!J113,FE!J113,PE!J113)</f>
        <v>0</v>
      </c>
      <c r="K113" s="5">
        <f>SUM(FO!K113,PO!K113,CO!K113,FE!K113,PE!K113)</f>
        <v>0</v>
      </c>
      <c r="L113" s="5">
        <f>SUM(FO!L113,PO!L113,CO!L113,FE!L113,PE!L113)</f>
        <v>0</v>
      </c>
      <c r="M113" s="5">
        <f>SUM(FO!M113,PO!M113,CO!M113,FE!M113,PE!M113)</f>
        <v>0</v>
      </c>
      <c r="N113" s="5">
        <f t="shared" si="65"/>
        <v>0</v>
      </c>
      <c r="O113" s="28">
        <f t="shared" si="66"/>
        <v>0</v>
      </c>
      <c r="P113" s="5"/>
      <c r="Q113" s="5"/>
      <c r="R113" s="5"/>
      <c r="S113" s="5"/>
      <c r="T113" s="5"/>
      <c r="U113" s="5">
        <f>SUM(FO!U113,PO!U113,CO!U113,FE!U113,PE!U113)</f>
        <v>0</v>
      </c>
      <c r="V113" s="5">
        <f>SUM(FO!V113,PO!V113,CO!V113,FE!V113,PE!V113)</f>
        <v>0</v>
      </c>
      <c r="W113" s="5">
        <f>SUM(FO!W113,PO!W113,CO!W113,FE!W113,PE!W113)</f>
        <v>0</v>
      </c>
      <c r="X113" s="5">
        <f>SUM(FO!X113,PO!X113,CO!X113,FE!X113,PE!X113)</f>
        <v>0</v>
      </c>
      <c r="Y113" s="5">
        <f>SUM(FO!Y113,PO!Y113,CO!Y113,FE!Y113,PE!Y113)</f>
        <v>0</v>
      </c>
      <c r="Z113" s="5">
        <f>SUM(FO!Z113,PO!Z113,CO!Z113,FE!Z113,PE!Z113)</f>
        <v>0</v>
      </c>
      <c r="AA113" s="5">
        <f>SUM(FO!AA113,PO!AA113,CO!AA113,FE!AA113,PE!AA113)</f>
        <v>0</v>
      </c>
      <c r="AB113" s="5">
        <f>SUM(FO!AB113,PO!AB113,CO!AB113,FE!AB113,PE!AB113)</f>
        <v>0</v>
      </c>
      <c r="AC113" s="5">
        <f>SUM(FO!AC113,PO!AC113,CO!AC113,FE!AC113,PE!AC113)</f>
        <v>0</v>
      </c>
      <c r="AD113" s="5">
        <f>SUM(FO!AD113,PO!AD113,CO!AD113,FE!AD113,PE!AD113)</f>
        <v>0</v>
      </c>
      <c r="AE113" s="5">
        <f>SUM(FO!AE113,PO!AE113,CO!AE113,FE!AE113,PE!AE113)</f>
        <v>0</v>
      </c>
      <c r="AF113" s="5">
        <f>SUM(FO!AF113,PO!AF113,CO!AF113,FE!AF113,PE!AF113)</f>
        <v>0</v>
      </c>
      <c r="AG113" s="5">
        <f t="shared" si="67"/>
        <v>0</v>
      </c>
      <c r="AH113" s="28" t="str">
        <f t="shared" si="68"/>
        <v/>
      </c>
      <c r="AI113" s="4"/>
      <c r="AJ113" s="5">
        <f t="shared" si="69"/>
        <v>0</v>
      </c>
      <c r="AK113" s="4"/>
    </row>
    <row r="114" ht="13.5" customHeight="1">
      <c r="A114" s="25" t="s">
        <v>143</v>
      </c>
      <c r="B114" s="5">
        <f>SUM(FO!B114,PO!B114,CO!B114,FE!B114,PE!B114)</f>
        <v>0</v>
      </c>
      <c r="C114" s="5">
        <f>SUM(FO!C114,PO!C114,CO!C114,FE!C114,PE!C114)</f>
        <v>0</v>
      </c>
      <c r="D114" s="5">
        <f>SUM(FO!D114,PO!D114,CO!D114,FE!D114,PE!D114)</f>
        <v>0</v>
      </c>
      <c r="E114" s="5">
        <f>SUM(FO!E114,PO!E114,CO!E114,FE!E114,PE!E114)</f>
        <v>0</v>
      </c>
      <c r="F114" s="5">
        <f>SUM(FO!F114,PO!F114,CO!F114,FE!F114,PE!F114)</f>
        <v>0</v>
      </c>
      <c r="G114" s="5">
        <f>SUM(FO!G114,PO!G114,CO!G114,FE!G114,PE!G114)</f>
        <v>30.03</v>
      </c>
      <c r="H114" s="5">
        <f>SUM(FO!H114,PO!H114,CO!H114,FE!H114,PE!H114)</f>
        <v>0</v>
      </c>
      <c r="I114" s="5">
        <f>SUM(FO!I114,PO!I114,CO!I114,FE!I114,PE!I114)</f>
        <v>0</v>
      </c>
      <c r="J114" s="5">
        <f>SUM(FO!J114,PO!J114,CO!J114,FE!J114,PE!J114)</f>
        <v>0</v>
      </c>
      <c r="K114" s="5">
        <f>SUM(FO!K114,PO!K114,CO!K114,FE!K114,PE!K114)</f>
        <v>0</v>
      </c>
      <c r="L114" s="5">
        <f>SUM(FO!L114,PO!L114,CO!L114,FE!L114,PE!L114)</f>
        <v>0</v>
      </c>
      <c r="M114" s="5">
        <f>SUM(FO!M114,PO!M114,CO!M114,FE!M114,PE!M114)</f>
        <v>0</v>
      </c>
      <c r="N114" s="5">
        <f t="shared" si="65"/>
        <v>30.03</v>
      </c>
      <c r="O114" s="28">
        <f t="shared" si="66"/>
        <v>0.000004045022164</v>
      </c>
      <c r="P114" s="5"/>
      <c r="Q114" s="5"/>
      <c r="R114" s="5"/>
      <c r="S114" s="5"/>
      <c r="T114" s="5"/>
      <c r="U114" s="5">
        <f>SUM(FO!U114,PO!U114,CO!U114,FE!U114,PE!U114)</f>
        <v>0</v>
      </c>
      <c r="V114" s="5">
        <f>SUM(FO!V114,PO!V114,CO!V114,FE!V114,PE!V114)</f>
        <v>0</v>
      </c>
      <c r="W114" s="5">
        <f>SUM(FO!W114,PO!W114,CO!W114,FE!W114,PE!W114)</f>
        <v>0</v>
      </c>
      <c r="X114" s="5">
        <f>SUM(FO!X114,PO!X114,CO!X114,FE!X114,PE!X114)</f>
        <v>0</v>
      </c>
      <c r="Y114" s="5">
        <f>SUM(FO!Y114,PO!Y114,CO!Y114,FE!Y114,PE!Y114)</f>
        <v>0</v>
      </c>
      <c r="Z114" s="5">
        <f>SUM(FO!Z114,PO!Z114,CO!Z114,FE!Z114,PE!Z114)</f>
        <v>0</v>
      </c>
      <c r="AA114" s="5">
        <f>SUM(FO!AA114,PO!AA114,CO!AA114,FE!AA114,PE!AA114)</f>
        <v>0</v>
      </c>
      <c r="AB114" s="5">
        <f>SUM(FO!AB114,PO!AB114,CO!AB114,FE!AB114,PE!AB114)</f>
        <v>0</v>
      </c>
      <c r="AC114" s="5">
        <f>SUM(FO!AC114,PO!AC114,CO!AC114,FE!AC114,PE!AC114)</f>
        <v>0</v>
      </c>
      <c r="AD114" s="5">
        <f>SUM(FO!AD114,PO!AD114,CO!AD114,FE!AD114,PE!AD114)</f>
        <v>0</v>
      </c>
      <c r="AE114" s="5">
        <f>SUM(FO!AE114,PO!AE114,CO!AE114,FE!AE114,PE!AE114)</f>
        <v>0</v>
      </c>
      <c r="AF114" s="5">
        <f>SUM(FO!AF114,PO!AF114,CO!AF114,FE!AF114,PE!AF114)</f>
        <v>0</v>
      </c>
      <c r="AG114" s="5">
        <f t="shared" si="67"/>
        <v>0</v>
      </c>
      <c r="AH114" s="28" t="str">
        <f t="shared" si="68"/>
        <v/>
      </c>
      <c r="AI114" s="4"/>
      <c r="AJ114" s="5">
        <f t="shared" si="69"/>
        <v>30.03</v>
      </c>
      <c r="AK114" s="4"/>
    </row>
    <row r="115" ht="13.5" customHeight="1">
      <c r="A115" s="25" t="s">
        <v>144</v>
      </c>
      <c r="B115" s="5">
        <f>SUM(FO!B115,PO!B115,CO!B115,FE!B115,PE!B115)</f>
        <v>0</v>
      </c>
      <c r="C115" s="5">
        <f>SUM(FO!C115,PO!C115,CO!C115,FE!C115,PE!C115)</f>
        <v>0</v>
      </c>
      <c r="D115" s="5">
        <f>SUM(FO!D115,PO!D115,CO!D115,FE!D115,PE!D115)</f>
        <v>0</v>
      </c>
      <c r="E115" s="5">
        <f>SUM(FO!E115,PO!E115,CO!E115,FE!E115,PE!E115)</f>
        <v>0</v>
      </c>
      <c r="F115" s="5">
        <f>SUM(FO!F115,PO!F115,CO!F115,FE!F115,PE!F115)</f>
        <v>0</v>
      </c>
      <c r="G115" s="5">
        <f>SUM(FO!G115,PO!G115,CO!G115,FE!G115,PE!G115)</f>
        <v>0</v>
      </c>
      <c r="H115" s="5">
        <f>SUM(FO!H115,PO!H115,CO!H115,FE!H115,PE!H115)</f>
        <v>0</v>
      </c>
      <c r="I115" s="5">
        <f>SUM(FO!I115,PO!I115,CO!I115,FE!I115,PE!I115)</f>
        <v>0</v>
      </c>
      <c r="J115" s="5">
        <f>SUM(FO!J115,PO!J115,CO!J115,FE!J115,PE!J115)</f>
        <v>0</v>
      </c>
      <c r="K115" s="5">
        <f>SUM(FO!K115,PO!K115,CO!K115,FE!K115,PE!K115)</f>
        <v>0</v>
      </c>
      <c r="L115" s="5">
        <f>SUM(FO!L115,PO!L115,CO!L115,FE!L115,PE!L115)</f>
        <v>0</v>
      </c>
      <c r="M115" s="5">
        <f>SUM(FO!M115,PO!M115,CO!M115,FE!M115,PE!M115)</f>
        <v>0</v>
      </c>
      <c r="N115" s="5">
        <f t="shared" si="65"/>
        <v>0</v>
      </c>
      <c r="O115" s="28">
        <f t="shared" si="66"/>
        <v>0</v>
      </c>
      <c r="P115" s="5"/>
      <c r="Q115" s="5"/>
      <c r="R115" s="5"/>
      <c r="S115" s="5"/>
      <c r="T115" s="5"/>
      <c r="U115" s="5">
        <f>SUM(FO!U115,PO!U115,CO!U115,FE!U115,PE!U115)</f>
        <v>0</v>
      </c>
      <c r="V115" s="5">
        <f>SUM(FO!V115,PO!V115,CO!V115,FE!V115,PE!V115)</f>
        <v>0</v>
      </c>
      <c r="W115" s="5">
        <f>SUM(FO!W115,PO!W115,CO!W115,FE!W115,PE!W115)</f>
        <v>0</v>
      </c>
      <c r="X115" s="5">
        <f>SUM(FO!X115,PO!X115,CO!X115,FE!X115,PE!X115)</f>
        <v>0</v>
      </c>
      <c r="Y115" s="5">
        <f>SUM(FO!Y115,PO!Y115,CO!Y115,FE!Y115,PE!Y115)</f>
        <v>0</v>
      </c>
      <c r="Z115" s="5">
        <f>SUM(FO!Z115,PO!Z115,CO!Z115,FE!Z115,PE!Z115)</f>
        <v>0</v>
      </c>
      <c r="AA115" s="5">
        <f>SUM(FO!AA115,PO!AA115,CO!AA115,FE!AA115,PE!AA115)</f>
        <v>0</v>
      </c>
      <c r="AB115" s="5">
        <f>SUM(FO!AB115,PO!AB115,CO!AB115,FE!AB115,PE!AB115)</f>
        <v>0</v>
      </c>
      <c r="AC115" s="5">
        <f>SUM(FO!AC115,PO!AC115,CO!AC115,FE!AC115,PE!AC115)</f>
        <v>0</v>
      </c>
      <c r="AD115" s="5">
        <f>SUM(FO!AD115,PO!AD115,CO!AD115,FE!AD115,PE!AD115)</f>
        <v>0</v>
      </c>
      <c r="AE115" s="5">
        <f>SUM(FO!AE115,PO!AE115,CO!AE115,FE!AE115,PE!AE115)</f>
        <v>0</v>
      </c>
      <c r="AF115" s="5">
        <f>SUM(FO!AF115,PO!AF115,CO!AF115,FE!AF115,PE!AF115)</f>
        <v>0</v>
      </c>
      <c r="AG115" s="5">
        <f t="shared" si="67"/>
        <v>0</v>
      </c>
      <c r="AH115" s="28" t="str">
        <f t="shared" si="68"/>
        <v/>
      </c>
      <c r="AI115" s="4"/>
      <c r="AJ115" s="5">
        <f t="shared" si="69"/>
        <v>0</v>
      </c>
      <c r="AK115" s="4"/>
    </row>
    <row r="116" ht="13.5" customHeight="1">
      <c r="A116" s="33" t="s">
        <v>145</v>
      </c>
      <c r="B116" s="34">
        <f t="shared" ref="B116:M116" si="72">B73+SUM(B74:B80)+B87+SUM(B88:B115)</f>
        <v>159854.29</v>
      </c>
      <c r="C116" s="34">
        <f t="shared" si="72"/>
        <v>36073.48</v>
      </c>
      <c r="D116" s="34">
        <f t="shared" si="72"/>
        <v>248083.34</v>
      </c>
      <c r="E116" s="34">
        <f t="shared" si="72"/>
        <v>252179.52</v>
      </c>
      <c r="F116" s="34">
        <f t="shared" si="72"/>
        <v>299699.19</v>
      </c>
      <c r="G116" s="34">
        <f t="shared" si="72"/>
        <v>345953.53</v>
      </c>
      <c r="H116" s="34">
        <f t="shared" si="72"/>
        <v>229505.53</v>
      </c>
      <c r="I116" s="34">
        <f t="shared" si="72"/>
        <v>258700.42</v>
      </c>
      <c r="J116" s="34">
        <f t="shared" si="72"/>
        <v>966458</v>
      </c>
      <c r="K116" s="34">
        <f t="shared" si="72"/>
        <v>370411</v>
      </c>
      <c r="L116" s="34">
        <f t="shared" si="72"/>
        <v>379351</v>
      </c>
      <c r="M116" s="34">
        <f t="shared" si="72"/>
        <v>383688</v>
      </c>
      <c r="N116" s="34">
        <f t="shared" si="65"/>
        <v>3929957.3</v>
      </c>
      <c r="O116" s="35">
        <f t="shared" si="66"/>
        <v>0.5293627833</v>
      </c>
      <c r="P116" s="5"/>
      <c r="Q116" s="5"/>
      <c r="R116" s="5"/>
      <c r="S116" s="5"/>
      <c r="T116" s="5"/>
      <c r="U116" s="34">
        <f t="shared" ref="U116:AF116" si="73">U73+SUM(U74:U80)+U87+SUM(U88:U115)</f>
        <v>232131.2643</v>
      </c>
      <c r="V116" s="34">
        <f t="shared" si="73"/>
        <v>232131.2643</v>
      </c>
      <c r="W116" s="34">
        <f t="shared" si="73"/>
        <v>233331.2643</v>
      </c>
      <c r="X116" s="34">
        <f t="shared" si="73"/>
        <v>233331.2643</v>
      </c>
      <c r="Y116" s="34">
        <f t="shared" si="73"/>
        <v>234230.4309</v>
      </c>
      <c r="Z116" s="34">
        <f t="shared" si="73"/>
        <v>234529.5976</v>
      </c>
      <c r="AA116" s="34">
        <f t="shared" si="73"/>
        <v>235428.7643</v>
      </c>
      <c r="AB116" s="34">
        <f t="shared" si="73"/>
        <v>235727.9309</v>
      </c>
      <c r="AC116" s="34">
        <f t="shared" si="73"/>
        <v>236627.0976</v>
      </c>
      <c r="AD116" s="34">
        <f t="shared" si="73"/>
        <v>243334.7022</v>
      </c>
      <c r="AE116" s="34">
        <f t="shared" si="73"/>
        <v>244233.8688</v>
      </c>
      <c r="AF116" s="34">
        <f t="shared" si="73"/>
        <v>243773.0355</v>
      </c>
      <c r="AG116" s="34">
        <f t="shared" si="67"/>
        <v>2838810.485</v>
      </c>
      <c r="AH116" s="35" t="str">
        <f t="shared" si="68"/>
        <v/>
      </c>
      <c r="AI116" s="4"/>
      <c r="AJ116" s="34">
        <f t="shared" si="69"/>
        <v>1091146.815</v>
      </c>
      <c r="AK116" s="4"/>
    </row>
    <row r="117" ht="13.5" customHeight="1">
      <c r="A117" s="60" t="s">
        <v>146</v>
      </c>
      <c r="B117" s="61">
        <f t="shared" ref="B117:M117" si="74">B64-B116</f>
        <v>114581.3</v>
      </c>
      <c r="C117" s="61">
        <f t="shared" si="74"/>
        <v>186181.91</v>
      </c>
      <c r="D117" s="61">
        <f t="shared" si="74"/>
        <v>-46641.99</v>
      </c>
      <c r="E117" s="61">
        <f t="shared" si="74"/>
        <v>152657.93</v>
      </c>
      <c r="F117" s="61">
        <f t="shared" si="74"/>
        <v>-164415.79</v>
      </c>
      <c r="G117" s="61">
        <f t="shared" si="74"/>
        <v>-223479.01</v>
      </c>
      <c r="H117" s="61">
        <f t="shared" si="74"/>
        <v>67487.73</v>
      </c>
      <c r="I117" s="61">
        <f t="shared" si="74"/>
        <v>-246328</v>
      </c>
      <c r="J117" s="61">
        <f t="shared" si="74"/>
        <v>-731743.5771</v>
      </c>
      <c r="K117" s="61">
        <f t="shared" si="74"/>
        <v>-46839.19619</v>
      </c>
      <c r="L117" s="61">
        <f t="shared" si="74"/>
        <v>-29368.62476</v>
      </c>
      <c r="M117" s="61">
        <f t="shared" si="74"/>
        <v>-16126.05333</v>
      </c>
      <c r="N117" s="61">
        <f t="shared" si="65"/>
        <v>-984033.3714</v>
      </c>
      <c r="O117" s="62">
        <f t="shared" si="66"/>
        <v>-0.1325486779</v>
      </c>
      <c r="P117" s="5"/>
      <c r="Q117" s="5"/>
      <c r="R117" s="5"/>
      <c r="S117" s="5"/>
      <c r="T117" s="5"/>
      <c r="U117" s="61">
        <f t="shared" ref="U117:AF117" si="75">U64-U116</f>
        <v>-463359.9708</v>
      </c>
      <c r="V117" s="61">
        <f t="shared" si="75"/>
        <v>-428359.9708</v>
      </c>
      <c r="W117" s="61">
        <f t="shared" si="75"/>
        <v>-429559.9708</v>
      </c>
      <c r="X117" s="61">
        <f t="shared" si="75"/>
        <v>-429559.9708</v>
      </c>
      <c r="Y117" s="61">
        <f t="shared" si="75"/>
        <v>-435896.6375</v>
      </c>
      <c r="Z117" s="61">
        <f t="shared" si="75"/>
        <v>-432174.9708</v>
      </c>
      <c r="AA117" s="61">
        <f t="shared" si="75"/>
        <v>-433782.4708</v>
      </c>
      <c r="AB117" s="61">
        <f t="shared" si="75"/>
        <v>-434789.9708</v>
      </c>
      <c r="AC117" s="61">
        <f t="shared" si="75"/>
        <v>-436397.4708</v>
      </c>
      <c r="AD117" s="61">
        <f t="shared" si="75"/>
        <v>-452136.5911</v>
      </c>
      <c r="AE117" s="61">
        <f t="shared" si="75"/>
        <v>-450369.0911</v>
      </c>
      <c r="AF117" s="61">
        <f t="shared" si="75"/>
        <v>-450616.5911</v>
      </c>
      <c r="AG117" s="61">
        <f t="shared" si="67"/>
        <v>-5277003.677</v>
      </c>
      <c r="AH117" s="62" t="str">
        <f t="shared" si="68"/>
        <v/>
      </c>
      <c r="AI117" s="4"/>
      <c r="AJ117" s="61">
        <f>AG117-N117</f>
        <v>-4292970.306</v>
      </c>
      <c r="AK117" s="4"/>
    </row>
    <row r="118" ht="13.5" customHeight="1">
      <c r="A118" s="23" t="s">
        <v>147</v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28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28"/>
      <c r="AI118" s="4"/>
      <c r="AJ118" s="5"/>
      <c r="AK118" s="4"/>
    </row>
    <row r="119" ht="13.5" customHeight="1">
      <c r="A119" s="24" t="s">
        <v>148</v>
      </c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28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28"/>
      <c r="AI119" s="4"/>
      <c r="AJ119" s="5"/>
      <c r="AK119" s="4"/>
    </row>
    <row r="120" ht="13.5" customHeight="1">
      <c r="A120" s="25" t="s">
        <v>149</v>
      </c>
      <c r="B120" s="5">
        <f>SUM(FO!B120,PO!B120,CO!B120,FE!B120,PE!B120)</f>
        <v>0</v>
      </c>
      <c r="C120" s="5">
        <f>SUM(FO!C120,PO!C120,CO!C120,FE!C120,PE!C120)</f>
        <v>0</v>
      </c>
      <c r="D120" s="5">
        <f>SUM(FO!D120,PO!D120,CO!D120,FE!D120,PE!D120)</f>
        <v>0</v>
      </c>
      <c r="E120" s="5">
        <f>SUM(FO!E120,PO!E120,CO!E120,FE!E120,PE!E120)</f>
        <v>0</v>
      </c>
      <c r="F120" s="5">
        <f>SUM(FO!F120,PO!F120,CO!F120,FE!F120,PE!F120)</f>
        <v>0</v>
      </c>
      <c r="G120" s="5">
        <f>SUM(FO!G120,PO!G120,CO!G120,FE!G120,PE!G120)</f>
        <v>0</v>
      </c>
      <c r="H120" s="5">
        <f>SUM(FO!H120,PO!H120,CO!H120,FE!H120,PE!H120)</f>
        <v>0</v>
      </c>
      <c r="I120" s="5">
        <f>SUM(FO!I120,PO!I120,CO!I120,FE!I120,PE!I120)</f>
        <v>0</v>
      </c>
      <c r="J120" s="5">
        <f>SUM(FO!J120,PO!J120,CO!J120,FE!J120,PE!J120)</f>
        <v>0</v>
      </c>
      <c r="K120" s="5">
        <f>SUM(FO!K120,PO!K120,CO!K120,FE!K120,PE!K120)</f>
        <v>0</v>
      </c>
      <c r="L120" s="5">
        <f>SUM(FO!L120,PO!L120,CO!L120,FE!L120,PE!L120)</f>
        <v>0</v>
      </c>
      <c r="M120" s="5">
        <f>SUM(FO!M120,PO!M120,CO!M120,FE!M120,PE!M120)</f>
        <v>0</v>
      </c>
      <c r="N120" s="5">
        <f t="shared" ref="N120:N122" si="76">SUM(B120:M120)</f>
        <v>0</v>
      </c>
      <c r="O120" s="28">
        <f t="shared" ref="O120:O122" si="77">IFERROR(N120/N$16,"")</f>
        <v>0</v>
      </c>
      <c r="P120" s="5"/>
      <c r="Q120" s="5"/>
      <c r="R120" s="5"/>
      <c r="S120" s="5"/>
      <c r="T120" s="5"/>
      <c r="U120" s="5">
        <f>SUM(FO!U120,PO!U120,CO!U120,FE!U120,PE!U120)</f>
        <v>0</v>
      </c>
      <c r="V120" s="5">
        <f>SUM(FO!V120,PO!V120,CO!V120,FE!V120,PE!V120)</f>
        <v>0</v>
      </c>
      <c r="W120" s="5">
        <f>SUM(FO!W120,PO!W120,CO!W120,FE!W120,PE!W120)</f>
        <v>0</v>
      </c>
      <c r="X120" s="5">
        <f>SUM(FO!X120,PO!X120,CO!X120,FE!X120,PE!X120)</f>
        <v>0</v>
      </c>
      <c r="Y120" s="5">
        <f>SUM(FO!Y120,PO!Y120,CO!Y120,FE!Y120,PE!Y120)</f>
        <v>0</v>
      </c>
      <c r="Z120" s="5">
        <f>SUM(FO!Z120,PO!Z120,CO!Z120,FE!Z120,PE!Z120)</f>
        <v>0</v>
      </c>
      <c r="AA120" s="5">
        <f>SUM(FO!AA120,PO!AA120,CO!AA120,FE!AA120,PE!AA120)</f>
        <v>0</v>
      </c>
      <c r="AB120" s="5">
        <f>SUM(FO!AB120,PO!AB120,CO!AB120,FE!AB120,PE!AB120)</f>
        <v>0</v>
      </c>
      <c r="AC120" s="5">
        <f>SUM(FO!AC120,PO!AC120,CO!AC120,FE!AC120,PE!AC120)</f>
        <v>0</v>
      </c>
      <c r="AD120" s="5">
        <f>SUM(FO!AD120,PO!AD120,CO!AD120,FE!AD120,PE!AD120)</f>
        <v>0</v>
      </c>
      <c r="AE120" s="5">
        <f>SUM(FO!AE120,PO!AE120,CO!AE120,FE!AE120,PE!AE120)</f>
        <v>0</v>
      </c>
      <c r="AF120" s="5">
        <f>SUM(FO!AF120,PO!AF120,CO!AF120,FE!AF120,PE!AF120)</f>
        <v>0</v>
      </c>
      <c r="AG120" s="5">
        <f t="shared" ref="AG120:AG122" si="78">SUM(U120:AF120)</f>
        <v>0</v>
      </c>
      <c r="AH120" s="28" t="str">
        <f t="shared" ref="AH120:AH122" si="79">IFERROR(AG120/AG$16,"")</f>
        <v/>
      </c>
      <c r="AI120" s="4"/>
      <c r="AJ120" s="5">
        <f t="shared" ref="AJ120:AJ122" si="80">AG120-N120</f>
        <v>0</v>
      </c>
      <c r="AK120" s="4"/>
    </row>
    <row r="121" ht="13.5" customHeight="1">
      <c r="A121" s="25" t="s">
        <v>151</v>
      </c>
      <c r="B121" s="5">
        <f>SUM(FO!B121,PO!B121,CO!B121,FE!B121,PE!B121)</f>
        <v>0</v>
      </c>
      <c r="C121" s="5">
        <f>SUM(FO!C121,PO!C121,CO!C121,FE!C121,PE!C121)</f>
        <v>0</v>
      </c>
      <c r="D121" s="5">
        <f>SUM(FO!D121,PO!D121,CO!D121,FE!D121,PE!D121)</f>
        <v>0</v>
      </c>
      <c r="E121" s="5">
        <f>SUM(FO!E121,PO!E121,CO!E121,FE!E121,PE!E121)</f>
        <v>104811.32</v>
      </c>
      <c r="F121" s="5">
        <f>SUM(FO!F121,PO!F121,CO!F121,FE!F121,PE!F121)</f>
        <v>0</v>
      </c>
      <c r="G121" s="5">
        <f>SUM(FO!G121,PO!G121,CO!G121,FE!G121,PE!G121)</f>
        <v>0</v>
      </c>
      <c r="H121" s="5">
        <f>SUM(FO!H121,PO!H121,CO!H121,FE!H121,PE!H121)</f>
        <v>0</v>
      </c>
      <c r="I121" s="5">
        <f>SUM(FO!I121,PO!I121,CO!I121,FE!I121,PE!I121)</f>
        <v>0</v>
      </c>
      <c r="J121" s="5">
        <f>SUM(FO!J121,PO!J121,CO!J121,FE!J121,PE!J121)</f>
        <v>0</v>
      </c>
      <c r="K121" s="5">
        <f>SUM(FO!K121,PO!K121,CO!K121,FE!K121,PE!K121)</f>
        <v>0</v>
      </c>
      <c r="L121" s="5">
        <f>SUM(FO!L121,PO!L121,CO!L121,FE!L121,PE!L121)</f>
        <v>0</v>
      </c>
      <c r="M121" s="5">
        <f>SUM(FO!M121,PO!M121,CO!M121,FE!M121,PE!M121)</f>
        <v>0</v>
      </c>
      <c r="N121" s="5">
        <f t="shared" si="76"/>
        <v>104811.32</v>
      </c>
      <c r="O121" s="28">
        <f t="shared" si="77"/>
        <v>0.01411801906</v>
      </c>
      <c r="P121" s="5"/>
      <c r="Q121" s="5"/>
      <c r="R121" s="5"/>
      <c r="S121" s="5"/>
      <c r="T121" s="5"/>
      <c r="U121" s="5">
        <f>SUM(FO!U121,PO!U121,CO!U121,FE!U121,PE!U121)</f>
        <v>0</v>
      </c>
      <c r="V121" s="5">
        <f>SUM(FO!V121,PO!V121,CO!V121,FE!V121,PE!V121)</f>
        <v>0</v>
      </c>
      <c r="W121" s="5">
        <f>SUM(FO!W121,PO!W121,CO!W121,FE!W121,PE!W121)</f>
        <v>0</v>
      </c>
      <c r="X121" s="5">
        <f>SUM(FO!X121,PO!X121,CO!X121,FE!X121,PE!X121)</f>
        <v>0</v>
      </c>
      <c r="Y121" s="5">
        <f>SUM(FO!Y121,PO!Y121,CO!Y121,FE!Y121,PE!Y121)</f>
        <v>0</v>
      </c>
      <c r="Z121" s="5">
        <f>SUM(FO!Z121,PO!Z121,CO!Z121,FE!Z121,PE!Z121)</f>
        <v>0</v>
      </c>
      <c r="AA121" s="5">
        <f>SUM(FO!AA121,PO!AA121,CO!AA121,FE!AA121,PE!AA121)</f>
        <v>0</v>
      </c>
      <c r="AB121" s="5">
        <f>SUM(FO!AB121,PO!AB121,CO!AB121,FE!AB121,PE!AB121)</f>
        <v>0</v>
      </c>
      <c r="AC121" s="5">
        <f>SUM(FO!AC121,PO!AC121,CO!AC121,FE!AC121,PE!AC121)</f>
        <v>0</v>
      </c>
      <c r="AD121" s="5">
        <f>SUM(FO!AD121,PO!AD121,CO!AD121,FE!AD121,PE!AD121)</f>
        <v>0</v>
      </c>
      <c r="AE121" s="5">
        <f>SUM(FO!AE121,PO!AE121,CO!AE121,FE!AE121,PE!AE121)</f>
        <v>0</v>
      </c>
      <c r="AF121" s="5">
        <f>SUM(FO!AF121,PO!AF121,CO!AF121,FE!AF121,PE!AF121)</f>
        <v>0</v>
      </c>
      <c r="AG121" s="5">
        <f t="shared" si="78"/>
        <v>0</v>
      </c>
      <c r="AH121" s="28" t="str">
        <f t="shared" si="79"/>
        <v/>
      </c>
      <c r="AI121" s="4"/>
      <c r="AJ121" s="5">
        <f t="shared" si="80"/>
        <v>-104811.32</v>
      </c>
      <c r="AK121" s="4"/>
    </row>
    <row r="122" ht="13.5" customHeight="1">
      <c r="A122" s="33" t="s">
        <v>152</v>
      </c>
      <c r="B122" s="34">
        <f t="shared" ref="B122:M122" si="81">SUM(B120:B121)</f>
        <v>0</v>
      </c>
      <c r="C122" s="34">
        <f t="shared" si="81"/>
        <v>0</v>
      </c>
      <c r="D122" s="34">
        <f t="shared" si="81"/>
        <v>0</v>
      </c>
      <c r="E122" s="34">
        <f t="shared" si="81"/>
        <v>104811.32</v>
      </c>
      <c r="F122" s="34">
        <f t="shared" si="81"/>
        <v>0</v>
      </c>
      <c r="G122" s="34">
        <f t="shared" si="81"/>
        <v>0</v>
      </c>
      <c r="H122" s="34">
        <f t="shared" si="81"/>
        <v>0</v>
      </c>
      <c r="I122" s="34">
        <f t="shared" si="81"/>
        <v>0</v>
      </c>
      <c r="J122" s="34">
        <f t="shared" si="81"/>
        <v>0</v>
      </c>
      <c r="K122" s="34">
        <f t="shared" si="81"/>
        <v>0</v>
      </c>
      <c r="L122" s="34">
        <f t="shared" si="81"/>
        <v>0</v>
      </c>
      <c r="M122" s="34">
        <f t="shared" si="81"/>
        <v>0</v>
      </c>
      <c r="N122" s="34">
        <f t="shared" si="76"/>
        <v>104811.32</v>
      </c>
      <c r="O122" s="35">
        <f t="shared" si="77"/>
        <v>0.01411801906</v>
      </c>
      <c r="P122" s="5"/>
      <c r="Q122" s="5"/>
      <c r="R122" s="5"/>
      <c r="S122" s="5"/>
      <c r="T122" s="5"/>
      <c r="U122" s="34">
        <f t="shared" ref="U122:AF122" si="82">SUM(U120:U121)</f>
        <v>0</v>
      </c>
      <c r="V122" s="34">
        <f t="shared" si="82"/>
        <v>0</v>
      </c>
      <c r="W122" s="34">
        <f t="shared" si="82"/>
        <v>0</v>
      </c>
      <c r="X122" s="34">
        <f t="shared" si="82"/>
        <v>0</v>
      </c>
      <c r="Y122" s="34">
        <f t="shared" si="82"/>
        <v>0</v>
      </c>
      <c r="Z122" s="34">
        <f t="shared" si="82"/>
        <v>0</v>
      </c>
      <c r="AA122" s="34">
        <f t="shared" si="82"/>
        <v>0</v>
      </c>
      <c r="AB122" s="34">
        <f t="shared" si="82"/>
        <v>0</v>
      </c>
      <c r="AC122" s="34">
        <f t="shared" si="82"/>
        <v>0</v>
      </c>
      <c r="AD122" s="34">
        <f t="shared" si="82"/>
        <v>0</v>
      </c>
      <c r="AE122" s="34">
        <f t="shared" si="82"/>
        <v>0</v>
      </c>
      <c r="AF122" s="34">
        <f t="shared" si="82"/>
        <v>0</v>
      </c>
      <c r="AG122" s="34">
        <f t="shared" si="78"/>
        <v>0</v>
      </c>
      <c r="AH122" s="35" t="str">
        <f t="shared" si="79"/>
        <v/>
      </c>
      <c r="AI122" s="4"/>
      <c r="AJ122" s="34">
        <f t="shared" si="80"/>
        <v>-104811.32</v>
      </c>
      <c r="AK122" s="4"/>
    </row>
    <row r="123" ht="13.5" customHeight="1">
      <c r="A123" s="24" t="s">
        <v>153</v>
      </c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28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28"/>
      <c r="AI123" s="4"/>
      <c r="AJ123" s="5"/>
      <c r="AK123" s="4"/>
    </row>
    <row r="124" ht="13.5" customHeight="1">
      <c r="A124" s="48" t="s">
        <v>154</v>
      </c>
      <c r="B124" s="5">
        <f>SUM(FO!B124,PO!B124,CO!B124,FE!B124,PE!B124)</f>
        <v>0</v>
      </c>
      <c r="C124" s="5">
        <f>SUM(FO!C124,PO!C124,CO!C124,FE!C124,PE!C124)</f>
        <v>0</v>
      </c>
      <c r="D124" s="5">
        <f>SUM(FO!D124,PO!D124,CO!D124,FE!D124,PE!D124)</f>
        <v>0</v>
      </c>
      <c r="E124" s="5">
        <f>SUM(FO!E124,PO!E124,CO!E124,FE!E124,PE!E124)</f>
        <v>0</v>
      </c>
      <c r="F124" s="5">
        <f>SUM(FO!F124,PO!F124,CO!F124,FE!F124,PE!F124)</f>
        <v>0</v>
      </c>
      <c r="G124" s="5">
        <f>SUM(FO!G124,PO!G124,CO!G124,FE!G124,PE!G124)</f>
        <v>0</v>
      </c>
      <c r="H124" s="5">
        <v>0.0</v>
      </c>
      <c r="I124" s="5">
        <v>0.0</v>
      </c>
      <c r="J124" s="5">
        <v>0.0</v>
      </c>
      <c r="K124" s="5">
        <v>0.0</v>
      </c>
      <c r="L124" s="5">
        <v>0.0</v>
      </c>
      <c r="M124" s="5">
        <v>0.0</v>
      </c>
      <c r="N124" s="5">
        <v>0.0</v>
      </c>
      <c r="O124" s="28">
        <f t="shared" ref="O124:O132" si="83">IFERROR(N124/N$16,"")</f>
        <v>0</v>
      </c>
      <c r="P124" s="5"/>
      <c r="Q124" s="5"/>
      <c r="R124" s="5"/>
      <c r="S124" s="5"/>
      <c r="T124" s="5"/>
      <c r="U124" s="5">
        <v>0.0</v>
      </c>
      <c r="V124" s="5">
        <v>0.0</v>
      </c>
      <c r="W124" s="5">
        <v>0.0</v>
      </c>
      <c r="X124" s="5">
        <v>0.0</v>
      </c>
      <c r="Y124" s="5">
        <v>0.0</v>
      </c>
      <c r="Z124" s="5">
        <v>0.0</v>
      </c>
      <c r="AA124" s="5">
        <v>0.0</v>
      </c>
      <c r="AB124" s="5">
        <v>0.0</v>
      </c>
      <c r="AC124" s="5">
        <v>0.0</v>
      </c>
      <c r="AD124" s="5">
        <v>0.0</v>
      </c>
      <c r="AE124" s="5">
        <v>0.0</v>
      </c>
      <c r="AF124" s="5">
        <v>0.0</v>
      </c>
      <c r="AG124" s="5">
        <f t="shared" ref="AG124:AG126" si="84">SUM(U124:AF124)</f>
        <v>0</v>
      </c>
      <c r="AH124" s="28" t="str">
        <f t="shared" ref="AH124:AH126" si="85">IFERROR(AG124/AG$16,"")</f>
        <v/>
      </c>
      <c r="AI124" s="4"/>
      <c r="AJ124" s="5">
        <f t="shared" ref="AJ124:AJ126" si="86">N124-AG124</f>
        <v>0</v>
      </c>
      <c r="AK124" s="4"/>
    </row>
    <row r="125" ht="13.5" customHeight="1">
      <c r="A125" s="25" t="s">
        <v>155</v>
      </c>
      <c r="B125" s="5">
        <f>SUM(FO!B125,PO!B125,CO!B125,FE!B125,PE!B125)</f>
        <v>0</v>
      </c>
      <c r="C125" s="5">
        <f>SUM(FO!C125,PO!C125,CO!C125,FE!C125,PE!C125)</f>
        <v>0</v>
      </c>
      <c r="D125" s="5">
        <f>SUM(FO!D125,PO!D125,CO!D125,FE!D125,PE!D125)</f>
        <v>0</v>
      </c>
      <c r="E125" s="5">
        <f>SUM(FO!E125,PO!E125,CO!E125,FE!E125,PE!E125)</f>
        <v>0</v>
      </c>
      <c r="F125" s="5">
        <f>SUM(FO!F125,PO!F125,CO!F125,FE!F125,PE!F125)</f>
        <v>0</v>
      </c>
      <c r="G125" s="5">
        <f>SUM(FO!G125,PO!G125,CO!G125,FE!G125,PE!G125)</f>
        <v>0</v>
      </c>
      <c r="H125" s="5">
        <f>SUM(FO!H125,PO!H125,CO!H125,FE!H125,PE!H125)</f>
        <v>0</v>
      </c>
      <c r="I125" s="5">
        <f>SUM(FO!I125,PO!I125,CO!I125,FE!I125,PE!I125)</f>
        <v>0</v>
      </c>
      <c r="J125" s="5">
        <f>SUM(FO!J125,PO!J125,CO!J125,FE!J125,PE!J125)</f>
        <v>0</v>
      </c>
      <c r="K125" s="5">
        <f>SUM(FO!K125,PO!K125,CO!K125,FE!K125,PE!K125)</f>
        <v>0</v>
      </c>
      <c r="L125" s="5">
        <f>SUM(FO!L125,PO!L125,CO!L125,FE!L125,PE!L125)</f>
        <v>0</v>
      </c>
      <c r="M125" s="5">
        <f>SUM(FO!M125,PO!M125,CO!M125,FE!M125,PE!M125)</f>
        <v>0</v>
      </c>
      <c r="N125" s="5">
        <f t="shared" ref="N125:N132" si="87">SUM(B125:M125)</f>
        <v>0</v>
      </c>
      <c r="O125" s="28">
        <f t="shared" si="83"/>
        <v>0</v>
      </c>
      <c r="P125" s="5"/>
      <c r="Q125" s="5"/>
      <c r="R125" s="5"/>
      <c r="S125" s="5"/>
      <c r="T125" s="5"/>
      <c r="U125" s="5">
        <f>SUM(FO!U125,PO!U125,CO!U125,FE!U125,PE!U125)</f>
        <v>0</v>
      </c>
      <c r="V125" s="5">
        <f>SUM(FO!V125,PO!V125,CO!V125,FE!V125,PE!V125)</f>
        <v>0</v>
      </c>
      <c r="W125" s="5">
        <f>SUM(FO!W125,PO!W125,CO!W125,FE!W125,PE!W125)</f>
        <v>0</v>
      </c>
      <c r="X125" s="5">
        <f>SUM(FO!X125,PO!X125,CO!X125,FE!X125,PE!X125)</f>
        <v>0</v>
      </c>
      <c r="Y125" s="5">
        <f>SUM(FO!Y125,PO!Y125,CO!Y125,FE!Y125,PE!Y125)</f>
        <v>0</v>
      </c>
      <c r="Z125" s="5">
        <f>SUM(FO!Z125,PO!Z125,CO!Z125,FE!Z125,PE!Z125)</f>
        <v>0</v>
      </c>
      <c r="AA125" s="5">
        <f>SUM(FO!AA125,PO!AA125,CO!AA125,FE!AA125,PE!AA125)</f>
        <v>0</v>
      </c>
      <c r="AB125" s="5">
        <f>SUM(FO!AB125,PO!AB125,CO!AB125,FE!AB125,PE!AB125)</f>
        <v>0</v>
      </c>
      <c r="AC125" s="5">
        <f>SUM(FO!AC125,PO!AC125,CO!AC125,FE!AC125,PE!AC125)</f>
        <v>0</v>
      </c>
      <c r="AD125" s="5">
        <f>SUM(FO!AD125,PO!AD125,CO!AD125,FE!AD125,PE!AD125)</f>
        <v>0</v>
      </c>
      <c r="AE125" s="5">
        <f>SUM(FO!AE125,PO!AE125,CO!AE125,FE!AE125,PE!AE125)</f>
        <v>0</v>
      </c>
      <c r="AF125" s="5">
        <f>SUM(FO!AF125,PO!AF125,CO!AF125,FE!AF125,PE!AF125)</f>
        <v>0</v>
      </c>
      <c r="AG125" s="5">
        <f t="shared" si="84"/>
        <v>0</v>
      </c>
      <c r="AH125" s="28" t="str">
        <f t="shared" si="85"/>
        <v/>
      </c>
      <c r="AI125" s="4"/>
      <c r="AJ125" s="5">
        <f t="shared" si="86"/>
        <v>0</v>
      </c>
      <c r="AK125" s="4"/>
    </row>
    <row r="126" ht="13.5" customHeight="1">
      <c r="A126" s="25" t="s">
        <v>156</v>
      </c>
      <c r="B126" s="5">
        <f>SUM(FO!B126,PO!B126,CO!B126,FE!B126,PE!B126)</f>
        <v>0</v>
      </c>
      <c r="C126" s="5">
        <f>SUM(FO!C126,PO!C126,CO!C126,FE!C126,PE!C126)</f>
        <v>0</v>
      </c>
      <c r="D126" s="5">
        <f>SUM(FO!D126,PO!D126,CO!D126,FE!D126,PE!D126)</f>
        <v>0</v>
      </c>
      <c r="E126" s="5">
        <f>SUM(FO!E126,PO!E126,CO!E126,FE!E126,PE!E126)</f>
        <v>0</v>
      </c>
      <c r="F126" s="5">
        <f>SUM(FO!F126,PO!F126,CO!F126,FE!F126,PE!F126)</f>
        <v>0</v>
      </c>
      <c r="G126" s="5">
        <f>SUM(FO!G126,PO!G126,CO!G126,FE!G126,PE!G126)</f>
        <v>0</v>
      </c>
      <c r="H126" s="5">
        <f>SUM(FO!H126,PO!H126,CO!H126,FE!H126,PE!H126)</f>
        <v>0</v>
      </c>
      <c r="I126" s="5">
        <f>SUM(FO!I126,PO!I126,CO!I126,FE!I126,PE!I126)</f>
        <v>0</v>
      </c>
      <c r="J126" s="5">
        <f>SUM(FO!J126,PO!J126,CO!J126,FE!J126,PE!J126)</f>
        <v>5000</v>
      </c>
      <c r="K126" s="5">
        <f>SUM(FO!K126,PO!K126,CO!K126,FE!K126,PE!K126)</f>
        <v>5000</v>
      </c>
      <c r="L126" s="5">
        <f>SUM(FO!L126,PO!L126,CO!L126,FE!L126,PE!L126)</f>
        <v>5000</v>
      </c>
      <c r="M126" s="5">
        <f>SUM(FO!M126,PO!M126,CO!M126,FE!M126,PE!M126)</f>
        <v>5000</v>
      </c>
      <c r="N126" s="5">
        <f t="shared" si="87"/>
        <v>20000</v>
      </c>
      <c r="O126" s="28">
        <f t="shared" si="83"/>
        <v>0.002693987455</v>
      </c>
      <c r="P126" s="5"/>
      <c r="Q126" s="5"/>
      <c r="R126" s="5"/>
      <c r="S126" s="5"/>
      <c r="T126" s="5"/>
      <c r="U126" s="5">
        <f>SUM(FO!U126,PO!U126,CO!U126,FE!U126,PE!U126)</f>
        <v>0</v>
      </c>
      <c r="V126" s="5">
        <f>SUM(FO!V126,PO!V126,CO!V126,FE!V126,PE!V126)</f>
        <v>0</v>
      </c>
      <c r="W126" s="5">
        <f>SUM(FO!W126,PO!W126,CO!W126,FE!W126,PE!W126)</f>
        <v>0</v>
      </c>
      <c r="X126" s="5">
        <f>SUM(FO!X126,PO!X126,CO!X126,FE!X126,PE!X126)</f>
        <v>0</v>
      </c>
      <c r="Y126" s="5">
        <f>SUM(FO!Y126,PO!Y126,CO!Y126,FE!Y126,PE!Y126)</f>
        <v>0</v>
      </c>
      <c r="Z126" s="5">
        <f>SUM(FO!Z126,PO!Z126,CO!Z126,FE!Z126,PE!Z126)</f>
        <v>0</v>
      </c>
      <c r="AA126" s="5">
        <f>SUM(FO!AA126,PO!AA126,CO!AA126,FE!AA126,PE!AA126)</f>
        <v>0</v>
      </c>
      <c r="AB126" s="5">
        <f>SUM(FO!AB126,PO!AB126,CO!AB126,FE!AB126,PE!AB126)</f>
        <v>0</v>
      </c>
      <c r="AC126" s="5">
        <f>SUM(FO!AC126,PO!AC126,CO!AC126,FE!AC126,PE!AC126)</f>
        <v>0</v>
      </c>
      <c r="AD126" s="5">
        <f>SUM(FO!AD126,PO!AD126,CO!AD126,FE!AD126,PE!AD126)</f>
        <v>0</v>
      </c>
      <c r="AE126" s="5">
        <f>SUM(FO!AE126,PO!AE126,CO!AE126,FE!AE126,PE!AE126)</f>
        <v>0</v>
      </c>
      <c r="AF126" s="5">
        <f>SUM(FO!AF126,PO!AF126,CO!AF126,FE!AF126,PE!AF126)</f>
        <v>0</v>
      </c>
      <c r="AG126" s="5">
        <f t="shared" si="84"/>
        <v>0</v>
      </c>
      <c r="AH126" s="28" t="str">
        <f t="shared" si="85"/>
        <v/>
      </c>
      <c r="AI126" s="4"/>
      <c r="AJ126" s="5">
        <f t="shared" si="86"/>
        <v>20000</v>
      </c>
      <c r="AK126" s="4"/>
    </row>
    <row r="127" ht="13.5" customHeight="1">
      <c r="A127" s="25" t="s">
        <v>157</v>
      </c>
      <c r="B127" s="5">
        <f>SUM(FO!B127,PO!B127,CO!B127,FE!B127,PE!B127)</f>
        <v>0</v>
      </c>
      <c r="C127" s="5">
        <f>SUM(FO!C127,PO!C127,CO!C127,FE!C127,PE!C127)</f>
        <v>0</v>
      </c>
      <c r="D127" s="5">
        <f>SUM(FO!D127,PO!D127,CO!D127,FE!D127,PE!D127)</f>
        <v>0</v>
      </c>
      <c r="E127" s="5">
        <f>SUM(FO!E127,PO!E127,CO!E127,FE!E127,PE!E127)</f>
        <v>0</v>
      </c>
      <c r="F127" s="5">
        <f>SUM(FO!F127,PO!F127,CO!F127,FE!F127,PE!F127)</f>
        <v>0</v>
      </c>
      <c r="G127" s="5">
        <f>SUM(FO!G127,PO!G127,CO!G127,FE!G127,PE!G127)</f>
        <v>0</v>
      </c>
      <c r="H127" s="5">
        <f>SUM(FO!H127,PO!H127,CO!H127,FE!H127,PE!H127)</f>
        <v>0</v>
      </c>
      <c r="I127" s="5">
        <f>SUM(FO!I127,PO!I127,CO!I127,FE!I127,PE!I127)</f>
        <v>0</v>
      </c>
      <c r="J127" s="5">
        <f>SUM(FO!J127,PO!J127,CO!J127,FE!J127,PE!J127)</f>
        <v>0</v>
      </c>
      <c r="K127" s="5">
        <f>SUM(FO!K127,PO!K127,CO!K127,FE!K127,PE!K127)</f>
        <v>0</v>
      </c>
      <c r="L127" s="5">
        <f>SUM(FO!L127,PO!L127,CO!L127,FE!L127,PE!L127)</f>
        <v>0</v>
      </c>
      <c r="M127" s="5">
        <f>SUM(FO!M127,PO!M127,CO!M127,FE!M127,PE!M127)</f>
        <v>0</v>
      </c>
      <c r="N127" s="5">
        <f t="shared" si="87"/>
        <v>0</v>
      </c>
      <c r="O127" s="28">
        <f t="shared" si="83"/>
        <v>0</v>
      </c>
      <c r="P127" s="5"/>
      <c r="Q127" s="5"/>
      <c r="R127" s="5"/>
      <c r="S127" s="5"/>
      <c r="T127" s="5"/>
      <c r="U127" s="5">
        <f>SUM(FO!U127,PO!U127,CO!U127,FE!U127,PE!U127)</f>
        <v>0</v>
      </c>
      <c r="V127" s="5">
        <f>SUM(FO!V127,PO!V127,CO!V127,FE!V127,PE!V127)</f>
        <v>0</v>
      </c>
      <c r="W127" s="5">
        <f>SUM(FO!W127,PO!W127,CO!W127,FE!W127,PE!W127)</f>
        <v>0</v>
      </c>
      <c r="X127" s="5">
        <f>SUM(FO!X127,PO!X127,CO!X127,FE!X127,PE!X127)</f>
        <v>0</v>
      </c>
      <c r="Y127" s="5">
        <f>SUM(FO!Y127,PO!Y127,CO!Y127,FE!Y127,PE!Y127)</f>
        <v>0</v>
      </c>
      <c r="Z127" s="5">
        <f>SUM(FO!Z127,PO!Z127,CO!Z127,FE!Z127,PE!Z127)</f>
        <v>0</v>
      </c>
      <c r="AA127" s="5">
        <f>SUM(FO!AA127,PO!AA127,CO!AA127,FE!AA127,PE!AA127)</f>
        <v>0</v>
      </c>
      <c r="AB127" s="5">
        <f>SUM(FO!AB127,PO!AB127,CO!AB127,FE!AB127,PE!AB127)</f>
        <v>0</v>
      </c>
      <c r="AC127" s="5">
        <f>SUM(FO!AC127,PO!AC127,CO!AC127,FE!AC127,PE!AC127)</f>
        <v>0</v>
      </c>
      <c r="AD127" s="5">
        <f>SUM(FO!AD127,PO!AD127,CO!AD127,FE!AD127,PE!AD127)</f>
        <v>0</v>
      </c>
      <c r="AE127" s="5">
        <f>SUM(FO!AE127,PO!AE127,CO!AE127,FE!AE127,PE!AE127)</f>
        <v>0</v>
      </c>
      <c r="AF127" s="5">
        <f>SUM(FO!AF127,PO!AF127,CO!AF127,FE!AF127,PE!AF127)</f>
        <v>0</v>
      </c>
      <c r="AG127" s="5"/>
      <c r="AH127" s="28"/>
      <c r="AI127" s="4"/>
      <c r="AJ127" s="5"/>
      <c r="AK127" s="4"/>
    </row>
    <row r="128" ht="13.5" customHeight="1">
      <c r="A128" s="25" t="s">
        <v>158</v>
      </c>
      <c r="B128" s="5">
        <f>SUM(FO!B128,PO!B128,CO!B128,FE!B128,PE!B128)</f>
        <v>0</v>
      </c>
      <c r="C128" s="5">
        <f>SUM(FO!C128,PO!C128,CO!C128,FE!C128,PE!C128)</f>
        <v>0</v>
      </c>
      <c r="D128" s="5">
        <f>SUM(FO!D128,PO!D128,CO!D128,FE!D128,PE!D128)</f>
        <v>0</v>
      </c>
      <c r="E128" s="5">
        <f>SUM(FO!E128,PO!E128,CO!E128,FE!E128,PE!E128)</f>
        <v>0</v>
      </c>
      <c r="F128" s="5">
        <f>SUM(FO!F128,PO!F128,CO!F128,FE!F128,PE!F128)</f>
        <v>0</v>
      </c>
      <c r="G128" s="5">
        <f>SUM(FO!G128,PO!G128,CO!G128,FE!G128,PE!G128)</f>
        <v>0</v>
      </c>
      <c r="H128" s="5">
        <f>SUM(FO!H128,PO!H128,CO!H128,FE!H128,PE!H128)</f>
        <v>0</v>
      </c>
      <c r="I128" s="5">
        <f>SUM(FO!I128,PO!I128,CO!I128,FE!I128,PE!I128)</f>
        <v>0</v>
      </c>
      <c r="J128" s="5">
        <f>SUM(FO!J128,PO!J128,CO!J128,FE!J128,PE!J128)</f>
        <v>0</v>
      </c>
      <c r="K128" s="5">
        <f>SUM(FO!K128,PO!K128,CO!K128,FE!K128,PE!K128)</f>
        <v>0</v>
      </c>
      <c r="L128" s="5">
        <f>SUM(FO!L128,PO!L128,CO!L128,FE!L128,PE!L128)</f>
        <v>0</v>
      </c>
      <c r="M128" s="5">
        <f>SUM(FO!M128,PO!M128,CO!M128,FE!M128,PE!M128)</f>
        <v>0</v>
      </c>
      <c r="N128" s="5">
        <f t="shared" si="87"/>
        <v>0</v>
      </c>
      <c r="O128" s="28">
        <f t="shared" si="83"/>
        <v>0</v>
      </c>
      <c r="P128" s="5"/>
      <c r="Q128" s="5"/>
      <c r="R128" s="5"/>
      <c r="S128" s="5"/>
      <c r="T128" s="5"/>
      <c r="U128" s="5">
        <f>SUM(FO!U128,PO!U128,CO!U128,FE!U128,PE!U128)</f>
        <v>0</v>
      </c>
      <c r="V128" s="5">
        <f>SUM(FO!V128,PO!V128,CO!V128,FE!V128,PE!V128)</f>
        <v>0</v>
      </c>
      <c r="W128" s="5">
        <f>SUM(FO!W128,PO!W128,CO!W128,FE!W128,PE!W128)</f>
        <v>0</v>
      </c>
      <c r="X128" s="5">
        <f>SUM(FO!X128,PO!X128,CO!X128,FE!X128,PE!X128)</f>
        <v>0</v>
      </c>
      <c r="Y128" s="5">
        <f>SUM(FO!Y128,PO!Y128,CO!Y128,FE!Y128,PE!Y128)</f>
        <v>0</v>
      </c>
      <c r="Z128" s="5">
        <f>SUM(FO!Z128,PO!Z128,CO!Z128,FE!Z128,PE!Z128)</f>
        <v>0</v>
      </c>
      <c r="AA128" s="5">
        <f>SUM(FO!AA128,PO!AA128,CO!AA128,FE!AA128,PE!AA128)</f>
        <v>0</v>
      </c>
      <c r="AB128" s="5">
        <f>SUM(FO!AB128,PO!AB128,CO!AB128,FE!AB128,PE!AB128)</f>
        <v>0</v>
      </c>
      <c r="AC128" s="5">
        <f>SUM(FO!AC128,PO!AC128,CO!AC128,FE!AC128,PE!AC128)</f>
        <v>0</v>
      </c>
      <c r="AD128" s="5">
        <f>SUM(FO!AD128,PO!AD128,CO!AD128,FE!AD128,PE!AD128)</f>
        <v>0</v>
      </c>
      <c r="AE128" s="5">
        <f>SUM(FO!AE128,PO!AE128,CO!AE128,FE!AE128,PE!AE128)</f>
        <v>0</v>
      </c>
      <c r="AF128" s="5">
        <f>SUM(FO!AF128,PO!AF128,CO!AF128,FE!AF128,PE!AF128)</f>
        <v>0</v>
      </c>
      <c r="AG128" s="5">
        <f t="shared" ref="AG128:AG132" si="88">SUM(U128:AF128)</f>
        <v>0</v>
      </c>
      <c r="AH128" s="28" t="str">
        <f t="shared" ref="AH128:AH132" si="89">IFERROR(AG128/AG$16,"")</f>
        <v/>
      </c>
      <c r="AI128" s="4"/>
      <c r="AJ128" s="5">
        <f t="shared" ref="AJ128:AJ130" si="90">N128-AG128</f>
        <v>0</v>
      </c>
      <c r="AK128" s="4"/>
    </row>
    <row r="129" ht="13.5" customHeight="1">
      <c r="A129" s="25" t="s">
        <v>159</v>
      </c>
      <c r="B129" s="5">
        <f>SUM(FO!B129,PO!B129,CO!B129,FE!B129,PE!B129)</f>
        <v>0</v>
      </c>
      <c r="C129" s="5">
        <f>SUM(FO!C129,PO!C129,CO!C129,FE!C129,PE!C129)</f>
        <v>0</v>
      </c>
      <c r="D129" s="5">
        <f>SUM(FO!D129,PO!D129,CO!D129,FE!D129,PE!D129)</f>
        <v>0</v>
      </c>
      <c r="E129" s="5">
        <f>SUM(FO!E129,PO!E129,CO!E129,FE!E129,PE!E129)</f>
        <v>0</v>
      </c>
      <c r="F129" s="5">
        <f>SUM(FO!F129,PO!F129,CO!F129,FE!F129,PE!F129)</f>
        <v>0</v>
      </c>
      <c r="G129" s="5">
        <f>SUM(FO!G129,PO!G129,CO!G129,FE!G129,PE!G129)</f>
        <v>0</v>
      </c>
      <c r="H129" s="5">
        <f>SUM(FO!H129,PO!H129,CO!H129,FE!H129,PE!H129)</f>
        <v>0</v>
      </c>
      <c r="I129" s="5">
        <f>SUM(FO!I129,PO!I129,CO!I129,FE!I129,PE!I129)</f>
        <v>0</v>
      </c>
      <c r="J129" s="5">
        <f>SUM(FO!J129,PO!J129,CO!J129,FE!J129,PE!J129)</f>
        <v>0</v>
      </c>
      <c r="K129" s="5">
        <f>SUM(FO!K129,PO!K129,CO!K129,FE!K129,PE!K129)</f>
        <v>0</v>
      </c>
      <c r="L129" s="5">
        <f>SUM(FO!L129,PO!L129,CO!L129,FE!L129,PE!L129)</f>
        <v>0</v>
      </c>
      <c r="M129" s="5">
        <f>SUM(FO!M129,PO!M129,CO!M129,FE!M129,PE!M129)</f>
        <v>0</v>
      </c>
      <c r="N129" s="5">
        <f t="shared" si="87"/>
        <v>0</v>
      </c>
      <c r="O129" s="28">
        <f t="shared" si="83"/>
        <v>0</v>
      </c>
      <c r="P129" s="5"/>
      <c r="Q129" s="5"/>
      <c r="R129" s="5"/>
      <c r="S129" s="5"/>
      <c r="T129" s="5"/>
      <c r="U129" s="5">
        <f>SUM(FO!U129,PO!U129,CO!U129,FE!U129,PE!U129)</f>
        <v>0</v>
      </c>
      <c r="V129" s="5">
        <f>SUM(FO!V129,PO!V129,CO!V129,FE!V129,PE!V129)</f>
        <v>0</v>
      </c>
      <c r="W129" s="5">
        <f>SUM(FO!W129,PO!W129,CO!W129,FE!W129,PE!W129)</f>
        <v>0</v>
      </c>
      <c r="X129" s="5">
        <f>SUM(FO!X129,PO!X129,CO!X129,FE!X129,PE!X129)</f>
        <v>0</v>
      </c>
      <c r="Y129" s="5">
        <f>SUM(FO!Y129,PO!Y129,CO!Y129,FE!Y129,PE!Y129)</f>
        <v>0</v>
      </c>
      <c r="Z129" s="5">
        <f>SUM(FO!Z129,PO!Z129,CO!Z129,FE!Z129,PE!Z129)</f>
        <v>0</v>
      </c>
      <c r="AA129" s="5">
        <f>SUM(FO!AA129,PO!AA129,CO!AA129,FE!AA129,PE!AA129)</f>
        <v>0</v>
      </c>
      <c r="AB129" s="5">
        <f>SUM(FO!AB129,PO!AB129,CO!AB129,FE!AB129,PE!AB129)</f>
        <v>0</v>
      </c>
      <c r="AC129" s="5">
        <f>SUM(FO!AC129,PO!AC129,CO!AC129,FE!AC129,PE!AC129)</f>
        <v>0</v>
      </c>
      <c r="AD129" s="5">
        <f>SUM(FO!AD129,PO!AD129,CO!AD129,FE!AD129,PE!AD129)</f>
        <v>0</v>
      </c>
      <c r="AE129" s="5">
        <f>SUM(FO!AE129,PO!AE129,CO!AE129,FE!AE129,PE!AE129)</f>
        <v>0</v>
      </c>
      <c r="AF129" s="5">
        <f>SUM(FO!AF129,PO!AF129,CO!AF129,FE!AF129,PE!AF129)</f>
        <v>0</v>
      </c>
      <c r="AG129" s="5">
        <f t="shared" si="88"/>
        <v>0</v>
      </c>
      <c r="AH129" s="28" t="str">
        <f t="shared" si="89"/>
        <v/>
      </c>
      <c r="AI129" s="4"/>
      <c r="AJ129" s="5">
        <f t="shared" si="90"/>
        <v>0</v>
      </c>
      <c r="AK129" s="4"/>
    </row>
    <row r="130" ht="13.5" customHeight="1">
      <c r="A130" s="33" t="s">
        <v>160</v>
      </c>
      <c r="B130" s="34">
        <f t="shared" ref="B130:M130" si="91">SUM(B124:B129)</f>
        <v>0</v>
      </c>
      <c r="C130" s="34">
        <f t="shared" si="91"/>
        <v>0</v>
      </c>
      <c r="D130" s="34">
        <f t="shared" si="91"/>
        <v>0</v>
      </c>
      <c r="E130" s="34">
        <f t="shared" si="91"/>
        <v>0</v>
      </c>
      <c r="F130" s="34">
        <f t="shared" si="91"/>
        <v>0</v>
      </c>
      <c r="G130" s="34">
        <f t="shared" si="91"/>
        <v>0</v>
      </c>
      <c r="H130" s="34">
        <f t="shared" si="91"/>
        <v>0</v>
      </c>
      <c r="I130" s="34">
        <f t="shared" si="91"/>
        <v>0</v>
      </c>
      <c r="J130" s="34">
        <f t="shared" si="91"/>
        <v>5000</v>
      </c>
      <c r="K130" s="34">
        <f t="shared" si="91"/>
        <v>5000</v>
      </c>
      <c r="L130" s="34">
        <f t="shared" si="91"/>
        <v>5000</v>
      </c>
      <c r="M130" s="34">
        <f t="shared" si="91"/>
        <v>5000</v>
      </c>
      <c r="N130" s="34">
        <f t="shared" si="87"/>
        <v>20000</v>
      </c>
      <c r="O130" s="35">
        <f t="shared" si="83"/>
        <v>0.002693987455</v>
      </c>
      <c r="P130" s="5"/>
      <c r="Q130" s="5"/>
      <c r="R130" s="5"/>
      <c r="S130" s="5"/>
      <c r="T130" s="5"/>
      <c r="U130" s="34">
        <f t="shared" ref="U130:AF130" si="92">SUM(U124:U129)</f>
        <v>0</v>
      </c>
      <c r="V130" s="34">
        <f t="shared" si="92"/>
        <v>0</v>
      </c>
      <c r="W130" s="34">
        <f t="shared" si="92"/>
        <v>0</v>
      </c>
      <c r="X130" s="34">
        <f t="shared" si="92"/>
        <v>0</v>
      </c>
      <c r="Y130" s="34">
        <f t="shared" si="92"/>
        <v>0</v>
      </c>
      <c r="Z130" s="34">
        <f t="shared" si="92"/>
        <v>0</v>
      </c>
      <c r="AA130" s="34">
        <f t="shared" si="92"/>
        <v>0</v>
      </c>
      <c r="AB130" s="34">
        <f t="shared" si="92"/>
        <v>0</v>
      </c>
      <c r="AC130" s="34">
        <f t="shared" si="92"/>
        <v>0</v>
      </c>
      <c r="AD130" s="34">
        <f t="shared" si="92"/>
        <v>0</v>
      </c>
      <c r="AE130" s="34">
        <f t="shared" si="92"/>
        <v>0</v>
      </c>
      <c r="AF130" s="34">
        <f t="shared" si="92"/>
        <v>0</v>
      </c>
      <c r="AG130" s="34">
        <f t="shared" si="88"/>
        <v>0</v>
      </c>
      <c r="AH130" s="35" t="str">
        <f t="shared" si="89"/>
        <v/>
      </c>
      <c r="AI130" s="4"/>
      <c r="AJ130" s="34">
        <f t="shared" si="90"/>
        <v>20000</v>
      </c>
      <c r="AK130" s="4"/>
    </row>
    <row r="131" ht="13.5" customHeight="1">
      <c r="A131" s="52" t="s">
        <v>161</v>
      </c>
      <c r="B131" s="34">
        <f t="shared" ref="B131:M131" si="93">B122-B130</f>
        <v>0</v>
      </c>
      <c r="C131" s="34">
        <f t="shared" si="93"/>
        <v>0</v>
      </c>
      <c r="D131" s="34">
        <f t="shared" si="93"/>
        <v>0</v>
      </c>
      <c r="E131" s="34">
        <f t="shared" si="93"/>
        <v>104811.32</v>
      </c>
      <c r="F131" s="34">
        <f t="shared" si="93"/>
        <v>0</v>
      </c>
      <c r="G131" s="34">
        <f t="shared" si="93"/>
        <v>0</v>
      </c>
      <c r="H131" s="34">
        <f t="shared" si="93"/>
        <v>0</v>
      </c>
      <c r="I131" s="34">
        <f t="shared" si="93"/>
        <v>0</v>
      </c>
      <c r="J131" s="34">
        <f t="shared" si="93"/>
        <v>-5000</v>
      </c>
      <c r="K131" s="34">
        <f t="shared" si="93"/>
        <v>-5000</v>
      </c>
      <c r="L131" s="34">
        <f t="shared" si="93"/>
        <v>-5000</v>
      </c>
      <c r="M131" s="34">
        <f t="shared" si="93"/>
        <v>-5000</v>
      </c>
      <c r="N131" s="34">
        <f t="shared" si="87"/>
        <v>84811.32</v>
      </c>
      <c r="O131" s="35">
        <f t="shared" si="83"/>
        <v>0.01142403161</v>
      </c>
      <c r="P131" s="5"/>
      <c r="Q131" s="5"/>
      <c r="R131" s="5"/>
      <c r="S131" s="5"/>
      <c r="T131" s="5"/>
      <c r="U131" s="34">
        <f t="shared" ref="U131:AF131" si="94">U122-U130</f>
        <v>0</v>
      </c>
      <c r="V131" s="34">
        <f t="shared" si="94"/>
        <v>0</v>
      </c>
      <c r="W131" s="34">
        <f t="shared" si="94"/>
        <v>0</v>
      </c>
      <c r="X131" s="34">
        <f t="shared" si="94"/>
        <v>0</v>
      </c>
      <c r="Y131" s="34">
        <f t="shared" si="94"/>
        <v>0</v>
      </c>
      <c r="Z131" s="34">
        <f t="shared" si="94"/>
        <v>0</v>
      </c>
      <c r="AA131" s="34">
        <f t="shared" si="94"/>
        <v>0</v>
      </c>
      <c r="AB131" s="34">
        <f t="shared" si="94"/>
        <v>0</v>
      </c>
      <c r="AC131" s="34">
        <f t="shared" si="94"/>
        <v>0</v>
      </c>
      <c r="AD131" s="34">
        <f t="shared" si="94"/>
        <v>0</v>
      </c>
      <c r="AE131" s="34">
        <f t="shared" si="94"/>
        <v>0</v>
      </c>
      <c r="AF131" s="34">
        <f t="shared" si="94"/>
        <v>0</v>
      </c>
      <c r="AG131" s="34">
        <f t="shared" si="88"/>
        <v>0</v>
      </c>
      <c r="AH131" s="35" t="str">
        <f t="shared" si="89"/>
        <v/>
      </c>
      <c r="AI131" s="4"/>
      <c r="AJ131" s="34">
        <f t="shared" ref="AJ131:AJ132" si="97">AG131-N131</f>
        <v>-84811.32</v>
      </c>
      <c r="AK131" s="4"/>
    </row>
    <row r="132" ht="13.5" customHeight="1">
      <c r="A132" s="40" t="s">
        <v>162</v>
      </c>
      <c r="B132" s="41">
        <f t="shared" ref="B132:M132" si="95">B117+B131</f>
        <v>114581.3</v>
      </c>
      <c r="C132" s="41">
        <f t="shared" si="95"/>
        <v>186181.91</v>
      </c>
      <c r="D132" s="41">
        <f t="shared" si="95"/>
        <v>-46641.99</v>
      </c>
      <c r="E132" s="41">
        <f t="shared" si="95"/>
        <v>257469.25</v>
      </c>
      <c r="F132" s="41">
        <f t="shared" si="95"/>
        <v>-164415.79</v>
      </c>
      <c r="G132" s="41">
        <f t="shared" si="95"/>
        <v>-223479.01</v>
      </c>
      <c r="H132" s="41">
        <f t="shared" si="95"/>
        <v>67487.73</v>
      </c>
      <c r="I132" s="41">
        <f t="shared" si="95"/>
        <v>-246328</v>
      </c>
      <c r="J132" s="41">
        <f t="shared" si="95"/>
        <v>-736743.5771</v>
      </c>
      <c r="K132" s="41">
        <f t="shared" si="95"/>
        <v>-51839.19619</v>
      </c>
      <c r="L132" s="41">
        <f t="shared" si="95"/>
        <v>-34368.62476</v>
      </c>
      <c r="M132" s="41">
        <f t="shared" si="95"/>
        <v>-21126.05333</v>
      </c>
      <c r="N132" s="41">
        <f t="shared" si="87"/>
        <v>-899222.0514</v>
      </c>
      <c r="O132" s="42">
        <f t="shared" si="83"/>
        <v>-0.1211246463</v>
      </c>
      <c r="P132" s="5"/>
      <c r="Q132" s="5"/>
      <c r="R132" s="5"/>
      <c r="S132" s="5"/>
      <c r="T132" s="5"/>
      <c r="U132" s="41">
        <f t="shared" ref="U132:AF132" si="96">U117+U131</f>
        <v>-463359.9708</v>
      </c>
      <c r="V132" s="41">
        <f t="shared" si="96"/>
        <v>-428359.9708</v>
      </c>
      <c r="W132" s="41">
        <f t="shared" si="96"/>
        <v>-429559.9708</v>
      </c>
      <c r="X132" s="41">
        <f t="shared" si="96"/>
        <v>-429559.9708</v>
      </c>
      <c r="Y132" s="41">
        <f t="shared" si="96"/>
        <v>-435896.6375</v>
      </c>
      <c r="Z132" s="41">
        <f t="shared" si="96"/>
        <v>-432174.9708</v>
      </c>
      <c r="AA132" s="41">
        <f t="shared" si="96"/>
        <v>-433782.4708</v>
      </c>
      <c r="AB132" s="41">
        <f t="shared" si="96"/>
        <v>-434789.9708</v>
      </c>
      <c r="AC132" s="41">
        <f t="shared" si="96"/>
        <v>-436397.4708</v>
      </c>
      <c r="AD132" s="41">
        <f t="shared" si="96"/>
        <v>-452136.5911</v>
      </c>
      <c r="AE132" s="41">
        <f t="shared" si="96"/>
        <v>-450369.0911</v>
      </c>
      <c r="AF132" s="41">
        <f t="shared" si="96"/>
        <v>-450616.5911</v>
      </c>
      <c r="AG132" s="41">
        <f t="shared" si="88"/>
        <v>-5277003.677</v>
      </c>
      <c r="AH132" s="42" t="str">
        <f t="shared" si="89"/>
        <v/>
      </c>
      <c r="AI132" s="4"/>
      <c r="AJ132" s="41">
        <f t="shared" si="97"/>
        <v>-4377781.626</v>
      </c>
      <c r="AK132" s="4"/>
    </row>
    <row r="133" ht="13.5" customHeight="1">
      <c r="A133" s="64" t="s">
        <v>172</v>
      </c>
      <c r="B133" s="65">
        <f>B132-(CO!B132+FE!B132+FO!B132+PE!B132+PO!B132)</f>
        <v>0</v>
      </c>
      <c r="C133" s="65">
        <f>C132-(CO!C132+FE!C132+FO!C132+PE!C132+PO!C132)</f>
        <v>0</v>
      </c>
      <c r="D133" s="65">
        <f>D132-(CO!D132+FE!D132+FO!D132+PE!D132+PO!D132)</f>
        <v>0</v>
      </c>
      <c r="E133" s="65">
        <f>E132-(CO!E132+FE!E132+FO!E132+PE!E132+PO!E132)</f>
        <v>0</v>
      </c>
      <c r="F133" s="65">
        <f>F132-(CO!F132+FE!F132+FO!F132+PE!F132+PO!F132)</f>
        <v>0</v>
      </c>
      <c r="G133" s="65">
        <f>G132-(CO!G132+FE!G132+FO!G132+PE!G132+PO!G132)</f>
        <v>0</v>
      </c>
      <c r="H133" s="65">
        <f>H132-(CO!H132+FE!H132+FO!H132+PE!H132+PO!H132)</f>
        <v>-0.0000000002037268132</v>
      </c>
      <c r="I133" s="65">
        <f>I132-(CO!I132+FE!I132+FO!I132+PE!I132+PO!I132)</f>
        <v>0</v>
      </c>
      <c r="J133" s="65">
        <f>J132-(CO!J132+FE!J132+FO!J132+PE!J132+PO!J132)</f>
        <v>0</v>
      </c>
      <c r="K133" s="65">
        <f>K132-(CO!K132+FE!K132+FO!K132+PE!K132+PO!K132)</f>
        <v>0</v>
      </c>
      <c r="L133" s="65">
        <f>L132-(CO!L132+FE!L132+FO!L132+PE!L132+PO!L132)</f>
        <v>0</v>
      </c>
      <c r="M133" s="65">
        <f>M132-(CO!M132+FE!M132+FO!M132+PE!M132+PO!M132)</f>
        <v>0</v>
      </c>
      <c r="N133" s="65">
        <f>N132-(CO!N132+FE!N132+FO!N132+PE!N132+PO!N132)</f>
        <v>0.0000000003492459655</v>
      </c>
      <c r="O133" s="66"/>
      <c r="P133" s="66">
        <f>P132-(CO!P132+FE!P132+FO!P132+PE!P132+PO!P132)</f>
        <v>0</v>
      </c>
      <c r="Q133" s="66"/>
      <c r="R133" s="66"/>
      <c r="S133" s="66">
        <f>S132-(CO!S132+FE!S132+FO!S132+PE!S132+PO!S132)</f>
        <v>0</v>
      </c>
      <c r="T133" s="66">
        <f>T132-(CO!T132+FE!T132+FO!T132+PE!T132+PO!T132)</f>
        <v>0</v>
      </c>
      <c r="U133" s="65">
        <f>U132-(CO!U132+FE!U132+FO!U132+PE!U132+PO!U132)</f>
        <v>0</v>
      </c>
      <c r="V133" s="65">
        <f>V132-(CO!V132+FE!V132+FO!V132+PE!V132+PO!V132)</f>
        <v>0</v>
      </c>
      <c r="W133" s="65">
        <f>W132-(CO!W132+FE!W132+FO!W132+PE!W132+PO!W132)</f>
        <v>0</v>
      </c>
      <c r="X133" s="65">
        <f>X132-(CO!X132+FE!X132+FO!X132+PE!X132+PO!X132)</f>
        <v>0</v>
      </c>
      <c r="Y133" s="65">
        <f>Y132-(CO!Y132+FE!Y132+FO!Y132+PE!Y132+PO!Y132)</f>
        <v>0</v>
      </c>
      <c r="Z133" s="65">
        <f>Z132-(CO!Z132+FE!Z132+FO!Z132+PE!Z132+PO!Z132)</f>
        <v>0</v>
      </c>
      <c r="AA133" s="65">
        <f>AA132-(CO!AA132+FE!AA132+FO!AA132+PE!AA132+PO!AA132)</f>
        <v>0</v>
      </c>
      <c r="AB133" s="65">
        <f>AB132-(CO!AB132+FE!AB132+FO!AB132+PE!AB132+PO!AB132)</f>
        <v>0</v>
      </c>
      <c r="AC133" s="65">
        <f>AC132-(CO!AC132+FE!AC132+FO!AC132+PE!AC132+PO!AC132)</f>
        <v>0</v>
      </c>
      <c r="AD133" s="65">
        <f>AD132-(CO!AD132+FE!AD132+FO!AD132+PE!AD132+PO!AD132)</f>
        <v>0</v>
      </c>
      <c r="AE133" s="65">
        <f>AE132-(CO!AE132+FE!AE132+FO!AE132+PE!AE132+PO!AE132)</f>
        <v>0</v>
      </c>
      <c r="AF133" s="65">
        <f>AF132-(CO!AF132+FE!AF132+FO!AF132+PE!AF132+PO!AF132)</f>
        <v>0</v>
      </c>
      <c r="AG133" s="67"/>
      <c r="AH133" s="68"/>
      <c r="AI133" s="64"/>
      <c r="AJ133" s="64"/>
      <c r="AK133" s="64"/>
    </row>
    <row r="134" ht="13.5" customHeight="1">
      <c r="A134" s="69"/>
      <c r="B134" s="70"/>
      <c r="C134" s="70"/>
      <c r="D134" s="70"/>
      <c r="E134" s="70"/>
      <c r="F134" s="70"/>
      <c r="G134" s="70"/>
      <c r="H134" s="5"/>
      <c r="I134" s="5"/>
      <c r="J134" s="5"/>
      <c r="K134" s="5"/>
      <c r="L134" s="5"/>
      <c r="M134" s="5"/>
      <c r="N134" s="5"/>
      <c r="O134" s="28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4"/>
      <c r="AJ134" s="4"/>
      <c r="AK134" s="4"/>
    </row>
    <row r="135" ht="13.5" customHeight="1">
      <c r="A135" s="69"/>
      <c r="B135" s="70"/>
      <c r="C135" s="70"/>
      <c r="D135" s="70"/>
      <c r="E135" s="70"/>
      <c r="F135" s="70"/>
      <c r="G135" s="70"/>
      <c r="H135" s="5"/>
      <c r="I135" s="5"/>
      <c r="J135" s="5"/>
      <c r="K135" s="5"/>
      <c r="L135" s="5"/>
      <c r="M135" s="5"/>
      <c r="N135" s="5"/>
      <c r="O135" s="28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4"/>
      <c r="AJ135" s="4"/>
      <c r="AK135" s="4"/>
    </row>
    <row r="136" ht="13.5" customHeight="1">
      <c r="A136" s="69"/>
      <c r="B136" s="70"/>
      <c r="C136" s="70"/>
      <c r="D136" s="70"/>
      <c r="E136" s="70"/>
      <c r="F136" s="70"/>
      <c r="G136" s="70"/>
      <c r="H136" s="5"/>
      <c r="I136" s="5"/>
      <c r="J136" s="5"/>
      <c r="K136" s="5"/>
      <c r="L136" s="5"/>
      <c r="M136" s="5"/>
      <c r="N136" s="5"/>
      <c r="O136" s="28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4"/>
      <c r="AJ136" s="4"/>
      <c r="AK136" s="4"/>
    </row>
    <row r="137" ht="13.5" customHeight="1">
      <c r="A137" s="4" t="s">
        <v>163</v>
      </c>
      <c r="B137" s="5">
        <f t="shared" ref="B137:N137" si="98">SUMIF($A$9:$A$132,"*"&amp;$A137&amp;"*",B$9:B$132)</f>
        <v>95947.69</v>
      </c>
      <c r="C137" s="5">
        <f t="shared" si="98"/>
        <v>-5713.61</v>
      </c>
      <c r="D137" s="5">
        <f t="shared" si="98"/>
        <v>208518.9</v>
      </c>
      <c r="E137" s="5">
        <f t="shared" si="98"/>
        <v>233047.33</v>
      </c>
      <c r="F137" s="5">
        <f t="shared" si="98"/>
        <v>293194.88</v>
      </c>
      <c r="G137" s="5">
        <f t="shared" si="98"/>
        <v>272706.22</v>
      </c>
      <c r="H137" s="5">
        <f t="shared" si="98"/>
        <v>286992.28</v>
      </c>
      <c r="I137" s="5">
        <f t="shared" si="98"/>
        <v>291818.54</v>
      </c>
      <c r="J137" s="5">
        <f t="shared" si="98"/>
        <v>373100</v>
      </c>
      <c r="K137" s="5">
        <f t="shared" si="98"/>
        <v>397900</v>
      </c>
      <c r="L137" s="5">
        <f t="shared" si="98"/>
        <v>403300</v>
      </c>
      <c r="M137" s="5">
        <f t="shared" si="98"/>
        <v>414000</v>
      </c>
      <c r="N137" s="5">
        <f t="shared" si="98"/>
        <v>3264812.23</v>
      </c>
      <c r="O137" s="28"/>
      <c r="P137" s="4"/>
      <c r="Q137" s="4"/>
      <c r="R137" s="4"/>
      <c r="S137" s="4"/>
      <c r="T137" s="4"/>
      <c r="U137" s="5">
        <f t="shared" ref="U137:AG137" si="99">SUMIF($A$9:$A$132,"*"&amp;$A137&amp;"*",U$9:U$132)</f>
        <v>322227.9167</v>
      </c>
      <c r="V137" s="5">
        <f t="shared" si="99"/>
        <v>322227.9167</v>
      </c>
      <c r="W137" s="5">
        <f t="shared" si="99"/>
        <v>322227.9167</v>
      </c>
      <c r="X137" s="5">
        <f t="shared" si="99"/>
        <v>322227.9167</v>
      </c>
      <c r="Y137" s="5">
        <f t="shared" si="99"/>
        <v>322227.9167</v>
      </c>
      <c r="Z137" s="5">
        <f t="shared" si="99"/>
        <v>322227.9167</v>
      </c>
      <c r="AA137" s="5">
        <f t="shared" si="99"/>
        <v>322227.9167</v>
      </c>
      <c r="AB137" s="5">
        <f t="shared" si="99"/>
        <v>322227.9167</v>
      </c>
      <c r="AC137" s="5">
        <f t="shared" si="99"/>
        <v>322227.9167</v>
      </c>
      <c r="AD137" s="5">
        <f t="shared" si="99"/>
        <v>331894.7542</v>
      </c>
      <c r="AE137" s="5">
        <f t="shared" si="99"/>
        <v>331894.7542</v>
      </c>
      <c r="AF137" s="5">
        <f t="shared" si="99"/>
        <v>331894.7542</v>
      </c>
      <c r="AG137" s="5">
        <f t="shared" si="99"/>
        <v>3895735.513</v>
      </c>
      <c r="AH137" s="28"/>
      <c r="AI137" s="4"/>
      <c r="AJ137" s="5"/>
      <c r="AK137" s="4"/>
    </row>
    <row r="138" ht="13.5" customHeight="1">
      <c r="A138" s="71" t="s">
        <v>164</v>
      </c>
      <c r="B138" s="5">
        <f t="shared" ref="B138:N138" si="100">SUMIF($A$9:$A$132,"*"&amp;$A138&amp;"*",B$9:B$132)</f>
        <v>0</v>
      </c>
      <c r="C138" s="5">
        <f t="shared" si="100"/>
        <v>0</v>
      </c>
      <c r="D138" s="5">
        <f t="shared" si="100"/>
        <v>0</v>
      </c>
      <c r="E138" s="5">
        <f t="shared" si="100"/>
        <v>0</v>
      </c>
      <c r="F138" s="5">
        <f t="shared" si="100"/>
        <v>0</v>
      </c>
      <c r="G138" s="5">
        <f t="shared" si="100"/>
        <v>0</v>
      </c>
      <c r="H138" s="5">
        <f t="shared" si="100"/>
        <v>0</v>
      </c>
      <c r="I138" s="5">
        <f t="shared" si="100"/>
        <v>0</v>
      </c>
      <c r="J138" s="5">
        <f t="shared" si="100"/>
        <v>0</v>
      </c>
      <c r="K138" s="5">
        <f t="shared" si="100"/>
        <v>0</v>
      </c>
      <c r="L138" s="5">
        <f t="shared" si="100"/>
        <v>0</v>
      </c>
      <c r="M138" s="5">
        <f t="shared" si="100"/>
        <v>0</v>
      </c>
      <c r="N138" s="5">
        <f t="shared" si="100"/>
        <v>0</v>
      </c>
      <c r="O138" s="5"/>
      <c r="P138" s="5"/>
      <c r="Q138" s="5"/>
      <c r="R138" s="5"/>
      <c r="S138" s="5"/>
      <c r="T138" s="5"/>
      <c r="U138" s="5">
        <f t="shared" ref="U138:AG138" si="101">SUMIF($A$9:$A$132,"*"&amp;$A138&amp;"*",U$9:U$132)</f>
        <v>0</v>
      </c>
      <c r="V138" s="5">
        <f t="shared" si="101"/>
        <v>0</v>
      </c>
      <c r="W138" s="5">
        <f t="shared" si="101"/>
        <v>0</v>
      </c>
      <c r="X138" s="5">
        <f t="shared" si="101"/>
        <v>0</v>
      </c>
      <c r="Y138" s="5">
        <f t="shared" si="101"/>
        <v>0</v>
      </c>
      <c r="Z138" s="5">
        <f t="shared" si="101"/>
        <v>0</v>
      </c>
      <c r="AA138" s="5">
        <f t="shared" si="101"/>
        <v>0</v>
      </c>
      <c r="AB138" s="5">
        <f t="shared" si="101"/>
        <v>0</v>
      </c>
      <c r="AC138" s="5">
        <f t="shared" si="101"/>
        <v>0</v>
      </c>
      <c r="AD138" s="5">
        <f t="shared" si="101"/>
        <v>0</v>
      </c>
      <c r="AE138" s="5">
        <f t="shared" si="101"/>
        <v>0</v>
      </c>
      <c r="AF138" s="5">
        <f t="shared" si="101"/>
        <v>0</v>
      </c>
      <c r="AG138" s="5">
        <f t="shared" si="101"/>
        <v>0</v>
      </c>
      <c r="AH138" s="5"/>
      <c r="AI138" s="4"/>
      <c r="AJ138" s="4"/>
      <c r="AK138" s="4"/>
    </row>
    <row r="139" ht="13.5" customHeight="1">
      <c r="A139" s="71" t="s">
        <v>165</v>
      </c>
      <c r="B139" s="5">
        <f t="shared" ref="B139:N139" si="102">SUMIF($A$9:$A$132,"*"&amp;$A139&amp;"*",B$9:B$132)</f>
        <v>17961.43</v>
      </c>
      <c r="C139" s="5">
        <f t="shared" si="102"/>
        <v>42525.99</v>
      </c>
      <c r="D139" s="5">
        <f t="shared" si="102"/>
        <v>11358.86</v>
      </c>
      <c r="E139" s="5">
        <f t="shared" si="102"/>
        <v>11489.42</v>
      </c>
      <c r="F139" s="5">
        <f t="shared" si="102"/>
        <v>13198.83</v>
      </c>
      <c r="G139" s="5">
        <f t="shared" si="102"/>
        <v>12303.74</v>
      </c>
      <c r="H139" s="5">
        <f t="shared" si="102"/>
        <v>13522.94</v>
      </c>
      <c r="I139" s="5">
        <f t="shared" si="102"/>
        <v>17042.65</v>
      </c>
      <c r="J139" s="5">
        <f t="shared" si="102"/>
        <v>16631</v>
      </c>
      <c r="K139" s="5">
        <f t="shared" si="102"/>
        <v>17680</v>
      </c>
      <c r="L139" s="5">
        <f t="shared" si="102"/>
        <v>17973</v>
      </c>
      <c r="M139" s="5">
        <f t="shared" si="102"/>
        <v>18391</v>
      </c>
      <c r="N139" s="5">
        <f t="shared" si="102"/>
        <v>210078.86</v>
      </c>
      <c r="O139" s="5"/>
      <c r="P139" s="5"/>
      <c r="Q139" s="5"/>
      <c r="R139" s="5"/>
      <c r="S139" s="5"/>
      <c r="T139" s="5"/>
      <c r="U139" s="5">
        <f t="shared" ref="U139:AG139" si="103">SUMIF($A$9:$A$132,"*"&amp;$A139&amp;"*",U$9:U$132)</f>
        <v>15484.55339</v>
      </c>
      <c r="V139" s="5">
        <f t="shared" si="103"/>
        <v>15484.55339</v>
      </c>
      <c r="W139" s="5">
        <f t="shared" si="103"/>
        <v>15484.55339</v>
      </c>
      <c r="X139" s="5">
        <f t="shared" si="103"/>
        <v>15484.55339</v>
      </c>
      <c r="Y139" s="5">
        <f t="shared" si="103"/>
        <v>15484.55339</v>
      </c>
      <c r="Z139" s="5">
        <f t="shared" si="103"/>
        <v>15484.55339</v>
      </c>
      <c r="AA139" s="5">
        <f t="shared" si="103"/>
        <v>15484.55339</v>
      </c>
      <c r="AB139" s="5">
        <f t="shared" si="103"/>
        <v>15484.55339</v>
      </c>
      <c r="AC139" s="5">
        <f t="shared" si="103"/>
        <v>15484.55339</v>
      </c>
      <c r="AD139" s="5">
        <f t="shared" si="103"/>
        <v>15949.08999</v>
      </c>
      <c r="AE139" s="5">
        <f t="shared" si="103"/>
        <v>15949.08999</v>
      </c>
      <c r="AF139" s="5">
        <f t="shared" si="103"/>
        <v>15949.08999</v>
      </c>
      <c r="AG139" s="5">
        <f t="shared" si="103"/>
        <v>187208.2504</v>
      </c>
      <c r="AH139" s="5"/>
      <c r="AI139" s="4"/>
      <c r="AJ139" s="5"/>
      <c r="AK139" s="4"/>
    </row>
    <row r="140" ht="13.5" customHeight="1">
      <c r="A140" s="71" t="s">
        <v>166</v>
      </c>
      <c r="B140" s="5">
        <f t="shared" ref="B140:N140" si="104">SUMIF($A$9:$A$132,"*"&amp;$A140&amp;"*",B$9:B$132)</f>
        <v>68737.22</v>
      </c>
      <c r="C140" s="5">
        <f t="shared" si="104"/>
        <v>39332.13</v>
      </c>
      <c r="D140" s="5">
        <f t="shared" si="104"/>
        <v>31196.44</v>
      </c>
      <c r="E140" s="5">
        <f t="shared" si="104"/>
        <v>37282.34</v>
      </c>
      <c r="F140" s="5">
        <f t="shared" si="104"/>
        <v>31197.31</v>
      </c>
      <c r="G140" s="5">
        <f t="shared" si="104"/>
        <v>38500.71</v>
      </c>
      <c r="H140" s="5">
        <f t="shared" si="104"/>
        <v>19153.61</v>
      </c>
      <c r="I140" s="5">
        <f t="shared" si="104"/>
        <v>40999.66</v>
      </c>
      <c r="J140" s="5">
        <f t="shared" si="104"/>
        <v>38705</v>
      </c>
      <c r="K140" s="5">
        <f t="shared" si="104"/>
        <v>41309</v>
      </c>
      <c r="L140" s="5">
        <f t="shared" si="104"/>
        <v>41929</v>
      </c>
      <c r="M140" s="5">
        <f t="shared" si="104"/>
        <v>42752</v>
      </c>
      <c r="N140" s="5">
        <f t="shared" si="104"/>
        <v>471094.42</v>
      </c>
      <c r="O140" s="5"/>
      <c r="P140" s="5"/>
      <c r="Q140" s="5"/>
      <c r="R140" s="5"/>
      <c r="S140" s="5"/>
      <c r="T140" s="5"/>
      <c r="U140" s="5">
        <f t="shared" ref="U140:AG140" si="105">SUMIF($A$9:$A$132,"*"&amp;$A140&amp;"*",U$9:U$132)</f>
        <v>40841.53956</v>
      </c>
      <c r="V140" s="5">
        <f t="shared" si="105"/>
        <v>40841.53956</v>
      </c>
      <c r="W140" s="5">
        <f t="shared" si="105"/>
        <v>40841.53956</v>
      </c>
      <c r="X140" s="5">
        <f t="shared" si="105"/>
        <v>40841.53956</v>
      </c>
      <c r="Y140" s="5">
        <f t="shared" si="105"/>
        <v>40841.53956</v>
      </c>
      <c r="Z140" s="5">
        <f t="shared" si="105"/>
        <v>40841.53956</v>
      </c>
      <c r="AA140" s="5">
        <f t="shared" si="105"/>
        <v>40841.53956</v>
      </c>
      <c r="AB140" s="5">
        <f t="shared" si="105"/>
        <v>40841.53956</v>
      </c>
      <c r="AC140" s="5">
        <f t="shared" si="105"/>
        <v>40841.53956</v>
      </c>
      <c r="AD140" s="5">
        <f t="shared" si="105"/>
        <v>42066.78575</v>
      </c>
      <c r="AE140" s="5">
        <f t="shared" si="105"/>
        <v>42066.78575</v>
      </c>
      <c r="AF140" s="5">
        <f t="shared" si="105"/>
        <v>42066.78575</v>
      </c>
      <c r="AG140" s="5">
        <f t="shared" si="105"/>
        <v>493774.2133</v>
      </c>
      <c r="AH140" s="5"/>
      <c r="AI140" s="4"/>
      <c r="AJ140" s="5"/>
      <c r="AK140" s="4"/>
    </row>
    <row r="141" ht="13.5" customHeight="1">
      <c r="A141" s="72" t="s">
        <v>167</v>
      </c>
      <c r="B141" s="28">
        <f t="shared" ref="B141:N141" si="106">IFERROR(SUM(B139:B140)/SUM(B137:B138),"")</f>
        <v>0.9036033072</v>
      </c>
      <c r="C141" s="28">
        <f t="shared" si="106"/>
        <v>-14.32686515</v>
      </c>
      <c r="D141" s="28">
        <f t="shared" si="106"/>
        <v>0.2040836586</v>
      </c>
      <c r="E141" s="28">
        <f t="shared" si="106"/>
        <v>0.209278347</v>
      </c>
      <c r="F141" s="28">
        <f t="shared" si="106"/>
        <v>0.1514219484</v>
      </c>
      <c r="G141" s="28">
        <f t="shared" si="106"/>
        <v>0.1862973642</v>
      </c>
      <c r="H141" s="28">
        <f t="shared" si="106"/>
        <v>0.1138586376</v>
      </c>
      <c r="I141" s="28">
        <f t="shared" si="106"/>
        <v>0.1988986375</v>
      </c>
      <c r="J141" s="28">
        <f t="shared" si="106"/>
        <v>0.1483141249</v>
      </c>
      <c r="K141" s="28">
        <f t="shared" si="106"/>
        <v>0.1482508168</v>
      </c>
      <c r="L141" s="28">
        <f t="shared" si="106"/>
        <v>0.1485296305</v>
      </c>
      <c r="M141" s="28">
        <f t="shared" si="106"/>
        <v>0.1476884058</v>
      </c>
      <c r="N141" s="28">
        <f t="shared" si="106"/>
        <v>0.2086408749</v>
      </c>
      <c r="O141" s="28"/>
      <c r="P141" s="28"/>
      <c r="Q141" s="28"/>
      <c r="R141" s="28"/>
      <c r="S141" s="28"/>
      <c r="T141" s="28"/>
      <c r="U141" s="28">
        <f t="shared" ref="U141:AG141" si="107">IFERROR(SUM(U139:U140)/SUM(U137:U138),"")</f>
        <v>0.1748020269</v>
      </c>
      <c r="V141" s="28">
        <f t="shared" si="107"/>
        <v>0.1748020269</v>
      </c>
      <c r="W141" s="28">
        <f t="shared" si="107"/>
        <v>0.1748020269</v>
      </c>
      <c r="X141" s="28">
        <f t="shared" si="107"/>
        <v>0.1748020269</v>
      </c>
      <c r="Y141" s="28">
        <f t="shared" si="107"/>
        <v>0.1748020269</v>
      </c>
      <c r="Z141" s="28">
        <f t="shared" si="107"/>
        <v>0.1748020269</v>
      </c>
      <c r="AA141" s="28">
        <f t="shared" si="107"/>
        <v>0.1748020269</v>
      </c>
      <c r="AB141" s="28">
        <f t="shared" si="107"/>
        <v>0.1748020269</v>
      </c>
      <c r="AC141" s="28">
        <f t="shared" si="107"/>
        <v>0.1748020269</v>
      </c>
      <c r="AD141" s="28">
        <f t="shared" si="107"/>
        <v>0.1748020269</v>
      </c>
      <c r="AE141" s="28">
        <f t="shared" si="107"/>
        <v>0.1748020269</v>
      </c>
      <c r="AF141" s="28">
        <f t="shared" si="107"/>
        <v>0.1748020269</v>
      </c>
      <c r="AG141" s="28">
        <f t="shared" si="107"/>
        <v>0.1748020269</v>
      </c>
      <c r="AH141" s="28"/>
      <c r="AI141" s="28"/>
      <c r="AJ141" s="28"/>
      <c r="AK141" s="28"/>
    </row>
    <row r="142" ht="13.5" customHeight="1">
      <c r="A142" s="71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4"/>
      <c r="AJ142" s="5"/>
      <c r="AK142" s="4"/>
    </row>
    <row r="143" ht="13.5" customHeight="1">
      <c r="A143" s="71"/>
      <c r="B143" s="73">
        <f t="shared" ref="B143:N143" si="108">B139/B137</f>
        <v>0.1872002338</v>
      </c>
      <c r="C143" s="73">
        <f t="shared" si="108"/>
        <v>-7.442928376</v>
      </c>
      <c r="D143" s="73">
        <f t="shared" si="108"/>
        <v>0.05447400691</v>
      </c>
      <c r="E143" s="73">
        <f t="shared" si="108"/>
        <v>0.04930080083</v>
      </c>
      <c r="F143" s="73">
        <f t="shared" si="108"/>
        <v>0.04501725951</v>
      </c>
      <c r="G143" s="73">
        <f t="shared" si="108"/>
        <v>0.04511719608</v>
      </c>
      <c r="H143" s="73">
        <f t="shared" si="108"/>
        <v>0.04711952531</v>
      </c>
      <c r="I143" s="73">
        <f t="shared" si="108"/>
        <v>0.05840153268</v>
      </c>
      <c r="J143" s="73">
        <f t="shared" si="108"/>
        <v>0.04457518092</v>
      </c>
      <c r="K143" s="73">
        <f t="shared" si="108"/>
        <v>0.04443327469</v>
      </c>
      <c r="L143" s="73">
        <f t="shared" si="108"/>
        <v>0.04456484007</v>
      </c>
      <c r="M143" s="73">
        <f t="shared" si="108"/>
        <v>0.04442270531</v>
      </c>
      <c r="N143" s="73">
        <f t="shared" si="108"/>
        <v>0.06434638356</v>
      </c>
      <c r="O143" s="5"/>
      <c r="P143" s="5"/>
      <c r="Q143" s="5"/>
      <c r="R143" s="5"/>
      <c r="S143" s="5"/>
      <c r="T143" s="5"/>
      <c r="U143" s="73"/>
      <c r="V143" s="73"/>
      <c r="W143" s="73"/>
      <c r="X143" s="73"/>
      <c r="Y143" s="73"/>
      <c r="Z143" s="73"/>
      <c r="AA143" s="73"/>
      <c r="AB143" s="73"/>
      <c r="AC143" s="73"/>
      <c r="AD143" s="73"/>
      <c r="AE143" s="73"/>
      <c r="AF143" s="73"/>
      <c r="AG143" s="73"/>
      <c r="AH143" s="5"/>
      <c r="AI143" s="4"/>
      <c r="AJ143" s="73"/>
      <c r="AK143" s="4"/>
    </row>
    <row r="144" ht="13.5" customHeight="1">
      <c r="A144" s="74"/>
      <c r="B144" s="5">
        <f t="shared" ref="B144:N144" si="109">B140/B137</f>
        <v>0.7164030734</v>
      </c>
      <c r="C144" s="5">
        <f t="shared" si="109"/>
        <v>-6.883936776</v>
      </c>
      <c r="D144" s="5">
        <f t="shared" si="109"/>
        <v>0.1496096517</v>
      </c>
      <c r="E144" s="5">
        <f t="shared" si="109"/>
        <v>0.1599775462</v>
      </c>
      <c r="F144" s="5">
        <f t="shared" si="109"/>
        <v>0.1064046889</v>
      </c>
      <c r="G144" s="5">
        <f t="shared" si="109"/>
        <v>0.1411801682</v>
      </c>
      <c r="H144" s="5">
        <f t="shared" si="109"/>
        <v>0.06673911229</v>
      </c>
      <c r="I144" s="5">
        <f t="shared" si="109"/>
        <v>0.1404971048</v>
      </c>
      <c r="J144" s="5">
        <f t="shared" si="109"/>
        <v>0.103738944</v>
      </c>
      <c r="K144" s="5">
        <f t="shared" si="109"/>
        <v>0.1038175421</v>
      </c>
      <c r="L144" s="5">
        <f t="shared" si="109"/>
        <v>0.1039647905</v>
      </c>
      <c r="M144" s="5">
        <f t="shared" si="109"/>
        <v>0.1032657005</v>
      </c>
      <c r="N144" s="5">
        <f t="shared" si="109"/>
        <v>0.1442944913</v>
      </c>
      <c r="O144" s="28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28"/>
      <c r="AI144" s="4"/>
      <c r="AJ144" s="5"/>
      <c r="AK144" s="4"/>
    </row>
    <row r="145" ht="13.5" customHeight="1">
      <c r="A145" s="71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5"/>
      <c r="P145" s="5"/>
      <c r="Q145" s="5"/>
      <c r="R145" s="5"/>
      <c r="S145" s="5"/>
      <c r="T145" s="5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5"/>
      <c r="AI145" s="4"/>
      <c r="AJ145" s="4"/>
      <c r="AK145" s="4"/>
    </row>
    <row r="146" ht="13.5" customHeight="1">
      <c r="A146" s="7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4"/>
      <c r="AJ146" s="5"/>
      <c r="AK146" s="4"/>
    </row>
    <row r="147" ht="13.5" customHeight="1">
      <c r="A147" s="71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4"/>
      <c r="AJ147" s="5"/>
      <c r="AK147" s="4"/>
    </row>
    <row r="148" ht="13.5" customHeight="1">
      <c r="A148" s="71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4"/>
      <c r="AJ148" s="5"/>
      <c r="AK148" s="4"/>
    </row>
    <row r="149" ht="13.5" customHeight="1">
      <c r="A149" s="71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4"/>
      <c r="AJ149" s="4"/>
      <c r="AK149" s="4"/>
    </row>
    <row r="150" ht="13.5" customHeight="1">
      <c r="A150" s="74"/>
      <c r="B150" s="75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28"/>
      <c r="P150" s="5"/>
      <c r="Q150" s="5"/>
      <c r="R150" s="5"/>
      <c r="S150" s="5"/>
      <c r="T150" s="5"/>
      <c r="U150" s="75"/>
      <c r="V150" s="75"/>
      <c r="W150" s="75"/>
      <c r="X150" s="75"/>
      <c r="Y150" s="75"/>
      <c r="Z150" s="75"/>
      <c r="AA150" s="75"/>
      <c r="AB150" s="75"/>
      <c r="AC150" s="75"/>
      <c r="AD150" s="75"/>
      <c r="AE150" s="75"/>
      <c r="AF150" s="75"/>
      <c r="AG150" s="75"/>
      <c r="AH150" s="28"/>
      <c r="AI150" s="4"/>
      <c r="AJ150" s="75"/>
      <c r="AK150" s="4"/>
    </row>
    <row r="151" ht="13.5" customHeight="1">
      <c r="A151" s="4"/>
      <c r="B151" s="5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5"/>
      <c r="P151" s="5"/>
      <c r="Q151" s="5"/>
      <c r="R151" s="5"/>
      <c r="S151" s="5"/>
      <c r="T151" s="5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5"/>
      <c r="AI151" s="4"/>
      <c r="AJ151" s="4"/>
      <c r="AK151" s="4"/>
    </row>
    <row r="152" ht="13.5" customHeight="1">
      <c r="A152" s="4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5"/>
      <c r="Q152" s="5"/>
      <c r="R152" s="5"/>
      <c r="S152" s="5"/>
      <c r="T152" s="5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5"/>
      <c r="AI152" s="4"/>
      <c r="AJ152" s="4"/>
      <c r="AK152" s="4"/>
    </row>
    <row r="153" ht="13.5" customHeight="1">
      <c r="A153" s="4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5"/>
      <c r="Q153" s="5"/>
      <c r="R153" s="5"/>
      <c r="S153" s="5"/>
      <c r="T153" s="5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5"/>
      <c r="AI153" s="4"/>
      <c r="AJ153" s="4"/>
      <c r="AK153" s="4"/>
    </row>
    <row r="154" ht="13.5" customHeight="1">
      <c r="A154" s="2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28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4"/>
      <c r="AJ154" s="5"/>
      <c r="AK154" s="4"/>
    </row>
    <row r="155" ht="13.5" customHeight="1">
      <c r="A155" s="2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28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4"/>
      <c r="AJ155" s="5"/>
      <c r="AK155" s="4"/>
    </row>
    <row r="156" ht="13.5" customHeight="1">
      <c r="A156" s="2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28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4"/>
      <c r="AJ156" s="4"/>
      <c r="AK156" s="4"/>
    </row>
    <row r="157" ht="13.5" customHeight="1">
      <c r="A157" s="2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28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4"/>
      <c r="AJ157" s="4"/>
      <c r="AK157" s="4"/>
    </row>
    <row r="158" ht="13.5" customHeight="1">
      <c r="A158" s="4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28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4"/>
      <c r="AJ158" s="4"/>
      <c r="AK158" s="4"/>
    </row>
    <row r="159" ht="13.5" customHeight="1">
      <c r="A159" s="4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5"/>
      <c r="Q159" s="5"/>
      <c r="R159" s="5"/>
      <c r="S159" s="5"/>
      <c r="T159" s="5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5"/>
      <c r="AI159" s="4"/>
      <c r="AJ159" s="4"/>
      <c r="AK159" s="4"/>
    </row>
    <row r="160" ht="13.5" customHeight="1">
      <c r="A160" s="4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28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4"/>
      <c r="AJ160" s="4"/>
      <c r="AK160" s="4"/>
    </row>
    <row r="161" ht="13.5" customHeight="1">
      <c r="A161" s="4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5"/>
      <c r="Q161" s="5"/>
      <c r="R161" s="5"/>
      <c r="S161" s="5"/>
      <c r="T161" s="5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5"/>
      <c r="AI161" s="4"/>
      <c r="AJ161" s="4"/>
      <c r="AK161" s="4"/>
    </row>
    <row r="162" ht="13.5" customHeight="1">
      <c r="A162" s="4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4"/>
      <c r="Q162" s="4"/>
      <c r="R162" s="4"/>
      <c r="S162" s="4"/>
      <c r="T162" s="4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4"/>
      <c r="AI162" s="4"/>
      <c r="AJ162" s="4"/>
      <c r="AK162" s="4"/>
    </row>
    <row r="163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28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</row>
    <row r="164" ht="13.5" customHeight="1">
      <c r="A164" s="4"/>
      <c r="B164" s="28"/>
      <c r="C164" s="28"/>
      <c r="D164" s="28"/>
      <c r="E164" s="28"/>
      <c r="F164" s="28"/>
      <c r="G164" s="28"/>
      <c r="H164" s="28"/>
      <c r="I164" s="28"/>
      <c r="J164" s="4"/>
      <c r="K164" s="4"/>
      <c r="L164" s="4"/>
      <c r="M164" s="4"/>
      <c r="N164" s="4"/>
      <c r="O164" s="28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</row>
    <row r="165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28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</row>
    <row r="16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28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</row>
    <row r="167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8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</row>
    <row r="168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28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</row>
    <row r="169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28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</row>
    <row r="170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8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</row>
    <row r="171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28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</row>
    <row r="172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28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</row>
    <row r="173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8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</row>
    <row r="174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28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</row>
    <row r="175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28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</row>
    <row r="17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8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</row>
    <row r="177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28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</row>
    <row r="178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28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</row>
    <row r="179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28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</row>
    <row r="180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28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</row>
    <row r="181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28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</row>
    <row r="182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28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</row>
    <row r="183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28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</row>
    <row r="184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28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</row>
    <row r="185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28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</row>
    <row r="18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28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</row>
    <row r="187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28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</row>
    <row r="188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28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</row>
    <row r="189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28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</row>
    <row r="190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28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</row>
    <row r="191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28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</row>
    <row r="192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28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</row>
    <row r="193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28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</row>
    <row r="194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28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</row>
    <row r="195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28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</row>
    <row r="19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28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</row>
    <row r="197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28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</row>
    <row r="198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28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</row>
    <row r="199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28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</row>
    <row r="200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28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</row>
    <row r="201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28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</row>
    <row r="202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28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</row>
    <row r="203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28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</row>
    <row r="204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28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</row>
    <row r="205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28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</row>
    <row r="20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28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</row>
    <row r="207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28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</row>
    <row r="208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28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</row>
    <row r="209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28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</row>
    <row r="210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28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</row>
    <row r="211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28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</row>
    <row r="212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28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</row>
    <row r="213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28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</row>
    <row r="214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28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</row>
    <row r="215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28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</row>
    <row r="21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28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</row>
    <row r="217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28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</row>
    <row r="218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</row>
    <row r="219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</row>
    <row r="220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</row>
    <row r="221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</row>
    <row r="222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</row>
    <row r="223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</row>
    <row r="224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</row>
    <row r="225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</row>
    <row r="2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</row>
    <row r="227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</row>
    <row r="228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</row>
    <row r="229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</row>
    <row r="230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</row>
    <row r="231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</row>
    <row r="232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</row>
    <row r="233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</row>
    <row r="234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</row>
    <row r="235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</row>
    <row r="23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</row>
    <row r="237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</row>
    <row r="238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</row>
    <row r="239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</row>
    <row r="240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</row>
    <row r="241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</row>
    <row r="242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</row>
    <row r="243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</row>
    <row r="244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</row>
    <row r="245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</row>
    <row r="24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</row>
    <row r="247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</row>
    <row r="248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</row>
    <row r="249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</row>
    <row r="250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</row>
    <row r="251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</row>
    <row r="252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</row>
    <row r="253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</row>
    <row r="254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</row>
    <row r="255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</row>
    <row r="25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</row>
    <row r="257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</row>
    <row r="258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</row>
    <row r="259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</row>
    <row r="260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</row>
    <row r="261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</row>
    <row r="262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</row>
    <row r="263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</row>
    <row r="264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</row>
    <row r="265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</row>
    <row r="26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</row>
    <row r="267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</row>
    <row r="268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</row>
    <row r="269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</row>
    <row r="270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</row>
    <row r="271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</row>
    <row r="272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</row>
    <row r="273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</row>
    <row r="274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</row>
    <row r="275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</row>
    <row r="27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</row>
    <row r="277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</row>
    <row r="278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</row>
    <row r="279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</row>
    <row r="280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</row>
    <row r="281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</row>
    <row r="282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</row>
    <row r="283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</row>
    <row r="284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</row>
    <row r="285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</row>
    <row r="28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</row>
    <row r="287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</row>
    <row r="288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</row>
    <row r="289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</row>
    <row r="290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</row>
    <row r="291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</row>
    <row r="292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</row>
    <row r="293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</row>
    <row r="294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</row>
    <row r="295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</row>
    <row r="29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</row>
    <row r="297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</row>
    <row r="298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</row>
    <row r="299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</row>
    <row r="300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</row>
    <row r="301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</row>
    <row r="302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</row>
    <row r="303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</row>
    <row r="304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</row>
    <row r="305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</row>
    <row r="30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</row>
    <row r="307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</row>
    <row r="308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</row>
    <row r="309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</row>
    <row r="310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</row>
    <row r="311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</row>
    <row r="312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</row>
    <row r="313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</row>
    <row r="314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</row>
    <row r="315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</row>
    <row r="31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</row>
    <row r="317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</row>
    <row r="318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</row>
    <row r="319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</row>
    <row r="320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</row>
    <row r="321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</row>
    <row r="322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</row>
    <row r="323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</row>
    <row r="324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</row>
    <row r="325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</row>
    <row r="3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</row>
    <row r="327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</row>
    <row r="328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</row>
    <row r="329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</row>
    <row r="330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</row>
    <row r="331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</row>
    <row r="332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</row>
    <row r="333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</row>
    <row r="334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</row>
    <row r="335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</row>
    <row r="33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</row>
    <row r="337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</row>
    <row r="338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</row>
    <row r="339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</row>
    <row r="340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</row>
    <row r="341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</row>
    <row r="342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</row>
    <row r="343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</row>
    <row r="344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</row>
    <row r="345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</row>
    <row r="34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</row>
    <row r="347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</row>
    <row r="348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</row>
    <row r="349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</row>
    <row r="350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</row>
    <row r="351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</row>
    <row r="352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</row>
    <row r="353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</row>
    <row r="354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</row>
    <row r="355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</row>
    <row r="35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</row>
    <row r="357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</row>
    <row r="358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</row>
    <row r="359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</row>
    <row r="360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</row>
    <row r="361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</row>
    <row r="362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</row>
    <row r="363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</row>
    <row r="364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</row>
    <row r="365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</row>
    <row r="36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</row>
    <row r="367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</row>
    <row r="368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</row>
    <row r="369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</row>
    <row r="370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</row>
    <row r="371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</row>
    <row r="372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</row>
    <row r="373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</row>
    <row r="374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</row>
    <row r="375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</row>
    <row r="37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</row>
    <row r="377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</row>
    <row r="378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</row>
    <row r="379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</row>
    <row r="380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</row>
    <row r="381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</row>
    <row r="382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</row>
    <row r="383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</row>
    <row r="384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</row>
    <row r="385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</row>
    <row r="38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</row>
    <row r="387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</row>
    <row r="388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</row>
    <row r="389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</row>
    <row r="390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</row>
    <row r="391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</row>
    <row r="392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</row>
    <row r="393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</row>
    <row r="394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</row>
    <row r="395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</row>
    <row r="39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</row>
    <row r="397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</row>
    <row r="398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</row>
    <row r="399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</row>
    <row r="400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</row>
    <row r="401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</row>
    <row r="402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</row>
    <row r="403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</row>
    <row r="404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</row>
    <row r="405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</row>
    <row r="40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</row>
    <row r="407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</row>
    <row r="408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</row>
    <row r="409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</row>
    <row r="410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</row>
    <row r="411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</row>
    <row r="412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</row>
    <row r="413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</row>
    <row r="414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</row>
    <row r="415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</row>
    <row r="41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</row>
    <row r="417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</row>
    <row r="418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</row>
    <row r="419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</row>
    <row r="420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</row>
    <row r="421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</row>
    <row r="422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</row>
    <row r="423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</row>
    <row r="424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</row>
    <row r="425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</row>
    <row r="4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</row>
    <row r="427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</row>
    <row r="428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</row>
    <row r="429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</row>
    <row r="430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</row>
    <row r="431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</row>
    <row r="432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</row>
    <row r="433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</row>
    <row r="434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</row>
    <row r="435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</row>
    <row r="43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</row>
    <row r="437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</row>
    <row r="438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</row>
    <row r="439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</row>
    <row r="440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</row>
    <row r="441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</row>
    <row r="442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</row>
    <row r="443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</row>
    <row r="444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</row>
    <row r="445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</row>
    <row r="44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</row>
    <row r="447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</row>
    <row r="448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</row>
    <row r="449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</row>
    <row r="450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</row>
    <row r="451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</row>
    <row r="452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</row>
    <row r="453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</row>
    <row r="454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</row>
    <row r="455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</row>
    <row r="45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</row>
    <row r="457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</row>
    <row r="458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</row>
    <row r="459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</row>
    <row r="460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</row>
    <row r="461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</row>
    <row r="462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</row>
    <row r="463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</row>
    <row r="464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</row>
    <row r="465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</row>
    <row r="46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</row>
    <row r="467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</row>
    <row r="468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</row>
    <row r="469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</row>
    <row r="470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</row>
    <row r="471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</row>
    <row r="472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</row>
    <row r="473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</row>
    <row r="474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</row>
    <row r="475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</row>
    <row r="47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</row>
    <row r="477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</row>
    <row r="478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</row>
    <row r="479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</row>
    <row r="480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</row>
    <row r="481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</row>
    <row r="482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</row>
    <row r="483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</row>
    <row r="484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</row>
    <row r="485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</row>
    <row r="48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</row>
    <row r="487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</row>
    <row r="488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</row>
    <row r="489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</row>
    <row r="490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</row>
    <row r="491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</row>
    <row r="492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</row>
    <row r="493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</row>
    <row r="494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</row>
    <row r="495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</row>
    <row r="49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</row>
    <row r="497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</row>
    <row r="498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</row>
    <row r="499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</row>
    <row r="500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</row>
    <row r="501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</row>
    <row r="502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</row>
    <row r="503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</row>
    <row r="504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</row>
    <row r="505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</row>
    <row r="50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</row>
    <row r="507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</row>
    <row r="508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</row>
    <row r="509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</row>
    <row r="510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</row>
    <row r="511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</row>
    <row r="512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</row>
    <row r="513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</row>
    <row r="514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</row>
    <row r="515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</row>
    <row r="51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</row>
    <row r="517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</row>
    <row r="518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</row>
    <row r="519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</row>
    <row r="520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</row>
    <row r="521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</row>
    <row r="522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</row>
    <row r="523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</row>
    <row r="524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</row>
    <row r="525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</row>
    <row r="5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</row>
    <row r="527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</row>
    <row r="528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</row>
    <row r="529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</row>
    <row r="530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</row>
    <row r="531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</row>
    <row r="532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</row>
    <row r="533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</row>
    <row r="534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</row>
    <row r="535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</row>
    <row r="53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</row>
    <row r="537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</row>
    <row r="538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</row>
    <row r="539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</row>
    <row r="540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</row>
    <row r="541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</row>
    <row r="542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</row>
    <row r="543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</row>
    <row r="544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</row>
    <row r="545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</row>
    <row r="54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</row>
    <row r="547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</row>
    <row r="548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</row>
    <row r="549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</row>
    <row r="550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</row>
    <row r="551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</row>
    <row r="552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</row>
    <row r="553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</row>
    <row r="554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</row>
    <row r="555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</row>
    <row r="55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</row>
    <row r="557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</row>
    <row r="558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</row>
    <row r="559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</row>
    <row r="560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</row>
    <row r="561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</row>
    <row r="562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</row>
    <row r="563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</row>
    <row r="564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</row>
    <row r="565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</row>
    <row r="56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</row>
    <row r="567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</row>
    <row r="568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</row>
    <row r="569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</row>
    <row r="570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</row>
    <row r="571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</row>
    <row r="572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</row>
    <row r="573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</row>
    <row r="574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</row>
    <row r="575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</row>
    <row r="57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</row>
    <row r="577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</row>
    <row r="578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</row>
    <row r="579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</row>
    <row r="580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</row>
    <row r="581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</row>
    <row r="582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</row>
    <row r="583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</row>
    <row r="584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</row>
    <row r="585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</row>
    <row r="58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</row>
    <row r="587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</row>
    <row r="588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</row>
    <row r="589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</row>
    <row r="590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</row>
    <row r="591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</row>
    <row r="592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</row>
    <row r="593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</row>
    <row r="594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</row>
    <row r="595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</row>
    <row r="59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</row>
    <row r="597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</row>
    <row r="598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</row>
    <row r="599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</row>
    <row r="600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</row>
    <row r="601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</row>
    <row r="602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</row>
    <row r="603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</row>
    <row r="604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</row>
    <row r="605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</row>
    <row r="60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</row>
    <row r="607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</row>
    <row r="608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</row>
    <row r="609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</row>
    <row r="610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</row>
    <row r="611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</row>
    <row r="612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</row>
    <row r="613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</row>
    <row r="614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</row>
    <row r="615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</row>
    <row r="61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</row>
    <row r="617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</row>
    <row r="618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</row>
    <row r="619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</row>
    <row r="620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</row>
    <row r="621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</row>
    <row r="622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</row>
    <row r="623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</row>
    <row r="624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</row>
    <row r="625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</row>
    <row r="6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</row>
    <row r="627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</row>
    <row r="628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</row>
    <row r="629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</row>
    <row r="630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</row>
    <row r="631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</row>
    <row r="632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</row>
    <row r="633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</row>
    <row r="634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</row>
    <row r="635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</row>
    <row r="63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</row>
    <row r="637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</row>
    <row r="638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</row>
    <row r="639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</row>
    <row r="640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</row>
    <row r="641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</row>
    <row r="642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</row>
    <row r="643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</row>
    <row r="644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</row>
    <row r="645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</row>
    <row r="64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</row>
    <row r="647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</row>
    <row r="648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</row>
    <row r="649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</row>
    <row r="650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</row>
    <row r="651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</row>
    <row r="652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</row>
    <row r="653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</row>
    <row r="654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</row>
    <row r="655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</row>
    <row r="65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</row>
    <row r="657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</row>
    <row r="658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</row>
    <row r="659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</row>
    <row r="660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</row>
    <row r="661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</row>
    <row r="662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</row>
    <row r="663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</row>
    <row r="664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</row>
    <row r="665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</row>
    <row r="66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</row>
    <row r="667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</row>
    <row r="668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</row>
    <row r="669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</row>
    <row r="670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</row>
    <row r="671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</row>
    <row r="672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</row>
    <row r="673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</row>
    <row r="674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</row>
    <row r="675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</row>
    <row r="67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</row>
    <row r="677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</row>
    <row r="678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</row>
    <row r="679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</row>
    <row r="680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</row>
    <row r="681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</row>
    <row r="682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</row>
    <row r="683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</row>
    <row r="684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</row>
    <row r="685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</row>
    <row r="68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</row>
    <row r="687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</row>
    <row r="688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</row>
    <row r="689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</row>
    <row r="690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</row>
    <row r="691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</row>
    <row r="692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</row>
    <row r="693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</row>
    <row r="694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</row>
    <row r="695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</row>
    <row r="69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</row>
    <row r="697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</row>
    <row r="698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</row>
    <row r="699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</row>
    <row r="700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</row>
    <row r="701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</row>
    <row r="702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</row>
    <row r="703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</row>
    <row r="704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</row>
    <row r="705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</row>
    <row r="70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</row>
    <row r="707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</row>
    <row r="708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</row>
    <row r="709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</row>
    <row r="710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</row>
    <row r="711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</row>
    <row r="712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</row>
    <row r="713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</row>
    <row r="714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</row>
    <row r="715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</row>
    <row r="71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</row>
    <row r="717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</row>
    <row r="718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</row>
    <row r="719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</row>
    <row r="720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</row>
    <row r="721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</row>
    <row r="722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</row>
    <row r="723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</row>
    <row r="724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</row>
    <row r="725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</row>
    <row r="7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</row>
    <row r="727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</row>
    <row r="728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</row>
    <row r="729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</row>
    <row r="730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</row>
    <row r="731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</row>
    <row r="732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</row>
    <row r="733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</row>
    <row r="734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</row>
    <row r="735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</row>
    <row r="73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</row>
    <row r="737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</row>
    <row r="738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</row>
    <row r="739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</row>
    <row r="740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</row>
    <row r="741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</row>
    <row r="742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</row>
    <row r="743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</row>
    <row r="744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</row>
    <row r="745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</row>
    <row r="74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</row>
    <row r="747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</row>
    <row r="748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</row>
    <row r="749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</row>
    <row r="750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</row>
    <row r="751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</row>
    <row r="752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</row>
    <row r="753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</row>
    <row r="754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</row>
    <row r="755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</row>
    <row r="75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</row>
    <row r="757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</row>
    <row r="758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</row>
    <row r="759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</row>
    <row r="760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</row>
    <row r="761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</row>
    <row r="762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</row>
    <row r="763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</row>
    <row r="764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</row>
    <row r="765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</row>
    <row r="76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</row>
    <row r="767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</row>
    <row r="768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</row>
    <row r="769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</row>
    <row r="770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</row>
    <row r="771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</row>
    <row r="772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</row>
    <row r="773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</row>
    <row r="774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</row>
    <row r="775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</row>
    <row r="77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</row>
    <row r="777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</row>
    <row r="778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</row>
    <row r="779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</row>
    <row r="780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</row>
    <row r="781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</row>
    <row r="782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</row>
    <row r="783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</row>
    <row r="784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</row>
    <row r="785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</row>
    <row r="78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</row>
    <row r="787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</row>
    <row r="788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</row>
    <row r="789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</row>
    <row r="790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</row>
    <row r="791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</row>
    <row r="792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</row>
    <row r="793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</row>
    <row r="794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</row>
    <row r="795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</row>
    <row r="79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</row>
    <row r="797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</row>
    <row r="798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</row>
    <row r="799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</row>
    <row r="800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</row>
    <row r="801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</row>
    <row r="802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</row>
    <row r="803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</row>
    <row r="804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</row>
    <row r="805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</row>
    <row r="80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</row>
    <row r="807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</row>
    <row r="808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</row>
    <row r="809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</row>
    <row r="810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</row>
    <row r="811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</row>
    <row r="812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</row>
    <row r="813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</row>
    <row r="814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</row>
    <row r="815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</row>
    <row r="81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</row>
    <row r="817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</row>
    <row r="818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</row>
    <row r="819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</row>
    <row r="820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</row>
    <row r="821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</row>
    <row r="822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</row>
    <row r="823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</row>
    <row r="824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</row>
    <row r="825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</row>
    <row r="8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</row>
    <row r="827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</row>
    <row r="828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</row>
    <row r="829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</row>
    <row r="830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</row>
    <row r="831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</row>
    <row r="832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</row>
    <row r="833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</row>
    <row r="834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</row>
    <row r="835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</row>
    <row r="83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</row>
    <row r="837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</row>
    <row r="838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</row>
    <row r="839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</row>
    <row r="840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</row>
    <row r="841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</row>
    <row r="842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</row>
    <row r="843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</row>
    <row r="844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</row>
    <row r="845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</row>
    <row r="84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</row>
    <row r="847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</row>
    <row r="848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</row>
    <row r="849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</row>
    <row r="850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</row>
    <row r="851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</row>
    <row r="852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</row>
    <row r="853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</row>
    <row r="854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</row>
    <row r="855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</row>
    <row r="85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</row>
    <row r="857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</row>
    <row r="858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</row>
    <row r="859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</row>
    <row r="860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</row>
    <row r="861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</row>
    <row r="862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</row>
    <row r="863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</row>
    <row r="864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</row>
    <row r="865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</row>
    <row r="86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</row>
    <row r="867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</row>
    <row r="868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</row>
    <row r="869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</row>
    <row r="870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</row>
    <row r="871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</row>
    <row r="872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</row>
    <row r="873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</row>
    <row r="874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</row>
    <row r="875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</row>
    <row r="87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</row>
    <row r="877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</row>
    <row r="878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</row>
    <row r="879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</row>
    <row r="880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</row>
    <row r="881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</row>
    <row r="882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</row>
    <row r="883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</row>
    <row r="884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</row>
    <row r="885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</row>
    <row r="88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</row>
    <row r="887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</row>
    <row r="888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</row>
    <row r="889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</row>
    <row r="890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</row>
    <row r="891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</row>
    <row r="892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</row>
    <row r="893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</row>
    <row r="894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</row>
    <row r="895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</row>
    <row r="89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</row>
    <row r="897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</row>
    <row r="898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</row>
    <row r="899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</row>
    <row r="900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</row>
    <row r="901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</row>
    <row r="902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</row>
    <row r="903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</row>
    <row r="904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</row>
    <row r="905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</row>
    <row r="90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</row>
    <row r="907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</row>
    <row r="908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</row>
    <row r="909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</row>
    <row r="910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</row>
    <row r="911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</row>
    <row r="912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</row>
    <row r="913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</row>
    <row r="914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</row>
    <row r="915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</row>
    <row r="91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</row>
    <row r="917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</row>
    <row r="918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</row>
    <row r="919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</row>
    <row r="920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</row>
    <row r="921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</row>
    <row r="922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</row>
    <row r="923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</row>
    <row r="924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</row>
    <row r="925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</row>
    <row r="9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</row>
    <row r="927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</row>
    <row r="928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</row>
    <row r="929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</row>
    <row r="930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</row>
    <row r="931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</row>
    <row r="932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</row>
    <row r="933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</row>
    <row r="934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</row>
    <row r="935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</row>
    <row r="93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</row>
    <row r="937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</row>
    <row r="938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</row>
    <row r="939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</row>
    <row r="940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</row>
    <row r="941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</row>
    <row r="942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</row>
    <row r="943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</row>
    <row r="944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</row>
    <row r="945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</row>
    <row r="94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</row>
    <row r="947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</row>
    <row r="948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</row>
    <row r="949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</row>
    <row r="950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</row>
    <row r="951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</row>
    <row r="952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</row>
    <row r="953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</row>
    <row r="954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</row>
    <row r="955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</row>
    <row r="95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</row>
    <row r="957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</row>
    <row r="958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</row>
    <row r="959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</row>
    <row r="960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</row>
    <row r="961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</row>
    <row r="962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</row>
    <row r="963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</row>
    <row r="964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</row>
    <row r="965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</row>
    <row r="96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</row>
    <row r="967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</row>
    <row r="968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</row>
    <row r="969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</row>
    <row r="970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</row>
    <row r="971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</row>
    <row r="972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</row>
    <row r="973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</row>
    <row r="974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</row>
    <row r="975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</row>
    <row r="97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</row>
    <row r="977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</row>
    <row r="978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</row>
    <row r="979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</row>
    <row r="980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</row>
    <row r="981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</row>
    <row r="982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</row>
    <row r="983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</row>
    <row r="984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</row>
    <row r="985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</row>
    <row r="98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</row>
    <row r="987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</row>
    <row r="988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</row>
    <row r="989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</row>
    <row r="990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</row>
    <row r="991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</row>
    <row r="992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</row>
    <row r="993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</row>
    <row r="994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</row>
    <row r="995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</row>
    <row r="996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</row>
    <row r="997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</row>
    <row r="998" ht="13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</row>
    <row r="999" ht="13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</row>
    <row r="1000" ht="13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3E5A1"/>
    <pageSetUpPr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 outlineLevelCol="1"/>
  <cols>
    <col customWidth="1" min="1" max="1" width="54.71"/>
    <col customWidth="1" min="2" max="13" width="11.29" outlineLevel="1"/>
    <col customWidth="1" min="14" max="14" width="14.29"/>
    <col customWidth="1" min="15" max="15" width="12.71"/>
    <col customWidth="1" min="16" max="16" width="6.14"/>
    <col customWidth="1" min="17" max="17" width="5.71"/>
    <col customWidth="1" min="18" max="18" width="15.0"/>
    <col customWidth="1" min="19" max="19" width="13.71"/>
    <col customWidth="1" min="20" max="20" width="12.71"/>
    <col customWidth="1" min="21" max="32" width="11.29" outlineLevel="1"/>
    <col customWidth="1" min="33" max="33" width="14.29"/>
    <col customWidth="1" min="34" max="34" width="12.71"/>
    <col customWidth="1" min="35" max="35" width="7.43"/>
    <col customWidth="1" min="36" max="36" width="13.14"/>
  </cols>
  <sheetData>
    <row r="1" ht="13.5" customHeight="1">
      <c r="A1" s="2" t="s">
        <v>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4"/>
      <c r="AH1" s="4"/>
      <c r="AI1" s="4"/>
      <c r="AJ1" s="4"/>
    </row>
    <row r="2" ht="13.5" customHeight="1">
      <c r="A2" s="7" t="s">
        <v>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4"/>
      <c r="AH2" s="4"/>
      <c r="AI2" s="4"/>
      <c r="AJ2" s="4"/>
    </row>
    <row r="3" ht="13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ht="13.5" customHeight="1">
      <c r="A4" s="9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13.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4"/>
      <c r="AH5" s="4"/>
      <c r="AI5" s="4"/>
      <c r="AJ5" s="4"/>
    </row>
    <row r="6" ht="13.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13.5" customHeight="1">
      <c r="A7" s="11"/>
      <c r="B7" s="12" t="s">
        <v>5</v>
      </c>
      <c r="C7" s="12" t="s">
        <v>5</v>
      </c>
      <c r="D7" s="12" t="s">
        <v>5</v>
      </c>
      <c r="E7" s="12" t="s">
        <v>5</v>
      </c>
      <c r="F7" s="12" t="s">
        <v>5</v>
      </c>
      <c r="G7" s="12" t="s">
        <v>5</v>
      </c>
      <c r="H7" s="12" t="s">
        <v>5</v>
      </c>
      <c r="I7" s="12" t="s">
        <v>5</v>
      </c>
      <c r="J7" s="13" t="s">
        <v>6</v>
      </c>
      <c r="K7" s="13" t="s">
        <v>6</v>
      </c>
      <c r="L7" s="13" t="s">
        <v>6</v>
      </c>
      <c r="M7" s="13" t="s">
        <v>6</v>
      </c>
      <c r="N7" s="13" t="s">
        <v>6</v>
      </c>
      <c r="O7" s="13" t="s">
        <v>6</v>
      </c>
      <c r="P7" s="4"/>
      <c r="Q7" s="4"/>
      <c r="R7" s="15"/>
      <c r="S7" s="16" t="s">
        <v>8</v>
      </c>
      <c r="T7" s="16" t="s">
        <v>9</v>
      </c>
      <c r="U7" s="14" t="s">
        <v>7</v>
      </c>
      <c r="V7" s="14" t="s">
        <v>7</v>
      </c>
      <c r="W7" s="14" t="s">
        <v>7</v>
      </c>
      <c r="X7" s="14" t="s">
        <v>7</v>
      </c>
      <c r="Y7" s="14" t="s">
        <v>7</v>
      </c>
      <c r="Z7" s="14" t="s">
        <v>7</v>
      </c>
      <c r="AA7" s="14" t="s">
        <v>7</v>
      </c>
      <c r="AB7" s="14" t="s">
        <v>7</v>
      </c>
      <c r="AC7" s="14" t="s">
        <v>7</v>
      </c>
      <c r="AD7" s="14" t="s">
        <v>7</v>
      </c>
      <c r="AE7" s="14" t="s">
        <v>7</v>
      </c>
      <c r="AF7" s="14" t="s">
        <v>7</v>
      </c>
      <c r="AG7" s="14" t="s">
        <v>7</v>
      </c>
      <c r="AH7" s="14" t="s">
        <v>7</v>
      </c>
      <c r="AI7" s="4"/>
      <c r="AJ7" s="17" t="s">
        <v>9</v>
      </c>
    </row>
    <row r="8" ht="13.5" customHeight="1">
      <c r="A8" s="11" t="s">
        <v>10</v>
      </c>
      <c r="B8" s="18" t="s">
        <v>11</v>
      </c>
      <c r="C8" s="18" t="s">
        <v>12</v>
      </c>
      <c r="D8" s="18" t="s">
        <v>13</v>
      </c>
      <c r="E8" s="18" t="s">
        <v>14</v>
      </c>
      <c r="F8" s="18" t="s">
        <v>15</v>
      </c>
      <c r="G8" s="18" t="s">
        <v>16</v>
      </c>
      <c r="H8" s="18" t="s">
        <v>17</v>
      </c>
      <c r="I8" s="18" t="s">
        <v>18</v>
      </c>
      <c r="J8" s="18" t="s">
        <v>19</v>
      </c>
      <c r="K8" s="18" t="s">
        <v>20</v>
      </c>
      <c r="L8" s="18" t="s">
        <v>21</v>
      </c>
      <c r="M8" s="18" t="s">
        <v>22</v>
      </c>
      <c r="N8" s="12">
        <v>2026.0</v>
      </c>
      <c r="O8" s="12" t="s">
        <v>23</v>
      </c>
      <c r="P8" s="4"/>
      <c r="Q8" s="4"/>
      <c r="R8" s="15" t="s">
        <v>27</v>
      </c>
      <c r="S8" s="16" t="s">
        <v>28</v>
      </c>
      <c r="T8" s="16" t="s">
        <v>29</v>
      </c>
      <c r="U8" s="19" t="s">
        <v>11</v>
      </c>
      <c r="V8" s="19" t="s">
        <v>12</v>
      </c>
      <c r="W8" s="19" t="s">
        <v>13</v>
      </c>
      <c r="X8" s="19" t="s">
        <v>14</v>
      </c>
      <c r="Y8" s="19" t="s">
        <v>15</v>
      </c>
      <c r="Z8" s="19" t="s">
        <v>16</v>
      </c>
      <c r="AA8" s="19" t="s">
        <v>17</v>
      </c>
      <c r="AB8" s="19" t="s">
        <v>18</v>
      </c>
      <c r="AC8" s="19" t="s">
        <v>19</v>
      </c>
      <c r="AD8" s="19" t="s">
        <v>20</v>
      </c>
      <c r="AE8" s="19" t="s">
        <v>21</v>
      </c>
      <c r="AF8" s="19" t="s">
        <v>22</v>
      </c>
      <c r="AG8" s="21" t="s">
        <v>25</v>
      </c>
      <c r="AH8" s="14" t="s">
        <v>23</v>
      </c>
      <c r="AI8" s="4"/>
      <c r="AJ8" s="22" t="s">
        <v>26</v>
      </c>
    </row>
    <row r="9" ht="13.5" customHeight="1">
      <c r="A9" s="23" t="s">
        <v>30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4"/>
      <c r="AI9" s="4"/>
      <c r="AJ9" s="4"/>
    </row>
    <row r="10" ht="13.5" customHeight="1">
      <c r="A10" s="24" t="s">
        <v>31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4"/>
      <c r="AI10" s="4"/>
      <c r="AJ10" s="4"/>
    </row>
    <row r="11" ht="13.5" customHeight="1">
      <c r="A11" s="24" t="s">
        <v>32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4"/>
      <c r="AI11" s="4"/>
      <c r="AJ11" s="4"/>
    </row>
    <row r="12" ht="13.5" customHeight="1">
      <c r="A12" s="25" t="s">
        <v>33</v>
      </c>
      <c r="B12" s="5">
        <v>0.0</v>
      </c>
      <c r="C12" s="5">
        <v>0.0</v>
      </c>
      <c r="D12" s="5">
        <v>0.0</v>
      </c>
      <c r="E12" s="5">
        <v>0.0</v>
      </c>
      <c r="F12" s="5">
        <v>0.0</v>
      </c>
      <c r="G12" s="5">
        <v>0.0</v>
      </c>
      <c r="H12" s="5">
        <v>0.0</v>
      </c>
      <c r="I12" s="5">
        <v>0.0</v>
      </c>
      <c r="J12" s="26"/>
      <c r="K12" s="26"/>
      <c r="L12" s="26"/>
      <c r="M12" s="26"/>
      <c r="N12" s="5">
        <f t="shared" ref="N12:N16" si="2">SUM(B12:M12)</f>
        <v>0</v>
      </c>
      <c r="O12" s="28" t="str">
        <f t="shared" ref="O12:O13" si="3">IFERROR(N12/N$16,"")</f>
        <v/>
      </c>
      <c r="P12" s="5"/>
      <c r="Q12" s="5"/>
      <c r="R12" s="29" t="s">
        <v>34</v>
      </c>
      <c r="S12" s="30"/>
      <c r="T12" s="31">
        <v>0.05</v>
      </c>
      <c r="U12" s="26">
        <f t="shared" ref="U12:AF12" si="1">IF($R12="Manual","",IFERROR(IF($R12="YOY Growth",$N12*(1+$T12)/12,$S12/12),""))</f>
        <v>0</v>
      </c>
      <c r="V12" s="26">
        <f t="shared" si="1"/>
        <v>0</v>
      </c>
      <c r="W12" s="26">
        <f t="shared" si="1"/>
        <v>0</v>
      </c>
      <c r="X12" s="26">
        <f t="shared" si="1"/>
        <v>0</v>
      </c>
      <c r="Y12" s="26">
        <f t="shared" si="1"/>
        <v>0</v>
      </c>
      <c r="Z12" s="26">
        <f t="shared" si="1"/>
        <v>0</v>
      </c>
      <c r="AA12" s="26">
        <f t="shared" si="1"/>
        <v>0</v>
      </c>
      <c r="AB12" s="26">
        <f t="shared" si="1"/>
        <v>0</v>
      </c>
      <c r="AC12" s="26">
        <f t="shared" si="1"/>
        <v>0</v>
      </c>
      <c r="AD12" s="26">
        <f t="shared" si="1"/>
        <v>0</v>
      </c>
      <c r="AE12" s="26">
        <f t="shared" si="1"/>
        <v>0</v>
      </c>
      <c r="AF12" s="26">
        <f t="shared" si="1"/>
        <v>0</v>
      </c>
      <c r="AG12" s="5">
        <f t="shared" ref="AG12:AG16" si="5">SUM(U12:AF12)</f>
        <v>0</v>
      </c>
      <c r="AH12" s="28" t="str">
        <f t="shared" ref="AH12:AH13" si="6">IFERROR(AG12/AG$16,"")</f>
        <v/>
      </c>
      <c r="AI12" s="4"/>
      <c r="AJ12" s="5">
        <f t="shared" ref="AJ12:AJ16" si="7">AG12-N12</f>
        <v>0</v>
      </c>
    </row>
    <row r="13" ht="13.5" customHeight="1">
      <c r="A13" s="25" t="s">
        <v>35</v>
      </c>
      <c r="B13" s="5">
        <v>0.0</v>
      </c>
      <c r="C13" s="5">
        <v>0.0</v>
      </c>
      <c r="D13" s="5">
        <v>0.0</v>
      </c>
      <c r="E13" s="5">
        <v>0.0</v>
      </c>
      <c r="F13" s="5">
        <v>0.0</v>
      </c>
      <c r="G13" s="5">
        <v>0.0</v>
      </c>
      <c r="H13" s="5">
        <v>0.0</v>
      </c>
      <c r="I13" s="5">
        <v>0.0</v>
      </c>
      <c r="J13" s="26"/>
      <c r="K13" s="26"/>
      <c r="L13" s="26"/>
      <c r="M13" s="26"/>
      <c r="N13" s="5">
        <f t="shared" si="2"/>
        <v>0</v>
      </c>
      <c r="O13" s="28" t="str">
        <f t="shared" si="3"/>
        <v/>
      </c>
      <c r="P13" s="5"/>
      <c r="Q13" s="5"/>
      <c r="R13" s="29" t="s">
        <v>34</v>
      </c>
      <c r="S13" s="30">
        <v>0.0</v>
      </c>
      <c r="T13" s="31">
        <v>0.05</v>
      </c>
      <c r="U13" s="26">
        <f t="shared" ref="U13:AF13" si="4">IF($R13="Manual","",IFERROR(IF($R13="YOY Growth",$N13*(1+$T13)/12,$S13/12),""))</f>
        <v>0</v>
      </c>
      <c r="V13" s="26">
        <f t="shared" si="4"/>
        <v>0</v>
      </c>
      <c r="W13" s="26">
        <f t="shared" si="4"/>
        <v>0</v>
      </c>
      <c r="X13" s="26">
        <f t="shared" si="4"/>
        <v>0</v>
      </c>
      <c r="Y13" s="26">
        <f t="shared" si="4"/>
        <v>0</v>
      </c>
      <c r="Z13" s="26">
        <f t="shared" si="4"/>
        <v>0</v>
      </c>
      <c r="AA13" s="26">
        <f t="shared" si="4"/>
        <v>0</v>
      </c>
      <c r="AB13" s="26">
        <f t="shared" si="4"/>
        <v>0</v>
      </c>
      <c r="AC13" s="26">
        <f t="shared" si="4"/>
        <v>0</v>
      </c>
      <c r="AD13" s="26">
        <f t="shared" si="4"/>
        <v>0</v>
      </c>
      <c r="AE13" s="26">
        <f t="shared" si="4"/>
        <v>0</v>
      </c>
      <c r="AF13" s="26">
        <f t="shared" si="4"/>
        <v>0</v>
      </c>
      <c r="AG13" s="5">
        <f t="shared" si="5"/>
        <v>0</v>
      </c>
      <c r="AH13" s="28" t="str">
        <f t="shared" si="6"/>
        <v/>
      </c>
      <c r="AI13" s="4"/>
      <c r="AJ13" s="5">
        <f t="shared" si="7"/>
        <v>0</v>
      </c>
    </row>
    <row r="14" ht="13.5" customHeight="1">
      <c r="A14" s="33" t="s">
        <v>36</v>
      </c>
      <c r="B14" s="34">
        <f t="shared" ref="B14:M14" si="8">SUM(B12:B13)</f>
        <v>0</v>
      </c>
      <c r="C14" s="34">
        <f t="shared" si="8"/>
        <v>0</v>
      </c>
      <c r="D14" s="34">
        <f t="shared" si="8"/>
        <v>0</v>
      </c>
      <c r="E14" s="34">
        <f t="shared" si="8"/>
        <v>0</v>
      </c>
      <c r="F14" s="34">
        <f t="shared" si="8"/>
        <v>0</v>
      </c>
      <c r="G14" s="34">
        <f t="shared" si="8"/>
        <v>0</v>
      </c>
      <c r="H14" s="34">
        <f t="shared" si="8"/>
        <v>0</v>
      </c>
      <c r="I14" s="34">
        <f t="shared" si="8"/>
        <v>0</v>
      </c>
      <c r="J14" s="34">
        <f t="shared" si="8"/>
        <v>0</v>
      </c>
      <c r="K14" s="34">
        <f t="shared" si="8"/>
        <v>0</v>
      </c>
      <c r="L14" s="34">
        <f t="shared" si="8"/>
        <v>0</v>
      </c>
      <c r="M14" s="34">
        <f t="shared" si="8"/>
        <v>0</v>
      </c>
      <c r="N14" s="34">
        <f t="shared" si="2"/>
        <v>0</v>
      </c>
      <c r="O14" s="35">
        <f>SUM(O12:O13)</f>
        <v>0</v>
      </c>
      <c r="P14" s="5"/>
      <c r="Q14" s="5"/>
      <c r="R14" s="36"/>
      <c r="S14" s="36"/>
      <c r="T14" s="36"/>
      <c r="U14" s="34">
        <f t="shared" ref="U14:AF14" si="9">SUM(U12:U13)</f>
        <v>0</v>
      </c>
      <c r="V14" s="34">
        <f t="shared" si="9"/>
        <v>0</v>
      </c>
      <c r="W14" s="34">
        <f t="shared" si="9"/>
        <v>0</v>
      </c>
      <c r="X14" s="34">
        <f t="shared" si="9"/>
        <v>0</v>
      </c>
      <c r="Y14" s="34">
        <f t="shared" si="9"/>
        <v>0</v>
      </c>
      <c r="Z14" s="34">
        <f t="shared" si="9"/>
        <v>0</v>
      </c>
      <c r="AA14" s="34">
        <f t="shared" si="9"/>
        <v>0</v>
      </c>
      <c r="AB14" s="34">
        <f t="shared" si="9"/>
        <v>0</v>
      </c>
      <c r="AC14" s="34">
        <f t="shared" si="9"/>
        <v>0</v>
      </c>
      <c r="AD14" s="34">
        <f t="shared" si="9"/>
        <v>0</v>
      </c>
      <c r="AE14" s="34">
        <f t="shared" si="9"/>
        <v>0</v>
      </c>
      <c r="AF14" s="34">
        <f t="shared" si="9"/>
        <v>0</v>
      </c>
      <c r="AG14" s="34">
        <f t="shared" si="5"/>
        <v>0</v>
      </c>
      <c r="AH14" s="35">
        <f>SUM(AH12:AH13)</f>
        <v>0</v>
      </c>
      <c r="AI14" s="4"/>
      <c r="AJ14" s="34">
        <f t="shared" si="7"/>
        <v>0</v>
      </c>
    </row>
    <row r="15" ht="13.5" customHeight="1">
      <c r="A15" s="25" t="s">
        <v>37</v>
      </c>
      <c r="B15" s="5">
        <v>0.0</v>
      </c>
      <c r="C15" s="5">
        <v>0.0</v>
      </c>
      <c r="D15" s="5">
        <v>0.0</v>
      </c>
      <c r="E15" s="5">
        <v>0.0</v>
      </c>
      <c r="F15" s="5">
        <v>0.0</v>
      </c>
      <c r="G15" s="5">
        <v>0.0</v>
      </c>
      <c r="H15" s="5">
        <v>0.0</v>
      </c>
      <c r="I15" s="5">
        <v>0.0</v>
      </c>
      <c r="J15" s="26"/>
      <c r="K15" s="26"/>
      <c r="L15" s="26"/>
      <c r="M15" s="26"/>
      <c r="N15" s="5">
        <f t="shared" si="2"/>
        <v>0</v>
      </c>
      <c r="O15" s="28" t="str">
        <f>IFERROR(N15/N$16,"")</f>
        <v/>
      </c>
      <c r="P15" s="5"/>
      <c r="Q15" s="5"/>
      <c r="R15" s="29" t="s">
        <v>34</v>
      </c>
      <c r="S15" s="30">
        <v>0.0</v>
      </c>
      <c r="T15" s="31">
        <v>0.05</v>
      </c>
      <c r="U15" s="26">
        <f t="shared" ref="U15:AF15" si="10">IF($R15="Manual","",IFERROR(IF($R15="YOY Growth",$N15*(1+$T15)/12,$S15/12),""))</f>
        <v>0</v>
      </c>
      <c r="V15" s="26">
        <f t="shared" si="10"/>
        <v>0</v>
      </c>
      <c r="W15" s="26">
        <f t="shared" si="10"/>
        <v>0</v>
      </c>
      <c r="X15" s="26">
        <f t="shared" si="10"/>
        <v>0</v>
      </c>
      <c r="Y15" s="26">
        <f t="shared" si="10"/>
        <v>0</v>
      </c>
      <c r="Z15" s="26">
        <f t="shared" si="10"/>
        <v>0</v>
      </c>
      <c r="AA15" s="26">
        <f t="shared" si="10"/>
        <v>0</v>
      </c>
      <c r="AB15" s="26">
        <f t="shared" si="10"/>
        <v>0</v>
      </c>
      <c r="AC15" s="26">
        <f t="shared" si="10"/>
        <v>0</v>
      </c>
      <c r="AD15" s="26">
        <f t="shared" si="10"/>
        <v>0</v>
      </c>
      <c r="AE15" s="26">
        <f t="shared" si="10"/>
        <v>0</v>
      </c>
      <c r="AF15" s="26">
        <f t="shared" si="10"/>
        <v>0</v>
      </c>
      <c r="AG15" s="5">
        <f t="shared" si="5"/>
        <v>0</v>
      </c>
      <c r="AH15" s="28" t="str">
        <f>IFERROR(AG15/AG$16,"")</f>
        <v/>
      </c>
      <c r="AI15" s="4"/>
      <c r="AJ15" s="5">
        <f t="shared" si="7"/>
        <v>0</v>
      </c>
    </row>
    <row r="16" ht="13.5" customHeight="1">
      <c r="A16" s="33" t="s">
        <v>38</v>
      </c>
      <c r="B16" s="34">
        <f t="shared" ref="B16:M16" si="11">B14+B15</f>
        <v>0</v>
      </c>
      <c r="C16" s="34">
        <f t="shared" si="11"/>
        <v>0</v>
      </c>
      <c r="D16" s="34">
        <f t="shared" si="11"/>
        <v>0</v>
      </c>
      <c r="E16" s="34">
        <f t="shared" si="11"/>
        <v>0</v>
      </c>
      <c r="F16" s="34">
        <f t="shared" si="11"/>
        <v>0</v>
      </c>
      <c r="G16" s="34">
        <f t="shared" si="11"/>
        <v>0</v>
      </c>
      <c r="H16" s="34">
        <f t="shared" si="11"/>
        <v>0</v>
      </c>
      <c r="I16" s="34">
        <f t="shared" si="11"/>
        <v>0</v>
      </c>
      <c r="J16" s="34">
        <f t="shared" si="11"/>
        <v>0</v>
      </c>
      <c r="K16" s="34">
        <f t="shared" si="11"/>
        <v>0</v>
      </c>
      <c r="L16" s="34">
        <f t="shared" si="11"/>
        <v>0</v>
      </c>
      <c r="M16" s="34">
        <f t="shared" si="11"/>
        <v>0</v>
      </c>
      <c r="N16" s="34">
        <f t="shared" si="2"/>
        <v>0</v>
      </c>
      <c r="O16" s="35">
        <f>SUM(O14:O15)</f>
        <v>0</v>
      </c>
      <c r="P16" s="5"/>
      <c r="Q16" s="5"/>
      <c r="R16" s="36"/>
      <c r="S16" s="36"/>
      <c r="T16" s="36"/>
      <c r="U16" s="34">
        <f t="shared" ref="U16:AF16" si="12">U14+U15</f>
        <v>0</v>
      </c>
      <c r="V16" s="34">
        <f t="shared" si="12"/>
        <v>0</v>
      </c>
      <c r="W16" s="34">
        <f t="shared" si="12"/>
        <v>0</v>
      </c>
      <c r="X16" s="34">
        <f t="shared" si="12"/>
        <v>0</v>
      </c>
      <c r="Y16" s="34">
        <f t="shared" si="12"/>
        <v>0</v>
      </c>
      <c r="Z16" s="34">
        <f t="shared" si="12"/>
        <v>0</v>
      </c>
      <c r="AA16" s="34">
        <f t="shared" si="12"/>
        <v>0</v>
      </c>
      <c r="AB16" s="34">
        <f t="shared" si="12"/>
        <v>0</v>
      </c>
      <c r="AC16" s="34">
        <f t="shared" si="12"/>
        <v>0</v>
      </c>
      <c r="AD16" s="34">
        <f t="shared" si="12"/>
        <v>0</v>
      </c>
      <c r="AE16" s="34">
        <f t="shared" si="12"/>
        <v>0</v>
      </c>
      <c r="AF16" s="34">
        <f t="shared" si="12"/>
        <v>0</v>
      </c>
      <c r="AG16" s="34">
        <f t="shared" si="5"/>
        <v>0</v>
      </c>
      <c r="AH16" s="35">
        <f>SUM(AH14:AH15)</f>
        <v>0</v>
      </c>
      <c r="AI16" s="4"/>
      <c r="AJ16" s="34">
        <f t="shared" si="7"/>
        <v>0</v>
      </c>
    </row>
    <row r="17" ht="13.5" customHeight="1">
      <c r="A17" s="24" t="s">
        <v>39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28"/>
      <c r="P17" s="5"/>
      <c r="Q17" s="5"/>
      <c r="R17" s="36"/>
      <c r="S17" s="36"/>
      <c r="T17" s="36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28"/>
      <c r="AI17" s="4"/>
      <c r="AJ17" s="5"/>
    </row>
    <row r="18" ht="13.5" customHeight="1">
      <c r="A18" s="24" t="s">
        <v>40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28"/>
      <c r="P18" s="5"/>
      <c r="Q18" s="5"/>
      <c r="R18" s="36"/>
      <c r="S18" s="36"/>
      <c r="T18" s="36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28"/>
      <c r="AI18" s="4"/>
      <c r="AJ18" s="5"/>
    </row>
    <row r="19" ht="13.5" customHeight="1">
      <c r="A19" s="25" t="s">
        <v>41</v>
      </c>
      <c r="B19" s="5">
        <v>0.0</v>
      </c>
      <c r="C19" s="5">
        <v>0.0</v>
      </c>
      <c r="D19" s="5">
        <v>0.0</v>
      </c>
      <c r="E19" s="5">
        <v>0.0</v>
      </c>
      <c r="F19" s="5">
        <v>0.0</v>
      </c>
      <c r="G19" s="5">
        <v>0.0</v>
      </c>
      <c r="H19" s="5">
        <v>0.0</v>
      </c>
      <c r="I19" s="5">
        <v>0.0</v>
      </c>
      <c r="J19" s="26"/>
      <c r="K19" s="26"/>
      <c r="L19" s="26"/>
      <c r="M19" s="26"/>
      <c r="N19" s="5">
        <f t="shared" ref="N19:N22" si="14">SUM(B19:M19)</f>
        <v>0</v>
      </c>
      <c r="O19" s="28" t="str">
        <f t="shared" ref="O19:O22" si="15">IFERROR(N19/N$16,"")</f>
        <v/>
      </c>
      <c r="P19" s="5"/>
      <c r="Q19" s="5"/>
      <c r="R19" s="29" t="s">
        <v>34</v>
      </c>
      <c r="S19" s="30">
        <v>0.0</v>
      </c>
      <c r="T19" s="31">
        <v>0.05</v>
      </c>
      <c r="U19" s="26">
        <f t="shared" ref="U19:AF19" si="13">IF($R19="Manual","",IFERROR(IF($R19="YOY Growth",$N19*(1+$T19)/12,$S19/12),""))</f>
        <v>0</v>
      </c>
      <c r="V19" s="26">
        <f t="shared" si="13"/>
        <v>0</v>
      </c>
      <c r="W19" s="26">
        <f t="shared" si="13"/>
        <v>0</v>
      </c>
      <c r="X19" s="26">
        <f t="shared" si="13"/>
        <v>0</v>
      </c>
      <c r="Y19" s="26">
        <f t="shared" si="13"/>
        <v>0</v>
      </c>
      <c r="Z19" s="26">
        <f t="shared" si="13"/>
        <v>0</v>
      </c>
      <c r="AA19" s="26">
        <f t="shared" si="13"/>
        <v>0</v>
      </c>
      <c r="AB19" s="26">
        <f t="shared" si="13"/>
        <v>0</v>
      </c>
      <c r="AC19" s="26">
        <f t="shared" si="13"/>
        <v>0</v>
      </c>
      <c r="AD19" s="26">
        <f t="shared" si="13"/>
        <v>0</v>
      </c>
      <c r="AE19" s="26">
        <f t="shared" si="13"/>
        <v>0</v>
      </c>
      <c r="AF19" s="26">
        <f t="shared" si="13"/>
        <v>0</v>
      </c>
      <c r="AG19" s="5">
        <f t="shared" ref="AG19:AG22" si="17">SUM(U19:AF19)</f>
        <v>0</v>
      </c>
      <c r="AH19" s="28" t="str">
        <f t="shared" ref="AH19:AH22" si="18">IFERROR(AG19/AG$16,"")</f>
        <v/>
      </c>
      <c r="AI19" s="4"/>
      <c r="AJ19" s="5">
        <f t="shared" ref="AJ19:AJ22" si="19">N19-AG19</f>
        <v>0</v>
      </c>
    </row>
    <row r="20" ht="13.5" customHeight="1">
      <c r="A20" s="25" t="s">
        <v>42</v>
      </c>
      <c r="B20" s="5">
        <v>0.0</v>
      </c>
      <c r="C20" s="5">
        <v>0.0</v>
      </c>
      <c r="D20" s="5">
        <v>0.0</v>
      </c>
      <c r="E20" s="5">
        <v>0.0</v>
      </c>
      <c r="F20" s="5">
        <v>0.0</v>
      </c>
      <c r="G20" s="5">
        <v>0.0</v>
      </c>
      <c r="H20" s="5">
        <v>0.0</v>
      </c>
      <c r="I20" s="5">
        <v>0.0</v>
      </c>
      <c r="J20" s="26"/>
      <c r="K20" s="26"/>
      <c r="L20" s="26"/>
      <c r="M20" s="26"/>
      <c r="N20" s="5">
        <f t="shared" si="14"/>
        <v>0</v>
      </c>
      <c r="O20" s="28" t="str">
        <f t="shared" si="15"/>
        <v/>
      </c>
      <c r="P20" s="5"/>
      <c r="Q20" s="5"/>
      <c r="R20" s="29" t="s">
        <v>34</v>
      </c>
      <c r="S20" s="30">
        <v>0.0</v>
      </c>
      <c r="T20" s="31">
        <v>0.05</v>
      </c>
      <c r="U20" s="26">
        <f t="shared" ref="U20:AF20" si="16">IF($R20="Manual","",IFERROR(IF($R20="YOY Growth",$N20*(1+$T20)/12,$S20/12),""))</f>
        <v>0</v>
      </c>
      <c r="V20" s="26">
        <f t="shared" si="16"/>
        <v>0</v>
      </c>
      <c r="W20" s="26">
        <f t="shared" si="16"/>
        <v>0</v>
      </c>
      <c r="X20" s="26">
        <f t="shared" si="16"/>
        <v>0</v>
      </c>
      <c r="Y20" s="26">
        <f t="shared" si="16"/>
        <v>0</v>
      </c>
      <c r="Z20" s="26">
        <f t="shared" si="16"/>
        <v>0</v>
      </c>
      <c r="AA20" s="26">
        <f t="shared" si="16"/>
        <v>0</v>
      </c>
      <c r="AB20" s="26">
        <f t="shared" si="16"/>
        <v>0</v>
      </c>
      <c r="AC20" s="26">
        <f t="shared" si="16"/>
        <v>0</v>
      </c>
      <c r="AD20" s="26">
        <f t="shared" si="16"/>
        <v>0</v>
      </c>
      <c r="AE20" s="26">
        <f t="shared" si="16"/>
        <v>0</v>
      </c>
      <c r="AF20" s="26">
        <f t="shared" si="16"/>
        <v>0</v>
      </c>
      <c r="AG20" s="5">
        <f t="shared" si="17"/>
        <v>0</v>
      </c>
      <c r="AH20" s="28" t="str">
        <f t="shared" si="18"/>
        <v/>
      </c>
      <c r="AI20" s="4"/>
      <c r="AJ20" s="5">
        <f t="shared" si="19"/>
        <v>0</v>
      </c>
    </row>
    <row r="21" ht="13.5" customHeight="1">
      <c r="A21" s="25" t="s">
        <v>43</v>
      </c>
      <c r="B21" s="5">
        <v>0.0</v>
      </c>
      <c r="C21" s="5">
        <v>0.0</v>
      </c>
      <c r="D21" s="5">
        <v>0.0</v>
      </c>
      <c r="E21" s="5">
        <v>0.0</v>
      </c>
      <c r="F21" s="5">
        <v>0.0</v>
      </c>
      <c r="G21" s="5">
        <v>0.0</v>
      </c>
      <c r="H21" s="5">
        <v>0.0</v>
      </c>
      <c r="I21" s="5">
        <v>0.0</v>
      </c>
      <c r="J21" s="26"/>
      <c r="K21" s="26"/>
      <c r="L21" s="26"/>
      <c r="M21" s="26"/>
      <c r="N21" s="5">
        <f t="shared" si="14"/>
        <v>0</v>
      </c>
      <c r="O21" s="28" t="str">
        <f t="shared" si="15"/>
        <v/>
      </c>
      <c r="P21" s="5"/>
      <c r="Q21" s="5"/>
      <c r="R21" s="29" t="s">
        <v>34</v>
      </c>
      <c r="S21" s="30">
        <v>0.0</v>
      </c>
      <c r="T21" s="31">
        <v>0.05</v>
      </c>
      <c r="U21" s="26">
        <f t="shared" ref="U21:AF21" si="20">IF($R21="Manual","",IFERROR(IF($R21="YOY Growth",$N21*(1+$T21)/12,$S21/12),""))</f>
        <v>0</v>
      </c>
      <c r="V21" s="26">
        <f t="shared" si="20"/>
        <v>0</v>
      </c>
      <c r="W21" s="26">
        <f t="shared" si="20"/>
        <v>0</v>
      </c>
      <c r="X21" s="26">
        <f t="shared" si="20"/>
        <v>0</v>
      </c>
      <c r="Y21" s="26">
        <f t="shared" si="20"/>
        <v>0</v>
      </c>
      <c r="Z21" s="26">
        <f t="shared" si="20"/>
        <v>0</v>
      </c>
      <c r="AA21" s="26">
        <f t="shared" si="20"/>
        <v>0</v>
      </c>
      <c r="AB21" s="26">
        <f t="shared" si="20"/>
        <v>0</v>
      </c>
      <c r="AC21" s="26">
        <f t="shared" si="20"/>
        <v>0</v>
      </c>
      <c r="AD21" s="26">
        <f t="shared" si="20"/>
        <v>0</v>
      </c>
      <c r="AE21" s="26">
        <f t="shared" si="20"/>
        <v>0</v>
      </c>
      <c r="AF21" s="26">
        <f t="shared" si="20"/>
        <v>0</v>
      </c>
      <c r="AG21" s="5">
        <f t="shared" si="17"/>
        <v>0</v>
      </c>
      <c r="AH21" s="28" t="str">
        <f t="shared" si="18"/>
        <v/>
      </c>
      <c r="AI21" s="4"/>
      <c r="AJ21" s="5">
        <f t="shared" si="19"/>
        <v>0</v>
      </c>
    </row>
    <row r="22" ht="13.5" customHeight="1">
      <c r="A22" s="25" t="s">
        <v>44</v>
      </c>
      <c r="B22" s="5">
        <v>0.0</v>
      </c>
      <c r="C22" s="5">
        <v>0.0</v>
      </c>
      <c r="D22" s="5">
        <v>0.0</v>
      </c>
      <c r="E22" s="5">
        <v>0.0</v>
      </c>
      <c r="F22" s="5">
        <v>0.0</v>
      </c>
      <c r="G22" s="5">
        <v>0.0</v>
      </c>
      <c r="H22" s="5">
        <v>0.0</v>
      </c>
      <c r="I22" s="5">
        <v>0.0</v>
      </c>
      <c r="J22" s="26"/>
      <c r="K22" s="26"/>
      <c r="L22" s="26"/>
      <c r="M22" s="26"/>
      <c r="N22" s="5">
        <f t="shared" si="14"/>
        <v>0</v>
      </c>
      <c r="O22" s="28" t="str">
        <f t="shared" si="15"/>
        <v/>
      </c>
      <c r="P22" s="5"/>
      <c r="Q22" s="5"/>
      <c r="R22" s="29" t="s">
        <v>34</v>
      </c>
      <c r="S22" s="30">
        <v>0.0</v>
      </c>
      <c r="T22" s="31">
        <v>0.05</v>
      </c>
      <c r="U22" s="26">
        <f t="shared" ref="U22:AF22" si="21">IF($R22="Manual","",IFERROR(IF($R22="YOY Growth",$N22*(1+$T22)/12,$S22/12),""))</f>
        <v>0</v>
      </c>
      <c r="V22" s="26">
        <f t="shared" si="21"/>
        <v>0</v>
      </c>
      <c r="W22" s="26">
        <f t="shared" si="21"/>
        <v>0</v>
      </c>
      <c r="X22" s="26">
        <f t="shared" si="21"/>
        <v>0</v>
      </c>
      <c r="Y22" s="26">
        <f t="shared" si="21"/>
        <v>0</v>
      </c>
      <c r="Z22" s="26">
        <f t="shared" si="21"/>
        <v>0</v>
      </c>
      <c r="AA22" s="26">
        <f t="shared" si="21"/>
        <v>0</v>
      </c>
      <c r="AB22" s="26">
        <f t="shared" si="21"/>
        <v>0</v>
      </c>
      <c r="AC22" s="26">
        <f t="shared" si="21"/>
        <v>0</v>
      </c>
      <c r="AD22" s="26">
        <f t="shared" si="21"/>
        <v>0</v>
      </c>
      <c r="AE22" s="26">
        <f t="shared" si="21"/>
        <v>0</v>
      </c>
      <c r="AF22" s="26">
        <f t="shared" si="21"/>
        <v>0</v>
      </c>
      <c r="AG22" s="5">
        <f t="shared" si="17"/>
        <v>0</v>
      </c>
      <c r="AH22" s="28" t="str">
        <f t="shared" si="18"/>
        <v/>
      </c>
      <c r="AI22" s="4"/>
      <c r="AJ22" s="5">
        <f t="shared" si="19"/>
        <v>0</v>
      </c>
    </row>
    <row r="23" ht="13.5" customHeight="1">
      <c r="A23" s="24" t="s">
        <v>45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28"/>
      <c r="P23" s="5"/>
      <c r="Q23" s="5"/>
      <c r="R23" s="36"/>
      <c r="S23" s="36"/>
      <c r="T23" s="36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28"/>
      <c r="AI23" s="4"/>
      <c r="AJ23" s="5"/>
    </row>
    <row r="24" ht="13.5" customHeight="1">
      <c r="A24" s="25" t="s">
        <v>45</v>
      </c>
      <c r="B24" s="5">
        <v>376.0</v>
      </c>
      <c r="C24" s="5">
        <v>850.7</v>
      </c>
      <c r="D24" s="5">
        <v>783.62</v>
      </c>
      <c r="E24" s="5">
        <v>1861.07</v>
      </c>
      <c r="F24" s="5">
        <v>0.0</v>
      </c>
      <c r="G24" s="5">
        <v>0.0</v>
      </c>
      <c r="H24" s="5">
        <v>0.0</v>
      </c>
      <c r="I24" s="5">
        <v>0.0</v>
      </c>
      <c r="J24" s="27">
        <v>0.0</v>
      </c>
      <c r="K24" s="27">
        <v>0.0</v>
      </c>
      <c r="L24" s="27">
        <v>0.0</v>
      </c>
      <c r="M24" s="27">
        <v>0.0</v>
      </c>
      <c r="N24" s="5">
        <f t="shared" ref="N24:N31" si="23">SUM(B24:M24)</f>
        <v>3871.39</v>
      </c>
      <c r="O24" s="28" t="str">
        <f t="shared" ref="O24:O31" si="24">IFERROR(N24/N$16,"")</f>
        <v/>
      </c>
      <c r="P24" s="5"/>
      <c r="Q24" s="5"/>
      <c r="R24" s="29" t="s">
        <v>34</v>
      </c>
      <c r="S24" s="30">
        <v>0.0</v>
      </c>
      <c r="T24" s="31">
        <v>0.05</v>
      </c>
      <c r="U24" s="26">
        <f t="shared" ref="U24:AF24" si="22">IF($R24="Manual","",IFERROR(IF($R24="YOY Growth",$N24*(1+$T24)/12,$S24/12),""))</f>
        <v>0</v>
      </c>
      <c r="V24" s="26">
        <f t="shared" si="22"/>
        <v>0</v>
      </c>
      <c r="W24" s="26">
        <f t="shared" si="22"/>
        <v>0</v>
      </c>
      <c r="X24" s="26">
        <f t="shared" si="22"/>
        <v>0</v>
      </c>
      <c r="Y24" s="26">
        <f t="shared" si="22"/>
        <v>0</v>
      </c>
      <c r="Z24" s="26">
        <f t="shared" si="22"/>
        <v>0</v>
      </c>
      <c r="AA24" s="26">
        <f t="shared" si="22"/>
        <v>0</v>
      </c>
      <c r="AB24" s="26">
        <f t="shared" si="22"/>
        <v>0</v>
      </c>
      <c r="AC24" s="26">
        <f t="shared" si="22"/>
        <v>0</v>
      </c>
      <c r="AD24" s="26">
        <f t="shared" si="22"/>
        <v>0</v>
      </c>
      <c r="AE24" s="26">
        <f t="shared" si="22"/>
        <v>0</v>
      </c>
      <c r="AF24" s="26">
        <f t="shared" si="22"/>
        <v>0</v>
      </c>
      <c r="AG24" s="5">
        <f t="shared" ref="AG24:AG31" si="26">SUM(U24:AF24)</f>
        <v>0</v>
      </c>
      <c r="AH24" s="28" t="str">
        <f t="shared" ref="AH24:AH31" si="27">IFERROR(AG24/AG$16,"")</f>
        <v/>
      </c>
      <c r="AI24" s="4"/>
      <c r="AJ24" s="5">
        <f t="shared" ref="AJ24:AJ31" si="28">N24-AG24</f>
        <v>3871.39</v>
      </c>
    </row>
    <row r="25" ht="13.5" customHeight="1">
      <c r="A25" s="25" t="s">
        <v>46</v>
      </c>
      <c r="B25" s="5">
        <v>0.0</v>
      </c>
      <c r="C25" s="5">
        <v>0.0</v>
      </c>
      <c r="D25" s="5">
        <v>0.0</v>
      </c>
      <c r="E25" s="5">
        <v>261.8</v>
      </c>
      <c r="F25" s="5">
        <v>0.0</v>
      </c>
      <c r="G25" s="5">
        <v>0.0</v>
      </c>
      <c r="H25" s="5">
        <v>0.0</v>
      </c>
      <c r="I25" s="5">
        <v>0.0</v>
      </c>
      <c r="J25" s="27">
        <v>0.0</v>
      </c>
      <c r="K25" s="27">
        <v>0.0</v>
      </c>
      <c r="L25" s="27">
        <v>0.0</v>
      </c>
      <c r="M25" s="27">
        <v>0.0</v>
      </c>
      <c r="N25" s="5">
        <f t="shared" si="23"/>
        <v>261.8</v>
      </c>
      <c r="O25" s="28" t="str">
        <f t="shared" si="24"/>
        <v/>
      </c>
      <c r="P25" s="5"/>
      <c r="Q25" s="5"/>
      <c r="R25" s="29" t="s">
        <v>34</v>
      </c>
      <c r="S25" s="30">
        <v>0.0</v>
      </c>
      <c r="T25" s="31">
        <v>0.05</v>
      </c>
      <c r="U25" s="26">
        <f t="shared" ref="U25:AF25" si="25">IF($R25="Manual","",IFERROR(IF($R25="YOY Growth",$N25*(1+$T25)/12,$S25/12),""))</f>
        <v>0</v>
      </c>
      <c r="V25" s="26">
        <f t="shared" si="25"/>
        <v>0</v>
      </c>
      <c r="W25" s="26">
        <f t="shared" si="25"/>
        <v>0</v>
      </c>
      <c r="X25" s="26">
        <f t="shared" si="25"/>
        <v>0</v>
      </c>
      <c r="Y25" s="26">
        <f t="shared" si="25"/>
        <v>0</v>
      </c>
      <c r="Z25" s="26">
        <f t="shared" si="25"/>
        <v>0</v>
      </c>
      <c r="AA25" s="26">
        <f t="shared" si="25"/>
        <v>0</v>
      </c>
      <c r="AB25" s="26">
        <f t="shared" si="25"/>
        <v>0</v>
      </c>
      <c r="AC25" s="26">
        <f t="shared" si="25"/>
        <v>0</v>
      </c>
      <c r="AD25" s="26">
        <f t="shared" si="25"/>
        <v>0</v>
      </c>
      <c r="AE25" s="26">
        <f t="shared" si="25"/>
        <v>0</v>
      </c>
      <c r="AF25" s="26">
        <f t="shared" si="25"/>
        <v>0</v>
      </c>
      <c r="AG25" s="5">
        <f t="shared" si="26"/>
        <v>0</v>
      </c>
      <c r="AH25" s="28" t="str">
        <f t="shared" si="27"/>
        <v/>
      </c>
      <c r="AI25" s="4"/>
      <c r="AJ25" s="5">
        <f t="shared" si="28"/>
        <v>261.8</v>
      </c>
    </row>
    <row r="26" ht="13.5" customHeight="1">
      <c r="A26" s="25" t="s">
        <v>47</v>
      </c>
      <c r="B26" s="5">
        <v>0.0</v>
      </c>
      <c r="C26" s="5">
        <v>0.0</v>
      </c>
      <c r="D26" s="5">
        <v>0.0</v>
      </c>
      <c r="E26" s="5">
        <v>348.38</v>
      </c>
      <c r="F26" s="5">
        <v>79.47</v>
      </c>
      <c r="G26" s="5">
        <v>0.0</v>
      </c>
      <c r="H26" s="5">
        <v>0.0</v>
      </c>
      <c r="I26" s="5">
        <v>250.0</v>
      </c>
      <c r="J26" s="27">
        <v>0.0</v>
      </c>
      <c r="K26" s="27">
        <v>0.0</v>
      </c>
      <c r="L26" s="27">
        <v>0.0</v>
      </c>
      <c r="M26" s="27">
        <v>0.0</v>
      </c>
      <c r="N26" s="5">
        <f t="shared" si="23"/>
        <v>677.85</v>
      </c>
      <c r="O26" s="28" t="str">
        <f t="shared" si="24"/>
        <v/>
      </c>
      <c r="P26" s="5"/>
      <c r="Q26" s="5"/>
      <c r="R26" s="29" t="s">
        <v>34</v>
      </c>
      <c r="S26" s="30">
        <v>0.0</v>
      </c>
      <c r="T26" s="31">
        <v>0.05</v>
      </c>
      <c r="U26" s="26">
        <f t="shared" ref="U26:AF26" si="29">IF($R26="Manual","",IFERROR(IF($R26="YOY Growth",$N26*(1+$T26)/12,$S26/12),""))</f>
        <v>0</v>
      </c>
      <c r="V26" s="26">
        <f t="shared" si="29"/>
        <v>0</v>
      </c>
      <c r="W26" s="26">
        <f t="shared" si="29"/>
        <v>0</v>
      </c>
      <c r="X26" s="26">
        <f t="shared" si="29"/>
        <v>0</v>
      </c>
      <c r="Y26" s="26">
        <f t="shared" si="29"/>
        <v>0</v>
      </c>
      <c r="Z26" s="26">
        <f t="shared" si="29"/>
        <v>0</v>
      </c>
      <c r="AA26" s="26">
        <f t="shared" si="29"/>
        <v>0</v>
      </c>
      <c r="AB26" s="26">
        <f t="shared" si="29"/>
        <v>0</v>
      </c>
      <c r="AC26" s="26">
        <f t="shared" si="29"/>
        <v>0</v>
      </c>
      <c r="AD26" s="26">
        <f t="shared" si="29"/>
        <v>0</v>
      </c>
      <c r="AE26" s="26">
        <f t="shared" si="29"/>
        <v>0</v>
      </c>
      <c r="AF26" s="26">
        <f t="shared" si="29"/>
        <v>0</v>
      </c>
      <c r="AG26" s="5">
        <f t="shared" si="26"/>
        <v>0</v>
      </c>
      <c r="AH26" s="28" t="str">
        <f t="shared" si="27"/>
        <v/>
      </c>
      <c r="AI26" s="4"/>
      <c r="AJ26" s="5">
        <f t="shared" si="28"/>
        <v>677.85</v>
      </c>
    </row>
    <row r="27" ht="13.5" customHeight="1">
      <c r="A27" s="33" t="s">
        <v>48</v>
      </c>
      <c r="B27" s="34">
        <f t="shared" ref="B27:M27" si="30">SUM(B24:B26)</f>
        <v>376</v>
      </c>
      <c r="C27" s="34">
        <f t="shared" si="30"/>
        <v>850.7</v>
      </c>
      <c r="D27" s="34">
        <f t="shared" si="30"/>
        <v>783.62</v>
      </c>
      <c r="E27" s="34">
        <f t="shared" si="30"/>
        <v>2471.25</v>
      </c>
      <c r="F27" s="34">
        <f t="shared" si="30"/>
        <v>79.47</v>
      </c>
      <c r="G27" s="34">
        <f t="shared" si="30"/>
        <v>0</v>
      </c>
      <c r="H27" s="34">
        <f t="shared" si="30"/>
        <v>0</v>
      </c>
      <c r="I27" s="34">
        <f t="shared" si="30"/>
        <v>250</v>
      </c>
      <c r="J27" s="34">
        <f t="shared" si="30"/>
        <v>0</v>
      </c>
      <c r="K27" s="34">
        <f t="shared" si="30"/>
        <v>0</v>
      </c>
      <c r="L27" s="34">
        <f t="shared" si="30"/>
        <v>0</v>
      </c>
      <c r="M27" s="34">
        <f t="shared" si="30"/>
        <v>0</v>
      </c>
      <c r="N27" s="34">
        <f t="shared" si="23"/>
        <v>4811.04</v>
      </c>
      <c r="O27" s="35" t="str">
        <f t="shared" si="24"/>
        <v/>
      </c>
      <c r="P27" s="5"/>
      <c r="Q27" s="5"/>
      <c r="R27" s="36"/>
      <c r="S27" s="36"/>
      <c r="T27" s="36"/>
      <c r="U27" s="34">
        <f t="shared" ref="U27:AF27" si="31">SUM(U24:U26)</f>
        <v>0</v>
      </c>
      <c r="V27" s="34">
        <f t="shared" si="31"/>
        <v>0</v>
      </c>
      <c r="W27" s="34">
        <f t="shared" si="31"/>
        <v>0</v>
      </c>
      <c r="X27" s="34">
        <f t="shared" si="31"/>
        <v>0</v>
      </c>
      <c r="Y27" s="34">
        <f t="shared" si="31"/>
        <v>0</v>
      </c>
      <c r="Z27" s="34">
        <f t="shared" si="31"/>
        <v>0</v>
      </c>
      <c r="AA27" s="34">
        <f t="shared" si="31"/>
        <v>0</v>
      </c>
      <c r="AB27" s="34">
        <f t="shared" si="31"/>
        <v>0</v>
      </c>
      <c r="AC27" s="34">
        <f t="shared" si="31"/>
        <v>0</v>
      </c>
      <c r="AD27" s="34">
        <f t="shared" si="31"/>
        <v>0</v>
      </c>
      <c r="AE27" s="34">
        <f t="shared" si="31"/>
        <v>0</v>
      </c>
      <c r="AF27" s="34">
        <f t="shared" si="31"/>
        <v>0</v>
      </c>
      <c r="AG27" s="34">
        <f t="shared" si="26"/>
        <v>0</v>
      </c>
      <c r="AH27" s="35" t="str">
        <f t="shared" si="27"/>
        <v/>
      </c>
      <c r="AI27" s="4"/>
      <c r="AJ27" s="34">
        <f t="shared" si="28"/>
        <v>4811.04</v>
      </c>
    </row>
    <row r="28" ht="13.5" customHeight="1">
      <c r="A28" s="25" t="s">
        <v>49</v>
      </c>
      <c r="B28" s="5">
        <v>0.0</v>
      </c>
      <c r="C28" s="5">
        <v>0.0</v>
      </c>
      <c r="D28" s="5">
        <v>0.0</v>
      </c>
      <c r="E28" s="5">
        <v>2186.18</v>
      </c>
      <c r="F28" s="5">
        <v>0.0</v>
      </c>
      <c r="G28" s="5">
        <v>0.0</v>
      </c>
      <c r="H28" s="5">
        <v>117.53</v>
      </c>
      <c r="I28" s="5">
        <v>0.0</v>
      </c>
      <c r="J28" s="27">
        <v>0.0</v>
      </c>
      <c r="K28" s="27">
        <v>0.0</v>
      </c>
      <c r="L28" s="27">
        <v>0.0</v>
      </c>
      <c r="M28" s="27">
        <v>0.0</v>
      </c>
      <c r="N28" s="5">
        <f t="shared" si="23"/>
        <v>2303.71</v>
      </c>
      <c r="O28" s="28" t="str">
        <f t="shared" si="24"/>
        <v/>
      </c>
      <c r="P28" s="5"/>
      <c r="Q28" s="5"/>
      <c r="R28" s="29" t="s">
        <v>34</v>
      </c>
      <c r="S28" s="30">
        <v>0.0</v>
      </c>
      <c r="T28" s="31">
        <v>0.05</v>
      </c>
      <c r="U28" s="26">
        <f t="shared" ref="U28:AF28" si="32">IF($R28="Manual","",IFERROR(IF($R28="YOY Growth",$N28*(1+$T28)/12,$S28/12),""))</f>
        <v>0</v>
      </c>
      <c r="V28" s="26">
        <f t="shared" si="32"/>
        <v>0</v>
      </c>
      <c r="W28" s="26">
        <f t="shared" si="32"/>
        <v>0</v>
      </c>
      <c r="X28" s="26">
        <f t="shared" si="32"/>
        <v>0</v>
      </c>
      <c r="Y28" s="26">
        <f t="shared" si="32"/>
        <v>0</v>
      </c>
      <c r="Z28" s="26">
        <f t="shared" si="32"/>
        <v>0</v>
      </c>
      <c r="AA28" s="26">
        <f t="shared" si="32"/>
        <v>0</v>
      </c>
      <c r="AB28" s="26">
        <f t="shared" si="32"/>
        <v>0</v>
      </c>
      <c r="AC28" s="26">
        <f t="shared" si="32"/>
        <v>0</v>
      </c>
      <c r="AD28" s="26">
        <f t="shared" si="32"/>
        <v>0</v>
      </c>
      <c r="AE28" s="26">
        <f t="shared" si="32"/>
        <v>0</v>
      </c>
      <c r="AF28" s="26">
        <f t="shared" si="32"/>
        <v>0</v>
      </c>
      <c r="AG28" s="5">
        <f t="shared" si="26"/>
        <v>0</v>
      </c>
      <c r="AH28" s="28" t="str">
        <f t="shared" si="27"/>
        <v/>
      </c>
      <c r="AI28" s="4"/>
      <c r="AJ28" s="5">
        <f t="shared" si="28"/>
        <v>2303.71</v>
      </c>
    </row>
    <row r="29" ht="13.5" customHeight="1">
      <c r="A29" s="25" t="s">
        <v>51</v>
      </c>
      <c r="B29" s="5">
        <v>7000.0</v>
      </c>
      <c r="C29" s="5">
        <v>5000.95</v>
      </c>
      <c r="D29" s="5">
        <v>3522.7</v>
      </c>
      <c r="E29" s="5">
        <v>3294.47</v>
      </c>
      <c r="F29" s="5">
        <v>0.0</v>
      </c>
      <c r="G29" s="5">
        <v>122.59</v>
      </c>
      <c r="H29" s="5">
        <v>0.0</v>
      </c>
      <c r="I29" s="5">
        <v>3240.99</v>
      </c>
      <c r="J29" s="27">
        <v>15000.0</v>
      </c>
      <c r="K29" s="27">
        <v>10000.0</v>
      </c>
      <c r="L29" s="27">
        <v>5000.0</v>
      </c>
      <c r="M29" s="27">
        <v>5000.0</v>
      </c>
      <c r="N29" s="5">
        <f t="shared" si="23"/>
        <v>57181.7</v>
      </c>
      <c r="O29" s="28" t="str">
        <f t="shared" si="24"/>
        <v/>
      </c>
      <c r="P29" s="5"/>
      <c r="Q29" s="5"/>
      <c r="R29" s="29" t="s">
        <v>34</v>
      </c>
      <c r="S29" s="30">
        <v>0.0</v>
      </c>
      <c r="T29" s="31">
        <v>0.05</v>
      </c>
      <c r="U29" s="26">
        <f t="shared" ref="U29:AF29" si="33">IF($R29="Manual","",IFERROR(IF($R29="YOY Growth",$N29*(1+$T29)/12,$S29/12),""))</f>
        <v>0</v>
      </c>
      <c r="V29" s="26">
        <f t="shared" si="33"/>
        <v>0</v>
      </c>
      <c r="W29" s="26">
        <f t="shared" si="33"/>
        <v>0</v>
      </c>
      <c r="X29" s="26">
        <f t="shared" si="33"/>
        <v>0</v>
      </c>
      <c r="Y29" s="26">
        <f t="shared" si="33"/>
        <v>0</v>
      </c>
      <c r="Z29" s="26">
        <f t="shared" si="33"/>
        <v>0</v>
      </c>
      <c r="AA29" s="26">
        <f t="shared" si="33"/>
        <v>0</v>
      </c>
      <c r="AB29" s="26">
        <f t="shared" si="33"/>
        <v>0</v>
      </c>
      <c r="AC29" s="26">
        <f t="shared" si="33"/>
        <v>0</v>
      </c>
      <c r="AD29" s="26">
        <f t="shared" si="33"/>
        <v>0</v>
      </c>
      <c r="AE29" s="26">
        <f t="shared" si="33"/>
        <v>0</v>
      </c>
      <c r="AF29" s="26">
        <f t="shared" si="33"/>
        <v>0</v>
      </c>
      <c r="AG29" s="5">
        <f t="shared" si="26"/>
        <v>0</v>
      </c>
      <c r="AH29" s="28" t="str">
        <f t="shared" si="27"/>
        <v/>
      </c>
      <c r="AI29" s="4"/>
      <c r="AJ29" s="5">
        <f t="shared" si="28"/>
        <v>57181.7</v>
      </c>
    </row>
    <row r="30" ht="13.5" customHeight="1">
      <c r="A30" s="25" t="s">
        <v>53</v>
      </c>
      <c r="B30" s="5">
        <v>0.0</v>
      </c>
      <c r="C30" s="5">
        <v>0.0</v>
      </c>
      <c r="D30" s="5">
        <v>0.0</v>
      </c>
      <c r="E30" s="5">
        <v>0.0</v>
      </c>
      <c r="F30" s="5">
        <v>0.0</v>
      </c>
      <c r="G30" s="5">
        <v>0.0</v>
      </c>
      <c r="H30" s="5">
        <v>911.81</v>
      </c>
      <c r="I30" s="5">
        <v>1772.23</v>
      </c>
      <c r="J30" s="27">
        <v>0.0</v>
      </c>
      <c r="K30" s="27">
        <v>0.0</v>
      </c>
      <c r="L30" s="27">
        <v>0.0</v>
      </c>
      <c r="M30" s="27">
        <v>0.0</v>
      </c>
      <c r="N30" s="5">
        <f t="shared" si="23"/>
        <v>2684.04</v>
      </c>
      <c r="O30" s="28" t="str">
        <f t="shared" si="24"/>
        <v/>
      </c>
      <c r="P30" s="5"/>
      <c r="Q30" s="5"/>
      <c r="R30" s="29" t="s">
        <v>34</v>
      </c>
      <c r="S30" s="30">
        <v>0.0</v>
      </c>
      <c r="T30" s="31">
        <v>0.05</v>
      </c>
      <c r="U30" s="26">
        <f t="shared" ref="U30:AF30" si="34">IF($R30="Manual","",IFERROR(IF($R30="YOY Growth",$N30*(1+$T30)/12,$S30/12),""))</f>
        <v>0</v>
      </c>
      <c r="V30" s="26">
        <f t="shared" si="34"/>
        <v>0</v>
      </c>
      <c r="W30" s="26">
        <f t="shared" si="34"/>
        <v>0</v>
      </c>
      <c r="X30" s="26">
        <f t="shared" si="34"/>
        <v>0</v>
      </c>
      <c r="Y30" s="26">
        <f t="shared" si="34"/>
        <v>0</v>
      </c>
      <c r="Z30" s="26">
        <f t="shared" si="34"/>
        <v>0</v>
      </c>
      <c r="AA30" s="26">
        <f t="shared" si="34"/>
        <v>0</v>
      </c>
      <c r="AB30" s="26">
        <f t="shared" si="34"/>
        <v>0</v>
      </c>
      <c r="AC30" s="26">
        <f t="shared" si="34"/>
        <v>0</v>
      </c>
      <c r="AD30" s="26">
        <f t="shared" si="34"/>
        <v>0</v>
      </c>
      <c r="AE30" s="26">
        <f t="shared" si="34"/>
        <v>0</v>
      </c>
      <c r="AF30" s="26">
        <f t="shared" si="34"/>
        <v>0</v>
      </c>
      <c r="AG30" s="5">
        <f t="shared" si="26"/>
        <v>0</v>
      </c>
      <c r="AH30" s="28" t="str">
        <f t="shared" si="27"/>
        <v/>
      </c>
      <c r="AI30" s="4"/>
      <c r="AJ30" s="5">
        <f t="shared" si="28"/>
        <v>2684.04</v>
      </c>
    </row>
    <row r="31" ht="13.5" customHeight="1">
      <c r="A31" s="25" t="s">
        <v>54</v>
      </c>
      <c r="B31" s="5">
        <v>0.0</v>
      </c>
      <c r="C31" s="5">
        <v>0.0</v>
      </c>
      <c r="D31" s="5">
        <v>0.0</v>
      </c>
      <c r="E31" s="5">
        <v>0.0</v>
      </c>
      <c r="F31" s="5">
        <v>0.0</v>
      </c>
      <c r="G31" s="5">
        <v>20.14</v>
      </c>
      <c r="H31" s="5">
        <v>0.0</v>
      </c>
      <c r="I31" s="5">
        <v>528.6</v>
      </c>
      <c r="J31" s="27">
        <v>0.0</v>
      </c>
      <c r="K31" s="27">
        <v>0.0</v>
      </c>
      <c r="L31" s="27">
        <v>0.0</v>
      </c>
      <c r="M31" s="27">
        <v>0.0</v>
      </c>
      <c r="N31" s="5">
        <f t="shared" si="23"/>
        <v>548.74</v>
      </c>
      <c r="O31" s="28" t="str">
        <f t="shared" si="24"/>
        <v/>
      </c>
      <c r="P31" s="5"/>
      <c r="Q31" s="5"/>
      <c r="R31" s="29" t="s">
        <v>34</v>
      </c>
      <c r="S31" s="30">
        <v>0.0</v>
      </c>
      <c r="T31" s="31">
        <v>0.05</v>
      </c>
      <c r="U31" s="26">
        <f t="shared" ref="U31:AF31" si="35">IF($R31="Manual","",IFERROR(IF($R31="YOY Growth",$N31*(1+$T31)/12,$S31/12),""))</f>
        <v>0</v>
      </c>
      <c r="V31" s="26">
        <f t="shared" si="35"/>
        <v>0</v>
      </c>
      <c r="W31" s="26">
        <f t="shared" si="35"/>
        <v>0</v>
      </c>
      <c r="X31" s="26">
        <f t="shared" si="35"/>
        <v>0</v>
      </c>
      <c r="Y31" s="26">
        <f t="shared" si="35"/>
        <v>0</v>
      </c>
      <c r="Z31" s="26">
        <f t="shared" si="35"/>
        <v>0</v>
      </c>
      <c r="AA31" s="26">
        <f t="shared" si="35"/>
        <v>0</v>
      </c>
      <c r="AB31" s="26">
        <f t="shared" si="35"/>
        <v>0</v>
      </c>
      <c r="AC31" s="26">
        <f t="shared" si="35"/>
        <v>0</v>
      </c>
      <c r="AD31" s="26">
        <f t="shared" si="35"/>
        <v>0</v>
      </c>
      <c r="AE31" s="26">
        <f t="shared" si="35"/>
        <v>0</v>
      </c>
      <c r="AF31" s="26">
        <f t="shared" si="35"/>
        <v>0</v>
      </c>
      <c r="AG31" s="5">
        <f t="shared" si="26"/>
        <v>0</v>
      </c>
      <c r="AH31" s="28" t="str">
        <f t="shared" si="27"/>
        <v/>
      </c>
      <c r="AI31" s="4"/>
      <c r="AJ31" s="5">
        <f t="shared" si="28"/>
        <v>548.74</v>
      </c>
    </row>
    <row r="32" ht="13.5" customHeight="1">
      <c r="A32" s="24" t="s">
        <v>55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28"/>
      <c r="P32" s="5"/>
      <c r="Q32" s="5"/>
      <c r="R32" s="36"/>
      <c r="S32" s="36"/>
      <c r="T32" s="36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28"/>
      <c r="AI32" s="4"/>
      <c r="AJ32" s="5"/>
    </row>
    <row r="33" ht="13.5" customHeight="1">
      <c r="A33" s="25" t="s">
        <v>56</v>
      </c>
      <c r="B33" s="5">
        <v>0.0</v>
      </c>
      <c r="C33" s="5">
        <v>0.0</v>
      </c>
      <c r="D33" s="5">
        <v>0.0</v>
      </c>
      <c r="E33" s="5">
        <v>0.0</v>
      </c>
      <c r="F33" s="5">
        <v>0.0</v>
      </c>
      <c r="G33" s="5">
        <v>0.0</v>
      </c>
      <c r="H33" s="5">
        <v>0.0</v>
      </c>
      <c r="I33" s="5">
        <v>0.0</v>
      </c>
      <c r="J33" s="27">
        <v>0.0</v>
      </c>
      <c r="K33" s="27">
        <v>0.0</v>
      </c>
      <c r="L33" s="27">
        <v>0.0</v>
      </c>
      <c r="M33" s="27">
        <v>0.0</v>
      </c>
      <c r="N33" s="5">
        <f t="shared" ref="N33:N42" si="36">SUM(B33:M33)</f>
        <v>0</v>
      </c>
      <c r="O33" s="28" t="str">
        <f t="shared" ref="O33:O42" si="37">IFERROR(N33/N$16,"")</f>
        <v/>
      </c>
      <c r="P33" s="5"/>
      <c r="Q33" s="5"/>
      <c r="R33" s="36"/>
      <c r="S33" s="36"/>
      <c r="T33" s="36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5">
        <f t="shared" ref="AG33:AG42" si="38">SUM(U33:AF33)</f>
        <v>0</v>
      </c>
      <c r="AH33" s="28" t="str">
        <f t="shared" ref="AH33:AH42" si="39">IFERROR(AG33/AG$16,"")</f>
        <v/>
      </c>
      <c r="AI33" s="4"/>
      <c r="AJ33" s="5">
        <f t="shared" ref="AJ33:AJ42" si="40">N33-AG33</f>
        <v>0</v>
      </c>
    </row>
    <row r="34" ht="13.5" customHeight="1">
      <c r="A34" s="25" t="s">
        <v>57</v>
      </c>
      <c r="B34" s="5">
        <v>0.0</v>
      </c>
      <c r="C34" s="5">
        <v>0.0</v>
      </c>
      <c r="D34" s="5">
        <v>0.0</v>
      </c>
      <c r="E34" s="5">
        <v>0.0</v>
      </c>
      <c r="F34" s="5">
        <v>0.0</v>
      </c>
      <c r="G34" s="5">
        <v>0.0</v>
      </c>
      <c r="H34" s="5">
        <v>0.0</v>
      </c>
      <c r="I34" s="5">
        <v>0.0</v>
      </c>
      <c r="J34" s="27">
        <v>0.0</v>
      </c>
      <c r="K34" s="27">
        <v>0.0</v>
      </c>
      <c r="L34" s="27">
        <v>0.0</v>
      </c>
      <c r="M34" s="27">
        <v>0.0</v>
      </c>
      <c r="N34" s="5">
        <f t="shared" si="36"/>
        <v>0</v>
      </c>
      <c r="O34" s="28" t="str">
        <f t="shared" si="37"/>
        <v/>
      </c>
      <c r="P34" s="5"/>
      <c r="Q34" s="5"/>
      <c r="R34" s="36"/>
      <c r="S34" s="36"/>
      <c r="T34" s="36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5">
        <f t="shared" si="38"/>
        <v>0</v>
      </c>
      <c r="AH34" s="28" t="str">
        <f t="shared" si="39"/>
        <v/>
      </c>
      <c r="AI34" s="4"/>
      <c r="AJ34" s="5">
        <f t="shared" si="40"/>
        <v>0</v>
      </c>
    </row>
    <row r="35" ht="13.5" customHeight="1">
      <c r="A35" s="25" t="s">
        <v>58</v>
      </c>
      <c r="B35" s="5">
        <v>0.0</v>
      </c>
      <c r="C35" s="5">
        <v>0.0</v>
      </c>
      <c r="D35" s="5">
        <v>0.0</v>
      </c>
      <c r="E35" s="5">
        <v>0.0</v>
      </c>
      <c r="F35" s="5">
        <v>0.0</v>
      </c>
      <c r="G35" s="5">
        <v>0.0</v>
      </c>
      <c r="H35" s="5">
        <v>0.0</v>
      </c>
      <c r="I35" s="5">
        <v>0.0</v>
      </c>
      <c r="J35" s="27">
        <v>0.0</v>
      </c>
      <c r="K35" s="27">
        <v>0.0</v>
      </c>
      <c r="L35" s="27">
        <v>0.0</v>
      </c>
      <c r="M35" s="27">
        <v>0.0</v>
      </c>
      <c r="N35" s="5">
        <f t="shared" si="36"/>
        <v>0</v>
      </c>
      <c r="O35" s="28" t="str">
        <f t="shared" si="37"/>
        <v/>
      </c>
      <c r="P35" s="5"/>
      <c r="Q35" s="5"/>
      <c r="R35" s="36"/>
      <c r="S35" s="36"/>
      <c r="T35" s="36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5">
        <f t="shared" si="38"/>
        <v>0</v>
      </c>
      <c r="AH35" s="28" t="str">
        <f t="shared" si="39"/>
        <v/>
      </c>
      <c r="AI35" s="4"/>
      <c r="AJ35" s="5">
        <f t="shared" si="40"/>
        <v>0</v>
      </c>
    </row>
    <row r="36" ht="13.5" customHeight="1">
      <c r="A36" s="33" t="s">
        <v>59</v>
      </c>
      <c r="B36" s="34">
        <f t="shared" ref="B36:M36" si="41">SUM(B33:B35)</f>
        <v>0</v>
      </c>
      <c r="C36" s="34">
        <f t="shared" si="41"/>
        <v>0</v>
      </c>
      <c r="D36" s="34">
        <f t="shared" si="41"/>
        <v>0</v>
      </c>
      <c r="E36" s="34">
        <f t="shared" si="41"/>
        <v>0</v>
      </c>
      <c r="F36" s="34">
        <f t="shared" si="41"/>
        <v>0</v>
      </c>
      <c r="G36" s="34">
        <f t="shared" si="41"/>
        <v>0</v>
      </c>
      <c r="H36" s="34">
        <f t="shared" si="41"/>
        <v>0</v>
      </c>
      <c r="I36" s="34">
        <f t="shared" si="41"/>
        <v>0</v>
      </c>
      <c r="J36" s="34">
        <f t="shared" si="41"/>
        <v>0</v>
      </c>
      <c r="K36" s="34">
        <f t="shared" si="41"/>
        <v>0</v>
      </c>
      <c r="L36" s="34">
        <f t="shared" si="41"/>
        <v>0</v>
      </c>
      <c r="M36" s="34">
        <f t="shared" si="41"/>
        <v>0</v>
      </c>
      <c r="N36" s="34">
        <f t="shared" si="36"/>
        <v>0</v>
      </c>
      <c r="O36" s="35" t="str">
        <f t="shared" si="37"/>
        <v/>
      </c>
      <c r="P36" s="5"/>
      <c r="Q36" s="5"/>
      <c r="R36" s="36"/>
      <c r="S36" s="36"/>
      <c r="T36" s="36"/>
      <c r="U36" s="34">
        <f t="shared" ref="U36:AF36" si="42">SUM(U33:U35)</f>
        <v>0</v>
      </c>
      <c r="V36" s="34">
        <f t="shared" si="42"/>
        <v>0</v>
      </c>
      <c r="W36" s="34">
        <f t="shared" si="42"/>
        <v>0</v>
      </c>
      <c r="X36" s="34">
        <f t="shared" si="42"/>
        <v>0</v>
      </c>
      <c r="Y36" s="34">
        <f t="shared" si="42"/>
        <v>0</v>
      </c>
      <c r="Z36" s="34">
        <f t="shared" si="42"/>
        <v>0</v>
      </c>
      <c r="AA36" s="34">
        <f t="shared" si="42"/>
        <v>0</v>
      </c>
      <c r="AB36" s="34">
        <f t="shared" si="42"/>
        <v>0</v>
      </c>
      <c r="AC36" s="34">
        <f t="shared" si="42"/>
        <v>0</v>
      </c>
      <c r="AD36" s="34">
        <f t="shared" si="42"/>
        <v>0</v>
      </c>
      <c r="AE36" s="34">
        <f t="shared" si="42"/>
        <v>0</v>
      </c>
      <c r="AF36" s="34">
        <f t="shared" si="42"/>
        <v>0</v>
      </c>
      <c r="AG36" s="34">
        <f t="shared" si="38"/>
        <v>0</v>
      </c>
      <c r="AH36" s="35" t="str">
        <f t="shared" si="39"/>
        <v/>
      </c>
      <c r="AI36" s="4"/>
      <c r="AJ36" s="34">
        <f t="shared" si="40"/>
        <v>0</v>
      </c>
    </row>
    <row r="37" ht="13.5" customHeight="1">
      <c r="A37" s="33" t="s">
        <v>60</v>
      </c>
      <c r="B37" s="34">
        <f t="shared" ref="B37:M37" si="43">B19+B22+B27+B28+B29+B30+B31+B36+B20+B21</f>
        <v>7376</v>
      </c>
      <c r="C37" s="34">
        <f t="shared" si="43"/>
        <v>5851.65</v>
      </c>
      <c r="D37" s="34">
        <f t="shared" si="43"/>
        <v>4306.32</v>
      </c>
      <c r="E37" s="34">
        <f t="shared" si="43"/>
        <v>7951.9</v>
      </c>
      <c r="F37" s="34">
        <f t="shared" si="43"/>
        <v>79.47</v>
      </c>
      <c r="G37" s="34">
        <f t="shared" si="43"/>
        <v>142.73</v>
      </c>
      <c r="H37" s="34">
        <f t="shared" si="43"/>
        <v>1029.34</v>
      </c>
      <c r="I37" s="34">
        <f t="shared" si="43"/>
        <v>5791.82</v>
      </c>
      <c r="J37" s="34">
        <f t="shared" si="43"/>
        <v>15000</v>
      </c>
      <c r="K37" s="34">
        <f t="shared" si="43"/>
        <v>10000</v>
      </c>
      <c r="L37" s="34">
        <f t="shared" si="43"/>
        <v>5000</v>
      </c>
      <c r="M37" s="34">
        <f t="shared" si="43"/>
        <v>5000</v>
      </c>
      <c r="N37" s="34">
        <f t="shared" si="36"/>
        <v>67529.23</v>
      </c>
      <c r="O37" s="35" t="str">
        <f t="shared" si="37"/>
        <v/>
      </c>
      <c r="P37" s="5"/>
      <c r="Q37" s="5"/>
      <c r="R37" s="36"/>
      <c r="S37" s="36"/>
      <c r="T37" s="36"/>
      <c r="U37" s="34">
        <f t="shared" ref="U37:AF37" si="44">U19+U22+U27+U28+U29+U30+U31+U36+U20+U21</f>
        <v>0</v>
      </c>
      <c r="V37" s="34">
        <f t="shared" si="44"/>
        <v>0</v>
      </c>
      <c r="W37" s="34">
        <f t="shared" si="44"/>
        <v>0</v>
      </c>
      <c r="X37" s="34">
        <f t="shared" si="44"/>
        <v>0</v>
      </c>
      <c r="Y37" s="34">
        <f t="shared" si="44"/>
        <v>0</v>
      </c>
      <c r="Z37" s="34">
        <f t="shared" si="44"/>
        <v>0</v>
      </c>
      <c r="AA37" s="34">
        <f t="shared" si="44"/>
        <v>0</v>
      </c>
      <c r="AB37" s="34">
        <f t="shared" si="44"/>
        <v>0</v>
      </c>
      <c r="AC37" s="34">
        <f t="shared" si="44"/>
        <v>0</v>
      </c>
      <c r="AD37" s="34">
        <f t="shared" si="44"/>
        <v>0</v>
      </c>
      <c r="AE37" s="34">
        <f t="shared" si="44"/>
        <v>0</v>
      </c>
      <c r="AF37" s="34">
        <f t="shared" si="44"/>
        <v>0</v>
      </c>
      <c r="AG37" s="34">
        <f t="shared" si="38"/>
        <v>0</v>
      </c>
      <c r="AH37" s="35" t="str">
        <f t="shared" si="39"/>
        <v/>
      </c>
      <c r="AI37" s="4"/>
      <c r="AJ37" s="34">
        <f t="shared" si="40"/>
        <v>67529.23</v>
      </c>
    </row>
    <row r="38" ht="13.5" customHeight="1">
      <c r="A38" s="25" t="s">
        <v>61</v>
      </c>
      <c r="B38" s="5">
        <v>0.0</v>
      </c>
      <c r="C38" s="5">
        <v>0.0</v>
      </c>
      <c r="D38" s="5">
        <v>0.0</v>
      </c>
      <c r="E38" s="5">
        <v>0.0</v>
      </c>
      <c r="F38" s="5">
        <v>0.0</v>
      </c>
      <c r="G38" s="5">
        <v>-352.47</v>
      </c>
      <c r="H38" s="5">
        <v>0.0</v>
      </c>
      <c r="I38" s="5">
        <v>0.0</v>
      </c>
      <c r="J38" s="27">
        <v>0.0</v>
      </c>
      <c r="K38" s="27">
        <v>0.0</v>
      </c>
      <c r="L38" s="27">
        <v>0.0</v>
      </c>
      <c r="M38" s="27">
        <v>0.0</v>
      </c>
      <c r="N38" s="5">
        <f t="shared" si="36"/>
        <v>-352.47</v>
      </c>
      <c r="O38" s="28" t="str">
        <f t="shared" si="37"/>
        <v/>
      </c>
      <c r="P38" s="5"/>
      <c r="Q38" s="5"/>
      <c r="R38" s="29" t="s">
        <v>34</v>
      </c>
      <c r="S38" s="30">
        <v>0.0</v>
      </c>
      <c r="T38" s="31">
        <v>0.05</v>
      </c>
      <c r="U38" s="26">
        <f t="shared" ref="U38:AF38" si="45">IF($R38="Manual","",IFERROR(IF($R38="YOY Growth",$N38*(1+$T38)/12,$S38/12),""))</f>
        <v>0</v>
      </c>
      <c r="V38" s="26">
        <f t="shared" si="45"/>
        <v>0</v>
      </c>
      <c r="W38" s="26">
        <f t="shared" si="45"/>
        <v>0</v>
      </c>
      <c r="X38" s="26">
        <f t="shared" si="45"/>
        <v>0</v>
      </c>
      <c r="Y38" s="26">
        <f t="shared" si="45"/>
        <v>0</v>
      </c>
      <c r="Z38" s="26">
        <f t="shared" si="45"/>
        <v>0</v>
      </c>
      <c r="AA38" s="26">
        <f t="shared" si="45"/>
        <v>0</v>
      </c>
      <c r="AB38" s="26">
        <f t="shared" si="45"/>
        <v>0</v>
      </c>
      <c r="AC38" s="26">
        <f t="shared" si="45"/>
        <v>0</v>
      </c>
      <c r="AD38" s="26">
        <f t="shared" si="45"/>
        <v>0</v>
      </c>
      <c r="AE38" s="26">
        <f t="shared" si="45"/>
        <v>0</v>
      </c>
      <c r="AF38" s="26">
        <f t="shared" si="45"/>
        <v>0</v>
      </c>
      <c r="AG38" s="5">
        <f t="shared" si="38"/>
        <v>0</v>
      </c>
      <c r="AH38" s="28" t="str">
        <f t="shared" si="39"/>
        <v/>
      </c>
      <c r="AI38" s="4"/>
      <c r="AJ38" s="5">
        <f t="shared" si="40"/>
        <v>-352.47</v>
      </c>
    </row>
    <row r="39" ht="13.5" customHeight="1">
      <c r="A39" s="25" t="s">
        <v>63</v>
      </c>
      <c r="B39" s="5">
        <v>0.0</v>
      </c>
      <c r="C39" s="5">
        <v>0.0</v>
      </c>
      <c r="D39" s="5">
        <v>0.0</v>
      </c>
      <c r="E39" s="5">
        <v>0.0</v>
      </c>
      <c r="F39" s="5">
        <v>0.0</v>
      </c>
      <c r="G39" s="5">
        <v>0.0</v>
      </c>
      <c r="H39" s="5">
        <v>0.0</v>
      </c>
      <c r="I39" s="5">
        <v>0.0</v>
      </c>
      <c r="J39" s="27">
        <v>0.0</v>
      </c>
      <c r="K39" s="27">
        <v>0.0</v>
      </c>
      <c r="L39" s="27">
        <v>0.0</v>
      </c>
      <c r="M39" s="27">
        <v>0.0</v>
      </c>
      <c r="N39" s="5">
        <f t="shared" si="36"/>
        <v>0</v>
      </c>
      <c r="O39" s="28" t="str">
        <f t="shared" si="37"/>
        <v/>
      </c>
      <c r="P39" s="5"/>
      <c r="Q39" s="5"/>
      <c r="R39" s="29" t="s">
        <v>34</v>
      </c>
      <c r="S39" s="30">
        <v>0.0</v>
      </c>
      <c r="T39" s="31">
        <v>0.05</v>
      </c>
      <c r="U39" s="26">
        <f t="shared" ref="U39:AF39" si="46">IF($R39="Manual","",IFERROR(IF($R39="YOY Growth",$N39*(1+$T39)/12,$S39/12),""))</f>
        <v>0</v>
      </c>
      <c r="V39" s="26">
        <f t="shared" si="46"/>
        <v>0</v>
      </c>
      <c r="W39" s="26">
        <f t="shared" si="46"/>
        <v>0</v>
      </c>
      <c r="X39" s="26">
        <f t="shared" si="46"/>
        <v>0</v>
      </c>
      <c r="Y39" s="26">
        <f t="shared" si="46"/>
        <v>0</v>
      </c>
      <c r="Z39" s="26">
        <f t="shared" si="46"/>
        <v>0</v>
      </c>
      <c r="AA39" s="26">
        <f t="shared" si="46"/>
        <v>0</v>
      </c>
      <c r="AB39" s="26">
        <f t="shared" si="46"/>
        <v>0</v>
      </c>
      <c r="AC39" s="26">
        <f t="shared" si="46"/>
        <v>0</v>
      </c>
      <c r="AD39" s="26">
        <f t="shared" si="46"/>
        <v>0</v>
      </c>
      <c r="AE39" s="26">
        <f t="shared" si="46"/>
        <v>0</v>
      </c>
      <c r="AF39" s="26">
        <f t="shared" si="46"/>
        <v>0</v>
      </c>
      <c r="AG39" s="5">
        <f t="shared" si="38"/>
        <v>0</v>
      </c>
      <c r="AH39" s="28" t="str">
        <f t="shared" si="39"/>
        <v/>
      </c>
      <c r="AI39" s="4"/>
      <c r="AJ39" s="5">
        <f t="shared" si="40"/>
        <v>0</v>
      </c>
    </row>
    <row r="40" ht="13.5" customHeight="1">
      <c r="A40" s="25" t="s">
        <v>65</v>
      </c>
      <c r="B40" s="5">
        <v>0.0</v>
      </c>
      <c r="C40" s="5">
        <v>0.0</v>
      </c>
      <c r="D40" s="5">
        <v>0.0</v>
      </c>
      <c r="E40" s="5">
        <v>0.0</v>
      </c>
      <c r="F40" s="5">
        <v>0.0</v>
      </c>
      <c r="G40" s="5">
        <v>0.0</v>
      </c>
      <c r="H40" s="5">
        <v>0.0</v>
      </c>
      <c r="I40" s="5">
        <v>0.0</v>
      </c>
      <c r="J40" s="27">
        <v>0.0</v>
      </c>
      <c r="K40" s="27">
        <v>0.0</v>
      </c>
      <c r="L40" s="27">
        <v>0.0</v>
      </c>
      <c r="M40" s="27">
        <v>0.0</v>
      </c>
      <c r="N40" s="5">
        <f t="shared" si="36"/>
        <v>0</v>
      </c>
      <c r="O40" s="28" t="str">
        <f t="shared" si="37"/>
        <v/>
      </c>
      <c r="P40" s="5"/>
      <c r="Q40" s="5"/>
      <c r="R40" s="29" t="s">
        <v>34</v>
      </c>
      <c r="S40" s="30">
        <v>0.0</v>
      </c>
      <c r="T40" s="31">
        <v>0.05</v>
      </c>
      <c r="U40" s="26">
        <f t="shared" ref="U40:AF40" si="47">IF($R40="Manual","",IFERROR(IF($R40="YOY Growth",$N40*(1+$T40)/12,$S40/12),""))</f>
        <v>0</v>
      </c>
      <c r="V40" s="26">
        <f t="shared" si="47"/>
        <v>0</v>
      </c>
      <c r="W40" s="26">
        <f t="shared" si="47"/>
        <v>0</v>
      </c>
      <c r="X40" s="26">
        <f t="shared" si="47"/>
        <v>0</v>
      </c>
      <c r="Y40" s="26">
        <f t="shared" si="47"/>
        <v>0</v>
      </c>
      <c r="Z40" s="26">
        <f t="shared" si="47"/>
        <v>0</v>
      </c>
      <c r="AA40" s="26">
        <f t="shared" si="47"/>
        <v>0</v>
      </c>
      <c r="AB40" s="26">
        <f t="shared" si="47"/>
        <v>0</v>
      </c>
      <c r="AC40" s="26">
        <f t="shared" si="47"/>
        <v>0</v>
      </c>
      <c r="AD40" s="26">
        <f t="shared" si="47"/>
        <v>0</v>
      </c>
      <c r="AE40" s="26">
        <f t="shared" si="47"/>
        <v>0</v>
      </c>
      <c r="AF40" s="26">
        <f t="shared" si="47"/>
        <v>0</v>
      </c>
      <c r="AG40" s="5">
        <f t="shared" si="38"/>
        <v>0</v>
      </c>
      <c r="AH40" s="28" t="str">
        <f t="shared" si="39"/>
        <v/>
      </c>
      <c r="AI40" s="4"/>
      <c r="AJ40" s="5">
        <f t="shared" si="40"/>
        <v>0</v>
      </c>
    </row>
    <row r="41" ht="13.5" customHeight="1">
      <c r="A41" s="25" t="s">
        <v>66</v>
      </c>
      <c r="B41" s="5">
        <v>0.0</v>
      </c>
      <c r="C41" s="5">
        <v>0.0</v>
      </c>
      <c r="D41" s="5">
        <v>0.0</v>
      </c>
      <c r="E41" s="5">
        <v>0.0</v>
      </c>
      <c r="F41" s="5">
        <v>0.0</v>
      </c>
      <c r="G41" s="5">
        <v>0.0</v>
      </c>
      <c r="H41" s="5">
        <v>0.0</v>
      </c>
      <c r="I41" s="5">
        <v>0.0</v>
      </c>
      <c r="J41" s="27"/>
      <c r="K41" s="27"/>
      <c r="L41" s="27"/>
      <c r="M41" s="27"/>
      <c r="N41" s="5">
        <f t="shared" si="36"/>
        <v>0</v>
      </c>
      <c r="O41" s="28" t="str">
        <f t="shared" si="37"/>
        <v/>
      </c>
      <c r="P41" s="5"/>
      <c r="Q41" s="5"/>
      <c r="R41" s="29" t="s">
        <v>34</v>
      </c>
      <c r="S41" s="30">
        <v>0.0</v>
      </c>
      <c r="T41" s="31">
        <v>0.05</v>
      </c>
      <c r="U41" s="26">
        <f t="shared" ref="U41:AF41" si="48">IF($R41="Manual","",IFERROR(IF($R41="YOY Growth",$N41*(1+$T41)/12,$S41/12),""))</f>
        <v>0</v>
      </c>
      <c r="V41" s="26">
        <f t="shared" si="48"/>
        <v>0</v>
      </c>
      <c r="W41" s="26">
        <f t="shared" si="48"/>
        <v>0</v>
      </c>
      <c r="X41" s="26">
        <f t="shared" si="48"/>
        <v>0</v>
      </c>
      <c r="Y41" s="26">
        <f t="shared" si="48"/>
        <v>0</v>
      </c>
      <c r="Z41" s="26">
        <f t="shared" si="48"/>
        <v>0</v>
      </c>
      <c r="AA41" s="26">
        <f t="shared" si="48"/>
        <v>0</v>
      </c>
      <c r="AB41" s="26">
        <f t="shared" si="48"/>
        <v>0</v>
      </c>
      <c r="AC41" s="26">
        <f t="shared" si="48"/>
        <v>0</v>
      </c>
      <c r="AD41" s="26">
        <f t="shared" si="48"/>
        <v>0</v>
      </c>
      <c r="AE41" s="26">
        <f t="shared" si="48"/>
        <v>0</v>
      </c>
      <c r="AF41" s="26">
        <f t="shared" si="48"/>
        <v>0</v>
      </c>
      <c r="AG41" s="5">
        <f t="shared" si="38"/>
        <v>0</v>
      </c>
      <c r="AH41" s="28" t="str">
        <f t="shared" si="39"/>
        <v/>
      </c>
      <c r="AI41" s="4"/>
      <c r="AJ41" s="5">
        <f t="shared" si="40"/>
        <v>0</v>
      </c>
    </row>
    <row r="42" ht="13.5" customHeight="1">
      <c r="A42" s="25" t="s">
        <v>67</v>
      </c>
      <c r="B42" s="5">
        <v>0.0</v>
      </c>
      <c r="C42" s="5">
        <v>0.0</v>
      </c>
      <c r="D42" s="5">
        <v>0.0</v>
      </c>
      <c r="E42" s="5">
        <v>0.0</v>
      </c>
      <c r="F42" s="5">
        <v>0.0</v>
      </c>
      <c r="G42" s="5">
        <v>0.0</v>
      </c>
      <c r="H42" s="5">
        <v>0.0</v>
      </c>
      <c r="I42" s="5">
        <v>0.0</v>
      </c>
      <c r="J42" s="27">
        <v>0.0</v>
      </c>
      <c r="K42" s="27">
        <v>0.0</v>
      </c>
      <c r="L42" s="27">
        <v>0.0</v>
      </c>
      <c r="M42" s="27">
        <v>0.0</v>
      </c>
      <c r="N42" s="5">
        <f t="shared" si="36"/>
        <v>0</v>
      </c>
      <c r="O42" s="28" t="str">
        <f t="shared" si="37"/>
        <v/>
      </c>
      <c r="P42" s="5"/>
      <c r="Q42" s="5"/>
      <c r="R42" s="29" t="s">
        <v>34</v>
      </c>
      <c r="S42" s="30">
        <v>0.0</v>
      </c>
      <c r="T42" s="31">
        <v>0.05</v>
      </c>
      <c r="U42" s="26">
        <f t="shared" ref="U42:AF42" si="49">IF($R42="Manual","",IFERROR(IF($R42="YOY Growth",$N42*(1+$T42)/12,$S42/12),""))</f>
        <v>0</v>
      </c>
      <c r="V42" s="26">
        <f t="shared" si="49"/>
        <v>0</v>
      </c>
      <c r="W42" s="26">
        <f t="shared" si="49"/>
        <v>0</v>
      </c>
      <c r="X42" s="26">
        <f t="shared" si="49"/>
        <v>0</v>
      </c>
      <c r="Y42" s="26">
        <f t="shared" si="49"/>
        <v>0</v>
      </c>
      <c r="Z42" s="26">
        <f t="shared" si="49"/>
        <v>0</v>
      </c>
      <c r="AA42" s="26">
        <f t="shared" si="49"/>
        <v>0</v>
      </c>
      <c r="AB42" s="26">
        <f t="shared" si="49"/>
        <v>0</v>
      </c>
      <c r="AC42" s="26">
        <f t="shared" si="49"/>
        <v>0</v>
      </c>
      <c r="AD42" s="26">
        <f t="shared" si="49"/>
        <v>0</v>
      </c>
      <c r="AE42" s="26">
        <f t="shared" si="49"/>
        <v>0</v>
      </c>
      <c r="AF42" s="26">
        <f t="shared" si="49"/>
        <v>0</v>
      </c>
      <c r="AG42" s="5">
        <f t="shared" si="38"/>
        <v>0</v>
      </c>
      <c r="AH42" s="28" t="str">
        <f t="shared" si="39"/>
        <v/>
      </c>
      <c r="AI42" s="4"/>
      <c r="AJ42" s="5">
        <f t="shared" si="40"/>
        <v>0</v>
      </c>
    </row>
    <row r="43" ht="13.5" customHeight="1">
      <c r="A43" s="24" t="s">
        <v>68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28"/>
      <c r="P43" s="5"/>
      <c r="Q43" s="5"/>
      <c r="R43" s="36"/>
      <c r="S43" s="36"/>
      <c r="T43" s="36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28"/>
      <c r="AI43" s="4"/>
      <c r="AJ43" s="5"/>
    </row>
    <row r="44" ht="13.5" customHeight="1">
      <c r="A44" s="25" t="s">
        <v>69</v>
      </c>
      <c r="B44" s="5">
        <v>0.0</v>
      </c>
      <c r="C44" s="5">
        <v>0.0</v>
      </c>
      <c r="D44" s="5">
        <v>0.0</v>
      </c>
      <c r="E44" s="5">
        <v>0.0</v>
      </c>
      <c r="F44" s="5">
        <v>19808.0</v>
      </c>
      <c r="G44" s="5">
        <v>10009.0</v>
      </c>
      <c r="H44" s="5">
        <v>10968.52</v>
      </c>
      <c r="I44" s="5">
        <v>6116.47</v>
      </c>
      <c r="J44" s="27">
        <v>40350.0</v>
      </c>
      <c r="K44" s="27">
        <v>44270.0</v>
      </c>
      <c r="L44" s="27">
        <v>48190.0</v>
      </c>
      <c r="M44" s="27">
        <v>52110.0</v>
      </c>
      <c r="N44" s="5">
        <f t="shared" ref="N44:N50" si="51">SUM(B44:M44)</f>
        <v>231821.99</v>
      </c>
      <c r="O44" s="28" t="str">
        <f t="shared" ref="O44:O50" si="52">IFERROR(N44/N$16,"")</f>
        <v/>
      </c>
      <c r="P44" s="5"/>
      <c r="Q44" s="5"/>
      <c r="R44" s="29" t="s">
        <v>34</v>
      </c>
      <c r="S44" s="30"/>
      <c r="T44" s="31">
        <v>0.05</v>
      </c>
      <c r="U44" s="26">
        <f t="shared" ref="U44:AF44" si="50">IF($R44="Manual","",IFERROR(IF($R44="YOY Growth",$N44*(1+$T44)/12,$S44/12),""))</f>
        <v>0</v>
      </c>
      <c r="V44" s="26">
        <f t="shared" si="50"/>
        <v>0</v>
      </c>
      <c r="W44" s="26">
        <f t="shared" si="50"/>
        <v>0</v>
      </c>
      <c r="X44" s="26">
        <f t="shared" si="50"/>
        <v>0</v>
      </c>
      <c r="Y44" s="26">
        <f t="shared" si="50"/>
        <v>0</v>
      </c>
      <c r="Z44" s="26">
        <f t="shared" si="50"/>
        <v>0</v>
      </c>
      <c r="AA44" s="26">
        <f t="shared" si="50"/>
        <v>0</v>
      </c>
      <c r="AB44" s="26">
        <f t="shared" si="50"/>
        <v>0</v>
      </c>
      <c r="AC44" s="26">
        <f t="shared" si="50"/>
        <v>0</v>
      </c>
      <c r="AD44" s="26">
        <f t="shared" si="50"/>
        <v>0</v>
      </c>
      <c r="AE44" s="26">
        <f t="shared" si="50"/>
        <v>0</v>
      </c>
      <c r="AF44" s="26">
        <f t="shared" si="50"/>
        <v>0</v>
      </c>
      <c r="AG44" s="5">
        <f t="shared" ref="AG44:AG50" si="54">SUM(U44:AF44)</f>
        <v>0</v>
      </c>
      <c r="AH44" s="28" t="str">
        <f t="shared" ref="AH44:AH50" si="55">IFERROR(AG44/AG$16,"")</f>
        <v/>
      </c>
      <c r="AI44" s="4"/>
      <c r="AJ44" s="5">
        <f t="shared" ref="AJ44:AJ50" si="56">N44-AG44</f>
        <v>231821.99</v>
      </c>
    </row>
    <row r="45" ht="13.5" customHeight="1">
      <c r="A45" s="25" t="s">
        <v>70</v>
      </c>
      <c r="B45" s="5">
        <v>5823.29</v>
      </c>
      <c r="C45" s="5">
        <v>256.47</v>
      </c>
      <c r="D45" s="5">
        <v>1327.17</v>
      </c>
      <c r="E45" s="5">
        <v>6164.18</v>
      </c>
      <c r="F45" s="5">
        <v>4983.81</v>
      </c>
      <c r="G45" s="5">
        <v>7888.65</v>
      </c>
      <c r="H45" s="5">
        <v>14179.16</v>
      </c>
      <c r="I45" s="5">
        <v>11260.12</v>
      </c>
      <c r="J45" s="27">
        <v>5750.0</v>
      </c>
      <c r="K45" s="27">
        <v>6000.0</v>
      </c>
      <c r="L45" s="27">
        <v>6250.0</v>
      </c>
      <c r="M45" s="27">
        <v>6500.0</v>
      </c>
      <c r="N45" s="5">
        <f t="shared" si="51"/>
        <v>76382.85</v>
      </c>
      <c r="O45" s="28" t="str">
        <f t="shared" si="52"/>
        <v/>
      </c>
      <c r="P45" s="5"/>
      <c r="Q45" s="5"/>
      <c r="R45" s="29" t="s">
        <v>34</v>
      </c>
      <c r="S45" s="30">
        <v>0.0</v>
      </c>
      <c r="T45" s="31">
        <v>0.05</v>
      </c>
      <c r="U45" s="26">
        <f t="shared" ref="U45:AF45" si="53">IF($R45="Manual","",IFERROR(IF($R45="YOY Growth",$N45*(1+$T45)/12,$S45/12),""))</f>
        <v>0</v>
      </c>
      <c r="V45" s="26">
        <f t="shared" si="53"/>
        <v>0</v>
      </c>
      <c r="W45" s="26">
        <f t="shared" si="53"/>
        <v>0</v>
      </c>
      <c r="X45" s="26">
        <f t="shared" si="53"/>
        <v>0</v>
      </c>
      <c r="Y45" s="26">
        <f t="shared" si="53"/>
        <v>0</v>
      </c>
      <c r="Z45" s="26">
        <f t="shared" si="53"/>
        <v>0</v>
      </c>
      <c r="AA45" s="26">
        <f t="shared" si="53"/>
        <v>0</v>
      </c>
      <c r="AB45" s="26">
        <f t="shared" si="53"/>
        <v>0</v>
      </c>
      <c r="AC45" s="26">
        <f t="shared" si="53"/>
        <v>0</v>
      </c>
      <c r="AD45" s="26">
        <f t="shared" si="53"/>
        <v>0</v>
      </c>
      <c r="AE45" s="26">
        <f t="shared" si="53"/>
        <v>0</v>
      </c>
      <c r="AF45" s="26">
        <f t="shared" si="53"/>
        <v>0</v>
      </c>
      <c r="AG45" s="5">
        <f t="shared" si="54"/>
        <v>0</v>
      </c>
      <c r="AH45" s="28" t="str">
        <f t="shared" si="55"/>
        <v/>
      </c>
      <c r="AI45" s="4"/>
      <c r="AJ45" s="5">
        <f t="shared" si="56"/>
        <v>76382.85</v>
      </c>
    </row>
    <row r="46" ht="13.5" customHeight="1">
      <c r="A46" s="25" t="s">
        <v>71</v>
      </c>
      <c r="B46" s="5">
        <v>1378.29</v>
      </c>
      <c r="C46" s="5">
        <v>1054.59</v>
      </c>
      <c r="D46" s="5">
        <v>2655.82</v>
      </c>
      <c r="E46" s="5">
        <v>0.0</v>
      </c>
      <c r="F46" s="5">
        <v>1059.27</v>
      </c>
      <c r="G46" s="5">
        <v>334.92</v>
      </c>
      <c r="H46" s="5">
        <v>1237.14</v>
      </c>
      <c r="I46" s="5">
        <v>9400.74</v>
      </c>
      <c r="J46" s="27">
        <v>1500.0</v>
      </c>
      <c r="K46" s="27">
        <v>1500.0</v>
      </c>
      <c r="L46" s="27">
        <v>1500.0</v>
      </c>
      <c r="M46" s="27">
        <v>1500.0</v>
      </c>
      <c r="N46" s="5">
        <f t="shared" si="51"/>
        <v>23120.77</v>
      </c>
      <c r="O46" s="28" t="str">
        <f t="shared" si="52"/>
        <v/>
      </c>
      <c r="P46" s="5"/>
      <c r="Q46" s="5"/>
      <c r="R46" s="29" t="s">
        <v>34</v>
      </c>
      <c r="S46" s="30">
        <v>0.0</v>
      </c>
      <c r="T46" s="31">
        <v>0.05</v>
      </c>
      <c r="U46" s="26">
        <f t="shared" ref="U46:AF46" si="57">IF($R46="Manual","",IFERROR(IF($R46="YOY Growth",$N46*(1+$T46)/12,$S46/12),""))</f>
        <v>0</v>
      </c>
      <c r="V46" s="26">
        <f t="shared" si="57"/>
        <v>0</v>
      </c>
      <c r="W46" s="26">
        <f t="shared" si="57"/>
        <v>0</v>
      </c>
      <c r="X46" s="26">
        <f t="shared" si="57"/>
        <v>0</v>
      </c>
      <c r="Y46" s="26">
        <f t="shared" si="57"/>
        <v>0</v>
      </c>
      <c r="Z46" s="26">
        <f t="shared" si="57"/>
        <v>0</v>
      </c>
      <c r="AA46" s="26">
        <f t="shared" si="57"/>
        <v>0</v>
      </c>
      <c r="AB46" s="26">
        <f t="shared" si="57"/>
        <v>0</v>
      </c>
      <c r="AC46" s="26">
        <f t="shared" si="57"/>
        <v>0</v>
      </c>
      <c r="AD46" s="26">
        <f t="shared" si="57"/>
        <v>0</v>
      </c>
      <c r="AE46" s="26">
        <f t="shared" si="57"/>
        <v>0</v>
      </c>
      <c r="AF46" s="26">
        <f t="shared" si="57"/>
        <v>0</v>
      </c>
      <c r="AG46" s="5">
        <f t="shared" si="54"/>
        <v>0</v>
      </c>
      <c r="AH46" s="28" t="str">
        <f t="shared" si="55"/>
        <v/>
      </c>
      <c r="AI46" s="4"/>
      <c r="AJ46" s="5">
        <f t="shared" si="56"/>
        <v>23120.77</v>
      </c>
    </row>
    <row r="47" ht="13.5" customHeight="1">
      <c r="A47" s="25" t="s">
        <v>72</v>
      </c>
      <c r="B47" s="5">
        <v>13329.1</v>
      </c>
      <c r="C47" s="5">
        <v>5064.23</v>
      </c>
      <c r="D47" s="5">
        <v>58626.27</v>
      </c>
      <c r="E47" s="5">
        <v>12810.6</v>
      </c>
      <c r="F47" s="5">
        <v>28158.41</v>
      </c>
      <c r="G47" s="5">
        <v>19000.31</v>
      </c>
      <c r="H47" s="5">
        <v>10810.67</v>
      </c>
      <c r="I47" s="5">
        <v>-8095.66</v>
      </c>
      <c r="J47" s="27">
        <v>28000.0</v>
      </c>
      <c r="K47" s="27">
        <v>28000.0</v>
      </c>
      <c r="L47" s="27">
        <v>30000.0</v>
      </c>
      <c r="M47" s="27">
        <v>30000.0</v>
      </c>
      <c r="N47" s="5">
        <f t="shared" si="51"/>
        <v>255703.93</v>
      </c>
      <c r="O47" s="28" t="str">
        <f t="shared" si="52"/>
        <v/>
      </c>
      <c r="P47" s="5"/>
      <c r="Q47" s="5"/>
      <c r="R47" s="29" t="s">
        <v>34</v>
      </c>
      <c r="S47" s="30">
        <v>0.0</v>
      </c>
      <c r="T47" s="31">
        <v>0.05</v>
      </c>
      <c r="U47" s="26">
        <f t="shared" ref="U47:AF47" si="58">IF($R47="Manual","",IFERROR(IF($R47="YOY Growth",$N47*(1+$T47)/12,$S47/12),""))</f>
        <v>0</v>
      </c>
      <c r="V47" s="26">
        <f t="shared" si="58"/>
        <v>0</v>
      </c>
      <c r="W47" s="26">
        <f t="shared" si="58"/>
        <v>0</v>
      </c>
      <c r="X47" s="26">
        <f t="shared" si="58"/>
        <v>0</v>
      </c>
      <c r="Y47" s="26">
        <f t="shared" si="58"/>
        <v>0</v>
      </c>
      <c r="Z47" s="26">
        <f t="shared" si="58"/>
        <v>0</v>
      </c>
      <c r="AA47" s="26">
        <f t="shared" si="58"/>
        <v>0</v>
      </c>
      <c r="AB47" s="26">
        <f t="shared" si="58"/>
        <v>0</v>
      </c>
      <c r="AC47" s="26">
        <f t="shared" si="58"/>
        <v>0</v>
      </c>
      <c r="AD47" s="26">
        <f t="shared" si="58"/>
        <v>0</v>
      </c>
      <c r="AE47" s="26">
        <f t="shared" si="58"/>
        <v>0</v>
      </c>
      <c r="AF47" s="26">
        <f t="shared" si="58"/>
        <v>0</v>
      </c>
      <c r="AG47" s="5">
        <f t="shared" si="54"/>
        <v>0</v>
      </c>
      <c r="AH47" s="28" t="str">
        <f t="shared" si="55"/>
        <v/>
      </c>
      <c r="AI47" s="4"/>
      <c r="AJ47" s="5">
        <f t="shared" si="56"/>
        <v>255703.93</v>
      </c>
    </row>
    <row r="48" ht="13.5" customHeight="1">
      <c r="A48" s="25" t="s">
        <v>73</v>
      </c>
      <c r="B48" s="5">
        <v>1000.0</v>
      </c>
      <c r="C48" s="5">
        <v>3800.0</v>
      </c>
      <c r="D48" s="5">
        <v>4120.0</v>
      </c>
      <c r="E48" s="5">
        <v>2500.0</v>
      </c>
      <c r="F48" s="5">
        <v>2680.0</v>
      </c>
      <c r="G48" s="5">
        <v>2560.0</v>
      </c>
      <c r="H48" s="5">
        <v>1240.0</v>
      </c>
      <c r="I48" s="5">
        <v>1060.0</v>
      </c>
      <c r="J48" s="27">
        <v>3000.0</v>
      </c>
      <c r="K48" s="27">
        <v>3000.0</v>
      </c>
      <c r="L48" s="27">
        <v>3000.0</v>
      </c>
      <c r="M48" s="27">
        <v>3000.0</v>
      </c>
      <c r="N48" s="5">
        <f t="shared" si="51"/>
        <v>30960</v>
      </c>
      <c r="O48" s="28" t="str">
        <f t="shared" si="52"/>
        <v/>
      </c>
      <c r="P48" s="5"/>
      <c r="Q48" s="5"/>
      <c r="R48" s="29" t="s">
        <v>34</v>
      </c>
      <c r="S48" s="30">
        <v>0.0</v>
      </c>
      <c r="T48" s="31">
        <v>0.05</v>
      </c>
      <c r="U48" s="26">
        <f t="shared" ref="U48:AF48" si="59">IF($R48="Manual","",IFERROR(IF($R48="YOY Growth",$N48*(1+$T48)/12,$S48/12),""))</f>
        <v>0</v>
      </c>
      <c r="V48" s="26">
        <f t="shared" si="59"/>
        <v>0</v>
      </c>
      <c r="W48" s="26">
        <f t="shared" si="59"/>
        <v>0</v>
      </c>
      <c r="X48" s="26">
        <f t="shared" si="59"/>
        <v>0</v>
      </c>
      <c r="Y48" s="26">
        <f t="shared" si="59"/>
        <v>0</v>
      </c>
      <c r="Z48" s="26">
        <f t="shared" si="59"/>
        <v>0</v>
      </c>
      <c r="AA48" s="26">
        <f t="shared" si="59"/>
        <v>0</v>
      </c>
      <c r="AB48" s="26">
        <f t="shared" si="59"/>
        <v>0</v>
      </c>
      <c r="AC48" s="26">
        <f t="shared" si="59"/>
        <v>0</v>
      </c>
      <c r="AD48" s="26">
        <f t="shared" si="59"/>
        <v>0</v>
      </c>
      <c r="AE48" s="26">
        <f t="shared" si="59"/>
        <v>0</v>
      </c>
      <c r="AF48" s="26">
        <f t="shared" si="59"/>
        <v>0</v>
      </c>
      <c r="AG48" s="5">
        <f t="shared" si="54"/>
        <v>0</v>
      </c>
      <c r="AH48" s="28" t="str">
        <f t="shared" si="55"/>
        <v/>
      </c>
      <c r="AI48" s="4"/>
      <c r="AJ48" s="5">
        <f t="shared" si="56"/>
        <v>30960</v>
      </c>
    </row>
    <row r="49" ht="13.5" customHeight="1">
      <c r="A49" s="25" t="s">
        <v>74</v>
      </c>
      <c r="B49" s="5">
        <v>1900.25</v>
      </c>
      <c r="C49" s="5">
        <v>1371.12</v>
      </c>
      <c r="D49" s="5">
        <v>616.4</v>
      </c>
      <c r="E49" s="5">
        <v>579.5</v>
      </c>
      <c r="F49" s="5">
        <v>7011.68</v>
      </c>
      <c r="G49" s="5">
        <v>4314.54</v>
      </c>
      <c r="H49" s="5">
        <v>2792.06</v>
      </c>
      <c r="I49" s="5">
        <v>8642.38</v>
      </c>
      <c r="J49" s="27">
        <v>5000.0</v>
      </c>
      <c r="K49" s="27">
        <v>5000.0</v>
      </c>
      <c r="L49" s="27">
        <v>4000.0</v>
      </c>
      <c r="M49" s="27">
        <v>4000.0</v>
      </c>
      <c r="N49" s="5">
        <f t="shared" si="51"/>
        <v>45227.93</v>
      </c>
      <c r="O49" s="28" t="str">
        <f t="shared" si="52"/>
        <v/>
      </c>
      <c r="P49" s="5"/>
      <c r="Q49" s="5"/>
      <c r="R49" s="29" t="s">
        <v>34</v>
      </c>
      <c r="S49" s="30">
        <v>0.0</v>
      </c>
      <c r="T49" s="31">
        <v>0.05</v>
      </c>
      <c r="U49" s="26">
        <f t="shared" ref="U49:AF49" si="60">IF($R49="Manual","",IFERROR(IF($R49="YOY Growth",$N49*(1+$T49)/12,$S49/12),""))</f>
        <v>0</v>
      </c>
      <c r="V49" s="26">
        <f t="shared" si="60"/>
        <v>0</v>
      </c>
      <c r="W49" s="26">
        <f t="shared" si="60"/>
        <v>0</v>
      </c>
      <c r="X49" s="26">
        <f t="shared" si="60"/>
        <v>0</v>
      </c>
      <c r="Y49" s="26">
        <f t="shared" si="60"/>
        <v>0</v>
      </c>
      <c r="Z49" s="26">
        <f t="shared" si="60"/>
        <v>0</v>
      </c>
      <c r="AA49" s="26">
        <f t="shared" si="60"/>
        <v>0</v>
      </c>
      <c r="AB49" s="26">
        <f t="shared" si="60"/>
        <v>0</v>
      </c>
      <c r="AC49" s="26">
        <f t="shared" si="60"/>
        <v>0</v>
      </c>
      <c r="AD49" s="26">
        <f t="shared" si="60"/>
        <v>0</v>
      </c>
      <c r="AE49" s="26">
        <f t="shared" si="60"/>
        <v>0</v>
      </c>
      <c r="AF49" s="26">
        <f t="shared" si="60"/>
        <v>0</v>
      </c>
      <c r="AG49" s="5">
        <f t="shared" si="54"/>
        <v>0</v>
      </c>
      <c r="AH49" s="28" t="str">
        <f t="shared" si="55"/>
        <v/>
      </c>
      <c r="AI49" s="4"/>
      <c r="AJ49" s="5">
        <f t="shared" si="56"/>
        <v>45227.93</v>
      </c>
    </row>
    <row r="50" ht="13.5" customHeight="1">
      <c r="A50" s="25" t="s">
        <v>75</v>
      </c>
      <c r="B50" s="5">
        <v>0.0</v>
      </c>
      <c r="C50" s="5">
        <v>121.5</v>
      </c>
      <c r="D50" s="5">
        <v>0.0</v>
      </c>
      <c r="E50" s="5">
        <v>0.0</v>
      </c>
      <c r="F50" s="5">
        <v>18.64</v>
      </c>
      <c r="G50" s="5">
        <v>0.0</v>
      </c>
      <c r="H50" s="5">
        <v>0.0</v>
      </c>
      <c r="I50" s="5">
        <v>0.0</v>
      </c>
      <c r="J50" s="27">
        <v>150.0</v>
      </c>
      <c r="K50" s="27">
        <v>150.0</v>
      </c>
      <c r="L50" s="27">
        <v>150.0</v>
      </c>
      <c r="M50" s="27">
        <v>150.0</v>
      </c>
      <c r="N50" s="5">
        <f t="shared" si="51"/>
        <v>740.14</v>
      </c>
      <c r="O50" s="28" t="str">
        <f t="shared" si="52"/>
        <v/>
      </c>
      <c r="P50" s="5"/>
      <c r="Q50" s="5"/>
      <c r="R50" s="29" t="s">
        <v>34</v>
      </c>
      <c r="S50" s="30">
        <v>0.0</v>
      </c>
      <c r="T50" s="31">
        <v>0.05</v>
      </c>
      <c r="U50" s="26">
        <f t="shared" ref="U50:AF50" si="61">IF($R50="Manual","",IFERROR(IF($R50="YOY Growth",$N50*(1+$T50)/12,$S50/12),""))</f>
        <v>0</v>
      </c>
      <c r="V50" s="26">
        <f t="shared" si="61"/>
        <v>0</v>
      </c>
      <c r="W50" s="26">
        <f t="shared" si="61"/>
        <v>0</v>
      </c>
      <c r="X50" s="26">
        <f t="shared" si="61"/>
        <v>0</v>
      </c>
      <c r="Y50" s="26">
        <f t="shared" si="61"/>
        <v>0</v>
      </c>
      <c r="Z50" s="26">
        <f t="shared" si="61"/>
        <v>0</v>
      </c>
      <c r="AA50" s="26">
        <f t="shared" si="61"/>
        <v>0</v>
      </c>
      <c r="AB50" s="26">
        <f t="shared" si="61"/>
        <v>0</v>
      </c>
      <c r="AC50" s="26">
        <f t="shared" si="61"/>
        <v>0</v>
      </c>
      <c r="AD50" s="26">
        <f t="shared" si="61"/>
        <v>0</v>
      </c>
      <c r="AE50" s="26">
        <f t="shared" si="61"/>
        <v>0</v>
      </c>
      <c r="AF50" s="26">
        <f t="shared" si="61"/>
        <v>0</v>
      </c>
      <c r="AG50" s="5">
        <f t="shared" si="54"/>
        <v>0</v>
      </c>
      <c r="AH50" s="28" t="str">
        <f t="shared" si="55"/>
        <v/>
      </c>
      <c r="AI50" s="4"/>
      <c r="AJ50" s="5">
        <f t="shared" si="56"/>
        <v>740.14</v>
      </c>
    </row>
    <row r="51" ht="13.5" customHeight="1">
      <c r="A51" s="24" t="s">
        <v>76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28"/>
      <c r="P51" s="5"/>
      <c r="Q51" s="5"/>
      <c r="R51" s="36"/>
      <c r="S51" s="36"/>
      <c r="T51" s="36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28"/>
      <c r="AI51" s="4"/>
      <c r="AJ51" s="5"/>
    </row>
    <row r="52" ht="13.5" customHeight="1">
      <c r="A52" s="25" t="s">
        <v>77</v>
      </c>
      <c r="B52" s="5">
        <v>41771.03</v>
      </c>
      <c r="C52" s="5">
        <v>27453.8</v>
      </c>
      <c r="D52" s="5">
        <v>55703.48</v>
      </c>
      <c r="E52" s="5">
        <v>77202.08</v>
      </c>
      <c r="F52" s="5">
        <v>72865.8</v>
      </c>
      <c r="G52" s="5">
        <v>64701.68</v>
      </c>
      <c r="H52" s="5">
        <v>82139.24</v>
      </c>
      <c r="I52" s="5">
        <v>79454.55</v>
      </c>
      <c r="J52" s="27">
        <v>90000.0</v>
      </c>
      <c r="K52" s="27">
        <v>92700.0</v>
      </c>
      <c r="L52" s="27">
        <v>95800.0</v>
      </c>
      <c r="M52" s="27">
        <v>96900.0</v>
      </c>
      <c r="N52" s="5">
        <f t="shared" ref="N52:N56" si="62">SUM(B52:M52)</f>
        <v>876691.66</v>
      </c>
      <c r="O52" s="28" t="str">
        <f t="shared" ref="O52:O56" si="63">IFERROR(N52/N$16,"")</f>
        <v/>
      </c>
      <c r="P52" s="5"/>
      <c r="Q52" s="5"/>
      <c r="R52" s="43"/>
      <c r="S52" s="43"/>
      <c r="T52" s="43"/>
      <c r="U52" s="43">
        <v>90012.58333333334</v>
      </c>
      <c r="V52" s="43">
        <v>90012.58333333334</v>
      </c>
      <c r="W52" s="43">
        <v>90012.58333333334</v>
      </c>
      <c r="X52" s="43">
        <v>90012.58333333334</v>
      </c>
      <c r="Y52" s="43">
        <v>90012.58333333334</v>
      </c>
      <c r="Z52" s="43">
        <v>90012.58333333334</v>
      </c>
      <c r="AA52" s="43">
        <v>90012.58333333334</v>
      </c>
      <c r="AB52" s="43">
        <v>90012.58333333334</v>
      </c>
      <c r="AC52" s="43">
        <v>90012.58333333334</v>
      </c>
      <c r="AD52" s="43">
        <v>92712.96083333335</v>
      </c>
      <c r="AE52" s="43">
        <v>92712.96083333335</v>
      </c>
      <c r="AF52" s="43">
        <v>92712.96083333335</v>
      </c>
      <c r="AG52" s="5">
        <f t="shared" ref="AG52:AG56" si="64">SUM(U52:AF52)</f>
        <v>1088252.133</v>
      </c>
      <c r="AH52" s="28" t="str">
        <f t="shared" ref="AH52:AH56" si="65">IFERROR(AG52/AG$16,"")</f>
        <v/>
      </c>
      <c r="AI52" s="4"/>
      <c r="AJ52" s="5">
        <f t="shared" ref="AJ52:AJ56" si="66">N52-AG52</f>
        <v>-211560.4725</v>
      </c>
    </row>
    <row r="53" ht="13.5" customHeight="1">
      <c r="A53" s="25" t="s">
        <v>78</v>
      </c>
      <c r="B53" s="5">
        <v>3714.57</v>
      </c>
      <c r="C53" s="5">
        <v>3251.23</v>
      </c>
      <c r="D53" s="5">
        <v>3711.25</v>
      </c>
      <c r="E53" s="5">
        <v>5152.42</v>
      </c>
      <c r="F53" s="5">
        <v>4827.71</v>
      </c>
      <c r="G53" s="5">
        <v>4403.72</v>
      </c>
      <c r="H53" s="5">
        <v>5573.24</v>
      </c>
      <c r="I53" s="5">
        <v>5853.77</v>
      </c>
      <c r="J53" s="27">
        <v>5850.0</v>
      </c>
      <c r="K53" s="27">
        <v>6026.0</v>
      </c>
      <c r="L53" s="27">
        <v>6227.0</v>
      </c>
      <c r="M53" s="27">
        <v>6299.0</v>
      </c>
      <c r="N53" s="5">
        <f t="shared" si="62"/>
        <v>60889.91</v>
      </c>
      <c r="O53" s="28" t="str">
        <f t="shared" si="63"/>
        <v/>
      </c>
      <c r="P53" s="5"/>
      <c r="Q53" s="5"/>
      <c r="R53" s="43"/>
      <c r="S53" s="43"/>
      <c r="T53" s="43"/>
      <c r="U53" s="43">
        <v>6163.243351003724</v>
      </c>
      <c r="V53" s="43">
        <v>6163.243351003724</v>
      </c>
      <c r="W53" s="43">
        <v>6163.243351003724</v>
      </c>
      <c r="X53" s="43">
        <v>6163.243351003724</v>
      </c>
      <c r="Y53" s="43">
        <v>6163.243351003724</v>
      </c>
      <c r="Z53" s="43">
        <v>6163.243351003724</v>
      </c>
      <c r="AA53" s="43">
        <v>6163.243351003724</v>
      </c>
      <c r="AB53" s="43">
        <v>6163.243351003724</v>
      </c>
      <c r="AC53" s="43">
        <v>6163.243351003724</v>
      </c>
      <c r="AD53" s="43">
        <v>6348.140651533835</v>
      </c>
      <c r="AE53" s="43">
        <v>6348.140651533835</v>
      </c>
      <c r="AF53" s="43">
        <v>6348.140651533835</v>
      </c>
      <c r="AG53" s="5">
        <f t="shared" si="64"/>
        <v>74513.61211</v>
      </c>
      <c r="AH53" s="28" t="str">
        <f t="shared" si="65"/>
        <v/>
      </c>
      <c r="AI53" s="4"/>
      <c r="AJ53" s="5">
        <f t="shared" si="66"/>
        <v>-13623.70211</v>
      </c>
    </row>
    <row r="54" ht="13.5" customHeight="1">
      <c r="A54" s="25" t="s">
        <v>79</v>
      </c>
      <c r="B54" s="5">
        <v>30690.72</v>
      </c>
      <c r="C54" s="5">
        <v>21236.59</v>
      </c>
      <c r="D54" s="5">
        <v>9448.65</v>
      </c>
      <c r="E54" s="5">
        <v>12493.8</v>
      </c>
      <c r="F54" s="5">
        <v>12115.76</v>
      </c>
      <c r="G54" s="5">
        <v>16324.25</v>
      </c>
      <c r="H54" s="5">
        <v>13014.13</v>
      </c>
      <c r="I54" s="5">
        <v>17324.26</v>
      </c>
      <c r="J54" s="27">
        <v>10800.0</v>
      </c>
      <c r="K54" s="27">
        <v>11124.0</v>
      </c>
      <c r="L54" s="27">
        <v>11496.0</v>
      </c>
      <c r="M54" s="27">
        <v>11628.0</v>
      </c>
      <c r="N54" s="5">
        <f t="shared" si="62"/>
        <v>177696.16</v>
      </c>
      <c r="O54" s="28" t="str">
        <f t="shared" si="63"/>
        <v/>
      </c>
      <c r="P54" s="5"/>
      <c r="Q54" s="5"/>
      <c r="R54" s="43"/>
      <c r="S54" s="43"/>
      <c r="T54" s="43"/>
      <c r="U54" s="43">
        <v>14766.898018835556</v>
      </c>
      <c r="V54" s="43">
        <v>14766.898018835556</v>
      </c>
      <c r="W54" s="43">
        <v>14766.898018835556</v>
      </c>
      <c r="X54" s="43">
        <v>14766.898018835556</v>
      </c>
      <c r="Y54" s="43">
        <v>14766.898018835556</v>
      </c>
      <c r="Z54" s="43">
        <v>14766.898018835556</v>
      </c>
      <c r="AA54" s="43">
        <v>14766.898018835556</v>
      </c>
      <c r="AB54" s="43">
        <v>14766.898018835556</v>
      </c>
      <c r="AC54" s="43">
        <v>14766.898018835556</v>
      </c>
      <c r="AD54" s="43">
        <v>15209.904959400623</v>
      </c>
      <c r="AE54" s="43">
        <v>15209.904959400623</v>
      </c>
      <c r="AF54" s="43">
        <v>15209.904959400623</v>
      </c>
      <c r="AG54" s="5">
        <f t="shared" si="64"/>
        <v>178531.797</v>
      </c>
      <c r="AH54" s="28" t="str">
        <f t="shared" si="65"/>
        <v/>
      </c>
      <c r="AI54" s="4"/>
      <c r="AJ54" s="5">
        <f t="shared" si="66"/>
        <v>-835.6370477</v>
      </c>
    </row>
    <row r="55" ht="13.5" customHeight="1">
      <c r="A55" s="33" t="s">
        <v>80</v>
      </c>
      <c r="B55" s="34">
        <f t="shared" ref="B55:M55" si="67">SUM(B52:B54)</f>
        <v>76176.32</v>
      </c>
      <c r="C55" s="34">
        <f t="shared" si="67"/>
        <v>51941.62</v>
      </c>
      <c r="D55" s="34">
        <f t="shared" si="67"/>
        <v>68863.38</v>
      </c>
      <c r="E55" s="34">
        <f t="shared" si="67"/>
        <v>94848.3</v>
      </c>
      <c r="F55" s="34">
        <f t="shared" si="67"/>
        <v>89809.27</v>
      </c>
      <c r="G55" s="34">
        <f t="shared" si="67"/>
        <v>85429.65</v>
      </c>
      <c r="H55" s="34">
        <f t="shared" si="67"/>
        <v>100726.61</v>
      </c>
      <c r="I55" s="34">
        <f t="shared" si="67"/>
        <v>102632.58</v>
      </c>
      <c r="J55" s="34">
        <f t="shared" si="67"/>
        <v>106650</v>
      </c>
      <c r="K55" s="34">
        <f t="shared" si="67"/>
        <v>109850</v>
      </c>
      <c r="L55" s="34">
        <f t="shared" si="67"/>
        <v>113523</v>
      </c>
      <c r="M55" s="34">
        <f t="shared" si="67"/>
        <v>114827</v>
      </c>
      <c r="N55" s="34">
        <f t="shared" si="62"/>
        <v>1115277.73</v>
      </c>
      <c r="O55" s="35" t="str">
        <f t="shared" si="63"/>
        <v/>
      </c>
      <c r="P55" s="5"/>
      <c r="Q55" s="5"/>
      <c r="R55" s="45"/>
      <c r="S55" s="45"/>
      <c r="T55" s="45"/>
      <c r="U55" s="34">
        <f t="shared" ref="U55:AF55" si="68">SUM(U52:U54)</f>
        <v>110942.7247</v>
      </c>
      <c r="V55" s="34">
        <f t="shared" si="68"/>
        <v>110942.7247</v>
      </c>
      <c r="W55" s="34">
        <f t="shared" si="68"/>
        <v>110942.7247</v>
      </c>
      <c r="X55" s="34">
        <f t="shared" si="68"/>
        <v>110942.7247</v>
      </c>
      <c r="Y55" s="34">
        <f t="shared" si="68"/>
        <v>110942.7247</v>
      </c>
      <c r="Z55" s="34">
        <f t="shared" si="68"/>
        <v>110942.7247</v>
      </c>
      <c r="AA55" s="34">
        <f t="shared" si="68"/>
        <v>110942.7247</v>
      </c>
      <c r="AB55" s="34">
        <f t="shared" si="68"/>
        <v>110942.7247</v>
      </c>
      <c r="AC55" s="34">
        <f t="shared" si="68"/>
        <v>110942.7247</v>
      </c>
      <c r="AD55" s="34">
        <f t="shared" si="68"/>
        <v>114271.0064</v>
      </c>
      <c r="AE55" s="34">
        <f t="shared" si="68"/>
        <v>114271.0064</v>
      </c>
      <c r="AF55" s="34">
        <f t="shared" si="68"/>
        <v>114271.0064</v>
      </c>
      <c r="AG55" s="34">
        <f t="shared" si="64"/>
        <v>1341297.542</v>
      </c>
      <c r="AH55" s="35" t="str">
        <f t="shared" si="65"/>
        <v/>
      </c>
      <c r="AI55" s="4"/>
      <c r="AJ55" s="34">
        <f t="shared" si="66"/>
        <v>-226019.8117</v>
      </c>
    </row>
    <row r="56" ht="13.5" customHeight="1">
      <c r="A56" s="33" t="s">
        <v>81</v>
      </c>
      <c r="B56" s="34">
        <f t="shared" ref="B56:M56" si="69">B44+B45+B46+B47+B48+B49+B50+B55</f>
        <v>99607.25</v>
      </c>
      <c r="C56" s="34">
        <f t="shared" si="69"/>
        <v>63609.53</v>
      </c>
      <c r="D56" s="34">
        <f t="shared" si="69"/>
        <v>136209.04</v>
      </c>
      <c r="E56" s="34">
        <f t="shared" si="69"/>
        <v>116902.58</v>
      </c>
      <c r="F56" s="34">
        <f t="shared" si="69"/>
        <v>153529.08</v>
      </c>
      <c r="G56" s="34">
        <f t="shared" si="69"/>
        <v>129537.07</v>
      </c>
      <c r="H56" s="34">
        <f t="shared" si="69"/>
        <v>141954.16</v>
      </c>
      <c r="I56" s="34">
        <f t="shared" si="69"/>
        <v>131016.63</v>
      </c>
      <c r="J56" s="34">
        <f t="shared" si="69"/>
        <v>190400</v>
      </c>
      <c r="K56" s="34">
        <f t="shared" si="69"/>
        <v>197770</v>
      </c>
      <c r="L56" s="34">
        <f t="shared" si="69"/>
        <v>206613</v>
      </c>
      <c r="M56" s="34">
        <f t="shared" si="69"/>
        <v>212087</v>
      </c>
      <c r="N56" s="34">
        <f t="shared" si="62"/>
        <v>1779235.34</v>
      </c>
      <c r="O56" s="35" t="str">
        <f t="shared" si="63"/>
        <v/>
      </c>
      <c r="P56" s="5"/>
      <c r="Q56" s="5"/>
      <c r="R56" s="36"/>
      <c r="S56" s="36"/>
      <c r="T56" s="36"/>
      <c r="U56" s="34">
        <f t="shared" ref="U56:AF56" si="70">U44+U45+U46+U47+U48+U49+U50+U55</f>
        <v>110942.7247</v>
      </c>
      <c r="V56" s="34">
        <f t="shared" si="70"/>
        <v>110942.7247</v>
      </c>
      <c r="W56" s="34">
        <f t="shared" si="70"/>
        <v>110942.7247</v>
      </c>
      <c r="X56" s="34">
        <f t="shared" si="70"/>
        <v>110942.7247</v>
      </c>
      <c r="Y56" s="34">
        <f t="shared" si="70"/>
        <v>110942.7247</v>
      </c>
      <c r="Z56" s="34">
        <f t="shared" si="70"/>
        <v>110942.7247</v>
      </c>
      <c r="AA56" s="34">
        <f t="shared" si="70"/>
        <v>110942.7247</v>
      </c>
      <c r="AB56" s="34">
        <f t="shared" si="70"/>
        <v>110942.7247</v>
      </c>
      <c r="AC56" s="34">
        <f t="shared" si="70"/>
        <v>110942.7247</v>
      </c>
      <c r="AD56" s="34">
        <f t="shared" si="70"/>
        <v>114271.0064</v>
      </c>
      <c r="AE56" s="34">
        <f t="shared" si="70"/>
        <v>114271.0064</v>
      </c>
      <c r="AF56" s="34">
        <f t="shared" si="70"/>
        <v>114271.0064</v>
      </c>
      <c r="AG56" s="34">
        <f t="shared" si="64"/>
        <v>1341297.542</v>
      </c>
      <c r="AH56" s="35" t="str">
        <f t="shared" si="65"/>
        <v/>
      </c>
      <c r="AI56" s="4"/>
      <c r="AJ56" s="34">
        <f t="shared" si="66"/>
        <v>437937.7983</v>
      </c>
    </row>
    <row r="57" ht="13.5" customHeight="1">
      <c r="A57" s="24" t="s">
        <v>82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28"/>
      <c r="P57" s="5"/>
      <c r="Q57" s="5"/>
      <c r="R57" s="36"/>
      <c r="S57" s="36"/>
      <c r="T57" s="36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28"/>
      <c r="AI57" s="4"/>
      <c r="AJ57" s="5"/>
    </row>
    <row r="58" ht="13.5" customHeight="1">
      <c r="A58" s="25" t="s">
        <v>83</v>
      </c>
      <c r="B58" s="5">
        <v>10955.85</v>
      </c>
      <c r="C58" s="5">
        <v>11156.17</v>
      </c>
      <c r="D58" s="5">
        <v>11961.24</v>
      </c>
      <c r="E58" s="5">
        <v>7055.46</v>
      </c>
      <c r="F58" s="5">
        <v>12334.88</v>
      </c>
      <c r="G58" s="5">
        <v>13838.18</v>
      </c>
      <c r="H58" s="5">
        <v>17445.88</v>
      </c>
      <c r="I58" s="5">
        <v>13679.97</v>
      </c>
      <c r="J58" s="27">
        <v>5208.0</v>
      </c>
      <c r="K58" s="27">
        <v>5208.0</v>
      </c>
      <c r="L58" s="27">
        <v>5208.0</v>
      </c>
      <c r="M58" s="27">
        <v>5208.0</v>
      </c>
      <c r="N58" s="5">
        <f t="shared" ref="N58:N64" si="72">SUM(B58:M58)</f>
        <v>119259.63</v>
      </c>
      <c r="O58" s="28" t="str">
        <f t="shared" ref="O58:O64" si="73">IFERROR(N58/N$16,"")</f>
        <v/>
      </c>
      <c r="P58" s="5"/>
      <c r="Q58" s="5"/>
      <c r="R58" s="29" t="s">
        <v>34</v>
      </c>
      <c r="S58" s="30">
        <v>0.0</v>
      </c>
      <c r="T58" s="31">
        <v>0.05</v>
      </c>
      <c r="U58" s="26">
        <f t="shared" ref="U58:AF58" si="71">IF($R58="Manual","",IFERROR(IF($R58="YOY Growth",$N58*(1+$T58)/12,$S58/12),""))</f>
        <v>0</v>
      </c>
      <c r="V58" s="26">
        <f t="shared" si="71"/>
        <v>0</v>
      </c>
      <c r="W58" s="26">
        <f t="shared" si="71"/>
        <v>0</v>
      </c>
      <c r="X58" s="26">
        <f t="shared" si="71"/>
        <v>0</v>
      </c>
      <c r="Y58" s="26">
        <f t="shared" si="71"/>
        <v>0</v>
      </c>
      <c r="Z58" s="26">
        <f t="shared" si="71"/>
        <v>0</v>
      </c>
      <c r="AA58" s="26">
        <f t="shared" si="71"/>
        <v>0</v>
      </c>
      <c r="AB58" s="26">
        <f t="shared" si="71"/>
        <v>0</v>
      </c>
      <c r="AC58" s="26">
        <f t="shared" si="71"/>
        <v>0</v>
      </c>
      <c r="AD58" s="26">
        <f t="shared" si="71"/>
        <v>0</v>
      </c>
      <c r="AE58" s="26">
        <f t="shared" si="71"/>
        <v>0</v>
      </c>
      <c r="AF58" s="26">
        <f t="shared" si="71"/>
        <v>0</v>
      </c>
      <c r="AG58" s="5">
        <f t="shared" ref="AG58:AG64" si="75">SUM(U58:AF58)</f>
        <v>0</v>
      </c>
      <c r="AH58" s="28" t="str">
        <f t="shared" ref="AH58:AH64" si="76">IFERROR(AG58/AG$16,"")</f>
        <v/>
      </c>
      <c r="AI58" s="4"/>
      <c r="AJ58" s="5">
        <f t="shared" ref="AJ58:AJ63" si="77">N58-AG58</f>
        <v>119259.63</v>
      </c>
    </row>
    <row r="59" ht="13.5" customHeight="1">
      <c r="A59" s="25" t="s">
        <v>84</v>
      </c>
      <c r="B59" s="5">
        <v>0.0</v>
      </c>
      <c r="C59" s="5">
        <v>0.0</v>
      </c>
      <c r="D59" s="5">
        <v>0.0</v>
      </c>
      <c r="E59" s="5">
        <v>0.0</v>
      </c>
      <c r="F59" s="5">
        <v>0.0</v>
      </c>
      <c r="G59" s="5">
        <v>0.0</v>
      </c>
      <c r="H59" s="5">
        <v>1861.34</v>
      </c>
      <c r="I59" s="5">
        <v>0.0</v>
      </c>
      <c r="J59" s="27">
        <v>0.0</v>
      </c>
      <c r="K59" s="27">
        <v>0.0</v>
      </c>
      <c r="L59" s="27">
        <v>0.0</v>
      </c>
      <c r="M59" s="27">
        <v>0.0</v>
      </c>
      <c r="N59" s="5">
        <f t="shared" si="72"/>
        <v>1861.34</v>
      </c>
      <c r="O59" s="28" t="str">
        <f t="shared" si="73"/>
        <v/>
      </c>
      <c r="P59" s="5"/>
      <c r="Q59" s="5"/>
      <c r="R59" s="29" t="s">
        <v>34</v>
      </c>
      <c r="S59" s="30">
        <v>0.0</v>
      </c>
      <c r="T59" s="31">
        <v>0.05</v>
      </c>
      <c r="U59" s="26">
        <f t="shared" ref="U59:AF59" si="74">IF($R59="Manual","",IFERROR(IF($R59="YOY Growth",$N59*(1+$T59)/12,$S59/12),""))</f>
        <v>0</v>
      </c>
      <c r="V59" s="26">
        <f t="shared" si="74"/>
        <v>0</v>
      </c>
      <c r="W59" s="26">
        <f t="shared" si="74"/>
        <v>0</v>
      </c>
      <c r="X59" s="26">
        <f t="shared" si="74"/>
        <v>0</v>
      </c>
      <c r="Y59" s="26">
        <f t="shared" si="74"/>
        <v>0</v>
      </c>
      <c r="Z59" s="26">
        <f t="shared" si="74"/>
        <v>0</v>
      </c>
      <c r="AA59" s="26">
        <f t="shared" si="74"/>
        <v>0</v>
      </c>
      <c r="AB59" s="26">
        <f t="shared" si="74"/>
        <v>0</v>
      </c>
      <c r="AC59" s="26">
        <f t="shared" si="74"/>
        <v>0</v>
      </c>
      <c r="AD59" s="26">
        <f t="shared" si="74"/>
        <v>0</v>
      </c>
      <c r="AE59" s="26">
        <f t="shared" si="74"/>
        <v>0</v>
      </c>
      <c r="AF59" s="26">
        <f t="shared" si="74"/>
        <v>0</v>
      </c>
      <c r="AG59" s="5">
        <f t="shared" si="75"/>
        <v>0</v>
      </c>
      <c r="AH59" s="28" t="str">
        <f t="shared" si="76"/>
        <v/>
      </c>
      <c r="AI59" s="4"/>
      <c r="AJ59" s="5">
        <f t="shared" si="77"/>
        <v>1861.34</v>
      </c>
    </row>
    <row r="60" ht="13.5" customHeight="1">
      <c r="A60" s="25" t="s">
        <v>85</v>
      </c>
      <c r="B60" s="5">
        <v>0.0</v>
      </c>
      <c r="C60" s="5">
        <v>47.22</v>
      </c>
      <c r="D60" s="5">
        <v>0.0</v>
      </c>
      <c r="E60" s="5">
        <v>0.0</v>
      </c>
      <c r="F60" s="5">
        <v>0.0</v>
      </c>
      <c r="G60" s="5">
        <v>0.0</v>
      </c>
      <c r="H60" s="5">
        <v>0.0</v>
      </c>
      <c r="I60" s="5">
        <v>0.0</v>
      </c>
      <c r="J60" s="27">
        <v>0.0</v>
      </c>
      <c r="K60" s="27">
        <v>0.0</v>
      </c>
      <c r="L60" s="27">
        <v>0.0</v>
      </c>
      <c r="M60" s="27">
        <v>0.0</v>
      </c>
      <c r="N60" s="5">
        <f t="shared" si="72"/>
        <v>47.22</v>
      </c>
      <c r="O60" s="28" t="str">
        <f t="shared" si="73"/>
        <v/>
      </c>
      <c r="P60" s="5"/>
      <c r="Q60" s="5"/>
      <c r="R60" s="29" t="s">
        <v>34</v>
      </c>
      <c r="S60" s="30">
        <v>0.0</v>
      </c>
      <c r="T60" s="31">
        <v>0.05</v>
      </c>
      <c r="U60" s="26">
        <f t="shared" ref="U60:AF60" si="78">IF($R60="Manual","",IFERROR(IF($R60="YOY Growth",$N60*(1+$T60)/12,$S60/12),""))</f>
        <v>0</v>
      </c>
      <c r="V60" s="26">
        <f t="shared" si="78"/>
        <v>0</v>
      </c>
      <c r="W60" s="26">
        <f t="shared" si="78"/>
        <v>0</v>
      </c>
      <c r="X60" s="26">
        <f t="shared" si="78"/>
        <v>0</v>
      </c>
      <c r="Y60" s="26">
        <f t="shared" si="78"/>
        <v>0</v>
      </c>
      <c r="Z60" s="26">
        <f t="shared" si="78"/>
        <v>0</v>
      </c>
      <c r="AA60" s="26">
        <f t="shared" si="78"/>
        <v>0</v>
      </c>
      <c r="AB60" s="26">
        <f t="shared" si="78"/>
        <v>0</v>
      </c>
      <c r="AC60" s="26">
        <f t="shared" si="78"/>
        <v>0</v>
      </c>
      <c r="AD60" s="26">
        <f t="shared" si="78"/>
        <v>0</v>
      </c>
      <c r="AE60" s="26">
        <f t="shared" si="78"/>
        <v>0</v>
      </c>
      <c r="AF60" s="26">
        <f t="shared" si="78"/>
        <v>0</v>
      </c>
      <c r="AG60" s="5">
        <f t="shared" si="75"/>
        <v>0</v>
      </c>
      <c r="AH60" s="28" t="str">
        <f t="shared" si="76"/>
        <v/>
      </c>
      <c r="AI60" s="4"/>
      <c r="AJ60" s="5">
        <f t="shared" si="77"/>
        <v>47.22</v>
      </c>
    </row>
    <row r="61" ht="13.5" customHeight="1">
      <c r="A61" s="33" t="s">
        <v>86</v>
      </c>
      <c r="B61" s="46">
        <f t="shared" ref="B61:M61" si="79">SUM(B58:B60)</f>
        <v>10955.85</v>
      </c>
      <c r="C61" s="46">
        <f t="shared" si="79"/>
        <v>11203.39</v>
      </c>
      <c r="D61" s="46">
        <f t="shared" si="79"/>
        <v>11961.24</v>
      </c>
      <c r="E61" s="46">
        <f t="shared" si="79"/>
        <v>7055.46</v>
      </c>
      <c r="F61" s="46">
        <f t="shared" si="79"/>
        <v>12334.88</v>
      </c>
      <c r="G61" s="46">
        <f t="shared" si="79"/>
        <v>13838.18</v>
      </c>
      <c r="H61" s="46">
        <f t="shared" si="79"/>
        <v>19307.22</v>
      </c>
      <c r="I61" s="46">
        <f t="shared" si="79"/>
        <v>13679.97</v>
      </c>
      <c r="J61" s="46">
        <f t="shared" si="79"/>
        <v>5208</v>
      </c>
      <c r="K61" s="46">
        <f t="shared" si="79"/>
        <v>5208</v>
      </c>
      <c r="L61" s="46">
        <f t="shared" si="79"/>
        <v>5208</v>
      </c>
      <c r="M61" s="46">
        <f t="shared" si="79"/>
        <v>5208</v>
      </c>
      <c r="N61" s="46">
        <f t="shared" si="72"/>
        <v>121168.19</v>
      </c>
      <c r="O61" s="47" t="str">
        <f t="shared" si="73"/>
        <v/>
      </c>
      <c r="P61" s="5"/>
      <c r="Q61" s="5"/>
      <c r="R61" s="36"/>
      <c r="S61" s="36"/>
      <c r="T61" s="36"/>
      <c r="U61" s="46">
        <f t="shared" ref="U61:AF61" si="80">SUM(U58:U60)</f>
        <v>0</v>
      </c>
      <c r="V61" s="46">
        <f t="shared" si="80"/>
        <v>0</v>
      </c>
      <c r="W61" s="46">
        <f t="shared" si="80"/>
        <v>0</v>
      </c>
      <c r="X61" s="46">
        <f t="shared" si="80"/>
        <v>0</v>
      </c>
      <c r="Y61" s="46">
        <f t="shared" si="80"/>
        <v>0</v>
      </c>
      <c r="Z61" s="46">
        <f t="shared" si="80"/>
        <v>0</v>
      </c>
      <c r="AA61" s="46">
        <f t="shared" si="80"/>
        <v>0</v>
      </c>
      <c r="AB61" s="46">
        <f t="shared" si="80"/>
        <v>0</v>
      </c>
      <c r="AC61" s="46">
        <f t="shared" si="80"/>
        <v>0</v>
      </c>
      <c r="AD61" s="46">
        <f t="shared" si="80"/>
        <v>0</v>
      </c>
      <c r="AE61" s="46">
        <f t="shared" si="80"/>
        <v>0</v>
      </c>
      <c r="AF61" s="46">
        <f t="shared" si="80"/>
        <v>0</v>
      </c>
      <c r="AG61" s="46">
        <f t="shared" si="75"/>
        <v>0</v>
      </c>
      <c r="AH61" s="47" t="str">
        <f t="shared" si="76"/>
        <v/>
      </c>
      <c r="AI61" s="4"/>
      <c r="AJ61" s="34">
        <f t="shared" si="77"/>
        <v>121168.19</v>
      </c>
    </row>
    <row r="62" ht="13.5" customHeight="1">
      <c r="A62" s="48" t="s">
        <v>87</v>
      </c>
      <c r="B62" s="5">
        <v>0.0</v>
      </c>
      <c r="C62" s="5">
        <v>0.0</v>
      </c>
      <c r="D62" s="5">
        <v>0.0</v>
      </c>
      <c r="E62" s="5">
        <v>0.0</v>
      </c>
      <c r="F62" s="5">
        <v>0.0</v>
      </c>
      <c r="G62" s="5">
        <v>0.0</v>
      </c>
      <c r="H62" s="5">
        <v>0.0</v>
      </c>
      <c r="I62" s="5">
        <v>0.0</v>
      </c>
      <c r="J62" s="27">
        <v>0.0</v>
      </c>
      <c r="K62" s="27">
        <v>0.0</v>
      </c>
      <c r="L62" s="27">
        <v>0.0</v>
      </c>
      <c r="M62" s="27">
        <v>0.0</v>
      </c>
      <c r="N62" s="5">
        <f t="shared" si="72"/>
        <v>0</v>
      </c>
      <c r="O62" s="28" t="str">
        <f t="shared" si="73"/>
        <v/>
      </c>
      <c r="P62" s="5"/>
      <c r="Q62" s="5"/>
      <c r="R62" s="29" t="s">
        <v>34</v>
      </c>
      <c r="S62" s="30">
        <v>0.0</v>
      </c>
      <c r="T62" s="31">
        <v>0.05</v>
      </c>
      <c r="U62" s="26">
        <f t="shared" ref="U62:AF62" si="81">IF($R62="Manual","",IFERROR(IF($R62="YOY Growth",$N62*(1+$T62)/12,$S62/12),""))</f>
        <v>0</v>
      </c>
      <c r="V62" s="26">
        <f t="shared" si="81"/>
        <v>0</v>
      </c>
      <c r="W62" s="26">
        <f t="shared" si="81"/>
        <v>0</v>
      </c>
      <c r="X62" s="26">
        <f t="shared" si="81"/>
        <v>0</v>
      </c>
      <c r="Y62" s="26">
        <f t="shared" si="81"/>
        <v>0</v>
      </c>
      <c r="Z62" s="26">
        <f t="shared" si="81"/>
        <v>0</v>
      </c>
      <c r="AA62" s="26">
        <f t="shared" si="81"/>
        <v>0</v>
      </c>
      <c r="AB62" s="26">
        <f t="shared" si="81"/>
        <v>0</v>
      </c>
      <c r="AC62" s="26">
        <f t="shared" si="81"/>
        <v>0</v>
      </c>
      <c r="AD62" s="26">
        <f t="shared" si="81"/>
        <v>0</v>
      </c>
      <c r="AE62" s="26">
        <f t="shared" si="81"/>
        <v>0</v>
      </c>
      <c r="AF62" s="26">
        <f t="shared" si="81"/>
        <v>0</v>
      </c>
      <c r="AG62" s="5">
        <f t="shared" si="75"/>
        <v>0</v>
      </c>
      <c r="AH62" s="28" t="str">
        <f t="shared" si="76"/>
        <v/>
      </c>
      <c r="AI62" s="4"/>
      <c r="AJ62" s="5">
        <f t="shared" si="77"/>
        <v>0</v>
      </c>
    </row>
    <row r="63" ht="13.5" customHeight="1">
      <c r="A63" s="33" t="s">
        <v>88</v>
      </c>
      <c r="B63" s="34">
        <f t="shared" ref="B63:M63" si="82">B37+B38+B39+B40+B41+B42+B56+B61+B62</f>
        <v>117939.1</v>
      </c>
      <c r="C63" s="34">
        <f t="shared" si="82"/>
        <v>80664.57</v>
      </c>
      <c r="D63" s="34">
        <f t="shared" si="82"/>
        <v>152476.6</v>
      </c>
      <c r="E63" s="34">
        <f t="shared" si="82"/>
        <v>131909.94</v>
      </c>
      <c r="F63" s="34">
        <f t="shared" si="82"/>
        <v>165943.43</v>
      </c>
      <c r="G63" s="34">
        <f t="shared" si="82"/>
        <v>143165.51</v>
      </c>
      <c r="H63" s="34">
        <f t="shared" si="82"/>
        <v>162290.72</v>
      </c>
      <c r="I63" s="34">
        <f t="shared" si="82"/>
        <v>150488.42</v>
      </c>
      <c r="J63" s="34">
        <f t="shared" si="82"/>
        <v>210608</v>
      </c>
      <c r="K63" s="34">
        <f t="shared" si="82"/>
        <v>212978</v>
      </c>
      <c r="L63" s="34">
        <f t="shared" si="82"/>
        <v>216821</v>
      </c>
      <c r="M63" s="34">
        <f t="shared" si="82"/>
        <v>222295</v>
      </c>
      <c r="N63" s="34">
        <f t="shared" si="72"/>
        <v>1967580.29</v>
      </c>
      <c r="O63" s="35" t="str">
        <f t="shared" si="73"/>
        <v/>
      </c>
      <c r="P63" s="5"/>
      <c r="Q63" s="5"/>
      <c r="R63" s="36"/>
      <c r="S63" s="36"/>
      <c r="T63" s="36"/>
      <c r="U63" s="34">
        <f t="shared" ref="U63:AF63" si="83">U37+U38+U39+U40+U41+U42+U56+U61+U62</f>
        <v>110942.7247</v>
      </c>
      <c r="V63" s="34">
        <f t="shared" si="83"/>
        <v>110942.7247</v>
      </c>
      <c r="W63" s="34">
        <f t="shared" si="83"/>
        <v>110942.7247</v>
      </c>
      <c r="X63" s="34">
        <f t="shared" si="83"/>
        <v>110942.7247</v>
      </c>
      <c r="Y63" s="34">
        <f t="shared" si="83"/>
        <v>110942.7247</v>
      </c>
      <c r="Z63" s="34">
        <f t="shared" si="83"/>
        <v>110942.7247</v>
      </c>
      <c r="AA63" s="34">
        <f t="shared" si="83"/>
        <v>110942.7247</v>
      </c>
      <c r="AB63" s="34">
        <f t="shared" si="83"/>
        <v>110942.7247</v>
      </c>
      <c r="AC63" s="34">
        <f t="shared" si="83"/>
        <v>110942.7247</v>
      </c>
      <c r="AD63" s="34">
        <f t="shared" si="83"/>
        <v>114271.0064</v>
      </c>
      <c r="AE63" s="34">
        <f t="shared" si="83"/>
        <v>114271.0064</v>
      </c>
      <c r="AF63" s="34">
        <f t="shared" si="83"/>
        <v>114271.0064</v>
      </c>
      <c r="AG63" s="34">
        <f t="shared" si="75"/>
        <v>1341297.542</v>
      </c>
      <c r="AH63" s="35" t="str">
        <f t="shared" si="76"/>
        <v/>
      </c>
      <c r="AI63" s="4"/>
      <c r="AJ63" s="34">
        <f t="shared" si="77"/>
        <v>626282.7483</v>
      </c>
    </row>
    <row r="64" ht="13.5" customHeight="1">
      <c r="A64" s="49" t="s">
        <v>89</v>
      </c>
      <c r="B64" s="34">
        <f t="shared" ref="B64:M64" si="84">B16-B63</f>
        <v>-117939.1</v>
      </c>
      <c r="C64" s="34">
        <f t="shared" si="84"/>
        <v>-80664.57</v>
      </c>
      <c r="D64" s="34">
        <f t="shared" si="84"/>
        <v>-152476.6</v>
      </c>
      <c r="E64" s="34">
        <f t="shared" si="84"/>
        <v>-131909.94</v>
      </c>
      <c r="F64" s="34">
        <f t="shared" si="84"/>
        <v>-165943.43</v>
      </c>
      <c r="G64" s="34">
        <f t="shared" si="84"/>
        <v>-143165.51</v>
      </c>
      <c r="H64" s="34">
        <f t="shared" si="84"/>
        <v>-162290.72</v>
      </c>
      <c r="I64" s="34">
        <f t="shared" si="84"/>
        <v>-150488.42</v>
      </c>
      <c r="J64" s="34">
        <f t="shared" si="84"/>
        <v>-210608</v>
      </c>
      <c r="K64" s="34">
        <f t="shared" si="84"/>
        <v>-212978</v>
      </c>
      <c r="L64" s="34">
        <f t="shared" si="84"/>
        <v>-216821</v>
      </c>
      <c r="M64" s="34">
        <f t="shared" si="84"/>
        <v>-222295</v>
      </c>
      <c r="N64" s="34">
        <f t="shared" si="72"/>
        <v>-1967580.29</v>
      </c>
      <c r="O64" s="35" t="str">
        <f t="shared" si="73"/>
        <v/>
      </c>
      <c r="P64" s="5"/>
      <c r="Q64" s="5"/>
      <c r="R64" s="36"/>
      <c r="S64" s="36"/>
      <c r="T64" s="36"/>
      <c r="U64" s="34">
        <f t="shared" ref="U64:AF64" si="85">U16-U63</f>
        <v>-110942.7247</v>
      </c>
      <c r="V64" s="34">
        <f t="shared" si="85"/>
        <v>-110942.7247</v>
      </c>
      <c r="W64" s="34">
        <f t="shared" si="85"/>
        <v>-110942.7247</v>
      </c>
      <c r="X64" s="34">
        <f t="shared" si="85"/>
        <v>-110942.7247</v>
      </c>
      <c r="Y64" s="34">
        <f t="shared" si="85"/>
        <v>-110942.7247</v>
      </c>
      <c r="Z64" s="34">
        <f t="shared" si="85"/>
        <v>-110942.7247</v>
      </c>
      <c r="AA64" s="34">
        <f t="shared" si="85"/>
        <v>-110942.7247</v>
      </c>
      <c r="AB64" s="34">
        <f t="shared" si="85"/>
        <v>-110942.7247</v>
      </c>
      <c r="AC64" s="34">
        <f t="shared" si="85"/>
        <v>-110942.7247</v>
      </c>
      <c r="AD64" s="34">
        <f t="shared" si="85"/>
        <v>-114271.0064</v>
      </c>
      <c r="AE64" s="34">
        <f t="shared" si="85"/>
        <v>-114271.0064</v>
      </c>
      <c r="AF64" s="34">
        <f t="shared" si="85"/>
        <v>-114271.0064</v>
      </c>
      <c r="AG64" s="34">
        <f t="shared" si="75"/>
        <v>-1341297.542</v>
      </c>
      <c r="AH64" s="35" t="str">
        <f t="shared" si="76"/>
        <v/>
      </c>
      <c r="AI64" s="4"/>
      <c r="AJ64" s="34">
        <f>AG64-N64</f>
        <v>626282.7483</v>
      </c>
    </row>
    <row r="65" ht="13.5" customHeight="1">
      <c r="A65" s="24" t="s">
        <v>90</v>
      </c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5"/>
      <c r="Q65" s="5"/>
      <c r="R65" s="36"/>
      <c r="S65" s="36"/>
      <c r="T65" s="36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4"/>
      <c r="AJ65" s="28"/>
    </row>
    <row r="66" ht="13.5" customHeight="1">
      <c r="A66" s="24" t="s">
        <v>91</v>
      </c>
      <c r="B66" s="5"/>
      <c r="C66" s="5"/>
      <c r="D66" s="5"/>
      <c r="E66" s="5"/>
      <c r="F66" s="5"/>
      <c r="G66" s="5"/>
      <c r="H66" s="5"/>
      <c r="I66" s="5"/>
      <c r="J66" s="51"/>
      <c r="K66" s="51"/>
      <c r="L66" s="51"/>
      <c r="M66" s="51"/>
      <c r="N66" s="5"/>
      <c r="O66" s="28"/>
      <c r="P66" s="5"/>
      <c r="Q66" s="5"/>
      <c r="R66" s="36"/>
      <c r="S66" s="36"/>
      <c r="T66" s="36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28"/>
      <c r="AI66" s="4"/>
      <c r="AJ66" s="5"/>
    </row>
    <row r="67" ht="13.5" customHeight="1">
      <c r="A67" s="25" t="s">
        <v>92</v>
      </c>
      <c r="B67" s="5">
        <v>28787.31</v>
      </c>
      <c r="C67" s="5">
        <v>8716.01</v>
      </c>
      <c r="D67" s="5">
        <v>13071.44</v>
      </c>
      <c r="E67" s="5">
        <v>0.0</v>
      </c>
      <c r="F67" s="5">
        <v>0.0</v>
      </c>
      <c r="G67" s="5">
        <v>0.0</v>
      </c>
      <c r="H67" s="5">
        <v>0.0</v>
      </c>
      <c r="I67" s="5">
        <v>0.0</v>
      </c>
      <c r="J67" s="27">
        <v>0.0</v>
      </c>
      <c r="K67" s="27">
        <v>0.0</v>
      </c>
      <c r="L67" s="27">
        <v>0.0</v>
      </c>
      <c r="M67" s="27">
        <v>0.0</v>
      </c>
      <c r="N67" s="5">
        <f t="shared" ref="N67:N80" si="86">SUM(B67:M67)</f>
        <v>50574.76</v>
      </c>
      <c r="O67" s="28" t="str">
        <f t="shared" ref="O67:O80" si="87">IFERROR(N67/N$16,"")</f>
        <v/>
      </c>
      <c r="P67" s="5"/>
      <c r="Q67" s="5"/>
      <c r="R67" s="36"/>
      <c r="S67" s="36"/>
      <c r="T67" s="36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5">
        <f t="shared" ref="AG67:AG80" si="88">SUM(U67:AF67)</f>
        <v>0</v>
      </c>
      <c r="AH67" s="28" t="str">
        <f t="shared" ref="AH67:AH80" si="89">IFERROR(AG67/AG$16,"")</f>
        <v/>
      </c>
      <c r="AI67" s="4"/>
      <c r="AJ67" s="5">
        <f t="shared" ref="AJ67:AJ80" si="90">N67-AG67</f>
        <v>50574.76</v>
      </c>
    </row>
    <row r="68" ht="13.5" customHeight="1">
      <c r="A68" s="25" t="s">
        <v>93</v>
      </c>
      <c r="B68" s="5">
        <v>2063.17</v>
      </c>
      <c r="C68" s="5">
        <v>0.0</v>
      </c>
      <c r="D68" s="5">
        <v>1025.96</v>
      </c>
      <c r="E68" s="5">
        <v>0.0</v>
      </c>
      <c r="F68" s="5">
        <v>0.0</v>
      </c>
      <c r="G68" s="5">
        <v>0.0</v>
      </c>
      <c r="H68" s="5">
        <v>0.0</v>
      </c>
      <c r="I68" s="5">
        <v>0.0</v>
      </c>
      <c r="J68" s="27">
        <v>0.0</v>
      </c>
      <c r="K68" s="27">
        <v>0.0</v>
      </c>
      <c r="L68" s="27">
        <v>0.0</v>
      </c>
      <c r="M68" s="27">
        <v>0.0</v>
      </c>
      <c r="N68" s="5">
        <f t="shared" si="86"/>
        <v>3089.13</v>
      </c>
      <c r="O68" s="28" t="str">
        <f t="shared" si="87"/>
        <v/>
      </c>
      <c r="P68" s="5"/>
      <c r="Q68" s="5"/>
      <c r="R68" s="36"/>
      <c r="S68" s="36"/>
      <c r="T68" s="36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5">
        <f t="shared" si="88"/>
        <v>0</v>
      </c>
      <c r="AH68" s="28" t="str">
        <f t="shared" si="89"/>
        <v/>
      </c>
      <c r="AI68" s="4"/>
      <c r="AJ68" s="5">
        <f t="shared" si="90"/>
        <v>3089.13</v>
      </c>
    </row>
    <row r="69" ht="13.5" customHeight="1">
      <c r="A69" s="25" t="s">
        <v>94</v>
      </c>
      <c r="B69" s="5">
        <v>167.72</v>
      </c>
      <c r="C69" s="5">
        <v>413.16</v>
      </c>
      <c r="D69" s="5">
        <v>-353.62</v>
      </c>
      <c r="E69" s="5">
        <v>0.0</v>
      </c>
      <c r="F69" s="5">
        <v>0.0</v>
      </c>
      <c r="G69" s="5">
        <v>0.0</v>
      </c>
      <c r="H69" s="5">
        <v>0.0</v>
      </c>
      <c r="I69" s="5">
        <v>0.0</v>
      </c>
      <c r="J69" s="27">
        <v>0.0</v>
      </c>
      <c r="K69" s="27">
        <v>0.0</v>
      </c>
      <c r="L69" s="27">
        <v>0.0</v>
      </c>
      <c r="M69" s="27">
        <v>0.0</v>
      </c>
      <c r="N69" s="5">
        <f t="shared" si="86"/>
        <v>227.26</v>
      </c>
      <c r="O69" s="28" t="str">
        <f t="shared" si="87"/>
        <v/>
      </c>
      <c r="P69" s="5"/>
      <c r="Q69" s="5"/>
      <c r="R69" s="36"/>
      <c r="S69" s="36"/>
      <c r="T69" s="36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5">
        <f t="shared" si="88"/>
        <v>0</v>
      </c>
      <c r="AH69" s="28" t="str">
        <f t="shared" si="89"/>
        <v/>
      </c>
      <c r="AI69" s="4"/>
      <c r="AJ69" s="5">
        <f t="shared" si="90"/>
        <v>227.26</v>
      </c>
    </row>
    <row r="70" ht="13.5" customHeight="1">
      <c r="A70" s="25" t="s">
        <v>95</v>
      </c>
      <c r="B70" s="5">
        <v>0.0</v>
      </c>
      <c r="C70" s="5">
        <v>0.0</v>
      </c>
      <c r="D70" s="5">
        <v>0.0</v>
      </c>
      <c r="E70" s="5">
        <v>0.0</v>
      </c>
      <c r="F70" s="5">
        <v>0.0</v>
      </c>
      <c r="G70" s="5">
        <v>0.0</v>
      </c>
      <c r="H70" s="5">
        <v>0.0</v>
      </c>
      <c r="I70" s="5">
        <v>0.0</v>
      </c>
      <c r="J70" s="27">
        <v>0.0</v>
      </c>
      <c r="K70" s="27">
        <v>0.0</v>
      </c>
      <c r="L70" s="27">
        <v>0.0</v>
      </c>
      <c r="M70" s="27">
        <v>0.0</v>
      </c>
      <c r="N70" s="5">
        <f t="shared" si="86"/>
        <v>0</v>
      </c>
      <c r="O70" s="28" t="str">
        <f t="shared" si="87"/>
        <v/>
      </c>
      <c r="P70" s="5"/>
      <c r="Q70" s="5"/>
      <c r="R70" s="29" t="s">
        <v>34</v>
      </c>
      <c r="S70" s="30">
        <v>0.0</v>
      </c>
      <c r="T70" s="31">
        <v>0.05</v>
      </c>
      <c r="U70" s="26">
        <f t="shared" ref="U70:AF70" si="91">IF($R70="Manual","",IFERROR(IF($R70="YOY Growth",$N70*(1+$T70)/12,$S70/12),""))</f>
        <v>0</v>
      </c>
      <c r="V70" s="26">
        <f t="shared" si="91"/>
        <v>0</v>
      </c>
      <c r="W70" s="26">
        <f t="shared" si="91"/>
        <v>0</v>
      </c>
      <c r="X70" s="26">
        <f t="shared" si="91"/>
        <v>0</v>
      </c>
      <c r="Y70" s="26">
        <f t="shared" si="91"/>
        <v>0</v>
      </c>
      <c r="Z70" s="26">
        <f t="shared" si="91"/>
        <v>0</v>
      </c>
      <c r="AA70" s="26">
        <f t="shared" si="91"/>
        <v>0</v>
      </c>
      <c r="AB70" s="26">
        <f t="shared" si="91"/>
        <v>0</v>
      </c>
      <c r="AC70" s="26">
        <f t="shared" si="91"/>
        <v>0</v>
      </c>
      <c r="AD70" s="26">
        <f t="shared" si="91"/>
        <v>0</v>
      </c>
      <c r="AE70" s="26">
        <f t="shared" si="91"/>
        <v>0</v>
      </c>
      <c r="AF70" s="26">
        <f t="shared" si="91"/>
        <v>0</v>
      </c>
      <c r="AG70" s="5">
        <f t="shared" si="88"/>
        <v>0</v>
      </c>
      <c r="AH70" s="28" t="str">
        <f t="shared" si="89"/>
        <v/>
      </c>
      <c r="AI70" s="4"/>
      <c r="AJ70" s="5">
        <f t="shared" si="90"/>
        <v>0</v>
      </c>
    </row>
    <row r="71" ht="13.5" customHeight="1">
      <c r="A71" s="25" t="s">
        <v>96</v>
      </c>
      <c r="B71" s="5">
        <v>0.0</v>
      </c>
      <c r="C71" s="5">
        <v>0.0</v>
      </c>
      <c r="D71" s="5">
        <v>0.0</v>
      </c>
      <c r="E71" s="5">
        <v>0.0</v>
      </c>
      <c r="F71" s="5">
        <v>0.0</v>
      </c>
      <c r="G71" s="5">
        <v>0.0</v>
      </c>
      <c r="H71" s="5">
        <v>0.0</v>
      </c>
      <c r="I71" s="5">
        <v>0.0</v>
      </c>
      <c r="J71" s="27">
        <v>0.0</v>
      </c>
      <c r="K71" s="27">
        <v>0.0</v>
      </c>
      <c r="L71" s="27">
        <v>0.0</v>
      </c>
      <c r="M71" s="27">
        <v>0.0</v>
      </c>
      <c r="N71" s="5">
        <f t="shared" si="86"/>
        <v>0</v>
      </c>
      <c r="O71" s="28" t="str">
        <f t="shared" si="87"/>
        <v/>
      </c>
      <c r="P71" s="5"/>
      <c r="Q71" s="5"/>
      <c r="R71" s="29" t="s">
        <v>34</v>
      </c>
      <c r="S71" s="30">
        <v>0.0</v>
      </c>
      <c r="T71" s="31">
        <v>0.05</v>
      </c>
      <c r="U71" s="26">
        <f t="shared" ref="U71:AF71" si="92">IF($R71="Manual","",IFERROR(IF($R71="YOY Growth",$N71*(1+$T71)/12,$S71/12),""))</f>
        <v>0</v>
      </c>
      <c r="V71" s="26">
        <f t="shared" si="92"/>
        <v>0</v>
      </c>
      <c r="W71" s="26">
        <f t="shared" si="92"/>
        <v>0</v>
      </c>
      <c r="X71" s="26">
        <f t="shared" si="92"/>
        <v>0</v>
      </c>
      <c r="Y71" s="26">
        <f t="shared" si="92"/>
        <v>0</v>
      </c>
      <c r="Z71" s="26">
        <f t="shared" si="92"/>
        <v>0</v>
      </c>
      <c r="AA71" s="26">
        <f t="shared" si="92"/>
        <v>0</v>
      </c>
      <c r="AB71" s="26">
        <f t="shared" si="92"/>
        <v>0</v>
      </c>
      <c r="AC71" s="26">
        <f t="shared" si="92"/>
        <v>0</v>
      </c>
      <c r="AD71" s="26">
        <f t="shared" si="92"/>
        <v>0</v>
      </c>
      <c r="AE71" s="26">
        <f t="shared" si="92"/>
        <v>0</v>
      </c>
      <c r="AF71" s="26">
        <f t="shared" si="92"/>
        <v>0</v>
      </c>
      <c r="AG71" s="5">
        <f t="shared" si="88"/>
        <v>0</v>
      </c>
      <c r="AH71" s="28" t="str">
        <f t="shared" si="89"/>
        <v/>
      </c>
      <c r="AI71" s="4"/>
      <c r="AJ71" s="5">
        <f t="shared" si="90"/>
        <v>0</v>
      </c>
    </row>
    <row r="72" ht="13.5" customHeight="1">
      <c r="A72" s="25" t="s">
        <v>97</v>
      </c>
      <c r="B72" s="5">
        <v>0.0</v>
      </c>
      <c r="C72" s="5">
        <v>0.0</v>
      </c>
      <c r="D72" s="5">
        <v>0.0</v>
      </c>
      <c r="E72" s="5">
        <v>0.0</v>
      </c>
      <c r="F72" s="5">
        <v>0.0</v>
      </c>
      <c r="G72" s="5">
        <v>0.0</v>
      </c>
      <c r="H72" s="5">
        <v>0.0</v>
      </c>
      <c r="I72" s="5">
        <v>0.0</v>
      </c>
      <c r="J72" s="27">
        <v>0.0</v>
      </c>
      <c r="K72" s="27">
        <v>0.0</v>
      </c>
      <c r="L72" s="27">
        <v>0.0</v>
      </c>
      <c r="M72" s="27">
        <v>0.0</v>
      </c>
      <c r="N72" s="5">
        <f t="shared" si="86"/>
        <v>0</v>
      </c>
      <c r="O72" s="28" t="str">
        <f t="shared" si="87"/>
        <v/>
      </c>
      <c r="P72" s="5"/>
      <c r="Q72" s="5"/>
      <c r="R72" s="29" t="s">
        <v>34</v>
      </c>
      <c r="S72" s="30">
        <v>0.0</v>
      </c>
      <c r="T72" s="31">
        <v>0.05</v>
      </c>
      <c r="U72" s="26">
        <f t="shared" ref="U72:AF72" si="93">IF($R72="Manual","",IFERROR(IF($R72="YOY Growth",$N72*(1+$T72)/12,$S72/12),""))</f>
        <v>0</v>
      </c>
      <c r="V72" s="26">
        <f t="shared" si="93"/>
        <v>0</v>
      </c>
      <c r="W72" s="26">
        <f t="shared" si="93"/>
        <v>0</v>
      </c>
      <c r="X72" s="26">
        <f t="shared" si="93"/>
        <v>0</v>
      </c>
      <c r="Y72" s="26">
        <f t="shared" si="93"/>
        <v>0</v>
      </c>
      <c r="Z72" s="26">
        <f t="shared" si="93"/>
        <v>0</v>
      </c>
      <c r="AA72" s="26">
        <f t="shared" si="93"/>
        <v>0</v>
      </c>
      <c r="AB72" s="26">
        <f t="shared" si="93"/>
        <v>0</v>
      </c>
      <c r="AC72" s="26">
        <f t="shared" si="93"/>
        <v>0</v>
      </c>
      <c r="AD72" s="26">
        <f t="shared" si="93"/>
        <v>0</v>
      </c>
      <c r="AE72" s="26">
        <f t="shared" si="93"/>
        <v>0</v>
      </c>
      <c r="AF72" s="26">
        <f t="shared" si="93"/>
        <v>0</v>
      </c>
      <c r="AG72" s="5">
        <f t="shared" si="88"/>
        <v>0</v>
      </c>
      <c r="AH72" s="28" t="str">
        <f t="shared" si="89"/>
        <v/>
      </c>
      <c r="AI72" s="4"/>
      <c r="AJ72" s="5">
        <f t="shared" si="90"/>
        <v>0</v>
      </c>
    </row>
    <row r="73" ht="13.5" customHeight="1">
      <c r="A73" s="33" t="s">
        <v>98</v>
      </c>
      <c r="B73" s="34">
        <f t="shared" ref="B73:M73" si="94">SUM(B67:B72)</f>
        <v>31018.2</v>
      </c>
      <c r="C73" s="34">
        <f t="shared" si="94"/>
        <v>9129.17</v>
      </c>
      <c r="D73" s="34">
        <f t="shared" si="94"/>
        <v>13743.78</v>
      </c>
      <c r="E73" s="34">
        <f t="shared" si="94"/>
        <v>0</v>
      </c>
      <c r="F73" s="34">
        <f t="shared" si="94"/>
        <v>0</v>
      </c>
      <c r="G73" s="34">
        <f t="shared" si="94"/>
        <v>0</v>
      </c>
      <c r="H73" s="34">
        <f t="shared" si="94"/>
        <v>0</v>
      </c>
      <c r="I73" s="34">
        <f t="shared" si="94"/>
        <v>0</v>
      </c>
      <c r="J73" s="34">
        <f t="shared" si="94"/>
        <v>0</v>
      </c>
      <c r="K73" s="34">
        <f t="shared" si="94"/>
        <v>0</v>
      </c>
      <c r="L73" s="34">
        <f t="shared" si="94"/>
        <v>0</v>
      </c>
      <c r="M73" s="34">
        <f t="shared" si="94"/>
        <v>0</v>
      </c>
      <c r="N73" s="34">
        <f t="shared" si="86"/>
        <v>53891.15</v>
      </c>
      <c r="O73" s="35" t="str">
        <f t="shared" si="87"/>
        <v/>
      </c>
      <c r="P73" s="5"/>
      <c r="Q73" s="5"/>
      <c r="R73" s="36"/>
      <c r="S73" s="36"/>
      <c r="T73" s="36"/>
      <c r="U73" s="34">
        <f t="shared" ref="U73:AF73" si="95">SUM(U67:U72)</f>
        <v>0</v>
      </c>
      <c r="V73" s="34">
        <f t="shared" si="95"/>
        <v>0</v>
      </c>
      <c r="W73" s="34">
        <f t="shared" si="95"/>
        <v>0</v>
      </c>
      <c r="X73" s="34">
        <f t="shared" si="95"/>
        <v>0</v>
      </c>
      <c r="Y73" s="34">
        <f t="shared" si="95"/>
        <v>0</v>
      </c>
      <c r="Z73" s="34">
        <f t="shared" si="95"/>
        <v>0</v>
      </c>
      <c r="AA73" s="34">
        <f t="shared" si="95"/>
        <v>0</v>
      </c>
      <c r="AB73" s="34">
        <f t="shared" si="95"/>
        <v>0</v>
      </c>
      <c r="AC73" s="34">
        <f t="shared" si="95"/>
        <v>0</v>
      </c>
      <c r="AD73" s="34">
        <f t="shared" si="95"/>
        <v>0</v>
      </c>
      <c r="AE73" s="34">
        <f t="shared" si="95"/>
        <v>0</v>
      </c>
      <c r="AF73" s="34">
        <f t="shared" si="95"/>
        <v>0</v>
      </c>
      <c r="AG73" s="34">
        <f t="shared" si="88"/>
        <v>0</v>
      </c>
      <c r="AH73" s="35" t="str">
        <f t="shared" si="89"/>
        <v/>
      </c>
      <c r="AI73" s="4"/>
      <c r="AJ73" s="34">
        <f t="shared" si="90"/>
        <v>53891.15</v>
      </c>
    </row>
    <row r="74" ht="13.5" customHeight="1">
      <c r="A74" s="25" t="s">
        <v>99</v>
      </c>
      <c r="B74" s="5">
        <v>11.96</v>
      </c>
      <c r="C74" s="5">
        <v>9.99</v>
      </c>
      <c r="D74" s="5">
        <v>960.43</v>
      </c>
      <c r="E74" s="5">
        <v>1228.86</v>
      </c>
      <c r="F74" s="5">
        <v>2504.31</v>
      </c>
      <c r="G74" s="5">
        <v>3441.65</v>
      </c>
      <c r="H74" s="5">
        <v>8082.14</v>
      </c>
      <c r="I74" s="5">
        <v>666.92</v>
      </c>
      <c r="J74" s="27">
        <v>2500.0</v>
      </c>
      <c r="K74" s="27">
        <v>2500.0</v>
      </c>
      <c r="L74" s="27">
        <v>2500.0</v>
      </c>
      <c r="M74" s="27">
        <v>2500.0</v>
      </c>
      <c r="N74" s="5">
        <f t="shared" si="86"/>
        <v>26906.26</v>
      </c>
      <c r="O74" s="28" t="str">
        <f t="shared" si="87"/>
        <v/>
      </c>
      <c r="P74" s="5"/>
      <c r="Q74" s="5"/>
      <c r="R74" s="29" t="s">
        <v>34</v>
      </c>
      <c r="S74" s="30">
        <v>0.0</v>
      </c>
      <c r="T74" s="31">
        <v>0.05</v>
      </c>
      <c r="U74" s="26">
        <f t="shared" ref="U74:AF74" si="96">IF($R74="Manual","",IFERROR(IF($R74="YOY Growth",$N74*(1+$T74)/12,$S74/12),""))</f>
        <v>0</v>
      </c>
      <c r="V74" s="26">
        <f t="shared" si="96"/>
        <v>0</v>
      </c>
      <c r="W74" s="26">
        <f t="shared" si="96"/>
        <v>0</v>
      </c>
      <c r="X74" s="26">
        <f t="shared" si="96"/>
        <v>0</v>
      </c>
      <c r="Y74" s="26">
        <f t="shared" si="96"/>
        <v>0</v>
      </c>
      <c r="Z74" s="26">
        <f t="shared" si="96"/>
        <v>0</v>
      </c>
      <c r="AA74" s="26">
        <f t="shared" si="96"/>
        <v>0</v>
      </c>
      <c r="AB74" s="26">
        <f t="shared" si="96"/>
        <v>0</v>
      </c>
      <c r="AC74" s="26">
        <f t="shared" si="96"/>
        <v>0</v>
      </c>
      <c r="AD74" s="26">
        <f t="shared" si="96"/>
        <v>0</v>
      </c>
      <c r="AE74" s="26">
        <f t="shared" si="96"/>
        <v>0</v>
      </c>
      <c r="AF74" s="26">
        <f t="shared" si="96"/>
        <v>0</v>
      </c>
      <c r="AG74" s="5">
        <f t="shared" si="88"/>
        <v>0</v>
      </c>
      <c r="AH74" s="28" t="str">
        <f t="shared" si="89"/>
        <v/>
      </c>
      <c r="AI74" s="4"/>
      <c r="AJ74" s="5">
        <f t="shared" si="90"/>
        <v>26906.26</v>
      </c>
    </row>
    <row r="75" ht="13.5" customHeight="1">
      <c r="A75" s="25" t="s">
        <v>100</v>
      </c>
      <c r="B75" s="5">
        <v>0.0</v>
      </c>
      <c r="C75" s="5">
        <v>0.0</v>
      </c>
      <c r="D75" s="5">
        <v>0.0</v>
      </c>
      <c r="E75" s="5">
        <v>139.29</v>
      </c>
      <c r="F75" s="5">
        <v>0.0</v>
      </c>
      <c r="G75" s="5">
        <v>-147.89</v>
      </c>
      <c r="H75" s="5">
        <v>0.0</v>
      </c>
      <c r="I75" s="5">
        <v>0.0</v>
      </c>
      <c r="J75" s="27">
        <v>150.0</v>
      </c>
      <c r="K75" s="27">
        <v>150.0</v>
      </c>
      <c r="L75" s="27">
        <v>150.0</v>
      </c>
      <c r="M75" s="27">
        <v>150.0</v>
      </c>
      <c r="N75" s="5">
        <f t="shared" si="86"/>
        <v>591.4</v>
      </c>
      <c r="O75" s="28" t="str">
        <f t="shared" si="87"/>
        <v/>
      </c>
      <c r="P75" s="5"/>
      <c r="Q75" s="5"/>
      <c r="R75" s="29" t="s">
        <v>34</v>
      </c>
      <c r="S75" s="30">
        <v>0.0</v>
      </c>
      <c r="T75" s="31">
        <v>0.05</v>
      </c>
      <c r="U75" s="26">
        <f t="shared" ref="U75:AF75" si="97">IF($R75="Manual","",IFERROR(IF($R75="YOY Growth",$N75*(1+$T75)/12,$S75/12),""))</f>
        <v>0</v>
      </c>
      <c r="V75" s="26">
        <f t="shared" si="97"/>
        <v>0</v>
      </c>
      <c r="W75" s="26">
        <f t="shared" si="97"/>
        <v>0</v>
      </c>
      <c r="X75" s="26">
        <f t="shared" si="97"/>
        <v>0</v>
      </c>
      <c r="Y75" s="26">
        <f t="shared" si="97"/>
        <v>0</v>
      </c>
      <c r="Z75" s="26">
        <f t="shared" si="97"/>
        <v>0</v>
      </c>
      <c r="AA75" s="26">
        <f t="shared" si="97"/>
        <v>0</v>
      </c>
      <c r="AB75" s="26">
        <f t="shared" si="97"/>
        <v>0</v>
      </c>
      <c r="AC75" s="26">
        <f t="shared" si="97"/>
        <v>0</v>
      </c>
      <c r="AD75" s="26">
        <f t="shared" si="97"/>
        <v>0</v>
      </c>
      <c r="AE75" s="26">
        <f t="shared" si="97"/>
        <v>0</v>
      </c>
      <c r="AF75" s="26">
        <f t="shared" si="97"/>
        <v>0</v>
      </c>
      <c r="AG75" s="5">
        <f t="shared" si="88"/>
        <v>0</v>
      </c>
      <c r="AH75" s="28" t="str">
        <f t="shared" si="89"/>
        <v/>
      </c>
      <c r="AI75" s="4"/>
      <c r="AJ75" s="5">
        <f t="shared" si="90"/>
        <v>591.4</v>
      </c>
    </row>
    <row r="76" ht="13.5" customHeight="1">
      <c r="A76" s="25" t="s">
        <v>101</v>
      </c>
      <c r="B76" s="5">
        <v>0.0</v>
      </c>
      <c r="C76" s="5">
        <v>0.0</v>
      </c>
      <c r="D76" s="5">
        <v>256.68</v>
      </c>
      <c r="E76" s="5">
        <v>655.57</v>
      </c>
      <c r="F76" s="5">
        <v>0.0</v>
      </c>
      <c r="G76" s="5">
        <v>0.0</v>
      </c>
      <c r="H76" s="5">
        <v>0.0</v>
      </c>
      <c r="I76" s="5">
        <v>0.0</v>
      </c>
      <c r="J76" s="27">
        <v>200.0</v>
      </c>
      <c r="K76" s="27">
        <v>200.0</v>
      </c>
      <c r="L76" s="27">
        <v>200.0</v>
      </c>
      <c r="M76" s="27">
        <v>200.0</v>
      </c>
      <c r="N76" s="5">
        <f t="shared" si="86"/>
        <v>1712.25</v>
      </c>
      <c r="O76" s="28" t="str">
        <f t="shared" si="87"/>
        <v/>
      </c>
      <c r="P76" s="5"/>
      <c r="Q76" s="5"/>
      <c r="R76" s="29" t="s">
        <v>34</v>
      </c>
      <c r="S76" s="30">
        <v>0.0</v>
      </c>
      <c r="T76" s="31">
        <v>0.05</v>
      </c>
      <c r="U76" s="26">
        <f t="shared" ref="U76:AF76" si="98">IF($R76="Manual","",IFERROR(IF($R76="YOY Growth",$N76*(1+$T76)/12,$S76/12),""))</f>
        <v>0</v>
      </c>
      <c r="V76" s="26">
        <f t="shared" si="98"/>
        <v>0</v>
      </c>
      <c r="W76" s="26">
        <f t="shared" si="98"/>
        <v>0</v>
      </c>
      <c r="X76" s="26">
        <f t="shared" si="98"/>
        <v>0</v>
      </c>
      <c r="Y76" s="26">
        <f t="shared" si="98"/>
        <v>0</v>
      </c>
      <c r="Z76" s="26">
        <f t="shared" si="98"/>
        <v>0</v>
      </c>
      <c r="AA76" s="26">
        <f t="shared" si="98"/>
        <v>0</v>
      </c>
      <c r="AB76" s="26">
        <f t="shared" si="98"/>
        <v>0</v>
      </c>
      <c r="AC76" s="26">
        <f t="shared" si="98"/>
        <v>0</v>
      </c>
      <c r="AD76" s="26">
        <f t="shared" si="98"/>
        <v>0</v>
      </c>
      <c r="AE76" s="26">
        <f t="shared" si="98"/>
        <v>0</v>
      </c>
      <c r="AF76" s="26">
        <f t="shared" si="98"/>
        <v>0</v>
      </c>
      <c r="AG76" s="5">
        <f t="shared" si="88"/>
        <v>0</v>
      </c>
      <c r="AH76" s="28" t="str">
        <f t="shared" si="89"/>
        <v/>
      </c>
      <c r="AI76" s="4"/>
      <c r="AJ76" s="5">
        <f t="shared" si="90"/>
        <v>1712.25</v>
      </c>
    </row>
    <row r="77" ht="13.5" customHeight="1">
      <c r="A77" s="25" t="s">
        <v>102</v>
      </c>
      <c r="B77" s="5">
        <v>0.0</v>
      </c>
      <c r="C77" s="5">
        <v>0.0</v>
      </c>
      <c r="D77" s="5">
        <v>0.0</v>
      </c>
      <c r="E77" s="5">
        <v>0.0</v>
      </c>
      <c r="F77" s="5">
        <v>0.0</v>
      </c>
      <c r="G77" s="5">
        <v>0.0</v>
      </c>
      <c r="H77" s="5">
        <v>0.0</v>
      </c>
      <c r="I77" s="5">
        <v>0.0</v>
      </c>
      <c r="J77" s="27">
        <v>0.0</v>
      </c>
      <c r="K77" s="27">
        <v>0.0</v>
      </c>
      <c r="L77" s="27">
        <v>0.0</v>
      </c>
      <c r="M77" s="27">
        <v>0.0</v>
      </c>
      <c r="N77" s="5">
        <f t="shared" si="86"/>
        <v>0</v>
      </c>
      <c r="O77" s="28" t="str">
        <f t="shared" si="87"/>
        <v/>
      </c>
      <c r="P77" s="5"/>
      <c r="Q77" s="5"/>
      <c r="R77" s="29" t="s">
        <v>34</v>
      </c>
      <c r="S77" s="30">
        <v>0.0</v>
      </c>
      <c r="T77" s="31">
        <v>0.05</v>
      </c>
      <c r="U77" s="26">
        <f t="shared" ref="U77:AF77" si="99">IF($R77="Manual","",IFERROR(IF($R77="YOY Growth",$N77*(1+$T77)/12,$S77/12),""))</f>
        <v>0</v>
      </c>
      <c r="V77" s="26">
        <f t="shared" si="99"/>
        <v>0</v>
      </c>
      <c r="W77" s="26">
        <f t="shared" si="99"/>
        <v>0</v>
      </c>
      <c r="X77" s="26">
        <f t="shared" si="99"/>
        <v>0</v>
      </c>
      <c r="Y77" s="26">
        <f t="shared" si="99"/>
        <v>0</v>
      </c>
      <c r="Z77" s="26">
        <f t="shared" si="99"/>
        <v>0</v>
      </c>
      <c r="AA77" s="26">
        <f t="shared" si="99"/>
        <v>0</v>
      </c>
      <c r="AB77" s="26">
        <f t="shared" si="99"/>
        <v>0</v>
      </c>
      <c r="AC77" s="26">
        <f t="shared" si="99"/>
        <v>0</v>
      </c>
      <c r="AD77" s="26">
        <f t="shared" si="99"/>
        <v>0</v>
      </c>
      <c r="AE77" s="26">
        <f t="shared" si="99"/>
        <v>0</v>
      </c>
      <c r="AF77" s="26">
        <f t="shared" si="99"/>
        <v>0</v>
      </c>
      <c r="AG77" s="5">
        <f t="shared" si="88"/>
        <v>0</v>
      </c>
      <c r="AH77" s="28" t="str">
        <f t="shared" si="89"/>
        <v/>
      </c>
      <c r="AI77" s="4"/>
      <c r="AJ77" s="5">
        <f t="shared" si="90"/>
        <v>0</v>
      </c>
    </row>
    <row r="78" ht="13.5" customHeight="1">
      <c r="A78" s="25" t="s">
        <v>103</v>
      </c>
      <c r="B78" s="5">
        <v>0.0</v>
      </c>
      <c r="C78" s="5">
        <v>0.0</v>
      </c>
      <c r="D78" s="5">
        <v>0.0</v>
      </c>
      <c r="E78" s="5">
        <v>0.0</v>
      </c>
      <c r="F78" s="5">
        <v>0.0</v>
      </c>
      <c r="G78" s="5">
        <v>0.0</v>
      </c>
      <c r="H78" s="5">
        <v>0.0</v>
      </c>
      <c r="I78" s="5">
        <v>0.0</v>
      </c>
      <c r="J78" s="27">
        <v>0.0</v>
      </c>
      <c r="K78" s="27">
        <v>0.0</v>
      </c>
      <c r="L78" s="27">
        <v>0.0</v>
      </c>
      <c r="M78" s="27">
        <v>0.0</v>
      </c>
      <c r="N78" s="5">
        <f t="shared" si="86"/>
        <v>0</v>
      </c>
      <c r="O78" s="28" t="str">
        <f t="shared" si="87"/>
        <v/>
      </c>
      <c r="P78" s="5"/>
      <c r="Q78" s="5"/>
      <c r="R78" s="29" t="s">
        <v>34</v>
      </c>
      <c r="S78" s="30">
        <v>0.0</v>
      </c>
      <c r="T78" s="31">
        <v>0.05</v>
      </c>
      <c r="U78" s="26">
        <f t="shared" ref="U78:AF78" si="100">IF($R78="Manual","",IFERROR(IF($R78="YOY Growth",$N78*(1+$T78)/12,$S78/12),""))</f>
        <v>0</v>
      </c>
      <c r="V78" s="26">
        <f t="shared" si="100"/>
        <v>0</v>
      </c>
      <c r="W78" s="26">
        <f t="shared" si="100"/>
        <v>0</v>
      </c>
      <c r="X78" s="26">
        <f t="shared" si="100"/>
        <v>0</v>
      </c>
      <c r="Y78" s="26">
        <f t="shared" si="100"/>
        <v>0</v>
      </c>
      <c r="Z78" s="26">
        <f t="shared" si="100"/>
        <v>0</v>
      </c>
      <c r="AA78" s="26">
        <f t="shared" si="100"/>
        <v>0</v>
      </c>
      <c r="AB78" s="26">
        <f t="shared" si="100"/>
        <v>0</v>
      </c>
      <c r="AC78" s="26">
        <f t="shared" si="100"/>
        <v>0</v>
      </c>
      <c r="AD78" s="26">
        <f t="shared" si="100"/>
        <v>0</v>
      </c>
      <c r="AE78" s="26">
        <f t="shared" si="100"/>
        <v>0</v>
      </c>
      <c r="AF78" s="26">
        <f t="shared" si="100"/>
        <v>0</v>
      </c>
      <c r="AG78" s="5">
        <f t="shared" si="88"/>
        <v>0</v>
      </c>
      <c r="AH78" s="28" t="str">
        <f t="shared" si="89"/>
        <v/>
      </c>
      <c r="AI78" s="4"/>
      <c r="AJ78" s="5">
        <f t="shared" si="90"/>
        <v>0</v>
      </c>
    </row>
    <row r="79" ht="13.5" customHeight="1">
      <c r="A79" s="25" t="s">
        <v>104</v>
      </c>
      <c r="B79" s="5">
        <v>0.0</v>
      </c>
      <c r="C79" s="5">
        <v>0.0</v>
      </c>
      <c r="D79" s="5">
        <v>0.0</v>
      </c>
      <c r="E79" s="5">
        <v>0.0</v>
      </c>
      <c r="F79" s="5">
        <v>0.0</v>
      </c>
      <c r="G79" s="5">
        <v>2900.0</v>
      </c>
      <c r="H79" s="5">
        <v>0.0</v>
      </c>
      <c r="I79" s="5">
        <v>0.0</v>
      </c>
      <c r="J79" s="27">
        <v>0.0</v>
      </c>
      <c r="K79" s="27">
        <v>0.0</v>
      </c>
      <c r="L79" s="27">
        <v>0.0</v>
      </c>
      <c r="M79" s="27">
        <v>0.0</v>
      </c>
      <c r="N79" s="5">
        <f t="shared" si="86"/>
        <v>2900</v>
      </c>
      <c r="O79" s="28" t="str">
        <f t="shared" si="87"/>
        <v/>
      </c>
      <c r="P79" s="5"/>
      <c r="Q79" s="5"/>
      <c r="R79" s="29" t="s">
        <v>34</v>
      </c>
      <c r="S79" s="30">
        <v>0.0</v>
      </c>
      <c r="T79" s="31">
        <v>0.05</v>
      </c>
      <c r="U79" s="26">
        <f t="shared" ref="U79:AF79" si="101">IF($R79="Manual","",IFERROR(IF($R79="YOY Growth",$N79*(1+$T79)/12,$S79/12),""))</f>
        <v>0</v>
      </c>
      <c r="V79" s="26">
        <f t="shared" si="101"/>
        <v>0</v>
      </c>
      <c r="W79" s="26">
        <f t="shared" si="101"/>
        <v>0</v>
      </c>
      <c r="X79" s="26">
        <f t="shared" si="101"/>
        <v>0</v>
      </c>
      <c r="Y79" s="26">
        <f t="shared" si="101"/>
        <v>0</v>
      </c>
      <c r="Z79" s="26">
        <f t="shared" si="101"/>
        <v>0</v>
      </c>
      <c r="AA79" s="26">
        <f t="shared" si="101"/>
        <v>0</v>
      </c>
      <c r="AB79" s="26">
        <f t="shared" si="101"/>
        <v>0</v>
      </c>
      <c r="AC79" s="26">
        <f t="shared" si="101"/>
        <v>0</v>
      </c>
      <c r="AD79" s="26">
        <f t="shared" si="101"/>
        <v>0</v>
      </c>
      <c r="AE79" s="26">
        <f t="shared" si="101"/>
        <v>0</v>
      </c>
      <c r="AF79" s="26">
        <f t="shared" si="101"/>
        <v>0</v>
      </c>
      <c r="AG79" s="5">
        <f t="shared" si="88"/>
        <v>0</v>
      </c>
      <c r="AH79" s="28" t="str">
        <f t="shared" si="89"/>
        <v/>
      </c>
      <c r="AI79" s="4"/>
      <c r="AJ79" s="5">
        <f t="shared" si="90"/>
        <v>2900</v>
      </c>
    </row>
    <row r="80" ht="13.5" customHeight="1">
      <c r="A80" s="25" t="s">
        <v>105</v>
      </c>
      <c r="B80" s="5">
        <v>0.0</v>
      </c>
      <c r="C80" s="5">
        <v>0.0</v>
      </c>
      <c r="D80" s="5">
        <v>0.0</v>
      </c>
      <c r="E80" s="5">
        <v>0.0</v>
      </c>
      <c r="F80" s="5">
        <v>0.0</v>
      </c>
      <c r="G80" s="5">
        <v>0.0</v>
      </c>
      <c r="H80" s="5">
        <v>0.0</v>
      </c>
      <c r="I80" s="5">
        <v>0.0</v>
      </c>
      <c r="J80" s="27">
        <v>0.0</v>
      </c>
      <c r="K80" s="27">
        <v>0.0</v>
      </c>
      <c r="L80" s="27">
        <v>0.0</v>
      </c>
      <c r="M80" s="27">
        <v>0.0</v>
      </c>
      <c r="N80" s="5">
        <f t="shared" si="86"/>
        <v>0</v>
      </c>
      <c r="O80" s="28" t="str">
        <f t="shared" si="87"/>
        <v/>
      </c>
      <c r="P80" s="5"/>
      <c r="Q80" s="5"/>
      <c r="R80" s="29" t="s">
        <v>34</v>
      </c>
      <c r="S80" s="30">
        <v>0.0</v>
      </c>
      <c r="T80" s="31">
        <v>0.05</v>
      </c>
      <c r="U80" s="26">
        <f t="shared" ref="U80:AF80" si="102">IF($R80="Manual","",IFERROR(IF($R80="YOY Growth",$N80*(1+$T80)/12,$S80/12),""))</f>
        <v>0</v>
      </c>
      <c r="V80" s="26">
        <f t="shared" si="102"/>
        <v>0</v>
      </c>
      <c r="W80" s="26">
        <f t="shared" si="102"/>
        <v>0</v>
      </c>
      <c r="X80" s="26">
        <f t="shared" si="102"/>
        <v>0</v>
      </c>
      <c r="Y80" s="26">
        <f t="shared" si="102"/>
        <v>0</v>
      </c>
      <c r="Z80" s="26">
        <f t="shared" si="102"/>
        <v>0</v>
      </c>
      <c r="AA80" s="26">
        <f t="shared" si="102"/>
        <v>0</v>
      </c>
      <c r="AB80" s="26">
        <f t="shared" si="102"/>
        <v>0</v>
      </c>
      <c r="AC80" s="26">
        <f t="shared" si="102"/>
        <v>0</v>
      </c>
      <c r="AD80" s="26">
        <f t="shared" si="102"/>
        <v>0</v>
      </c>
      <c r="AE80" s="26">
        <f t="shared" si="102"/>
        <v>0</v>
      </c>
      <c r="AF80" s="26">
        <f t="shared" si="102"/>
        <v>0</v>
      </c>
      <c r="AG80" s="5">
        <f t="shared" si="88"/>
        <v>0</v>
      </c>
      <c r="AH80" s="28" t="str">
        <f t="shared" si="89"/>
        <v/>
      </c>
      <c r="AI80" s="4"/>
      <c r="AJ80" s="5">
        <f t="shared" si="90"/>
        <v>0</v>
      </c>
    </row>
    <row r="81" ht="13.5" customHeight="1">
      <c r="A81" s="24" t="s">
        <v>106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28"/>
      <c r="P81" s="5"/>
      <c r="Q81" s="5"/>
      <c r="R81" s="36"/>
      <c r="S81" s="36"/>
      <c r="T81" s="36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28"/>
      <c r="AI81" s="4"/>
      <c r="AJ81" s="5"/>
    </row>
    <row r="82" ht="13.5" customHeight="1">
      <c r="A82" s="25" t="s">
        <v>107</v>
      </c>
      <c r="B82" s="5">
        <v>0.0</v>
      </c>
      <c r="C82" s="5">
        <v>0.0</v>
      </c>
      <c r="D82" s="5">
        <v>0.0</v>
      </c>
      <c r="E82" s="5">
        <v>0.0</v>
      </c>
      <c r="F82" s="5">
        <v>0.0</v>
      </c>
      <c r="G82" s="5">
        <v>0.0</v>
      </c>
      <c r="H82" s="5">
        <v>0.0</v>
      </c>
      <c r="I82" s="5">
        <v>0.0</v>
      </c>
      <c r="J82" s="27">
        <v>0.0</v>
      </c>
      <c r="K82" s="27">
        <v>0.0</v>
      </c>
      <c r="L82" s="27">
        <v>0.0</v>
      </c>
      <c r="M82" s="27">
        <v>0.0</v>
      </c>
      <c r="N82" s="5">
        <f t="shared" ref="N82:N117" si="104">SUM(B82:M82)</f>
        <v>0</v>
      </c>
      <c r="O82" s="28" t="str">
        <f t="shared" ref="O82:O117" si="105">IFERROR(N82/N$16,"")</f>
        <v/>
      </c>
      <c r="P82" s="5"/>
      <c r="Q82" s="5"/>
      <c r="R82" s="29" t="s">
        <v>34</v>
      </c>
      <c r="S82" s="30">
        <v>0.0</v>
      </c>
      <c r="T82" s="31">
        <v>0.05</v>
      </c>
      <c r="U82" s="26">
        <f t="shared" ref="U82:AF82" si="103">IF($R82="Manual","",IFERROR(IF($R82="YOY Growth",$N82*(1+$T82)/12,$S82/12),""))</f>
        <v>0</v>
      </c>
      <c r="V82" s="26">
        <f t="shared" si="103"/>
        <v>0</v>
      </c>
      <c r="W82" s="26">
        <f t="shared" si="103"/>
        <v>0</v>
      </c>
      <c r="X82" s="26">
        <f t="shared" si="103"/>
        <v>0</v>
      </c>
      <c r="Y82" s="26">
        <f t="shared" si="103"/>
        <v>0</v>
      </c>
      <c r="Z82" s="26">
        <f t="shared" si="103"/>
        <v>0</v>
      </c>
      <c r="AA82" s="26">
        <f t="shared" si="103"/>
        <v>0</v>
      </c>
      <c r="AB82" s="26">
        <f t="shared" si="103"/>
        <v>0</v>
      </c>
      <c r="AC82" s="26">
        <f t="shared" si="103"/>
        <v>0</v>
      </c>
      <c r="AD82" s="26">
        <f t="shared" si="103"/>
        <v>0</v>
      </c>
      <c r="AE82" s="26">
        <f t="shared" si="103"/>
        <v>0</v>
      </c>
      <c r="AF82" s="26">
        <f t="shared" si="103"/>
        <v>0</v>
      </c>
      <c r="AG82" s="5">
        <f t="shared" ref="AG82:AG117" si="107">SUM(U82:AF82)</f>
        <v>0</v>
      </c>
      <c r="AH82" s="28" t="str">
        <f t="shared" ref="AH82:AH117" si="108">IFERROR(AG82/AG$16,"")</f>
        <v/>
      </c>
      <c r="AI82" s="4"/>
      <c r="AJ82" s="5">
        <f t="shared" ref="AJ82:AJ116" si="109">N82-AG82</f>
        <v>0</v>
      </c>
    </row>
    <row r="83" ht="13.5" customHeight="1">
      <c r="A83" s="25" t="s">
        <v>108</v>
      </c>
      <c r="B83" s="5">
        <v>0.0</v>
      </c>
      <c r="C83" s="5">
        <v>0.0</v>
      </c>
      <c r="D83" s="5">
        <v>0.0</v>
      </c>
      <c r="E83" s="5">
        <v>0.0</v>
      </c>
      <c r="F83" s="5">
        <v>0.0</v>
      </c>
      <c r="G83" s="5">
        <v>0.0</v>
      </c>
      <c r="H83" s="5">
        <v>0.0</v>
      </c>
      <c r="I83" s="5">
        <v>0.0</v>
      </c>
      <c r="J83" s="27">
        <v>0.0</v>
      </c>
      <c r="K83" s="27">
        <v>0.0</v>
      </c>
      <c r="L83" s="27">
        <v>0.0</v>
      </c>
      <c r="M83" s="27">
        <v>0.0</v>
      </c>
      <c r="N83" s="5">
        <f t="shared" si="104"/>
        <v>0</v>
      </c>
      <c r="O83" s="28" t="str">
        <f t="shared" si="105"/>
        <v/>
      </c>
      <c r="P83" s="5"/>
      <c r="Q83" s="5"/>
      <c r="R83" s="29" t="s">
        <v>34</v>
      </c>
      <c r="S83" s="30">
        <v>0.0</v>
      </c>
      <c r="T83" s="31">
        <v>0.05</v>
      </c>
      <c r="U83" s="26">
        <f t="shared" ref="U83:AF83" si="106">IF($R83="Manual","",IFERROR(IF($R83="YOY Growth",$N83*(1+$T83)/12,$S83/12),""))</f>
        <v>0</v>
      </c>
      <c r="V83" s="26">
        <f t="shared" si="106"/>
        <v>0</v>
      </c>
      <c r="W83" s="26">
        <f t="shared" si="106"/>
        <v>0</v>
      </c>
      <c r="X83" s="26">
        <f t="shared" si="106"/>
        <v>0</v>
      </c>
      <c r="Y83" s="26">
        <f t="shared" si="106"/>
        <v>0</v>
      </c>
      <c r="Z83" s="26">
        <f t="shared" si="106"/>
        <v>0</v>
      </c>
      <c r="AA83" s="26">
        <f t="shared" si="106"/>
        <v>0</v>
      </c>
      <c r="AB83" s="26">
        <f t="shared" si="106"/>
        <v>0</v>
      </c>
      <c r="AC83" s="26">
        <f t="shared" si="106"/>
        <v>0</v>
      </c>
      <c r="AD83" s="26">
        <f t="shared" si="106"/>
        <v>0</v>
      </c>
      <c r="AE83" s="26">
        <f t="shared" si="106"/>
        <v>0</v>
      </c>
      <c r="AF83" s="26">
        <f t="shared" si="106"/>
        <v>0</v>
      </c>
      <c r="AG83" s="5">
        <f t="shared" si="107"/>
        <v>0</v>
      </c>
      <c r="AH83" s="28" t="str">
        <f t="shared" si="108"/>
        <v/>
      </c>
      <c r="AI83" s="4"/>
      <c r="AJ83" s="5">
        <f t="shared" si="109"/>
        <v>0</v>
      </c>
    </row>
    <row r="84" ht="13.5" customHeight="1">
      <c r="A84" s="25" t="s">
        <v>109</v>
      </c>
      <c r="B84" s="5">
        <v>0.0</v>
      </c>
      <c r="C84" s="5">
        <v>0.0</v>
      </c>
      <c r="D84" s="5">
        <v>0.0</v>
      </c>
      <c r="E84" s="5">
        <v>0.0</v>
      </c>
      <c r="F84" s="5">
        <v>0.0</v>
      </c>
      <c r="G84" s="5">
        <v>0.0</v>
      </c>
      <c r="H84" s="5">
        <v>0.0</v>
      </c>
      <c r="I84" s="5">
        <v>0.0</v>
      </c>
      <c r="J84" s="27">
        <v>0.0</v>
      </c>
      <c r="K84" s="27">
        <v>0.0</v>
      </c>
      <c r="L84" s="27">
        <v>0.0</v>
      </c>
      <c r="M84" s="27">
        <v>0.0</v>
      </c>
      <c r="N84" s="5">
        <f t="shared" si="104"/>
        <v>0</v>
      </c>
      <c r="O84" s="28" t="str">
        <f t="shared" si="105"/>
        <v/>
      </c>
      <c r="P84" s="5"/>
      <c r="Q84" s="5"/>
      <c r="R84" s="29" t="s">
        <v>34</v>
      </c>
      <c r="S84" s="30">
        <v>0.0</v>
      </c>
      <c r="T84" s="31">
        <v>0.05</v>
      </c>
      <c r="U84" s="26">
        <f t="shared" ref="U84:AF84" si="110">IF($R84="Manual","",IFERROR(IF($R84="YOY Growth",$N84*(1+$T84)/12,$S84/12),""))</f>
        <v>0</v>
      </c>
      <c r="V84" s="26">
        <f t="shared" si="110"/>
        <v>0</v>
      </c>
      <c r="W84" s="26">
        <f t="shared" si="110"/>
        <v>0</v>
      </c>
      <c r="X84" s="26">
        <f t="shared" si="110"/>
        <v>0</v>
      </c>
      <c r="Y84" s="26">
        <f t="shared" si="110"/>
        <v>0</v>
      </c>
      <c r="Z84" s="26">
        <f t="shared" si="110"/>
        <v>0</v>
      </c>
      <c r="AA84" s="26">
        <f t="shared" si="110"/>
        <v>0</v>
      </c>
      <c r="AB84" s="26">
        <f t="shared" si="110"/>
        <v>0</v>
      </c>
      <c r="AC84" s="26">
        <f t="shared" si="110"/>
        <v>0</v>
      </c>
      <c r="AD84" s="26">
        <f t="shared" si="110"/>
        <v>0</v>
      </c>
      <c r="AE84" s="26">
        <f t="shared" si="110"/>
        <v>0</v>
      </c>
      <c r="AF84" s="26">
        <f t="shared" si="110"/>
        <v>0</v>
      </c>
      <c r="AG84" s="5">
        <f t="shared" si="107"/>
        <v>0</v>
      </c>
      <c r="AH84" s="28" t="str">
        <f t="shared" si="108"/>
        <v/>
      </c>
      <c r="AI84" s="4"/>
      <c r="AJ84" s="5">
        <f t="shared" si="109"/>
        <v>0</v>
      </c>
    </row>
    <row r="85" ht="13.5" customHeight="1">
      <c r="A85" s="25" t="s">
        <v>110</v>
      </c>
      <c r="B85" s="5">
        <v>0.0</v>
      </c>
      <c r="C85" s="5">
        <v>0.0</v>
      </c>
      <c r="D85" s="5">
        <v>0.0</v>
      </c>
      <c r="E85" s="5">
        <v>0.0</v>
      </c>
      <c r="F85" s="5">
        <v>0.0</v>
      </c>
      <c r="G85" s="5">
        <v>0.0</v>
      </c>
      <c r="H85" s="5">
        <v>0.0</v>
      </c>
      <c r="I85" s="5">
        <v>0.0</v>
      </c>
      <c r="J85" s="27">
        <v>0.0</v>
      </c>
      <c r="K85" s="27">
        <v>0.0</v>
      </c>
      <c r="L85" s="27">
        <v>0.0</v>
      </c>
      <c r="M85" s="27">
        <v>0.0</v>
      </c>
      <c r="N85" s="5">
        <f t="shared" si="104"/>
        <v>0</v>
      </c>
      <c r="O85" s="28" t="str">
        <f t="shared" si="105"/>
        <v/>
      </c>
      <c r="P85" s="5"/>
      <c r="Q85" s="5"/>
      <c r="R85" s="29" t="s">
        <v>34</v>
      </c>
      <c r="S85" s="30">
        <v>0.0</v>
      </c>
      <c r="T85" s="31">
        <v>0.05</v>
      </c>
      <c r="U85" s="26">
        <f t="shared" ref="U85:AF85" si="111">IF($R85="Manual","",IFERROR(IF($R85="YOY Growth",$N85*(1+$T85)/12,$S85/12),""))</f>
        <v>0</v>
      </c>
      <c r="V85" s="26">
        <f t="shared" si="111"/>
        <v>0</v>
      </c>
      <c r="W85" s="26">
        <f t="shared" si="111"/>
        <v>0</v>
      </c>
      <c r="X85" s="26">
        <f t="shared" si="111"/>
        <v>0</v>
      </c>
      <c r="Y85" s="26">
        <f t="shared" si="111"/>
        <v>0</v>
      </c>
      <c r="Z85" s="26">
        <f t="shared" si="111"/>
        <v>0</v>
      </c>
      <c r="AA85" s="26">
        <f t="shared" si="111"/>
        <v>0</v>
      </c>
      <c r="AB85" s="26">
        <f t="shared" si="111"/>
        <v>0</v>
      </c>
      <c r="AC85" s="26">
        <f t="shared" si="111"/>
        <v>0</v>
      </c>
      <c r="AD85" s="26">
        <f t="shared" si="111"/>
        <v>0</v>
      </c>
      <c r="AE85" s="26">
        <f t="shared" si="111"/>
        <v>0</v>
      </c>
      <c r="AF85" s="26">
        <f t="shared" si="111"/>
        <v>0</v>
      </c>
      <c r="AG85" s="5">
        <f t="shared" si="107"/>
        <v>0</v>
      </c>
      <c r="AH85" s="28" t="str">
        <f t="shared" si="108"/>
        <v/>
      </c>
      <c r="AI85" s="4"/>
      <c r="AJ85" s="5">
        <f t="shared" si="109"/>
        <v>0</v>
      </c>
    </row>
    <row r="86" ht="13.5" customHeight="1">
      <c r="A86" s="25" t="s">
        <v>111</v>
      </c>
      <c r="B86" s="5">
        <v>0.0</v>
      </c>
      <c r="C86" s="5">
        <v>0.0</v>
      </c>
      <c r="D86" s="5">
        <v>0.0</v>
      </c>
      <c r="E86" s="5">
        <v>0.0</v>
      </c>
      <c r="F86" s="5">
        <v>0.0</v>
      </c>
      <c r="G86" s="5">
        <v>0.0</v>
      </c>
      <c r="H86" s="5">
        <v>0.0</v>
      </c>
      <c r="I86" s="5">
        <v>0.0</v>
      </c>
      <c r="J86" s="27">
        <v>0.0</v>
      </c>
      <c r="K86" s="27">
        <v>0.0</v>
      </c>
      <c r="L86" s="27">
        <v>0.0</v>
      </c>
      <c r="M86" s="27">
        <v>0.0</v>
      </c>
      <c r="N86" s="5">
        <f t="shared" si="104"/>
        <v>0</v>
      </c>
      <c r="O86" s="28" t="str">
        <f t="shared" si="105"/>
        <v/>
      </c>
      <c r="P86" s="5"/>
      <c r="Q86" s="5"/>
      <c r="R86" s="29" t="s">
        <v>34</v>
      </c>
      <c r="S86" s="30">
        <v>0.0</v>
      </c>
      <c r="T86" s="31">
        <v>0.05</v>
      </c>
      <c r="U86" s="26">
        <f t="shared" ref="U86:AF86" si="112">IF($R86="Manual","",IFERROR(IF($R86="YOY Growth",$N86*(1+$T86)/12,$S86/12),""))</f>
        <v>0</v>
      </c>
      <c r="V86" s="26">
        <f t="shared" si="112"/>
        <v>0</v>
      </c>
      <c r="W86" s="26">
        <f t="shared" si="112"/>
        <v>0</v>
      </c>
      <c r="X86" s="26">
        <f t="shared" si="112"/>
        <v>0</v>
      </c>
      <c r="Y86" s="26">
        <f t="shared" si="112"/>
        <v>0</v>
      </c>
      <c r="Z86" s="26">
        <f t="shared" si="112"/>
        <v>0</v>
      </c>
      <c r="AA86" s="26">
        <f t="shared" si="112"/>
        <v>0</v>
      </c>
      <c r="AB86" s="26">
        <f t="shared" si="112"/>
        <v>0</v>
      </c>
      <c r="AC86" s="26">
        <f t="shared" si="112"/>
        <v>0</v>
      </c>
      <c r="AD86" s="26">
        <f t="shared" si="112"/>
        <v>0</v>
      </c>
      <c r="AE86" s="26">
        <f t="shared" si="112"/>
        <v>0</v>
      </c>
      <c r="AF86" s="26">
        <f t="shared" si="112"/>
        <v>0</v>
      </c>
      <c r="AG86" s="5">
        <f t="shared" si="107"/>
        <v>0</v>
      </c>
      <c r="AH86" s="28" t="str">
        <f t="shared" si="108"/>
        <v/>
      </c>
      <c r="AI86" s="4"/>
      <c r="AJ86" s="5">
        <f t="shared" si="109"/>
        <v>0</v>
      </c>
    </row>
    <row r="87" ht="13.5" customHeight="1">
      <c r="A87" s="33" t="s">
        <v>112</v>
      </c>
      <c r="B87" s="34">
        <f t="shared" ref="B87:M87" si="113">SUM(B82:B86)</f>
        <v>0</v>
      </c>
      <c r="C87" s="34">
        <f t="shared" si="113"/>
        <v>0</v>
      </c>
      <c r="D87" s="34">
        <f t="shared" si="113"/>
        <v>0</v>
      </c>
      <c r="E87" s="34">
        <f t="shared" si="113"/>
        <v>0</v>
      </c>
      <c r="F87" s="34">
        <f t="shared" si="113"/>
        <v>0</v>
      </c>
      <c r="G87" s="34">
        <f t="shared" si="113"/>
        <v>0</v>
      </c>
      <c r="H87" s="34">
        <f t="shared" si="113"/>
        <v>0</v>
      </c>
      <c r="I87" s="34">
        <f t="shared" si="113"/>
        <v>0</v>
      </c>
      <c r="J87" s="34">
        <f t="shared" si="113"/>
        <v>0</v>
      </c>
      <c r="K87" s="34">
        <f t="shared" si="113"/>
        <v>0</v>
      </c>
      <c r="L87" s="34">
        <f t="shared" si="113"/>
        <v>0</v>
      </c>
      <c r="M87" s="34">
        <f t="shared" si="113"/>
        <v>0</v>
      </c>
      <c r="N87" s="34">
        <f t="shared" si="104"/>
        <v>0</v>
      </c>
      <c r="O87" s="35" t="str">
        <f t="shared" si="105"/>
        <v/>
      </c>
      <c r="P87" s="5"/>
      <c r="Q87" s="5"/>
      <c r="R87" s="36"/>
      <c r="S87" s="36"/>
      <c r="T87" s="36"/>
      <c r="U87" s="34">
        <f t="shared" ref="U87:AF87" si="114">SUM(U82:U86)</f>
        <v>0</v>
      </c>
      <c r="V87" s="34">
        <f t="shared" si="114"/>
        <v>0</v>
      </c>
      <c r="W87" s="34">
        <f t="shared" si="114"/>
        <v>0</v>
      </c>
      <c r="X87" s="34">
        <f t="shared" si="114"/>
        <v>0</v>
      </c>
      <c r="Y87" s="34">
        <f t="shared" si="114"/>
        <v>0</v>
      </c>
      <c r="Z87" s="34">
        <f t="shared" si="114"/>
        <v>0</v>
      </c>
      <c r="AA87" s="34">
        <f t="shared" si="114"/>
        <v>0</v>
      </c>
      <c r="AB87" s="34">
        <f t="shared" si="114"/>
        <v>0</v>
      </c>
      <c r="AC87" s="34">
        <f t="shared" si="114"/>
        <v>0</v>
      </c>
      <c r="AD87" s="34">
        <f t="shared" si="114"/>
        <v>0</v>
      </c>
      <c r="AE87" s="34">
        <f t="shared" si="114"/>
        <v>0</v>
      </c>
      <c r="AF87" s="34">
        <f t="shared" si="114"/>
        <v>0</v>
      </c>
      <c r="AG87" s="34">
        <f t="shared" si="107"/>
        <v>0</v>
      </c>
      <c r="AH87" s="35" t="str">
        <f t="shared" si="108"/>
        <v/>
      </c>
      <c r="AI87" s="4"/>
      <c r="AJ87" s="34">
        <f t="shared" si="109"/>
        <v>0</v>
      </c>
    </row>
    <row r="88" ht="13.5" customHeight="1">
      <c r="A88" s="25" t="s">
        <v>113</v>
      </c>
      <c r="B88" s="5">
        <v>0.0</v>
      </c>
      <c r="C88" s="5">
        <v>0.0</v>
      </c>
      <c r="D88" s="5">
        <v>0.0</v>
      </c>
      <c r="E88" s="5">
        <v>0.0</v>
      </c>
      <c r="F88" s="5">
        <v>0.0</v>
      </c>
      <c r="G88" s="5">
        <v>0.0</v>
      </c>
      <c r="H88" s="5">
        <v>0.0</v>
      </c>
      <c r="I88" s="5">
        <v>0.0</v>
      </c>
      <c r="J88" s="27">
        <v>0.0</v>
      </c>
      <c r="K88" s="27">
        <v>0.0</v>
      </c>
      <c r="L88" s="27">
        <v>0.0</v>
      </c>
      <c r="M88" s="27">
        <v>0.0</v>
      </c>
      <c r="N88" s="5">
        <f t="shared" si="104"/>
        <v>0</v>
      </c>
      <c r="O88" s="28" t="str">
        <f t="shared" si="105"/>
        <v/>
      </c>
      <c r="P88" s="5"/>
      <c r="Q88" s="5"/>
      <c r="R88" s="29" t="s">
        <v>34</v>
      </c>
      <c r="S88" s="30">
        <v>0.0</v>
      </c>
      <c r="T88" s="31">
        <v>0.05</v>
      </c>
      <c r="U88" s="26">
        <f t="shared" ref="U88:AF88" si="115">IF($R88="Manual","",IFERROR(IF($R88="YOY Growth",$N88*(1+$T88)/12,$S88/12),""))</f>
        <v>0</v>
      </c>
      <c r="V88" s="26">
        <f t="shared" si="115"/>
        <v>0</v>
      </c>
      <c r="W88" s="26">
        <f t="shared" si="115"/>
        <v>0</v>
      </c>
      <c r="X88" s="26">
        <f t="shared" si="115"/>
        <v>0</v>
      </c>
      <c r="Y88" s="26">
        <f t="shared" si="115"/>
        <v>0</v>
      </c>
      <c r="Z88" s="26">
        <f t="shared" si="115"/>
        <v>0</v>
      </c>
      <c r="AA88" s="26">
        <f t="shared" si="115"/>
        <v>0</v>
      </c>
      <c r="AB88" s="26">
        <f t="shared" si="115"/>
        <v>0</v>
      </c>
      <c r="AC88" s="26">
        <f t="shared" si="115"/>
        <v>0</v>
      </c>
      <c r="AD88" s="26">
        <f t="shared" si="115"/>
        <v>0</v>
      </c>
      <c r="AE88" s="26">
        <f t="shared" si="115"/>
        <v>0</v>
      </c>
      <c r="AF88" s="26">
        <f t="shared" si="115"/>
        <v>0</v>
      </c>
      <c r="AG88" s="5">
        <f t="shared" si="107"/>
        <v>0</v>
      </c>
      <c r="AH88" s="28" t="str">
        <f t="shared" si="108"/>
        <v/>
      </c>
      <c r="AI88" s="4"/>
      <c r="AJ88" s="5">
        <f t="shared" si="109"/>
        <v>0</v>
      </c>
    </row>
    <row r="89" ht="13.5" customHeight="1">
      <c r="A89" s="25" t="s">
        <v>114</v>
      </c>
      <c r="B89" s="5">
        <v>0.0</v>
      </c>
      <c r="C89" s="5">
        <v>0.0</v>
      </c>
      <c r="D89" s="5">
        <v>0.0</v>
      </c>
      <c r="E89" s="5">
        <v>0.0</v>
      </c>
      <c r="F89" s="5">
        <v>0.0</v>
      </c>
      <c r="G89" s="5">
        <v>31320.0</v>
      </c>
      <c r="H89" s="5">
        <v>-8375.0</v>
      </c>
      <c r="I89" s="5">
        <v>-8375.0</v>
      </c>
      <c r="J89" s="27">
        <v>0.0</v>
      </c>
      <c r="K89" s="27">
        <v>0.0</v>
      </c>
      <c r="L89" s="27">
        <v>0.0</v>
      </c>
      <c r="M89" s="27">
        <v>0.0</v>
      </c>
      <c r="N89" s="5">
        <f t="shared" si="104"/>
        <v>14570</v>
      </c>
      <c r="O89" s="28" t="str">
        <f t="shared" si="105"/>
        <v/>
      </c>
      <c r="P89" s="5"/>
      <c r="Q89" s="5"/>
      <c r="R89" s="29" t="s">
        <v>34</v>
      </c>
      <c r="S89" s="30">
        <v>0.0</v>
      </c>
      <c r="T89" s="31">
        <v>0.05</v>
      </c>
      <c r="U89" s="26">
        <f t="shared" ref="U89:AF89" si="116">IF($R89="Manual","",IFERROR(IF($R89="YOY Growth",$N89*(1+$T89)/12,$S89/12),""))</f>
        <v>0</v>
      </c>
      <c r="V89" s="26">
        <f t="shared" si="116"/>
        <v>0</v>
      </c>
      <c r="W89" s="26">
        <f t="shared" si="116"/>
        <v>0</v>
      </c>
      <c r="X89" s="26">
        <f t="shared" si="116"/>
        <v>0</v>
      </c>
      <c r="Y89" s="26">
        <f t="shared" si="116"/>
        <v>0</v>
      </c>
      <c r="Z89" s="26">
        <f t="shared" si="116"/>
        <v>0</v>
      </c>
      <c r="AA89" s="26">
        <f t="shared" si="116"/>
        <v>0</v>
      </c>
      <c r="AB89" s="26">
        <f t="shared" si="116"/>
        <v>0</v>
      </c>
      <c r="AC89" s="26">
        <f t="shared" si="116"/>
        <v>0</v>
      </c>
      <c r="AD89" s="26">
        <f t="shared" si="116"/>
        <v>0</v>
      </c>
      <c r="AE89" s="26">
        <f t="shared" si="116"/>
        <v>0</v>
      </c>
      <c r="AF89" s="26">
        <f t="shared" si="116"/>
        <v>0</v>
      </c>
      <c r="AG89" s="5">
        <f t="shared" si="107"/>
        <v>0</v>
      </c>
      <c r="AH89" s="28" t="str">
        <f t="shared" si="108"/>
        <v/>
      </c>
      <c r="AI89" s="4"/>
      <c r="AJ89" s="5">
        <f t="shared" si="109"/>
        <v>14570</v>
      </c>
    </row>
    <row r="90" ht="13.5" customHeight="1">
      <c r="A90" s="25" t="s">
        <v>115</v>
      </c>
      <c r="B90" s="5">
        <v>0.0</v>
      </c>
      <c r="C90" s="5">
        <v>0.0</v>
      </c>
      <c r="D90" s="5">
        <v>0.0</v>
      </c>
      <c r="E90" s="5">
        <v>0.0</v>
      </c>
      <c r="F90" s="5">
        <v>0.0</v>
      </c>
      <c r="G90" s="5">
        <v>0.0</v>
      </c>
      <c r="H90" s="5">
        <v>0.0</v>
      </c>
      <c r="I90" s="5">
        <v>0.0</v>
      </c>
      <c r="J90" s="27">
        <v>0.0</v>
      </c>
      <c r="K90" s="27">
        <v>0.0</v>
      </c>
      <c r="L90" s="27">
        <v>0.0</v>
      </c>
      <c r="M90" s="27">
        <v>0.0</v>
      </c>
      <c r="N90" s="5">
        <f t="shared" si="104"/>
        <v>0</v>
      </c>
      <c r="O90" s="28" t="str">
        <f t="shared" si="105"/>
        <v/>
      </c>
      <c r="P90" s="5"/>
      <c r="Q90" s="5"/>
      <c r="R90" s="29" t="s">
        <v>34</v>
      </c>
      <c r="S90" s="30">
        <v>0.0</v>
      </c>
      <c r="T90" s="31">
        <v>0.05</v>
      </c>
      <c r="U90" s="26">
        <f t="shared" ref="U90:AF90" si="117">IF($R90="Manual","",IFERROR(IF($R90="YOY Growth",$N90*(1+$T90)/12,$S90/12),""))</f>
        <v>0</v>
      </c>
      <c r="V90" s="26">
        <f t="shared" si="117"/>
        <v>0</v>
      </c>
      <c r="W90" s="26">
        <f t="shared" si="117"/>
        <v>0</v>
      </c>
      <c r="X90" s="26">
        <f t="shared" si="117"/>
        <v>0</v>
      </c>
      <c r="Y90" s="26">
        <f t="shared" si="117"/>
        <v>0</v>
      </c>
      <c r="Z90" s="26">
        <f t="shared" si="117"/>
        <v>0</v>
      </c>
      <c r="AA90" s="26">
        <f t="shared" si="117"/>
        <v>0</v>
      </c>
      <c r="AB90" s="26">
        <f t="shared" si="117"/>
        <v>0</v>
      </c>
      <c r="AC90" s="26">
        <f t="shared" si="117"/>
        <v>0</v>
      </c>
      <c r="AD90" s="26">
        <f t="shared" si="117"/>
        <v>0</v>
      </c>
      <c r="AE90" s="26">
        <f t="shared" si="117"/>
        <v>0</v>
      </c>
      <c r="AF90" s="26">
        <f t="shared" si="117"/>
        <v>0</v>
      </c>
      <c r="AG90" s="5">
        <f t="shared" si="107"/>
        <v>0</v>
      </c>
      <c r="AH90" s="28" t="str">
        <f t="shared" si="108"/>
        <v/>
      </c>
      <c r="AI90" s="4"/>
      <c r="AJ90" s="5">
        <f t="shared" si="109"/>
        <v>0</v>
      </c>
    </row>
    <row r="91" ht="13.5" customHeight="1">
      <c r="A91" s="25" t="s">
        <v>116</v>
      </c>
      <c r="B91" s="5">
        <v>0.0</v>
      </c>
      <c r="C91" s="5">
        <v>11217.74</v>
      </c>
      <c r="D91" s="5">
        <v>22578.69</v>
      </c>
      <c r="E91" s="5">
        <v>2247.84</v>
      </c>
      <c r="F91" s="5">
        <v>0.0</v>
      </c>
      <c r="G91" s="5">
        <v>0.0</v>
      </c>
      <c r="H91" s="5">
        <v>8883.71</v>
      </c>
      <c r="I91" s="5">
        <v>14805.67</v>
      </c>
      <c r="J91" s="27">
        <v>0.0</v>
      </c>
      <c r="K91" s="27">
        <v>0.0</v>
      </c>
      <c r="L91" s="27">
        <v>0.0</v>
      </c>
      <c r="M91" s="27">
        <v>0.0</v>
      </c>
      <c r="N91" s="5">
        <f t="shared" si="104"/>
        <v>59733.65</v>
      </c>
      <c r="O91" s="28" t="str">
        <f t="shared" si="105"/>
        <v/>
      </c>
      <c r="P91" s="5"/>
      <c r="Q91" s="5"/>
      <c r="R91" s="29" t="s">
        <v>34</v>
      </c>
      <c r="S91" s="30">
        <v>0.0</v>
      </c>
      <c r="T91" s="31">
        <v>0.05</v>
      </c>
      <c r="U91" s="26">
        <f t="shared" ref="U91:AF91" si="118">IF($R91="Manual","",IFERROR(IF($R91="YOY Growth",$N91*(1+$T91)/12,$S91/12),""))</f>
        <v>0</v>
      </c>
      <c r="V91" s="26">
        <f t="shared" si="118"/>
        <v>0</v>
      </c>
      <c r="W91" s="26">
        <f t="shared" si="118"/>
        <v>0</v>
      </c>
      <c r="X91" s="26">
        <f t="shared" si="118"/>
        <v>0</v>
      </c>
      <c r="Y91" s="26">
        <f t="shared" si="118"/>
        <v>0</v>
      </c>
      <c r="Z91" s="26">
        <f t="shared" si="118"/>
        <v>0</v>
      </c>
      <c r="AA91" s="26">
        <f t="shared" si="118"/>
        <v>0</v>
      </c>
      <c r="AB91" s="26">
        <f t="shared" si="118"/>
        <v>0</v>
      </c>
      <c r="AC91" s="26">
        <f t="shared" si="118"/>
        <v>0</v>
      </c>
      <c r="AD91" s="26">
        <f t="shared" si="118"/>
        <v>0</v>
      </c>
      <c r="AE91" s="26">
        <f t="shared" si="118"/>
        <v>0</v>
      </c>
      <c r="AF91" s="26">
        <f t="shared" si="118"/>
        <v>0</v>
      </c>
      <c r="AG91" s="5">
        <f t="shared" si="107"/>
        <v>0</v>
      </c>
      <c r="AH91" s="28" t="str">
        <f t="shared" si="108"/>
        <v/>
      </c>
      <c r="AI91" s="4"/>
      <c r="AJ91" s="5">
        <f t="shared" si="109"/>
        <v>59733.65</v>
      </c>
    </row>
    <row r="92" ht="13.5" customHeight="1">
      <c r="A92" s="25" t="s">
        <v>117</v>
      </c>
      <c r="B92" s="5">
        <v>0.0</v>
      </c>
      <c r="C92" s="5">
        <v>1173.39</v>
      </c>
      <c r="D92" s="5">
        <v>-83.85</v>
      </c>
      <c r="E92" s="5">
        <v>0.0</v>
      </c>
      <c r="F92" s="5">
        <v>0.0</v>
      </c>
      <c r="G92" s="5">
        <v>0.0</v>
      </c>
      <c r="H92" s="5">
        <v>0.0</v>
      </c>
      <c r="I92" s="5">
        <v>0.0</v>
      </c>
      <c r="J92" s="27">
        <v>0.0</v>
      </c>
      <c r="K92" s="27">
        <v>0.0</v>
      </c>
      <c r="L92" s="27">
        <v>0.0</v>
      </c>
      <c r="M92" s="27">
        <v>0.0</v>
      </c>
      <c r="N92" s="5">
        <f t="shared" si="104"/>
        <v>1089.54</v>
      </c>
      <c r="O92" s="28" t="str">
        <f t="shared" si="105"/>
        <v/>
      </c>
      <c r="P92" s="5"/>
      <c r="Q92" s="5"/>
      <c r="R92" s="29" t="s">
        <v>34</v>
      </c>
      <c r="S92" s="30">
        <v>0.0</v>
      </c>
      <c r="T92" s="31">
        <v>0.05</v>
      </c>
      <c r="U92" s="26">
        <f t="shared" ref="U92:AF92" si="119">IF($R92="Manual","",IFERROR(IF($R92="YOY Growth",$N92*(1+$T92)/12,$S92/12),""))</f>
        <v>0</v>
      </c>
      <c r="V92" s="26">
        <f t="shared" si="119"/>
        <v>0</v>
      </c>
      <c r="W92" s="26">
        <f t="shared" si="119"/>
        <v>0</v>
      </c>
      <c r="X92" s="26">
        <f t="shared" si="119"/>
        <v>0</v>
      </c>
      <c r="Y92" s="26">
        <f t="shared" si="119"/>
        <v>0</v>
      </c>
      <c r="Z92" s="26">
        <f t="shared" si="119"/>
        <v>0</v>
      </c>
      <c r="AA92" s="26">
        <f t="shared" si="119"/>
        <v>0</v>
      </c>
      <c r="AB92" s="26">
        <f t="shared" si="119"/>
        <v>0</v>
      </c>
      <c r="AC92" s="26">
        <f t="shared" si="119"/>
        <v>0</v>
      </c>
      <c r="AD92" s="26">
        <f t="shared" si="119"/>
        <v>0</v>
      </c>
      <c r="AE92" s="26">
        <f t="shared" si="119"/>
        <v>0</v>
      </c>
      <c r="AF92" s="26">
        <f t="shared" si="119"/>
        <v>0</v>
      </c>
      <c r="AG92" s="5">
        <f t="shared" si="107"/>
        <v>0</v>
      </c>
      <c r="AH92" s="28" t="str">
        <f t="shared" si="108"/>
        <v/>
      </c>
      <c r="AI92" s="4"/>
      <c r="AJ92" s="5">
        <f t="shared" si="109"/>
        <v>1089.54</v>
      </c>
    </row>
    <row r="93" ht="13.5" customHeight="1">
      <c r="A93" s="25" t="s">
        <v>118</v>
      </c>
      <c r="B93" s="5">
        <v>0.0</v>
      </c>
      <c r="C93" s="5">
        <v>0.0</v>
      </c>
      <c r="D93" s="5">
        <v>0.0</v>
      </c>
      <c r="E93" s="5">
        <v>0.0</v>
      </c>
      <c r="F93" s="5">
        <v>0.0</v>
      </c>
      <c r="G93" s="5">
        <v>0.0</v>
      </c>
      <c r="H93" s="5">
        <v>0.0</v>
      </c>
      <c r="I93" s="5">
        <v>0.0</v>
      </c>
      <c r="J93" s="27">
        <v>0.0</v>
      </c>
      <c r="K93" s="27">
        <v>0.0</v>
      </c>
      <c r="L93" s="27">
        <v>0.0</v>
      </c>
      <c r="M93" s="27">
        <v>0.0</v>
      </c>
      <c r="N93" s="5">
        <f t="shared" si="104"/>
        <v>0</v>
      </c>
      <c r="O93" s="28" t="str">
        <f t="shared" si="105"/>
        <v/>
      </c>
      <c r="P93" s="5"/>
      <c r="Q93" s="5"/>
      <c r="R93" s="29" t="s">
        <v>34</v>
      </c>
      <c r="S93" s="30">
        <v>0.0</v>
      </c>
      <c r="T93" s="31">
        <v>0.05</v>
      </c>
      <c r="U93" s="26">
        <f t="shared" ref="U93:AF93" si="120">IF($R93="Manual","",IFERROR(IF($R93="YOY Growth",$N93*(1+$T93)/12,$S93/12),""))</f>
        <v>0</v>
      </c>
      <c r="V93" s="26">
        <f t="shared" si="120"/>
        <v>0</v>
      </c>
      <c r="W93" s="26">
        <f t="shared" si="120"/>
        <v>0</v>
      </c>
      <c r="X93" s="26">
        <f t="shared" si="120"/>
        <v>0</v>
      </c>
      <c r="Y93" s="26">
        <f t="shared" si="120"/>
        <v>0</v>
      </c>
      <c r="Z93" s="26">
        <f t="shared" si="120"/>
        <v>0</v>
      </c>
      <c r="AA93" s="26">
        <f t="shared" si="120"/>
        <v>0</v>
      </c>
      <c r="AB93" s="26">
        <f t="shared" si="120"/>
        <v>0</v>
      </c>
      <c r="AC93" s="26">
        <f t="shared" si="120"/>
        <v>0</v>
      </c>
      <c r="AD93" s="26">
        <f t="shared" si="120"/>
        <v>0</v>
      </c>
      <c r="AE93" s="26">
        <f t="shared" si="120"/>
        <v>0</v>
      </c>
      <c r="AF93" s="26">
        <f t="shared" si="120"/>
        <v>0</v>
      </c>
      <c r="AG93" s="5">
        <f t="shared" si="107"/>
        <v>0</v>
      </c>
      <c r="AH93" s="28" t="str">
        <f t="shared" si="108"/>
        <v/>
      </c>
      <c r="AI93" s="4"/>
      <c r="AJ93" s="5">
        <f t="shared" si="109"/>
        <v>0</v>
      </c>
    </row>
    <row r="94" ht="13.5" customHeight="1">
      <c r="A94" s="25" t="s">
        <v>119</v>
      </c>
      <c r="B94" s="5">
        <v>0.0</v>
      </c>
      <c r="C94" s="5">
        <v>0.0</v>
      </c>
      <c r="D94" s="5">
        <v>0.0</v>
      </c>
      <c r="E94" s="5">
        <v>0.0</v>
      </c>
      <c r="F94" s="5">
        <v>0.0</v>
      </c>
      <c r="G94" s="5">
        <v>0.0</v>
      </c>
      <c r="H94" s="5">
        <v>0.0</v>
      </c>
      <c r="I94" s="5">
        <v>0.0</v>
      </c>
      <c r="J94" s="27">
        <v>0.0</v>
      </c>
      <c r="K94" s="27">
        <v>0.0</v>
      </c>
      <c r="L94" s="27">
        <v>0.0</v>
      </c>
      <c r="M94" s="27">
        <v>0.0</v>
      </c>
      <c r="N94" s="5">
        <f t="shared" si="104"/>
        <v>0</v>
      </c>
      <c r="O94" s="28" t="str">
        <f t="shared" si="105"/>
        <v/>
      </c>
      <c r="P94" s="5"/>
      <c r="Q94" s="5"/>
      <c r="R94" s="29" t="s">
        <v>34</v>
      </c>
      <c r="S94" s="30">
        <v>0.0</v>
      </c>
      <c r="T94" s="31">
        <v>0.05</v>
      </c>
      <c r="U94" s="26">
        <f t="shared" ref="U94:AF94" si="121">IF($R94="Manual","",IFERROR(IF($R94="YOY Growth",$N94*(1+$T94)/12,$S94/12),""))</f>
        <v>0</v>
      </c>
      <c r="V94" s="26">
        <f t="shared" si="121"/>
        <v>0</v>
      </c>
      <c r="W94" s="26">
        <f t="shared" si="121"/>
        <v>0</v>
      </c>
      <c r="X94" s="26">
        <f t="shared" si="121"/>
        <v>0</v>
      </c>
      <c r="Y94" s="26">
        <f t="shared" si="121"/>
        <v>0</v>
      </c>
      <c r="Z94" s="26">
        <f t="shared" si="121"/>
        <v>0</v>
      </c>
      <c r="AA94" s="26">
        <f t="shared" si="121"/>
        <v>0</v>
      </c>
      <c r="AB94" s="26">
        <f t="shared" si="121"/>
        <v>0</v>
      </c>
      <c r="AC94" s="26">
        <f t="shared" si="121"/>
        <v>0</v>
      </c>
      <c r="AD94" s="26">
        <f t="shared" si="121"/>
        <v>0</v>
      </c>
      <c r="AE94" s="26">
        <f t="shared" si="121"/>
        <v>0</v>
      </c>
      <c r="AF94" s="26">
        <f t="shared" si="121"/>
        <v>0</v>
      </c>
      <c r="AG94" s="5">
        <f t="shared" si="107"/>
        <v>0</v>
      </c>
      <c r="AH94" s="28" t="str">
        <f t="shared" si="108"/>
        <v/>
      </c>
      <c r="AI94" s="4"/>
      <c r="AJ94" s="5">
        <f t="shared" si="109"/>
        <v>0</v>
      </c>
    </row>
    <row r="95" ht="13.5" customHeight="1">
      <c r="A95" s="25" t="s">
        <v>120</v>
      </c>
      <c r="B95" s="5">
        <v>0.0</v>
      </c>
      <c r="C95" s="5">
        <v>0.0</v>
      </c>
      <c r="D95" s="5">
        <v>0.0</v>
      </c>
      <c r="E95" s="5">
        <v>1515.48</v>
      </c>
      <c r="F95" s="5">
        <v>0.0</v>
      </c>
      <c r="G95" s="5">
        <v>2962.39</v>
      </c>
      <c r="H95" s="5">
        <v>3138.29</v>
      </c>
      <c r="I95" s="5">
        <v>2047.26</v>
      </c>
      <c r="J95" s="27">
        <v>500.0</v>
      </c>
      <c r="K95" s="27">
        <v>500.0</v>
      </c>
      <c r="L95" s="27">
        <v>500.0</v>
      </c>
      <c r="M95" s="27">
        <v>500.0</v>
      </c>
      <c r="N95" s="5">
        <f t="shared" si="104"/>
        <v>11663.42</v>
      </c>
      <c r="O95" s="28" t="str">
        <f t="shared" si="105"/>
        <v/>
      </c>
      <c r="P95" s="5"/>
      <c r="Q95" s="5"/>
      <c r="R95" s="29" t="s">
        <v>34</v>
      </c>
      <c r="S95" s="30">
        <v>0.0</v>
      </c>
      <c r="T95" s="31">
        <v>0.05</v>
      </c>
      <c r="U95" s="26">
        <f t="shared" ref="U95:AF95" si="122">IF($R95="Manual","",IFERROR(IF($R95="YOY Growth",$N95*(1+$T95)/12,$S95/12),""))</f>
        <v>0</v>
      </c>
      <c r="V95" s="26">
        <f t="shared" si="122"/>
        <v>0</v>
      </c>
      <c r="W95" s="26">
        <f t="shared" si="122"/>
        <v>0</v>
      </c>
      <c r="X95" s="26">
        <f t="shared" si="122"/>
        <v>0</v>
      </c>
      <c r="Y95" s="26">
        <f t="shared" si="122"/>
        <v>0</v>
      </c>
      <c r="Z95" s="26">
        <f t="shared" si="122"/>
        <v>0</v>
      </c>
      <c r="AA95" s="26">
        <f t="shared" si="122"/>
        <v>0</v>
      </c>
      <c r="AB95" s="26">
        <f t="shared" si="122"/>
        <v>0</v>
      </c>
      <c r="AC95" s="26">
        <f t="shared" si="122"/>
        <v>0</v>
      </c>
      <c r="AD95" s="26">
        <f t="shared" si="122"/>
        <v>0</v>
      </c>
      <c r="AE95" s="26">
        <f t="shared" si="122"/>
        <v>0</v>
      </c>
      <c r="AF95" s="26">
        <f t="shared" si="122"/>
        <v>0</v>
      </c>
      <c r="AG95" s="5">
        <f t="shared" si="107"/>
        <v>0</v>
      </c>
      <c r="AH95" s="28" t="str">
        <f t="shared" si="108"/>
        <v/>
      </c>
      <c r="AI95" s="4"/>
      <c r="AJ95" s="5">
        <f t="shared" si="109"/>
        <v>11663.42</v>
      </c>
    </row>
    <row r="96" ht="13.5" customHeight="1">
      <c r="A96" s="25" t="s">
        <v>121</v>
      </c>
      <c r="B96" s="5">
        <v>4965.69</v>
      </c>
      <c r="C96" s="5">
        <v>0.0</v>
      </c>
      <c r="D96" s="5">
        <v>99.36</v>
      </c>
      <c r="E96" s="5">
        <v>127.27</v>
      </c>
      <c r="F96" s="5">
        <v>45.0</v>
      </c>
      <c r="G96" s="5">
        <v>5460.04</v>
      </c>
      <c r="H96" s="5">
        <v>0.0</v>
      </c>
      <c r="I96" s="5">
        <v>0.0</v>
      </c>
      <c r="J96" s="27">
        <v>100.0</v>
      </c>
      <c r="K96" s="27">
        <v>100.0</v>
      </c>
      <c r="L96" s="27">
        <v>100.0</v>
      </c>
      <c r="M96" s="27">
        <v>100.0</v>
      </c>
      <c r="N96" s="5">
        <f t="shared" si="104"/>
        <v>11097.36</v>
      </c>
      <c r="O96" s="28" t="str">
        <f t="shared" si="105"/>
        <v/>
      </c>
      <c r="P96" s="5"/>
      <c r="Q96" s="5"/>
      <c r="R96" s="29" t="s">
        <v>34</v>
      </c>
      <c r="S96" s="30">
        <v>0.0</v>
      </c>
      <c r="T96" s="31">
        <v>0.05</v>
      </c>
      <c r="U96" s="26">
        <f t="shared" ref="U96:AF96" si="123">IF($R96="Manual","",IFERROR(IF($R96="YOY Growth",$N96*(1+$T96)/12,$S96/12),""))</f>
        <v>0</v>
      </c>
      <c r="V96" s="26">
        <f t="shared" si="123"/>
        <v>0</v>
      </c>
      <c r="W96" s="26">
        <f t="shared" si="123"/>
        <v>0</v>
      </c>
      <c r="X96" s="26">
        <f t="shared" si="123"/>
        <v>0</v>
      </c>
      <c r="Y96" s="26">
        <f t="shared" si="123"/>
        <v>0</v>
      </c>
      <c r="Z96" s="26">
        <f t="shared" si="123"/>
        <v>0</v>
      </c>
      <c r="AA96" s="26">
        <f t="shared" si="123"/>
        <v>0</v>
      </c>
      <c r="AB96" s="26">
        <f t="shared" si="123"/>
        <v>0</v>
      </c>
      <c r="AC96" s="26">
        <f t="shared" si="123"/>
        <v>0</v>
      </c>
      <c r="AD96" s="26">
        <f t="shared" si="123"/>
        <v>0</v>
      </c>
      <c r="AE96" s="26">
        <f t="shared" si="123"/>
        <v>0</v>
      </c>
      <c r="AF96" s="26">
        <f t="shared" si="123"/>
        <v>0</v>
      </c>
      <c r="AG96" s="5">
        <f t="shared" si="107"/>
        <v>0</v>
      </c>
      <c r="AH96" s="28" t="str">
        <f t="shared" si="108"/>
        <v/>
      </c>
      <c r="AI96" s="4"/>
      <c r="AJ96" s="5">
        <f t="shared" si="109"/>
        <v>11097.36</v>
      </c>
    </row>
    <row r="97" ht="13.5" customHeight="1">
      <c r="A97" s="25" t="s">
        <v>122</v>
      </c>
      <c r="B97" s="5">
        <v>0.0</v>
      </c>
      <c r="C97" s="5">
        <v>0.0</v>
      </c>
      <c r="D97" s="5">
        <v>0.0</v>
      </c>
      <c r="E97" s="5">
        <v>0.0</v>
      </c>
      <c r="F97" s="5">
        <v>0.0</v>
      </c>
      <c r="G97" s="5">
        <v>0.0</v>
      </c>
      <c r="H97" s="5">
        <v>0.0</v>
      </c>
      <c r="I97" s="5">
        <v>0.0</v>
      </c>
      <c r="J97" s="27">
        <v>0.0</v>
      </c>
      <c r="K97" s="27">
        <v>0.0</v>
      </c>
      <c r="L97" s="27">
        <v>0.0</v>
      </c>
      <c r="M97" s="27">
        <v>0.0</v>
      </c>
      <c r="N97" s="5">
        <f t="shared" si="104"/>
        <v>0</v>
      </c>
      <c r="O97" s="28" t="str">
        <f t="shared" si="105"/>
        <v/>
      </c>
      <c r="P97" s="5"/>
      <c r="Q97" s="5"/>
      <c r="R97" s="29" t="s">
        <v>34</v>
      </c>
      <c r="S97" s="30">
        <v>0.0</v>
      </c>
      <c r="T97" s="31">
        <v>0.05</v>
      </c>
      <c r="U97" s="26">
        <f t="shared" ref="U97:AF97" si="124">IF($R97="Manual","",IFERROR(IF($R97="YOY Growth",$N97*(1+$T97)/12,$S97/12),""))</f>
        <v>0</v>
      </c>
      <c r="V97" s="26">
        <f t="shared" si="124"/>
        <v>0</v>
      </c>
      <c r="W97" s="26">
        <f t="shared" si="124"/>
        <v>0</v>
      </c>
      <c r="X97" s="26">
        <f t="shared" si="124"/>
        <v>0</v>
      </c>
      <c r="Y97" s="26">
        <f t="shared" si="124"/>
        <v>0</v>
      </c>
      <c r="Z97" s="26">
        <f t="shared" si="124"/>
        <v>0</v>
      </c>
      <c r="AA97" s="26">
        <f t="shared" si="124"/>
        <v>0</v>
      </c>
      <c r="AB97" s="26">
        <f t="shared" si="124"/>
        <v>0</v>
      </c>
      <c r="AC97" s="26">
        <f t="shared" si="124"/>
        <v>0</v>
      </c>
      <c r="AD97" s="26">
        <f t="shared" si="124"/>
        <v>0</v>
      </c>
      <c r="AE97" s="26">
        <f t="shared" si="124"/>
        <v>0</v>
      </c>
      <c r="AF97" s="26">
        <f t="shared" si="124"/>
        <v>0</v>
      </c>
      <c r="AG97" s="5">
        <f t="shared" si="107"/>
        <v>0</v>
      </c>
      <c r="AH97" s="28" t="str">
        <f t="shared" si="108"/>
        <v/>
      </c>
      <c r="AI97" s="4"/>
      <c r="AJ97" s="5">
        <f t="shared" si="109"/>
        <v>0</v>
      </c>
    </row>
    <row r="98" ht="13.5" customHeight="1">
      <c r="A98" s="25" t="s">
        <v>123</v>
      </c>
      <c r="B98" s="5">
        <v>0.0</v>
      </c>
      <c r="C98" s="5">
        <v>0.0</v>
      </c>
      <c r="D98" s="5">
        <v>0.0</v>
      </c>
      <c r="E98" s="5">
        <v>0.0</v>
      </c>
      <c r="F98" s="5">
        <v>0.0</v>
      </c>
      <c r="G98" s="5">
        <v>0.0</v>
      </c>
      <c r="H98" s="5">
        <v>0.0</v>
      </c>
      <c r="I98" s="5">
        <v>0.0</v>
      </c>
      <c r="J98" s="27">
        <v>0.0</v>
      </c>
      <c r="K98" s="27">
        <v>0.0</v>
      </c>
      <c r="L98" s="27">
        <v>0.0</v>
      </c>
      <c r="M98" s="27">
        <v>0.0</v>
      </c>
      <c r="N98" s="5">
        <f t="shared" si="104"/>
        <v>0</v>
      </c>
      <c r="O98" s="28" t="str">
        <f t="shared" si="105"/>
        <v/>
      </c>
      <c r="P98" s="5"/>
      <c r="Q98" s="5"/>
      <c r="R98" s="29" t="s">
        <v>34</v>
      </c>
      <c r="S98" s="30">
        <v>0.0</v>
      </c>
      <c r="T98" s="31">
        <v>0.05</v>
      </c>
      <c r="U98" s="26">
        <f t="shared" ref="U98:AF98" si="125">IF($R98="Manual","",IFERROR(IF($R98="YOY Growth",$N98*(1+$T98)/12,$S98/12),""))</f>
        <v>0</v>
      </c>
      <c r="V98" s="26">
        <f t="shared" si="125"/>
        <v>0</v>
      </c>
      <c r="W98" s="26">
        <f t="shared" si="125"/>
        <v>0</v>
      </c>
      <c r="X98" s="26">
        <f t="shared" si="125"/>
        <v>0</v>
      </c>
      <c r="Y98" s="26">
        <f t="shared" si="125"/>
        <v>0</v>
      </c>
      <c r="Z98" s="26">
        <f t="shared" si="125"/>
        <v>0</v>
      </c>
      <c r="AA98" s="26">
        <f t="shared" si="125"/>
        <v>0</v>
      </c>
      <c r="AB98" s="26">
        <f t="shared" si="125"/>
        <v>0</v>
      </c>
      <c r="AC98" s="26">
        <f t="shared" si="125"/>
        <v>0</v>
      </c>
      <c r="AD98" s="26">
        <f t="shared" si="125"/>
        <v>0</v>
      </c>
      <c r="AE98" s="26">
        <f t="shared" si="125"/>
        <v>0</v>
      </c>
      <c r="AF98" s="26">
        <f t="shared" si="125"/>
        <v>0</v>
      </c>
      <c r="AG98" s="5">
        <f t="shared" si="107"/>
        <v>0</v>
      </c>
      <c r="AH98" s="28" t="str">
        <f t="shared" si="108"/>
        <v/>
      </c>
      <c r="AI98" s="4"/>
      <c r="AJ98" s="5">
        <f t="shared" si="109"/>
        <v>0</v>
      </c>
    </row>
    <row r="99" ht="13.5" customHeight="1">
      <c r="A99" s="25" t="s">
        <v>124</v>
      </c>
      <c r="B99" s="5">
        <v>0.0</v>
      </c>
      <c r="C99" s="5">
        <v>0.0</v>
      </c>
      <c r="D99" s="5">
        <v>0.0</v>
      </c>
      <c r="E99" s="5">
        <v>0.0</v>
      </c>
      <c r="F99" s="5">
        <v>0.0</v>
      </c>
      <c r="G99" s="5">
        <v>0.0</v>
      </c>
      <c r="H99" s="5">
        <v>0.0</v>
      </c>
      <c r="I99" s="5">
        <v>0.0</v>
      </c>
      <c r="J99" s="27">
        <v>0.0</v>
      </c>
      <c r="K99" s="27">
        <v>0.0</v>
      </c>
      <c r="L99" s="27">
        <v>0.0</v>
      </c>
      <c r="M99" s="27">
        <v>0.0</v>
      </c>
      <c r="N99" s="5">
        <f t="shared" si="104"/>
        <v>0</v>
      </c>
      <c r="O99" s="28" t="str">
        <f t="shared" si="105"/>
        <v/>
      </c>
      <c r="P99" s="5"/>
      <c r="Q99" s="5"/>
      <c r="R99" s="29" t="s">
        <v>34</v>
      </c>
      <c r="S99" s="30">
        <v>0.0</v>
      </c>
      <c r="T99" s="31">
        <v>0.05</v>
      </c>
      <c r="U99" s="26">
        <f t="shared" ref="U99:AF99" si="126">IF($R99="Manual","",IFERROR(IF($R99="YOY Growth",$N99*(1+$T99)/12,$S99/12),""))</f>
        <v>0</v>
      </c>
      <c r="V99" s="26">
        <f t="shared" si="126"/>
        <v>0</v>
      </c>
      <c r="W99" s="26">
        <f t="shared" si="126"/>
        <v>0</v>
      </c>
      <c r="X99" s="26">
        <f t="shared" si="126"/>
        <v>0</v>
      </c>
      <c r="Y99" s="26">
        <f t="shared" si="126"/>
        <v>0</v>
      </c>
      <c r="Z99" s="26">
        <f t="shared" si="126"/>
        <v>0</v>
      </c>
      <c r="AA99" s="26">
        <f t="shared" si="126"/>
        <v>0</v>
      </c>
      <c r="AB99" s="26">
        <f t="shared" si="126"/>
        <v>0</v>
      </c>
      <c r="AC99" s="26">
        <f t="shared" si="126"/>
        <v>0</v>
      </c>
      <c r="AD99" s="26">
        <f t="shared" si="126"/>
        <v>0</v>
      </c>
      <c r="AE99" s="26">
        <f t="shared" si="126"/>
        <v>0</v>
      </c>
      <c r="AF99" s="26">
        <f t="shared" si="126"/>
        <v>0</v>
      </c>
      <c r="AG99" s="5">
        <f t="shared" si="107"/>
        <v>0</v>
      </c>
      <c r="AH99" s="28" t="str">
        <f t="shared" si="108"/>
        <v/>
      </c>
      <c r="AI99" s="4"/>
      <c r="AJ99" s="5">
        <f t="shared" si="109"/>
        <v>0</v>
      </c>
    </row>
    <row r="100" ht="13.5" customHeight="1">
      <c r="A100" s="25" t="s">
        <v>126</v>
      </c>
      <c r="B100" s="5">
        <v>0.0</v>
      </c>
      <c r="C100" s="5">
        <v>0.0</v>
      </c>
      <c r="D100" s="5">
        <v>930.0</v>
      </c>
      <c r="E100" s="5">
        <v>450.0</v>
      </c>
      <c r="F100" s="5">
        <v>450.0</v>
      </c>
      <c r="G100" s="5">
        <v>450.0</v>
      </c>
      <c r="H100" s="5">
        <v>450.0</v>
      </c>
      <c r="I100" s="5">
        <v>450.0</v>
      </c>
      <c r="J100" s="27">
        <v>450.0</v>
      </c>
      <c r="K100" s="27">
        <v>450.0</v>
      </c>
      <c r="L100" s="27">
        <v>450.0</v>
      </c>
      <c r="M100" s="27">
        <v>450.0</v>
      </c>
      <c r="N100" s="5">
        <f t="shared" si="104"/>
        <v>4980</v>
      </c>
      <c r="O100" s="28" t="str">
        <f t="shared" si="105"/>
        <v/>
      </c>
      <c r="P100" s="5"/>
      <c r="Q100" s="5"/>
      <c r="R100" s="29" t="s">
        <v>34</v>
      </c>
      <c r="S100" s="30">
        <v>0.0</v>
      </c>
      <c r="T100" s="31">
        <v>0.05</v>
      </c>
      <c r="U100" s="26">
        <f t="shared" ref="U100:AF100" si="127">IF($R100="Manual","",IFERROR(IF($R100="YOY Growth",$N100*(1+$T100)/12,$S100/12),""))</f>
        <v>0</v>
      </c>
      <c r="V100" s="26">
        <f t="shared" si="127"/>
        <v>0</v>
      </c>
      <c r="W100" s="26">
        <f t="shared" si="127"/>
        <v>0</v>
      </c>
      <c r="X100" s="26">
        <f t="shared" si="127"/>
        <v>0</v>
      </c>
      <c r="Y100" s="26">
        <f t="shared" si="127"/>
        <v>0</v>
      </c>
      <c r="Z100" s="26">
        <f t="shared" si="127"/>
        <v>0</v>
      </c>
      <c r="AA100" s="26">
        <f t="shared" si="127"/>
        <v>0</v>
      </c>
      <c r="AB100" s="26">
        <f t="shared" si="127"/>
        <v>0</v>
      </c>
      <c r="AC100" s="26">
        <f t="shared" si="127"/>
        <v>0</v>
      </c>
      <c r="AD100" s="26">
        <f t="shared" si="127"/>
        <v>0</v>
      </c>
      <c r="AE100" s="26">
        <f t="shared" si="127"/>
        <v>0</v>
      </c>
      <c r="AF100" s="26">
        <f t="shared" si="127"/>
        <v>0</v>
      </c>
      <c r="AG100" s="5">
        <f t="shared" si="107"/>
        <v>0</v>
      </c>
      <c r="AH100" s="28" t="str">
        <f t="shared" si="108"/>
        <v/>
      </c>
      <c r="AI100" s="4"/>
      <c r="AJ100" s="5">
        <f t="shared" si="109"/>
        <v>4980</v>
      </c>
    </row>
    <row r="101" ht="13.5" customHeight="1">
      <c r="A101" s="25" t="s">
        <v>128</v>
      </c>
      <c r="B101" s="5">
        <v>0.0</v>
      </c>
      <c r="C101" s="5">
        <v>0.0</v>
      </c>
      <c r="D101" s="5">
        <v>0.0</v>
      </c>
      <c r="E101" s="5">
        <v>0.0</v>
      </c>
      <c r="F101" s="5">
        <v>0.0</v>
      </c>
      <c r="G101" s="5">
        <v>0.0</v>
      </c>
      <c r="H101" s="5">
        <v>0.0</v>
      </c>
      <c r="I101" s="5">
        <v>0.0</v>
      </c>
      <c r="J101" s="27">
        <v>0.0</v>
      </c>
      <c r="K101" s="27">
        <v>0.0</v>
      </c>
      <c r="L101" s="27">
        <v>0.0</v>
      </c>
      <c r="M101" s="27">
        <v>0.0</v>
      </c>
      <c r="N101" s="5">
        <f t="shared" si="104"/>
        <v>0</v>
      </c>
      <c r="O101" s="28" t="str">
        <f t="shared" si="105"/>
        <v/>
      </c>
      <c r="P101" s="5"/>
      <c r="Q101" s="5"/>
      <c r="R101" s="29" t="s">
        <v>34</v>
      </c>
      <c r="S101" s="30">
        <v>0.0</v>
      </c>
      <c r="T101" s="31">
        <v>0.05</v>
      </c>
      <c r="U101" s="26">
        <f t="shared" ref="U101:AF101" si="128">IF($R101="Manual","",IFERROR(IF($R101="YOY Growth",$N101*(1+$T101)/12,$S101/12),""))</f>
        <v>0</v>
      </c>
      <c r="V101" s="26">
        <f t="shared" si="128"/>
        <v>0</v>
      </c>
      <c r="W101" s="26">
        <f t="shared" si="128"/>
        <v>0</v>
      </c>
      <c r="X101" s="26">
        <f t="shared" si="128"/>
        <v>0</v>
      </c>
      <c r="Y101" s="26">
        <f t="shared" si="128"/>
        <v>0</v>
      </c>
      <c r="Z101" s="26">
        <f t="shared" si="128"/>
        <v>0</v>
      </c>
      <c r="AA101" s="26">
        <f t="shared" si="128"/>
        <v>0</v>
      </c>
      <c r="AB101" s="26">
        <f t="shared" si="128"/>
        <v>0</v>
      </c>
      <c r="AC101" s="26">
        <f t="shared" si="128"/>
        <v>0</v>
      </c>
      <c r="AD101" s="26">
        <f t="shared" si="128"/>
        <v>0</v>
      </c>
      <c r="AE101" s="26">
        <f t="shared" si="128"/>
        <v>0</v>
      </c>
      <c r="AF101" s="26">
        <f t="shared" si="128"/>
        <v>0</v>
      </c>
      <c r="AG101" s="5">
        <f t="shared" si="107"/>
        <v>0</v>
      </c>
      <c r="AH101" s="28" t="str">
        <f t="shared" si="108"/>
        <v/>
      </c>
      <c r="AI101" s="4"/>
      <c r="AJ101" s="5">
        <f t="shared" si="109"/>
        <v>0</v>
      </c>
    </row>
    <row r="102" ht="13.5" customHeight="1">
      <c r="A102" s="25" t="s">
        <v>129</v>
      </c>
      <c r="B102" s="5">
        <v>0.0</v>
      </c>
      <c r="C102" s="5">
        <v>79.8</v>
      </c>
      <c r="D102" s="5">
        <v>0.0</v>
      </c>
      <c r="E102" s="5">
        <v>0.0</v>
      </c>
      <c r="F102" s="5">
        <v>0.0</v>
      </c>
      <c r="G102" s="5">
        <v>0.0</v>
      </c>
      <c r="H102" s="5">
        <v>0.0</v>
      </c>
      <c r="I102" s="5">
        <v>203.28</v>
      </c>
      <c r="J102" s="27">
        <v>50.0</v>
      </c>
      <c r="K102" s="27">
        <v>50.0</v>
      </c>
      <c r="L102" s="27">
        <v>50.0</v>
      </c>
      <c r="M102" s="27">
        <v>50.0</v>
      </c>
      <c r="N102" s="5">
        <f t="shared" si="104"/>
        <v>483.08</v>
      </c>
      <c r="O102" s="28" t="str">
        <f t="shared" si="105"/>
        <v/>
      </c>
      <c r="P102" s="5"/>
      <c r="Q102" s="5"/>
      <c r="R102" s="29" t="s">
        <v>34</v>
      </c>
      <c r="S102" s="30">
        <v>0.0</v>
      </c>
      <c r="T102" s="31">
        <v>0.05</v>
      </c>
      <c r="U102" s="26">
        <f t="shared" ref="U102:AF102" si="129">IF($R102="Manual","",IFERROR(IF($R102="YOY Growth",$N102*(1+$T102)/12,$S102/12),""))</f>
        <v>0</v>
      </c>
      <c r="V102" s="26">
        <f t="shared" si="129"/>
        <v>0</v>
      </c>
      <c r="W102" s="26">
        <f t="shared" si="129"/>
        <v>0</v>
      </c>
      <c r="X102" s="26">
        <f t="shared" si="129"/>
        <v>0</v>
      </c>
      <c r="Y102" s="26">
        <f t="shared" si="129"/>
        <v>0</v>
      </c>
      <c r="Z102" s="26">
        <f t="shared" si="129"/>
        <v>0</v>
      </c>
      <c r="AA102" s="26">
        <f t="shared" si="129"/>
        <v>0</v>
      </c>
      <c r="AB102" s="26">
        <f t="shared" si="129"/>
        <v>0</v>
      </c>
      <c r="AC102" s="26">
        <f t="shared" si="129"/>
        <v>0</v>
      </c>
      <c r="AD102" s="26">
        <f t="shared" si="129"/>
        <v>0</v>
      </c>
      <c r="AE102" s="26">
        <f t="shared" si="129"/>
        <v>0</v>
      </c>
      <c r="AF102" s="26">
        <f t="shared" si="129"/>
        <v>0</v>
      </c>
      <c r="AG102" s="5">
        <f t="shared" si="107"/>
        <v>0</v>
      </c>
      <c r="AH102" s="28" t="str">
        <f t="shared" si="108"/>
        <v/>
      </c>
      <c r="AI102" s="4"/>
      <c r="AJ102" s="5">
        <f t="shared" si="109"/>
        <v>483.08</v>
      </c>
    </row>
    <row r="103" ht="13.5" customHeight="1">
      <c r="A103" s="25" t="s">
        <v>130</v>
      </c>
      <c r="B103" s="5">
        <v>0.0</v>
      </c>
      <c r="C103" s="5">
        <v>0.0</v>
      </c>
      <c r="D103" s="5">
        <v>0.0</v>
      </c>
      <c r="E103" s="5">
        <v>0.0</v>
      </c>
      <c r="F103" s="5">
        <v>0.0</v>
      </c>
      <c r="G103" s="5">
        <v>0.0</v>
      </c>
      <c r="H103" s="5">
        <v>0.0</v>
      </c>
      <c r="I103" s="5">
        <v>0.0</v>
      </c>
      <c r="J103" s="27">
        <v>0.0</v>
      </c>
      <c r="K103" s="27">
        <v>0.0</v>
      </c>
      <c r="L103" s="27">
        <v>0.0</v>
      </c>
      <c r="M103" s="27">
        <v>0.0</v>
      </c>
      <c r="N103" s="5">
        <f t="shared" si="104"/>
        <v>0</v>
      </c>
      <c r="O103" s="28" t="str">
        <f t="shared" si="105"/>
        <v/>
      </c>
      <c r="P103" s="5"/>
      <c r="Q103" s="5"/>
      <c r="R103" s="29" t="s">
        <v>34</v>
      </c>
      <c r="S103" s="30">
        <v>0.0</v>
      </c>
      <c r="T103" s="31">
        <v>0.05</v>
      </c>
      <c r="U103" s="26">
        <f t="shared" ref="U103:AF103" si="130">IF($R103="Manual","",IFERROR(IF($R103="YOY Growth",$N103*(1+$T103)/12,$S103/12),""))</f>
        <v>0</v>
      </c>
      <c r="V103" s="26">
        <f t="shared" si="130"/>
        <v>0</v>
      </c>
      <c r="W103" s="26">
        <f t="shared" si="130"/>
        <v>0</v>
      </c>
      <c r="X103" s="26">
        <f t="shared" si="130"/>
        <v>0</v>
      </c>
      <c r="Y103" s="26">
        <f t="shared" si="130"/>
        <v>0</v>
      </c>
      <c r="Z103" s="26">
        <f t="shared" si="130"/>
        <v>0</v>
      </c>
      <c r="AA103" s="26">
        <f t="shared" si="130"/>
        <v>0</v>
      </c>
      <c r="AB103" s="26">
        <f t="shared" si="130"/>
        <v>0</v>
      </c>
      <c r="AC103" s="26">
        <f t="shared" si="130"/>
        <v>0</v>
      </c>
      <c r="AD103" s="26">
        <f t="shared" si="130"/>
        <v>0</v>
      </c>
      <c r="AE103" s="26">
        <f t="shared" si="130"/>
        <v>0</v>
      </c>
      <c r="AF103" s="26">
        <f t="shared" si="130"/>
        <v>0</v>
      </c>
      <c r="AG103" s="5">
        <f t="shared" si="107"/>
        <v>0</v>
      </c>
      <c r="AH103" s="28" t="str">
        <f t="shared" si="108"/>
        <v/>
      </c>
      <c r="AI103" s="4"/>
      <c r="AJ103" s="5">
        <f t="shared" si="109"/>
        <v>0</v>
      </c>
    </row>
    <row r="104" ht="13.5" customHeight="1">
      <c r="A104" s="25" t="s">
        <v>131</v>
      </c>
      <c r="B104" s="5">
        <v>0.0</v>
      </c>
      <c r="C104" s="5">
        <v>0.0</v>
      </c>
      <c r="D104" s="5">
        <v>0.0</v>
      </c>
      <c r="E104" s="5">
        <v>0.0</v>
      </c>
      <c r="F104" s="5">
        <v>0.0</v>
      </c>
      <c r="G104" s="5">
        <v>300.13</v>
      </c>
      <c r="H104" s="5">
        <v>0.0</v>
      </c>
      <c r="I104" s="5">
        <v>0.0</v>
      </c>
      <c r="J104" s="27">
        <v>0.0</v>
      </c>
      <c r="K104" s="27">
        <v>0.0</v>
      </c>
      <c r="L104" s="27">
        <v>0.0</v>
      </c>
      <c r="M104" s="27">
        <v>0.0</v>
      </c>
      <c r="N104" s="5">
        <f t="shared" si="104"/>
        <v>300.13</v>
      </c>
      <c r="O104" s="28" t="str">
        <f t="shared" si="105"/>
        <v/>
      </c>
      <c r="P104" s="5"/>
      <c r="Q104" s="5"/>
      <c r="R104" s="29" t="s">
        <v>34</v>
      </c>
      <c r="S104" s="30">
        <v>0.0</v>
      </c>
      <c r="T104" s="31">
        <v>0.05</v>
      </c>
      <c r="U104" s="26">
        <f t="shared" ref="U104:AF104" si="131">IF($R104="Manual","",IFERROR(IF($R104="YOY Growth",$N104*(1+$T104)/12,$S104/12),""))</f>
        <v>0</v>
      </c>
      <c r="V104" s="26">
        <f t="shared" si="131"/>
        <v>0</v>
      </c>
      <c r="W104" s="26">
        <f t="shared" si="131"/>
        <v>0</v>
      </c>
      <c r="X104" s="26">
        <f t="shared" si="131"/>
        <v>0</v>
      </c>
      <c r="Y104" s="26">
        <f t="shared" si="131"/>
        <v>0</v>
      </c>
      <c r="Z104" s="26">
        <f t="shared" si="131"/>
        <v>0</v>
      </c>
      <c r="AA104" s="26">
        <f t="shared" si="131"/>
        <v>0</v>
      </c>
      <c r="AB104" s="26">
        <f t="shared" si="131"/>
        <v>0</v>
      </c>
      <c r="AC104" s="26">
        <f t="shared" si="131"/>
        <v>0</v>
      </c>
      <c r="AD104" s="26">
        <f t="shared" si="131"/>
        <v>0</v>
      </c>
      <c r="AE104" s="26">
        <f t="shared" si="131"/>
        <v>0</v>
      </c>
      <c r="AF104" s="26">
        <f t="shared" si="131"/>
        <v>0</v>
      </c>
      <c r="AG104" s="5">
        <f t="shared" si="107"/>
        <v>0</v>
      </c>
      <c r="AH104" s="28" t="str">
        <f t="shared" si="108"/>
        <v/>
      </c>
      <c r="AI104" s="4"/>
      <c r="AJ104" s="5">
        <f t="shared" si="109"/>
        <v>300.13</v>
      </c>
    </row>
    <row r="105" ht="13.5" customHeight="1">
      <c r="A105" s="25" t="s">
        <v>132</v>
      </c>
      <c r="B105" s="5">
        <v>0.0</v>
      </c>
      <c r="C105" s="5">
        <v>0.0</v>
      </c>
      <c r="D105" s="5">
        <v>0.0</v>
      </c>
      <c r="E105" s="5">
        <v>0.0</v>
      </c>
      <c r="F105" s="5">
        <v>0.0</v>
      </c>
      <c r="G105" s="5">
        <v>0.0</v>
      </c>
      <c r="H105" s="5">
        <v>0.0</v>
      </c>
      <c r="I105" s="5">
        <v>0.0</v>
      </c>
      <c r="J105" s="27">
        <v>0.0</v>
      </c>
      <c r="K105" s="27">
        <v>0.0</v>
      </c>
      <c r="L105" s="27">
        <v>0.0</v>
      </c>
      <c r="M105" s="27">
        <v>0.0</v>
      </c>
      <c r="N105" s="5">
        <f t="shared" si="104"/>
        <v>0</v>
      </c>
      <c r="O105" s="28" t="str">
        <f t="shared" si="105"/>
        <v/>
      </c>
      <c r="P105" s="5"/>
      <c r="Q105" s="5"/>
      <c r="R105" s="29" t="s">
        <v>34</v>
      </c>
      <c r="S105" s="30">
        <v>0.0</v>
      </c>
      <c r="T105" s="31">
        <v>0.05</v>
      </c>
      <c r="U105" s="26">
        <f t="shared" ref="U105:AF105" si="132">IF($R105="Manual","",IFERROR(IF($R105="YOY Growth",$N105*(1+$T105)/12,$S105/12),""))</f>
        <v>0</v>
      </c>
      <c r="V105" s="26">
        <f t="shared" si="132"/>
        <v>0</v>
      </c>
      <c r="W105" s="26">
        <f t="shared" si="132"/>
        <v>0</v>
      </c>
      <c r="X105" s="26">
        <f t="shared" si="132"/>
        <v>0</v>
      </c>
      <c r="Y105" s="26">
        <f t="shared" si="132"/>
        <v>0</v>
      </c>
      <c r="Z105" s="26">
        <f t="shared" si="132"/>
        <v>0</v>
      </c>
      <c r="AA105" s="26">
        <f t="shared" si="132"/>
        <v>0</v>
      </c>
      <c r="AB105" s="26">
        <f t="shared" si="132"/>
        <v>0</v>
      </c>
      <c r="AC105" s="26">
        <f t="shared" si="132"/>
        <v>0</v>
      </c>
      <c r="AD105" s="26">
        <f t="shared" si="132"/>
        <v>0</v>
      </c>
      <c r="AE105" s="26">
        <f t="shared" si="132"/>
        <v>0</v>
      </c>
      <c r="AF105" s="26">
        <f t="shared" si="132"/>
        <v>0</v>
      </c>
      <c r="AG105" s="5">
        <f t="shared" si="107"/>
        <v>0</v>
      </c>
      <c r="AH105" s="28" t="str">
        <f t="shared" si="108"/>
        <v/>
      </c>
      <c r="AI105" s="4"/>
      <c r="AJ105" s="5">
        <f t="shared" si="109"/>
        <v>0</v>
      </c>
    </row>
    <row r="106" ht="13.5" customHeight="1">
      <c r="A106" s="25" t="s">
        <v>133</v>
      </c>
      <c r="B106" s="5">
        <v>0.0</v>
      </c>
      <c r="C106" s="5">
        <v>5564.86</v>
      </c>
      <c r="D106" s="5">
        <v>0.0</v>
      </c>
      <c r="E106" s="5">
        <v>5954.4</v>
      </c>
      <c r="F106" s="5">
        <v>0.0</v>
      </c>
      <c r="G106" s="5">
        <v>0.0</v>
      </c>
      <c r="H106" s="5">
        <v>0.0</v>
      </c>
      <c r="I106" s="5">
        <v>0.0</v>
      </c>
      <c r="J106" s="27">
        <v>2000.0</v>
      </c>
      <c r="K106" s="27">
        <v>2000.0</v>
      </c>
      <c r="L106" s="27">
        <v>2000.0</v>
      </c>
      <c r="M106" s="27">
        <v>2000.0</v>
      </c>
      <c r="N106" s="5">
        <f t="shared" si="104"/>
        <v>19519.26</v>
      </c>
      <c r="O106" s="28" t="str">
        <f t="shared" si="105"/>
        <v/>
      </c>
      <c r="P106" s="5"/>
      <c r="Q106" s="5"/>
      <c r="R106" s="29" t="s">
        <v>34</v>
      </c>
      <c r="S106" s="30">
        <v>0.0</v>
      </c>
      <c r="T106" s="31">
        <v>0.05</v>
      </c>
      <c r="U106" s="26">
        <f t="shared" ref="U106:AF106" si="133">IF($R106="Manual","",IFERROR(IF($R106="YOY Growth",$N106*(1+$T106)/12,$S106/12),""))</f>
        <v>0</v>
      </c>
      <c r="V106" s="26">
        <f t="shared" si="133"/>
        <v>0</v>
      </c>
      <c r="W106" s="26">
        <f t="shared" si="133"/>
        <v>0</v>
      </c>
      <c r="X106" s="26">
        <f t="shared" si="133"/>
        <v>0</v>
      </c>
      <c r="Y106" s="26">
        <f t="shared" si="133"/>
        <v>0</v>
      </c>
      <c r="Z106" s="26">
        <f t="shared" si="133"/>
        <v>0</v>
      </c>
      <c r="AA106" s="26">
        <f t="shared" si="133"/>
        <v>0</v>
      </c>
      <c r="AB106" s="26">
        <f t="shared" si="133"/>
        <v>0</v>
      </c>
      <c r="AC106" s="26">
        <f t="shared" si="133"/>
        <v>0</v>
      </c>
      <c r="AD106" s="26">
        <f t="shared" si="133"/>
        <v>0</v>
      </c>
      <c r="AE106" s="26">
        <f t="shared" si="133"/>
        <v>0</v>
      </c>
      <c r="AF106" s="26">
        <f t="shared" si="133"/>
        <v>0</v>
      </c>
      <c r="AG106" s="5">
        <f t="shared" si="107"/>
        <v>0</v>
      </c>
      <c r="AH106" s="28" t="str">
        <f t="shared" si="108"/>
        <v/>
      </c>
      <c r="AI106" s="4"/>
      <c r="AJ106" s="5">
        <f t="shared" si="109"/>
        <v>19519.26</v>
      </c>
    </row>
    <row r="107" ht="13.5" customHeight="1">
      <c r="A107" s="25" t="s">
        <v>135</v>
      </c>
      <c r="B107" s="5">
        <v>0.0</v>
      </c>
      <c r="C107" s="5">
        <v>0.0</v>
      </c>
      <c r="D107" s="5">
        <v>0.0</v>
      </c>
      <c r="E107" s="5">
        <v>0.0</v>
      </c>
      <c r="F107" s="5">
        <v>0.0</v>
      </c>
      <c r="G107" s="5">
        <v>0.0</v>
      </c>
      <c r="H107" s="5">
        <v>0.0</v>
      </c>
      <c r="I107" s="5">
        <v>0.0</v>
      </c>
      <c r="J107" s="27">
        <v>0.0</v>
      </c>
      <c r="K107" s="27">
        <v>0.0</v>
      </c>
      <c r="L107" s="27">
        <v>0.0</v>
      </c>
      <c r="M107" s="27">
        <v>0.0</v>
      </c>
      <c r="N107" s="5">
        <f t="shared" si="104"/>
        <v>0</v>
      </c>
      <c r="O107" s="28" t="str">
        <f t="shared" si="105"/>
        <v/>
      </c>
      <c r="P107" s="5"/>
      <c r="Q107" s="5"/>
      <c r="R107" s="29" t="s">
        <v>34</v>
      </c>
      <c r="S107" s="30">
        <v>0.0</v>
      </c>
      <c r="T107" s="31">
        <v>0.05</v>
      </c>
      <c r="U107" s="26">
        <f t="shared" ref="U107:AF107" si="134">IF($R107="Manual","",IFERROR(IF($R107="YOY Growth",$N107*(1+$T107)/12,$S107/12),""))</f>
        <v>0</v>
      </c>
      <c r="V107" s="26">
        <f t="shared" si="134"/>
        <v>0</v>
      </c>
      <c r="W107" s="26">
        <f t="shared" si="134"/>
        <v>0</v>
      </c>
      <c r="X107" s="26">
        <f t="shared" si="134"/>
        <v>0</v>
      </c>
      <c r="Y107" s="26">
        <f t="shared" si="134"/>
        <v>0</v>
      </c>
      <c r="Z107" s="26">
        <f t="shared" si="134"/>
        <v>0</v>
      </c>
      <c r="AA107" s="26">
        <f t="shared" si="134"/>
        <v>0</v>
      </c>
      <c r="AB107" s="26">
        <f t="shared" si="134"/>
        <v>0</v>
      </c>
      <c r="AC107" s="26">
        <f t="shared" si="134"/>
        <v>0</v>
      </c>
      <c r="AD107" s="26">
        <f t="shared" si="134"/>
        <v>0</v>
      </c>
      <c r="AE107" s="26">
        <f t="shared" si="134"/>
        <v>0</v>
      </c>
      <c r="AF107" s="26">
        <f t="shared" si="134"/>
        <v>0</v>
      </c>
      <c r="AG107" s="5">
        <f t="shared" si="107"/>
        <v>0</v>
      </c>
      <c r="AH107" s="28" t="str">
        <f t="shared" si="108"/>
        <v/>
      </c>
      <c r="AI107" s="4"/>
      <c r="AJ107" s="5">
        <f t="shared" si="109"/>
        <v>0</v>
      </c>
    </row>
    <row r="108" ht="13.5" customHeight="1">
      <c r="A108" s="25" t="s">
        <v>136</v>
      </c>
      <c r="B108" s="5">
        <v>0.0</v>
      </c>
      <c r="C108" s="5">
        <v>0.0</v>
      </c>
      <c r="D108" s="5">
        <v>0.0</v>
      </c>
      <c r="E108" s="5">
        <v>0.0</v>
      </c>
      <c r="F108" s="5">
        <v>0.0</v>
      </c>
      <c r="G108" s="5">
        <v>0.0</v>
      </c>
      <c r="H108" s="5">
        <v>0.0</v>
      </c>
      <c r="I108" s="5">
        <v>0.0</v>
      </c>
      <c r="J108" s="27">
        <v>0.0</v>
      </c>
      <c r="K108" s="27">
        <v>0.0</v>
      </c>
      <c r="L108" s="27">
        <v>0.0</v>
      </c>
      <c r="M108" s="27">
        <v>0.0</v>
      </c>
      <c r="N108" s="5">
        <f t="shared" si="104"/>
        <v>0</v>
      </c>
      <c r="O108" s="28" t="str">
        <f t="shared" si="105"/>
        <v/>
      </c>
      <c r="P108" s="5"/>
      <c r="Q108" s="5"/>
      <c r="R108" s="29" t="s">
        <v>34</v>
      </c>
      <c r="S108" s="30">
        <v>0.0</v>
      </c>
      <c r="T108" s="31">
        <v>0.05</v>
      </c>
      <c r="U108" s="26">
        <f t="shared" ref="U108:AF108" si="135">IF($R108="Manual","",IFERROR(IF($R108="YOY Growth",$N108*(1+$T108)/12,$S108/12),""))</f>
        <v>0</v>
      </c>
      <c r="V108" s="26">
        <f t="shared" si="135"/>
        <v>0</v>
      </c>
      <c r="W108" s="26">
        <f t="shared" si="135"/>
        <v>0</v>
      </c>
      <c r="X108" s="26">
        <f t="shared" si="135"/>
        <v>0</v>
      </c>
      <c r="Y108" s="26">
        <f t="shared" si="135"/>
        <v>0</v>
      </c>
      <c r="Z108" s="26">
        <f t="shared" si="135"/>
        <v>0</v>
      </c>
      <c r="AA108" s="26">
        <f t="shared" si="135"/>
        <v>0</v>
      </c>
      <c r="AB108" s="26">
        <f t="shared" si="135"/>
        <v>0</v>
      </c>
      <c r="AC108" s="26">
        <f t="shared" si="135"/>
        <v>0</v>
      </c>
      <c r="AD108" s="26">
        <f t="shared" si="135"/>
        <v>0</v>
      </c>
      <c r="AE108" s="26">
        <f t="shared" si="135"/>
        <v>0</v>
      </c>
      <c r="AF108" s="26">
        <f t="shared" si="135"/>
        <v>0</v>
      </c>
      <c r="AG108" s="5">
        <f t="shared" si="107"/>
        <v>0</v>
      </c>
      <c r="AH108" s="28" t="str">
        <f t="shared" si="108"/>
        <v/>
      </c>
      <c r="AI108" s="4"/>
      <c r="AJ108" s="5">
        <f t="shared" si="109"/>
        <v>0</v>
      </c>
    </row>
    <row r="109" ht="13.5" customHeight="1">
      <c r="A109" s="25" t="s">
        <v>137</v>
      </c>
      <c r="B109" s="5">
        <v>0.0</v>
      </c>
      <c r="C109" s="5">
        <v>0.0</v>
      </c>
      <c r="D109" s="5">
        <v>0.0</v>
      </c>
      <c r="E109" s="5">
        <v>0.0</v>
      </c>
      <c r="F109" s="5">
        <v>0.0</v>
      </c>
      <c r="G109" s="5">
        <v>0.0</v>
      </c>
      <c r="H109" s="5">
        <v>0.0</v>
      </c>
      <c r="I109" s="5">
        <v>0.0</v>
      </c>
      <c r="J109" s="27">
        <v>0.0</v>
      </c>
      <c r="K109" s="27">
        <v>0.0</v>
      </c>
      <c r="L109" s="27">
        <v>0.0</v>
      </c>
      <c r="M109" s="27">
        <v>0.0</v>
      </c>
      <c r="N109" s="5">
        <f t="shared" si="104"/>
        <v>0</v>
      </c>
      <c r="O109" s="28" t="str">
        <f t="shared" si="105"/>
        <v/>
      </c>
      <c r="P109" s="5"/>
      <c r="Q109" s="5"/>
      <c r="R109" s="29" t="s">
        <v>34</v>
      </c>
      <c r="S109" s="30">
        <v>0.0</v>
      </c>
      <c r="T109" s="31">
        <v>0.05</v>
      </c>
      <c r="U109" s="26">
        <f t="shared" ref="U109:AF109" si="136">IF($R109="Manual","",IFERROR(IF($R109="YOY Growth",$N109*(1+$T109)/12,$S109/12),""))</f>
        <v>0</v>
      </c>
      <c r="V109" s="26">
        <f t="shared" si="136"/>
        <v>0</v>
      </c>
      <c r="W109" s="26">
        <f t="shared" si="136"/>
        <v>0</v>
      </c>
      <c r="X109" s="26">
        <f t="shared" si="136"/>
        <v>0</v>
      </c>
      <c r="Y109" s="26">
        <f t="shared" si="136"/>
        <v>0</v>
      </c>
      <c r="Z109" s="26">
        <f t="shared" si="136"/>
        <v>0</v>
      </c>
      <c r="AA109" s="26">
        <f t="shared" si="136"/>
        <v>0</v>
      </c>
      <c r="AB109" s="26">
        <f t="shared" si="136"/>
        <v>0</v>
      </c>
      <c r="AC109" s="26">
        <f t="shared" si="136"/>
        <v>0</v>
      </c>
      <c r="AD109" s="26">
        <f t="shared" si="136"/>
        <v>0</v>
      </c>
      <c r="AE109" s="26">
        <f t="shared" si="136"/>
        <v>0</v>
      </c>
      <c r="AF109" s="26">
        <f t="shared" si="136"/>
        <v>0</v>
      </c>
      <c r="AG109" s="5">
        <f t="shared" si="107"/>
        <v>0</v>
      </c>
      <c r="AH109" s="28" t="str">
        <f t="shared" si="108"/>
        <v/>
      </c>
      <c r="AI109" s="4"/>
      <c r="AJ109" s="5">
        <f t="shared" si="109"/>
        <v>0</v>
      </c>
    </row>
    <row r="110" ht="13.5" customHeight="1">
      <c r="A110" s="25" t="s">
        <v>138</v>
      </c>
      <c r="B110" s="5">
        <v>0.0</v>
      </c>
      <c r="C110" s="5">
        <v>0.0</v>
      </c>
      <c r="D110" s="5">
        <v>0.0</v>
      </c>
      <c r="E110" s="5">
        <v>5.0</v>
      </c>
      <c r="F110" s="5">
        <v>0.0</v>
      </c>
      <c r="G110" s="5">
        <v>0.0</v>
      </c>
      <c r="H110" s="5">
        <v>3900.0</v>
      </c>
      <c r="I110" s="5">
        <v>3900.0</v>
      </c>
      <c r="J110" s="27">
        <v>0.0</v>
      </c>
      <c r="K110" s="27">
        <v>0.0</v>
      </c>
      <c r="L110" s="27">
        <v>0.0</v>
      </c>
      <c r="M110" s="27">
        <v>0.0</v>
      </c>
      <c r="N110" s="5">
        <f t="shared" si="104"/>
        <v>7805</v>
      </c>
      <c r="O110" s="28" t="str">
        <f t="shared" si="105"/>
        <v/>
      </c>
      <c r="P110" s="5"/>
      <c r="Q110" s="5"/>
      <c r="R110" s="29" t="s">
        <v>34</v>
      </c>
      <c r="S110" s="30">
        <v>0.0</v>
      </c>
      <c r="T110" s="31">
        <v>0.05</v>
      </c>
      <c r="U110" s="26">
        <f t="shared" ref="U110:AF110" si="137">IF($R110="Manual","",IFERROR(IF($R110="YOY Growth",$N110*(1+$T110)/12,$S110/12),""))</f>
        <v>0</v>
      </c>
      <c r="V110" s="26">
        <f t="shared" si="137"/>
        <v>0</v>
      </c>
      <c r="W110" s="26">
        <f t="shared" si="137"/>
        <v>0</v>
      </c>
      <c r="X110" s="26">
        <f t="shared" si="137"/>
        <v>0</v>
      </c>
      <c r="Y110" s="26">
        <f t="shared" si="137"/>
        <v>0</v>
      </c>
      <c r="Z110" s="26">
        <f t="shared" si="137"/>
        <v>0</v>
      </c>
      <c r="AA110" s="26">
        <f t="shared" si="137"/>
        <v>0</v>
      </c>
      <c r="AB110" s="26">
        <f t="shared" si="137"/>
        <v>0</v>
      </c>
      <c r="AC110" s="26">
        <f t="shared" si="137"/>
        <v>0</v>
      </c>
      <c r="AD110" s="26">
        <f t="shared" si="137"/>
        <v>0</v>
      </c>
      <c r="AE110" s="26">
        <f t="shared" si="137"/>
        <v>0</v>
      </c>
      <c r="AF110" s="26">
        <f t="shared" si="137"/>
        <v>0</v>
      </c>
      <c r="AG110" s="5">
        <f t="shared" si="107"/>
        <v>0</v>
      </c>
      <c r="AH110" s="28" t="str">
        <f t="shared" si="108"/>
        <v/>
      </c>
      <c r="AI110" s="4"/>
      <c r="AJ110" s="5">
        <f t="shared" si="109"/>
        <v>7805</v>
      </c>
    </row>
    <row r="111" ht="13.5" customHeight="1">
      <c r="A111" s="25" t="s">
        <v>140</v>
      </c>
      <c r="B111" s="5">
        <v>0.0</v>
      </c>
      <c r="C111" s="5">
        <v>0.0</v>
      </c>
      <c r="D111" s="5">
        <v>0.0</v>
      </c>
      <c r="E111" s="5">
        <v>0.0</v>
      </c>
      <c r="F111" s="5">
        <v>0.0</v>
      </c>
      <c r="G111" s="5">
        <v>0.0</v>
      </c>
      <c r="H111" s="5">
        <v>0.0</v>
      </c>
      <c r="I111" s="5">
        <v>0.0</v>
      </c>
      <c r="J111" s="27">
        <v>0.0</v>
      </c>
      <c r="K111" s="27">
        <v>0.0</v>
      </c>
      <c r="L111" s="27">
        <v>0.0</v>
      </c>
      <c r="M111" s="27">
        <v>0.0</v>
      </c>
      <c r="N111" s="5">
        <f t="shared" si="104"/>
        <v>0</v>
      </c>
      <c r="O111" s="28" t="str">
        <f t="shared" si="105"/>
        <v/>
      </c>
      <c r="P111" s="5"/>
      <c r="Q111" s="5"/>
      <c r="R111" s="29" t="s">
        <v>34</v>
      </c>
      <c r="S111" s="30">
        <v>0.0</v>
      </c>
      <c r="T111" s="31">
        <v>0.05</v>
      </c>
      <c r="U111" s="26">
        <f t="shared" ref="U111:AF111" si="138">IF($R111="Manual","",IFERROR(IF($R111="YOY Growth",$N111*(1+$T111)/12,$S111/12),""))</f>
        <v>0</v>
      </c>
      <c r="V111" s="26">
        <f t="shared" si="138"/>
        <v>0</v>
      </c>
      <c r="W111" s="26">
        <f t="shared" si="138"/>
        <v>0</v>
      </c>
      <c r="X111" s="26">
        <f t="shared" si="138"/>
        <v>0</v>
      </c>
      <c r="Y111" s="26">
        <f t="shared" si="138"/>
        <v>0</v>
      </c>
      <c r="Z111" s="26">
        <f t="shared" si="138"/>
        <v>0</v>
      </c>
      <c r="AA111" s="26">
        <f t="shared" si="138"/>
        <v>0</v>
      </c>
      <c r="AB111" s="26">
        <f t="shared" si="138"/>
        <v>0</v>
      </c>
      <c r="AC111" s="26">
        <f t="shared" si="138"/>
        <v>0</v>
      </c>
      <c r="AD111" s="26">
        <f t="shared" si="138"/>
        <v>0</v>
      </c>
      <c r="AE111" s="26">
        <f t="shared" si="138"/>
        <v>0</v>
      </c>
      <c r="AF111" s="26">
        <f t="shared" si="138"/>
        <v>0</v>
      </c>
      <c r="AG111" s="5">
        <f t="shared" si="107"/>
        <v>0</v>
      </c>
      <c r="AH111" s="28" t="str">
        <f t="shared" si="108"/>
        <v/>
      </c>
      <c r="AI111" s="4"/>
      <c r="AJ111" s="5">
        <f t="shared" si="109"/>
        <v>0</v>
      </c>
    </row>
    <row r="112" ht="13.5" customHeight="1">
      <c r="A112" s="25" t="s">
        <v>141</v>
      </c>
      <c r="B112" s="5">
        <v>0.0</v>
      </c>
      <c r="C112" s="5">
        <v>0.0</v>
      </c>
      <c r="D112" s="5">
        <v>0.0</v>
      </c>
      <c r="E112" s="5">
        <v>0.0</v>
      </c>
      <c r="F112" s="5">
        <v>0.0</v>
      </c>
      <c r="G112" s="5">
        <v>0.0</v>
      </c>
      <c r="H112" s="5">
        <v>0.0</v>
      </c>
      <c r="I112" s="5">
        <v>0.0</v>
      </c>
      <c r="J112" s="27">
        <v>0.0</v>
      </c>
      <c r="K112" s="27">
        <v>0.0</v>
      </c>
      <c r="L112" s="27">
        <v>0.0</v>
      </c>
      <c r="M112" s="27">
        <v>0.0</v>
      </c>
      <c r="N112" s="5">
        <f t="shared" si="104"/>
        <v>0</v>
      </c>
      <c r="O112" s="28" t="str">
        <f t="shared" si="105"/>
        <v/>
      </c>
      <c r="P112" s="5"/>
      <c r="Q112" s="5"/>
      <c r="R112" s="29" t="s">
        <v>34</v>
      </c>
      <c r="S112" s="30">
        <v>0.0</v>
      </c>
      <c r="T112" s="31">
        <v>0.05</v>
      </c>
      <c r="U112" s="26">
        <f t="shared" ref="U112:AF112" si="139">IF($R112="Manual","",IFERROR(IF($R112="YOY Growth",$N112*(1+$T112)/12,$S112/12),""))</f>
        <v>0</v>
      </c>
      <c r="V112" s="26">
        <f t="shared" si="139"/>
        <v>0</v>
      </c>
      <c r="W112" s="26">
        <f t="shared" si="139"/>
        <v>0</v>
      </c>
      <c r="X112" s="26">
        <f t="shared" si="139"/>
        <v>0</v>
      </c>
      <c r="Y112" s="26">
        <f t="shared" si="139"/>
        <v>0</v>
      </c>
      <c r="Z112" s="26">
        <f t="shared" si="139"/>
        <v>0</v>
      </c>
      <c r="AA112" s="26">
        <f t="shared" si="139"/>
        <v>0</v>
      </c>
      <c r="AB112" s="26">
        <f t="shared" si="139"/>
        <v>0</v>
      </c>
      <c r="AC112" s="26">
        <f t="shared" si="139"/>
        <v>0</v>
      </c>
      <c r="AD112" s="26">
        <f t="shared" si="139"/>
        <v>0</v>
      </c>
      <c r="AE112" s="26">
        <f t="shared" si="139"/>
        <v>0</v>
      </c>
      <c r="AF112" s="26">
        <f t="shared" si="139"/>
        <v>0</v>
      </c>
      <c r="AG112" s="5">
        <f t="shared" si="107"/>
        <v>0</v>
      </c>
      <c r="AH112" s="28" t="str">
        <f t="shared" si="108"/>
        <v/>
      </c>
      <c r="AI112" s="4"/>
      <c r="AJ112" s="5">
        <f t="shared" si="109"/>
        <v>0</v>
      </c>
    </row>
    <row r="113" ht="13.5" customHeight="1">
      <c r="A113" s="25" t="s">
        <v>142</v>
      </c>
      <c r="B113" s="5">
        <v>0.0</v>
      </c>
      <c r="C113" s="5">
        <v>0.0</v>
      </c>
      <c r="D113" s="5">
        <v>0.0</v>
      </c>
      <c r="E113" s="5">
        <v>0.0</v>
      </c>
      <c r="F113" s="5">
        <v>0.0</v>
      </c>
      <c r="G113" s="5">
        <v>0.0</v>
      </c>
      <c r="H113" s="5">
        <v>0.0</v>
      </c>
      <c r="I113" s="5">
        <v>0.0</v>
      </c>
      <c r="J113" s="27">
        <v>0.0</v>
      </c>
      <c r="K113" s="27">
        <v>0.0</v>
      </c>
      <c r="L113" s="27">
        <v>0.0</v>
      </c>
      <c r="M113" s="27">
        <v>0.0</v>
      </c>
      <c r="N113" s="5">
        <f t="shared" si="104"/>
        <v>0</v>
      </c>
      <c r="O113" s="28" t="str">
        <f t="shared" si="105"/>
        <v/>
      </c>
      <c r="P113" s="5"/>
      <c r="Q113" s="5"/>
      <c r="R113" s="29" t="s">
        <v>34</v>
      </c>
      <c r="S113" s="30">
        <v>0.0</v>
      </c>
      <c r="T113" s="31">
        <v>0.05</v>
      </c>
      <c r="U113" s="26">
        <f t="shared" ref="U113:AF113" si="140">IF($R113="Manual","",IFERROR(IF($R113="YOY Growth",$N113*(1+$T113)/12,$S113/12),""))</f>
        <v>0</v>
      </c>
      <c r="V113" s="26">
        <f t="shared" si="140"/>
        <v>0</v>
      </c>
      <c r="W113" s="26">
        <f t="shared" si="140"/>
        <v>0</v>
      </c>
      <c r="X113" s="26">
        <f t="shared" si="140"/>
        <v>0</v>
      </c>
      <c r="Y113" s="26">
        <f t="shared" si="140"/>
        <v>0</v>
      </c>
      <c r="Z113" s="26">
        <f t="shared" si="140"/>
        <v>0</v>
      </c>
      <c r="AA113" s="26">
        <f t="shared" si="140"/>
        <v>0</v>
      </c>
      <c r="AB113" s="26">
        <f t="shared" si="140"/>
        <v>0</v>
      </c>
      <c r="AC113" s="26">
        <f t="shared" si="140"/>
        <v>0</v>
      </c>
      <c r="AD113" s="26">
        <f t="shared" si="140"/>
        <v>0</v>
      </c>
      <c r="AE113" s="26">
        <f t="shared" si="140"/>
        <v>0</v>
      </c>
      <c r="AF113" s="26">
        <f t="shared" si="140"/>
        <v>0</v>
      </c>
      <c r="AG113" s="5">
        <f t="shared" si="107"/>
        <v>0</v>
      </c>
      <c r="AH113" s="28" t="str">
        <f t="shared" si="108"/>
        <v/>
      </c>
      <c r="AI113" s="4"/>
      <c r="AJ113" s="5">
        <f t="shared" si="109"/>
        <v>0</v>
      </c>
    </row>
    <row r="114" ht="13.5" customHeight="1">
      <c r="A114" s="25" t="s">
        <v>143</v>
      </c>
      <c r="B114" s="5">
        <v>0.0</v>
      </c>
      <c r="C114" s="5">
        <v>0.0</v>
      </c>
      <c r="D114" s="5">
        <v>0.0</v>
      </c>
      <c r="E114" s="5">
        <v>0.0</v>
      </c>
      <c r="F114" s="5">
        <v>0.0</v>
      </c>
      <c r="G114" s="5">
        <v>0.0</v>
      </c>
      <c r="H114" s="5">
        <v>0.0</v>
      </c>
      <c r="I114" s="5">
        <v>0.0</v>
      </c>
      <c r="J114" s="27">
        <v>0.0</v>
      </c>
      <c r="K114" s="27">
        <v>0.0</v>
      </c>
      <c r="L114" s="27">
        <v>0.0</v>
      </c>
      <c r="M114" s="27">
        <v>0.0</v>
      </c>
      <c r="N114" s="5">
        <f t="shared" si="104"/>
        <v>0</v>
      </c>
      <c r="O114" s="28" t="str">
        <f t="shared" si="105"/>
        <v/>
      </c>
      <c r="P114" s="5"/>
      <c r="Q114" s="5"/>
      <c r="R114" s="29" t="s">
        <v>34</v>
      </c>
      <c r="S114" s="30">
        <v>0.0</v>
      </c>
      <c r="T114" s="31">
        <v>0.05</v>
      </c>
      <c r="U114" s="26">
        <f t="shared" ref="U114:AF114" si="141">IF($R114="Manual","",IFERROR(IF($R114="YOY Growth",$N114*(1+$T114)/12,$S114/12),""))</f>
        <v>0</v>
      </c>
      <c r="V114" s="26">
        <f t="shared" si="141"/>
        <v>0</v>
      </c>
      <c r="W114" s="26">
        <f t="shared" si="141"/>
        <v>0</v>
      </c>
      <c r="X114" s="26">
        <f t="shared" si="141"/>
        <v>0</v>
      </c>
      <c r="Y114" s="26">
        <f t="shared" si="141"/>
        <v>0</v>
      </c>
      <c r="Z114" s="26">
        <f t="shared" si="141"/>
        <v>0</v>
      </c>
      <c r="AA114" s="26">
        <f t="shared" si="141"/>
        <v>0</v>
      </c>
      <c r="AB114" s="26">
        <f t="shared" si="141"/>
        <v>0</v>
      </c>
      <c r="AC114" s="26">
        <f t="shared" si="141"/>
        <v>0</v>
      </c>
      <c r="AD114" s="26">
        <f t="shared" si="141"/>
        <v>0</v>
      </c>
      <c r="AE114" s="26">
        <f t="shared" si="141"/>
        <v>0</v>
      </c>
      <c r="AF114" s="26">
        <f t="shared" si="141"/>
        <v>0</v>
      </c>
      <c r="AG114" s="5">
        <f t="shared" si="107"/>
        <v>0</v>
      </c>
      <c r="AH114" s="28" t="str">
        <f t="shared" si="108"/>
        <v/>
      </c>
      <c r="AI114" s="4"/>
      <c r="AJ114" s="5">
        <f t="shared" si="109"/>
        <v>0</v>
      </c>
    </row>
    <row r="115" ht="13.5" customHeight="1">
      <c r="A115" s="25" t="s">
        <v>144</v>
      </c>
      <c r="B115" s="5">
        <v>0.0</v>
      </c>
      <c r="C115" s="5">
        <v>0.0</v>
      </c>
      <c r="D115" s="5">
        <v>0.0</v>
      </c>
      <c r="E115" s="5">
        <v>0.0</v>
      </c>
      <c r="F115" s="5">
        <v>0.0</v>
      </c>
      <c r="G115" s="5">
        <v>0.0</v>
      </c>
      <c r="H115" s="5">
        <v>0.0</v>
      </c>
      <c r="I115" s="5">
        <v>0.0</v>
      </c>
      <c r="J115" s="27">
        <v>0.0</v>
      </c>
      <c r="K115" s="27">
        <v>0.0</v>
      </c>
      <c r="L115" s="27">
        <v>0.0</v>
      </c>
      <c r="M115" s="27">
        <v>0.0</v>
      </c>
      <c r="N115" s="5">
        <f t="shared" si="104"/>
        <v>0</v>
      </c>
      <c r="O115" s="28" t="str">
        <f t="shared" si="105"/>
        <v/>
      </c>
      <c r="P115" s="5"/>
      <c r="Q115" s="5"/>
      <c r="R115" s="29" t="s">
        <v>34</v>
      </c>
      <c r="S115" s="30">
        <v>0.0</v>
      </c>
      <c r="T115" s="31">
        <v>0.05</v>
      </c>
      <c r="U115" s="26">
        <f t="shared" ref="U115:AF115" si="142">IF($R115="Manual","",IFERROR(IF($R115="YOY Growth",$N115*(1+$T115)/12,$S115/12),""))</f>
        <v>0</v>
      </c>
      <c r="V115" s="26">
        <f t="shared" si="142"/>
        <v>0</v>
      </c>
      <c r="W115" s="26">
        <f t="shared" si="142"/>
        <v>0</v>
      </c>
      <c r="X115" s="26">
        <f t="shared" si="142"/>
        <v>0</v>
      </c>
      <c r="Y115" s="26">
        <f t="shared" si="142"/>
        <v>0</v>
      </c>
      <c r="Z115" s="26">
        <f t="shared" si="142"/>
        <v>0</v>
      </c>
      <c r="AA115" s="26">
        <f t="shared" si="142"/>
        <v>0</v>
      </c>
      <c r="AB115" s="26">
        <f t="shared" si="142"/>
        <v>0</v>
      </c>
      <c r="AC115" s="26">
        <f t="shared" si="142"/>
        <v>0</v>
      </c>
      <c r="AD115" s="26">
        <f t="shared" si="142"/>
        <v>0</v>
      </c>
      <c r="AE115" s="26">
        <f t="shared" si="142"/>
        <v>0</v>
      </c>
      <c r="AF115" s="26">
        <f t="shared" si="142"/>
        <v>0</v>
      </c>
      <c r="AG115" s="5">
        <f t="shared" si="107"/>
        <v>0</v>
      </c>
      <c r="AH115" s="28" t="str">
        <f t="shared" si="108"/>
        <v/>
      </c>
      <c r="AI115" s="4"/>
      <c r="AJ115" s="5">
        <f t="shared" si="109"/>
        <v>0</v>
      </c>
    </row>
    <row r="116" ht="13.5" customHeight="1">
      <c r="A116" s="33" t="s">
        <v>145</v>
      </c>
      <c r="B116" s="34">
        <f t="shared" ref="B116:M116" si="143">B73+SUM(B74:B80)+B87+SUM(B88:B115)</f>
        <v>35995.85</v>
      </c>
      <c r="C116" s="34">
        <f t="shared" si="143"/>
        <v>27174.95</v>
      </c>
      <c r="D116" s="34">
        <f t="shared" si="143"/>
        <v>38485.09</v>
      </c>
      <c r="E116" s="34">
        <f t="shared" si="143"/>
        <v>12323.71</v>
      </c>
      <c r="F116" s="34">
        <f t="shared" si="143"/>
        <v>2999.31</v>
      </c>
      <c r="G116" s="34">
        <f t="shared" si="143"/>
        <v>46686.32</v>
      </c>
      <c r="H116" s="34">
        <f t="shared" si="143"/>
        <v>16079.14</v>
      </c>
      <c r="I116" s="34">
        <f t="shared" si="143"/>
        <v>13698.13</v>
      </c>
      <c r="J116" s="34">
        <f t="shared" si="143"/>
        <v>5950</v>
      </c>
      <c r="K116" s="34">
        <f t="shared" si="143"/>
        <v>5950</v>
      </c>
      <c r="L116" s="34">
        <f t="shared" si="143"/>
        <v>5950</v>
      </c>
      <c r="M116" s="34">
        <f t="shared" si="143"/>
        <v>5950</v>
      </c>
      <c r="N116" s="34">
        <f t="shared" si="104"/>
        <v>217242.5</v>
      </c>
      <c r="O116" s="35" t="str">
        <f t="shared" si="105"/>
        <v/>
      </c>
      <c r="P116" s="5"/>
      <c r="Q116" s="5"/>
      <c r="R116" s="36"/>
      <c r="S116" s="36"/>
      <c r="T116" s="36"/>
      <c r="U116" s="34">
        <f t="shared" ref="U116:AF116" si="144">U73+SUM(U74:U80)+U87+SUM(U88:U115)</f>
        <v>0</v>
      </c>
      <c r="V116" s="34">
        <f t="shared" si="144"/>
        <v>0</v>
      </c>
      <c r="W116" s="34">
        <f t="shared" si="144"/>
        <v>0</v>
      </c>
      <c r="X116" s="34">
        <f t="shared" si="144"/>
        <v>0</v>
      </c>
      <c r="Y116" s="34">
        <f t="shared" si="144"/>
        <v>0</v>
      </c>
      <c r="Z116" s="34">
        <f t="shared" si="144"/>
        <v>0</v>
      </c>
      <c r="AA116" s="34">
        <f t="shared" si="144"/>
        <v>0</v>
      </c>
      <c r="AB116" s="34">
        <f t="shared" si="144"/>
        <v>0</v>
      </c>
      <c r="AC116" s="34">
        <f t="shared" si="144"/>
        <v>0</v>
      </c>
      <c r="AD116" s="34">
        <f t="shared" si="144"/>
        <v>0</v>
      </c>
      <c r="AE116" s="34">
        <f t="shared" si="144"/>
        <v>0</v>
      </c>
      <c r="AF116" s="34">
        <f t="shared" si="144"/>
        <v>0</v>
      </c>
      <c r="AG116" s="34">
        <f t="shared" si="107"/>
        <v>0</v>
      </c>
      <c r="AH116" s="35" t="str">
        <f t="shared" si="108"/>
        <v/>
      </c>
      <c r="AI116" s="4"/>
      <c r="AJ116" s="34">
        <f t="shared" si="109"/>
        <v>217242.5</v>
      </c>
    </row>
    <row r="117" ht="13.5" customHeight="1">
      <c r="A117" s="52" t="s">
        <v>146</v>
      </c>
      <c r="B117" s="34">
        <f t="shared" ref="B117:M117" si="145">B64-B116</f>
        <v>-153934.95</v>
      </c>
      <c r="C117" s="34">
        <f t="shared" si="145"/>
        <v>-107839.52</v>
      </c>
      <c r="D117" s="34">
        <f t="shared" si="145"/>
        <v>-190961.69</v>
      </c>
      <c r="E117" s="34">
        <f t="shared" si="145"/>
        <v>-144233.65</v>
      </c>
      <c r="F117" s="34">
        <f t="shared" si="145"/>
        <v>-168942.74</v>
      </c>
      <c r="G117" s="34">
        <f t="shared" si="145"/>
        <v>-189851.83</v>
      </c>
      <c r="H117" s="34">
        <f t="shared" si="145"/>
        <v>-178369.86</v>
      </c>
      <c r="I117" s="34">
        <f t="shared" si="145"/>
        <v>-164186.55</v>
      </c>
      <c r="J117" s="34">
        <f t="shared" si="145"/>
        <v>-216558</v>
      </c>
      <c r="K117" s="34">
        <f t="shared" si="145"/>
        <v>-218928</v>
      </c>
      <c r="L117" s="34">
        <f t="shared" si="145"/>
        <v>-222771</v>
      </c>
      <c r="M117" s="34">
        <f t="shared" si="145"/>
        <v>-228245</v>
      </c>
      <c r="N117" s="34">
        <f t="shared" si="104"/>
        <v>-2184822.79</v>
      </c>
      <c r="O117" s="35" t="str">
        <f t="shared" si="105"/>
        <v/>
      </c>
      <c r="P117" s="5"/>
      <c r="Q117" s="5"/>
      <c r="R117" s="36"/>
      <c r="S117" s="36"/>
      <c r="T117" s="36"/>
      <c r="U117" s="34">
        <f t="shared" ref="U117:AF117" si="146">U64-U116</f>
        <v>-110942.7247</v>
      </c>
      <c r="V117" s="34">
        <f t="shared" si="146"/>
        <v>-110942.7247</v>
      </c>
      <c r="W117" s="34">
        <f t="shared" si="146"/>
        <v>-110942.7247</v>
      </c>
      <c r="X117" s="34">
        <f t="shared" si="146"/>
        <v>-110942.7247</v>
      </c>
      <c r="Y117" s="34">
        <f t="shared" si="146"/>
        <v>-110942.7247</v>
      </c>
      <c r="Z117" s="34">
        <f t="shared" si="146"/>
        <v>-110942.7247</v>
      </c>
      <c r="AA117" s="34">
        <f t="shared" si="146"/>
        <v>-110942.7247</v>
      </c>
      <c r="AB117" s="34">
        <f t="shared" si="146"/>
        <v>-110942.7247</v>
      </c>
      <c r="AC117" s="34">
        <f t="shared" si="146"/>
        <v>-110942.7247</v>
      </c>
      <c r="AD117" s="34">
        <f t="shared" si="146"/>
        <v>-114271.0064</v>
      </c>
      <c r="AE117" s="34">
        <f t="shared" si="146"/>
        <v>-114271.0064</v>
      </c>
      <c r="AF117" s="34">
        <f t="shared" si="146"/>
        <v>-114271.0064</v>
      </c>
      <c r="AG117" s="34">
        <f t="shared" si="107"/>
        <v>-1341297.542</v>
      </c>
      <c r="AH117" s="35" t="str">
        <f t="shared" si="108"/>
        <v/>
      </c>
      <c r="AI117" s="4"/>
      <c r="AJ117" s="34">
        <f>AG117-N117</f>
        <v>843525.2483</v>
      </c>
    </row>
    <row r="118" ht="13.5" customHeight="1">
      <c r="A118" s="23" t="s">
        <v>147</v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28"/>
      <c r="P118" s="5"/>
      <c r="Q118" s="5"/>
      <c r="R118" s="36"/>
      <c r="S118" s="36"/>
      <c r="T118" s="36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28"/>
      <c r="AI118" s="4"/>
      <c r="AJ118" s="5"/>
    </row>
    <row r="119" ht="13.5" customHeight="1">
      <c r="A119" s="24" t="s">
        <v>148</v>
      </c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28"/>
      <c r="P119" s="5"/>
      <c r="Q119" s="5"/>
      <c r="R119" s="36"/>
      <c r="S119" s="36"/>
      <c r="T119" s="36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28"/>
      <c r="AI119" s="4"/>
      <c r="AJ119" s="5"/>
    </row>
    <row r="120" ht="13.5" customHeight="1">
      <c r="A120" s="25" t="s">
        <v>149</v>
      </c>
      <c r="B120" s="5">
        <v>0.0</v>
      </c>
      <c r="C120" s="5">
        <v>0.0</v>
      </c>
      <c r="D120" s="5">
        <v>0.0</v>
      </c>
      <c r="E120" s="5">
        <v>0.0</v>
      </c>
      <c r="F120" s="5">
        <v>0.0</v>
      </c>
      <c r="G120" s="5">
        <v>0.0</v>
      </c>
      <c r="H120" s="5">
        <v>0.0</v>
      </c>
      <c r="I120" s="5">
        <v>0.0</v>
      </c>
      <c r="J120" s="27">
        <v>0.0</v>
      </c>
      <c r="K120" s="27">
        <v>0.0</v>
      </c>
      <c r="L120" s="27">
        <v>0.0</v>
      </c>
      <c r="M120" s="27">
        <v>0.0</v>
      </c>
      <c r="N120" s="5">
        <f t="shared" ref="N120:N122" si="148">SUM(B120:M120)</f>
        <v>0</v>
      </c>
      <c r="O120" s="28" t="str">
        <f t="shared" ref="O120:O122" si="149">IFERROR(N120/N$16,"")</f>
        <v/>
      </c>
      <c r="P120" s="5"/>
      <c r="Q120" s="5"/>
      <c r="R120" s="29" t="s">
        <v>34</v>
      </c>
      <c r="S120" s="30">
        <v>0.0</v>
      </c>
      <c r="T120" s="31">
        <v>0.05</v>
      </c>
      <c r="U120" s="26">
        <f t="shared" ref="U120:AF120" si="147">IF($R120="Manual","",IFERROR(IF($R120="YOY Growth",$N120*(1+$T120)/12,$S120/12),""))</f>
        <v>0</v>
      </c>
      <c r="V120" s="26">
        <f t="shared" si="147"/>
        <v>0</v>
      </c>
      <c r="W120" s="26">
        <f t="shared" si="147"/>
        <v>0</v>
      </c>
      <c r="X120" s="26">
        <f t="shared" si="147"/>
        <v>0</v>
      </c>
      <c r="Y120" s="26">
        <f t="shared" si="147"/>
        <v>0</v>
      </c>
      <c r="Z120" s="26">
        <f t="shared" si="147"/>
        <v>0</v>
      </c>
      <c r="AA120" s="26">
        <f t="shared" si="147"/>
        <v>0</v>
      </c>
      <c r="AB120" s="26">
        <f t="shared" si="147"/>
        <v>0</v>
      </c>
      <c r="AC120" s="26">
        <f t="shared" si="147"/>
        <v>0</v>
      </c>
      <c r="AD120" s="26">
        <f t="shared" si="147"/>
        <v>0</v>
      </c>
      <c r="AE120" s="26">
        <f t="shared" si="147"/>
        <v>0</v>
      </c>
      <c r="AF120" s="26">
        <f t="shared" si="147"/>
        <v>0</v>
      </c>
      <c r="AG120" s="5">
        <f t="shared" ref="AG120:AG122" si="151">SUM(U120:AF120)</f>
        <v>0</v>
      </c>
      <c r="AH120" s="28" t="str">
        <f t="shared" ref="AH120:AH122" si="152">IFERROR(AG120/AG$16,"")</f>
        <v/>
      </c>
      <c r="AI120" s="4"/>
      <c r="AJ120" s="5">
        <f t="shared" ref="AJ120:AJ122" si="153">AG120-N120</f>
        <v>0</v>
      </c>
    </row>
    <row r="121" ht="13.5" customHeight="1">
      <c r="A121" s="25" t="s">
        <v>151</v>
      </c>
      <c r="B121" s="5">
        <v>0.0</v>
      </c>
      <c r="C121" s="5">
        <v>0.0</v>
      </c>
      <c r="D121" s="5">
        <v>0.0</v>
      </c>
      <c r="E121" s="5">
        <v>0.0</v>
      </c>
      <c r="F121" s="5">
        <v>0.0</v>
      </c>
      <c r="G121" s="5">
        <v>0.0</v>
      </c>
      <c r="H121" s="5">
        <v>0.0</v>
      </c>
      <c r="I121" s="5">
        <v>0.0</v>
      </c>
      <c r="J121" s="27">
        <v>0.0</v>
      </c>
      <c r="K121" s="27">
        <v>0.0</v>
      </c>
      <c r="L121" s="27">
        <v>0.0</v>
      </c>
      <c r="M121" s="27">
        <v>0.0</v>
      </c>
      <c r="N121" s="5">
        <f t="shared" si="148"/>
        <v>0</v>
      </c>
      <c r="O121" s="28" t="str">
        <f t="shared" si="149"/>
        <v/>
      </c>
      <c r="P121" s="5"/>
      <c r="Q121" s="5"/>
      <c r="R121" s="29" t="s">
        <v>34</v>
      </c>
      <c r="S121" s="30">
        <v>0.0</v>
      </c>
      <c r="T121" s="31">
        <v>0.05</v>
      </c>
      <c r="U121" s="26">
        <f t="shared" ref="U121:AF121" si="150">IF($R121="Manual","",IFERROR(IF($R121="YOY Growth",$N121*(1+$T121)/12,$S121/12),""))</f>
        <v>0</v>
      </c>
      <c r="V121" s="26">
        <f t="shared" si="150"/>
        <v>0</v>
      </c>
      <c r="W121" s="26">
        <f t="shared" si="150"/>
        <v>0</v>
      </c>
      <c r="X121" s="26">
        <f t="shared" si="150"/>
        <v>0</v>
      </c>
      <c r="Y121" s="26">
        <f t="shared" si="150"/>
        <v>0</v>
      </c>
      <c r="Z121" s="26">
        <f t="shared" si="150"/>
        <v>0</v>
      </c>
      <c r="AA121" s="26">
        <f t="shared" si="150"/>
        <v>0</v>
      </c>
      <c r="AB121" s="26">
        <f t="shared" si="150"/>
        <v>0</v>
      </c>
      <c r="AC121" s="26">
        <f t="shared" si="150"/>
        <v>0</v>
      </c>
      <c r="AD121" s="26">
        <f t="shared" si="150"/>
        <v>0</v>
      </c>
      <c r="AE121" s="26">
        <f t="shared" si="150"/>
        <v>0</v>
      </c>
      <c r="AF121" s="26">
        <f t="shared" si="150"/>
        <v>0</v>
      </c>
      <c r="AG121" s="5">
        <f t="shared" si="151"/>
        <v>0</v>
      </c>
      <c r="AH121" s="28" t="str">
        <f t="shared" si="152"/>
        <v/>
      </c>
      <c r="AI121" s="4"/>
      <c r="AJ121" s="5">
        <f t="shared" si="153"/>
        <v>0</v>
      </c>
    </row>
    <row r="122" ht="13.5" customHeight="1">
      <c r="A122" s="33" t="s">
        <v>152</v>
      </c>
      <c r="B122" s="34">
        <f t="shared" ref="B122:M122" si="154">SUM(B120:B121)</f>
        <v>0</v>
      </c>
      <c r="C122" s="34">
        <f t="shared" si="154"/>
        <v>0</v>
      </c>
      <c r="D122" s="34">
        <f t="shared" si="154"/>
        <v>0</v>
      </c>
      <c r="E122" s="34">
        <f t="shared" si="154"/>
        <v>0</v>
      </c>
      <c r="F122" s="34">
        <f t="shared" si="154"/>
        <v>0</v>
      </c>
      <c r="G122" s="34">
        <f t="shared" si="154"/>
        <v>0</v>
      </c>
      <c r="H122" s="34">
        <f t="shared" si="154"/>
        <v>0</v>
      </c>
      <c r="I122" s="34">
        <f t="shared" si="154"/>
        <v>0</v>
      </c>
      <c r="J122" s="34">
        <f t="shared" si="154"/>
        <v>0</v>
      </c>
      <c r="K122" s="34">
        <f t="shared" si="154"/>
        <v>0</v>
      </c>
      <c r="L122" s="34">
        <f t="shared" si="154"/>
        <v>0</v>
      </c>
      <c r="M122" s="34">
        <f t="shared" si="154"/>
        <v>0</v>
      </c>
      <c r="N122" s="34">
        <f t="shared" si="148"/>
        <v>0</v>
      </c>
      <c r="O122" s="35" t="str">
        <f t="shared" si="149"/>
        <v/>
      </c>
      <c r="P122" s="5"/>
      <c r="Q122" s="5"/>
      <c r="R122" s="36"/>
      <c r="S122" s="36"/>
      <c r="T122" s="36"/>
      <c r="U122" s="34">
        <f t="shared" ref="U122:AF122" si="155">SUM(U120:U121)</f>
        <v>0</v>
      </c>
      <c r="V122" s="34">
        <f t="shared" si="155"/>
        <v>0</v>
      </c>
      <c r="W122" s="34">
        <f t="shared" si="155"/>
        <v>0</v>
      </c>
      <c r="X122" s="34">
        <f t="shared" si="155"/>
        <v>0</v>
      </c>
      <c r="Y122" s="34">
        <f t="shared" si="155"/>
        <v>0</v>
      </c>
      <c r="Z122" s="34">
        <f t="shared" si="155"/>
        <v>0</v>
      </c>
      <c r="AA122" s="34">
        <f t="shared" si="155"/>
        <v>0</v>
      </c>
      <c r="AB122" s="34">
        <f t="shared" si="155"/>
        <v>0</v>
      </c>
      <c r="AC122" s="34">
        <f t="shared" si="155"/>
        <v>0</v>
      </c>
      <c r="AD122" s="34">
        <f t="shared" si="155"/>
        <v>0</v>
      </c>
      <c r="AE122" s="34">
        <f t="shared" si="155"/>
        <v>0</v>
      </c>
      <c r="AF122" s="34">
        <f t="shared" si="155"/>
        <v>0</v>
      </c>
      <c r="AG122" s="34">
        <f t="shared" si="151"/>
        <v>0</v>
      </c>
      <c r="AH122" s="35" t="str">
        <f t="shared" si="152"/>
        <v/>
      </c>
      <c r="AI122" s="4"/>
      <c r="AJ122" s="34">
        <f t="shared" si="153"/>
        <v>0</v>
      </c>
    </row>
    <row r="123" ht="13.5" customHeight="1">
      <c r="A123" s="24" t="s">
        <v>153</v>
      </c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28"/>
      <c r="P123" s="5"/>
      <c r="Q123" s="5"/>
      <c r="R123" s="36"/>
      <c r="S123" s="36"/>
      <c r="T123" s="36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28"/>
      <c r="AI123" s="4"/>
      <c r="AJ123" s="5"/>
    </row>
    <row r="124" ht="13.5" customHeight="1">
      <c r="A124" s="48" t="s">
        <v>154</v>
      </c>
      <c r="B124" s="5">
        <v>0.0</v>
      </c>
      <c r="C124" s="5">
        <v>0.0</v>
      </c>
      <c r="D124" s="5">
        <v>0.0</v>
      </c>
      <c r="E124" s="5">
        <v>0.0</v>
      </c>
      <c r="F124" s="5">
        <v>0.0</v>
      </c>
      <c r="G124" s="5">
        <v>0.0</v>
      </c>
      <c r="H124" s="5">
        <v>0.0</v>
      </c>
      <c r="I124" s="5">
        <v>0.0</v>
      </c>
      <c r="J124" s="27"/>
      <c r="K124" s="27"/>
      <c r="L124" s="27"/>
      <c r="M124" s="27"/>
      <c r="N124" s="5">
        <v>0.0</v>
      </c>
      <c r="O124" s="28" t="str">
        <f t="shared" ref="O124:O126" si="157">IFERROR(N124/N$16,"")</f>
        <v/>
      </c>
      <c r="P124" s="5"/>
      <c r="Q124" s="5"/>
      <c r="R124" s="29" t="s">
        <v>34</v>
      </c>
      <c r="S124" s="30">
        <v>0.0</v>
      </c>
      <c r="T124" s="31">
        <v>0.05</v>
      </c>
      <c r="U124" s="26">
        <f t="shared" ref="U124:AF124" si="156">IF($R124="Manual","",IFERROR(IF($R124="YOY Growth",$N124*(1+$T124)/12,$S124/12),""))</f>
        <v>0</v>
      </c>
      <c r="V124" s="26">
        <f t="shared" si="156"/>
        <v>0</v>
      </c>
      <c r="W124" s="26">
        <f t="shared" si="156"/>
        <v>0</v>
      </c>
      <c r="X124" s="26">
        <f t="shared" si="156"/>
        <v>0</v>
      </c>
      <c r="Y124" s="26">
        <f t="shared" si="156"/>
        <v>0</v>
      </c>
      <c r="Z124" s="26">
        <f t="shared" si="156"/>
        <v>0</v>
      </c>
      <c r="AA124" s="26">
        <f t="shared" si="156"/>
        <v>0</v>
      </c>
      <c r="AB124" s="26">
        <f t="shared" si="156"/>
        <v>0</v>
      </c>
      <c r="AC124" s="26">
        <f t="shared" si="156"/>
        <v>0</v>
      </c>
      <c r="AD124" s="26">
        <f t="shared" si="156"/>
        <v>0</v>
      </c>
      <c r="AE124" s="26">
        <f t="shared" si="156"/>
        <v>0</v>
      </c>
      <c r="AF124" s="26">
        <f t="shared" si="156"/>
        <v>0</v>
      </c>
      <c r="AG124" s="5">
        <f t="shared" ref="AG124:AG126" si="159">SUM(U124:AF124)</f>
        <v>0</v>
      </c>
      <c r="AH124" s="28" t="str">
        <f t="shared" ref="AH124:AH126" si="160">IFERROR(AG124/AG$16,"")</f>
        <v/>
      </c>
      <c r="AI124" s="4"/>
      <c r="AJ124" s="5">
        <f t="shared" ref="AJ124:AJ126" si="161">N124-AG124</f>
        <v>0</v>
      </c>
    </row>
    <row r="125" ht="13.5" customHeight="1">
      <c r="A125" s="25" t="s">
        <v>155</v>
      </c>
      <c r="B125" s="5">
        <v>0.0</v>
      </c>
      <c r="C125" s="5">
        <v>0.0</v>
      </c>
      <c r="D125" s="5">
        <v>0.0</v>
      </c>
      <c r="E125" s="5">
        <v>0.0</v>
      </c>
      <c r="F125" s="5">
        <v>0.0</v>
      </c>
      <c r="G125" s="5">
        <v>0.0</v>
      </c>
      <c r="H125" s="5">
        <v>0.0</v>
      </c>
      <c r="I125" s="5">
        <v>0.0</v>
      </c>
      <c r="J125" s="27">
        <v>0.0</v>
      </c>
      <c r="K125" s="27">
        <v>0.0</v>
      </c>
      <c r="L125" s="27">
        <v>0.0</v>
      </c>
      <c r="M125" s="27">
        <v>0.0</v>
      </c>
      <c r="N125" s="5">
        <f t="shared" ref="N125:N126" si="162">SUM(B125:M125)</f>
        <v>0</v>
      </c>
      <c r="O125" s="28" t="str">
        <f t="shared" si="157"/>
        <v/>
      </c>
      <c r="P125" s="5"/>
      <c r="Q125" s="5"/>
      <c r="R125" s="29" t="s">
        <v>34</v>
      </c>
      <c r="S125" s="30">
        <v>0.0</v>
      </c>
      <c r="T125" s="31">
        <v>0.05</v>
      </c>
      <c r="U125" s="26">
        <f t="shared" ref="U125:AF125" si="158">IF($R125="Manual","",IFERROR(IF($R125="YOY Growth",$N125*(1+$T125)/12,$S125/12),""))</f>
        <v>0</v>
      </c>
      <c r="V125" s="26">
        <f t="shared" si="158"/>
        <v>0</v>
      </c>
      <c r="W125" s="26">
        <f t="shared" si="158"/>
        <v>0</v>
      </c>
      <c r="X125" s="26">
        <f t="shared" si="158"/>
        <v>0</v>
      </c>
      <c r="Y125" s="26">
        <f t="shared" si="158"/>
        <v>0</v>
      </c>
      <c r="Z125" s="26">
        <f t="shared" si="158"/>
        <v>0</v>
      </c>
      <c r="AA125" s="26">
        <f t="shared" si="158"/>
        <v>0</v>
      </c>
      <c r="AB125" s="26">
        <f t="shared" si="158"/>
        <v>0</v>
      </c>
      <c r="AC125" s="26">
        <f t="shared" si="158"/>
        <v>0</v>
      </c>
      <c r="AD125" s="26">
        <f t="shared" si="158"/>
        <v>0</v>
      </c>
      <c r="AE125" s="26">
        <f t="shared" si="158"/>
        <v>0</v>
      </c>
      <c r="AF125" s="26">
        <f t="shared" si="158"/>
        <v>0</v>
      </c>
      <c r="AG125" s="5">
        <f t="shared" si="159"/>
        <v>0</v>
      </c>
      <c r="AH125" s="28" t="str">
        <f t="shared" si="160"/>
        <v/>
      </c>
      <c r="AI125" s="4"/>
      <c r="AJ125" s="5">
        <f t="shared" si="161"/>
        <v>0</v>
      </c>
    </row>
    <row r="126" ht="13.5" customHeight="1">
      <c r="A126" s="25" t="s">
        <v>156</v>
      </c>
      <c r="B126" s="5">
        <v>0.0</v>
      </c>
      <c r="C126" s="5">
        <v>0.0</v>
      </c>
      <c r="D126" s="5">
        <v>0.0</v>
      </c>
      <c r="E126" s="5">
        <v>0.0</v>
      </c>
      <c r="F126" s="5">
        <v>0.0</v>
      </c>
      <c r="G126" s="5">
        <v>0.0</v>
      </c>
      <c r="H126" s="5">
        <v>0.0</v>
      </c>
      <c r="I126" s="5">
        <v>0.0</v>
      </c>
      <c r="J126" s="27">
        <v>0.0</v>
      </c>
      <c r="K126" s="27">
        <v>0.0</v>
      </c>
      <c r="L126" s="27">
        <v>0.0</v>
      </c>
      <c r="M126" s="27">
        <v>0.0</v>
      </c>
      <c r="N126" s="5">
        <f t="shared" si="162"/>
        <v>0</v>
      </c>
      <c r="O126" s="28" t="str">
        <f t="shared" si="157"/>
        <v/>
      </c>
      <c r="P126" s="5"/>
      <c r="Q126" s="5"/>
      <c r="R126" s="29" t="s">
        <v>34</v>
      </c>
      <c r="S126" s="30">
        <v>0.0</v>
      </c>
      <c r="T126" s="31">
        <v>0.05</v>
      </c>
      <c r="U126" s="26">
        <f t="shared" ref="U126:AF126" si="163">IF($R126="Manual","",IFERROR(IF($R126="YOY Growth",$N126*(1+$T126)/12,$S126/12),""))</f>
        <v>0</v>
      </c>
      <c r="V126" s="26">
        <f t="shared" si="163"/>
        <v>0</v>
      </c>
      <c r="W126" s="26">
        <f t="shared" si="163"/>
        <v>0</v>
      </c>
      <c r="X126" s="26">
        <f t="shared" si="163"/>
        <v>0</v>
      </c>
      <c r="Y126" s="26">
        <f t="shared" si="163"/>
        <v>0</v>
      </c>
      <c r="Z126" s="26">
        <f t="shared" si="163"/>
        <v>0</v>
      </c>
      <c r="AA126" s="26">
        <f t="shared" si="163"/>
        <v>0</v>
      </c>
      <c r="AB126" s="26">
        <f t="shared" si="163"/>
        <v>0</v>
      </c>
      <c r="AC126" s="26">
        <f t="shared" si="163"/>
        <v>0</v>
      </c>
      <c r="AD126" s="26">
        <f t="shared" si="163"/>
        <v>0</v>
      </c>
      <c r="AE126" s="26">
        <f t="shared" si="163"/>
        <v>0</v>
      </c>
      <c r="AF126" s="26">
        <f t="shared" si="163"/>
        <v>0</v>
      </c>
      <c r="AG126" s="5">
        <f t="shared" si="159"/>
        <v>0</v>
      </c>
      <c r="AH126" s="28" t="str">
        <f t="shared" si="160"/>
        <v/>
      </c>
      <c r="AI126" s="4"/>
      <c r="AJ126" s="5">
        <f t="shared" si="161"/>
        <v>0</v>
      </c>
    </row>
    <row r="127" ht="13.5" customHeight="1">
      <c r="A127" s="25" t="s">
        <v>157</v>
      </c>
      <c r="B127" s="5">
        <v>0.0</v>
      </c>
      <c r="C127" s="5">
        <v>0.0</v>
      </c>
      <c r="D127" s="5">
        <v>0.0</v>
      </c>
      <c r="E127" s="5">
        <v>0.0</v>
      </c>
      <c r="F127" s="5">
        <v>0.0</v>
      </c>
      <c r="G127" s="5">
        <v>0.0</v>
      </c>
      <c r="H127" s="5">
        <v>0.0</v>
      </c>
      <c r="I127" s="5">
        <v>0.0</v>
      </c>
      <c r="J127" s="27"/>
      <c r="K127" s="27"/>
      <c r="L127" s="27"/>
      <c r="M127" s="27"/>
      <c r="N127" s="5"/>
      <c r="O127" s="28"/>
      <c r="P127" s="5"/>
      <c r="Q127" s="5"/>
      <c r="R127" s="29" t="s">
        <v>34</v>
      </c>
      <c r="S127" s="30">
        <v>0.0</v>
      </c>
      <c r="T127" s="31">
        <v>0.05</v>
      </c>
      <c r="U127" s="26">
        <f t="shared" ref="U127:AF127" si="164">IF($R127="Manual","",IFERROR(IF($R127="YOY Growth",$N127*(1+$T127)/12,$S127/12),""))</f>
        <v>0</v>
      </c>
      <c r="V127" s="26">
        <f t="shared" si="164"/>
        <v>0</v>
      </c>
      <c r="W127" s="26">
        <f t="shared" si="164"/>
        <v>0</v>
      </c>
      <c r="X127" s="26">
        <f t="shared" si="164"/>
        <v>0</v>
      </c>
      <c r="Y127" s="26">
        <f t="shared" si="164"/>
        <v>0</v>
      </c>
      <c r="Z127" s="26">
        <f t="shared" si="164"/>
        <v>0</v>
      </c>
      <c r="AA127" s="26">
        <f t="shared" si="164"/>
        <v>0</v>
      </c>
      <c r="AB127" s="26">
        <f t="shared" si="164"/>
        <v>0</v>
      </c>
      <c r="AC127" s="26">
        <f t="shared" si="164"/>
        <v>0</v>
      </c>
      <c r="AD127" s="26">
        <f t="shared" si="164"/>
        <v>0</v>
      </c>
      <c r="AE127" s="26">
        <f t="shared" si="164"/>
        <v>0</v>
      </c>
      <c r="AF127" s="26">
        <f t="shared" si="164"/>
        <v>0</v>
      </c>
      <c r="AG127" s="5"/>
      <c r="AH127" s="28"/>
      <c r="AI127" s="4"/>
      <c r="AJ127" s="5"/>
    </row>
    <row r="128" ht="13.5" customHeight="1">
      <c r="A128" s="25" t="s">
        <v>158</v>
      </c>
      <c r="B128" s="5">
        <v>0.0</v>
      </c>
      <c r="C128" s="5">
        <v>0.0</v>
      </c>
      <c r="D128" s="5">
        <v>0.0</v>
      </c>
      <c r="E128" s="5">
        <v>0.0</v>
      </c>
      <c r="F128" s="5">
        <v>0.0</v>
      </c>
      <c r="G128" s="5">
        <v>0.0</v>
      </c>
      <c r="H128" s="5">
        <v>0.0</v>
      </c>
      <c r="I128" s="5">
        <v>0.0</v>
      </c>
      <c r="J128" s="27">
        <v>0.0</v>
      </c>
      <c r="K128" s="27">
        <v>0.0</v>
      </c>
      <c r="L128" s="27">
        <v>0.0</v>
      </c>
      <c r="M128" s="27">
        <v>0.0</v>
      </c>
      <c r="N128" s="5">
        <f t="shared" ref="N128:N132" si="166">SUM(B128:M128)</f>
        <v>0</v>
      </c>
      <c r="O128" s="28" t="str">
        <f t="shared" ref="O128:O132" si="167">IFERROR(N128/N$16,"")</f>
        <v/>
      </c>
      <c r="P128" s="5"/>
      <c r="Q128" s="5"/>
      <c r="R128" s="29" t="s">
        <v>34</v>
      </c>
      <c r="S128" s="30">
        <v>0.0</v>
      </c>
      <c r="T128" s="31">
        <v>0.05</v>
      </c>
      <c r="U128" s="26">
        <f t="shared" ref="U128:AF128" si="165">IF($R128="Manual","",IFERROR(IF($R128="YOY Growth",$N128*(1+$T128)/12,$S128/12),""))</f>
        <v>0</v>
      </c>
      <c r="V128" s="26">
        <f t="shared" si="165"/>
        <v>0</v>
      </c>
      <c r="W128" s="26">
        <f t="shared" si="165"/>
        <v>0</v>
      </c>
      <c r="X128" s="26">
        <f t="shared" si="165"/>
        <v>0</v>
      </c>
      <c r="Y128" s="26">
        <f t="shared" si="165"/>
        <v>0</v>
      </c>
      <c r="Z128" s="26">
        <f t="shared" si="165"/>
        <v>0</v>
      </c>
      <c r="AA128" s="26">
        <f t="shared" si="165"/>
        <v>0</v>
      </c>
      <c r="AB128" s="26">
        <f t="shared" si="165"/>
        <v>0</v>
      </c>
      <c r="AC128" s="26">
        <f t="shared" si="165"/>
        <v>0</v>
      </c>
      <c r="AD128" s="26">
        <f t="shared" si="165"/>
        <v>0</v>
      </c>
      <c r="AE128" s="26">
        <f t="shared" si="165"/>
        <v>0</v>
      </c>
      <c r="AF128" s="26">
        <f t="shared" si="165"/>
        <v>0</v>
      </c>
      <c r="AG128" s="5">
        <f t="shared" ref="AG128:AG132" si="169">SUM(U128:AF128)</f>
        <v>0</v>
      </c>
      <c r="AH128" s="28" t="str">
        <f t="shared" ref="AH128:AH132" si="170">IFERROR(AG128/AG$16,"")</f>
        <v/>
      </c>
      <c r="AI128" s="4"/>
      <c r="AJ128" s="5">
        <f t="shared" ref="AJ128:AJ130" si="171">N128-AG128</f>
        <v>0</v>
      </c>
    </row>
    <row r="129" ht="13.5" customHeight="1">
      <c r="A129" s="25" t="s">
        <v>159</v>
      </c>
      <c r="B129" s="5">
        <v>0.0</v>
      </c>
      <c r="C129" s="5">
        <v>0.0</v>
      </c>
      <c r="D129" s="5">
        <v>0.0</v>
      </c>
      <c r="E129" s="5">
        <v>0.0</v>
      </c>
      <c r="F129" s="5">
        <v>0.0</v>
      </c>
      <c r="G129" s="5">
        <v>0.0</v>
      </c>
      <c r="H129" s="5">
        <v>0.0</v>
      </c>
      <c r="I129" s="5">
        <v>0.0</v>
      </c>
      <c r="J129" s="27">
        <v>0.0</v>
      </c>
      <c r="K129" s="27">
        <v>0.0</v>
      </c>
      <c r="L129" s="27">
        <v>0.0</v>
      </c>
      <c r="M129" s="27">
        <v>0.0</v>
      </c>
      <c r="N129" s="5">
        <f t="shared" si="166"/>
        <v>0</v>
      </c>
      <c r="O129" s="28" t="str">
        <f t="shared" si="167"/>
        <v/>
      </c>
      <c r="P129" s="5"/>
      <c r="Q129" s="5"/>
      <c r="R129" s="29" t="s">
        <v>34</v>
      </c>
      <c r="S129" s="30">
        <v>0.0</v>
      </c>
      <c r="T129" s="31">
        <v>0.05</v>
      </c>
      <c r="U129" s="26">
        <f t="shared" ref="U129:AF129" si="168">IF($R129="Manual","",IFERROR(IF($R129="YOY Growth",$N129*(1+$T129)/12,$S129/12),""))</f>
        <v>0</v>
      </c>
      <c r="V129" s="26">
        <f t="shared" si="168"/>
        <v>0</v>
      </c>
      <c r="W129" s="26">
        <f t="shared" si="168"/>
        <v>0</v>
      </c>
      <c r="X129" s="26">
        <f t="shared" si="168"/>
        <v>0</v>
      </c>
      <c r="Y129" s="26">
        <f t="shared" si="168"/>
        <v>0</v>
      </c>
      <c r="Z129" s="26">
        <f t="shared" si="168"/>
        <v>0</v>
      </c>
      <c r="AA129" s="26">
        <f t="shared" si="168"/>
        <v>0</v>
      </c>
      <c r="AB129" s="26">
        <f t="shared" si="168"/>
        <v>0</v>
      </c>
      <c r="AC129" s="26">
        <f t="shared" si="168"/>
        <v>0</v>
      </c>
      <c r="AD129" s="26">
        <f t="shared" si="168"/>
        <v>0</v>
      </c>
      <c r="AE129" s="26">
        <f t="shared" si="168"/>
        <v>0</v>
      </c>
      <c r="AF129" s="26">
        <f t="shared" si="168"/>
        <v>0</v>
      </c>
      <c r="AG129" s="5">
        <f t="shared" si="169"/>
        <v>0</v>
      </c>
      <c r="AH129" s="28" t="str">
        <f t="shared" si="170"/>
        <v/>
      </c>
      <c r="AI129" s="4"/>
      <c r="AJ129" s="5">
        <f t="shared" si="171"/>
        <v>0</v>
      </c>
    </row>
    <row r="130" ht="13.5" customHeight="1">
      <c r="A130" s="33" t="s">
        <v>160</v>
      </c>
      <c r="B130" s="34">
        <f t="shared" ref="B130:M130" si="172">SUM(B124:B129)</f>
        <v>0</v>
      </c>
      <c r="C130" s="34">
        <f t="shared" si="172"/>
        <v>0</v>
      </c>
      <c r="D130" s="34">
        <f t="shared" si="172"/>
        <v>0</v>
      </c>
      <c r="E130" s="34">
        <f t="shared" si="172"/>
        <v>0</v>
      </c>
      <c r="F130" s="34">
        <f t="shared" si="172"/>
        <v>0</v>
      </c>
      <c r="G130" s="34">
        <f t="shared" si="172"/>
        <v>0</v>
      </c>
      <c r="H130" s="34">
        <f t="shared" si="172"/>
        <v>0</v>
      </c>
      <c r="I130" s="34">
        <f t="shared" si="172"/>
        <v>0</v>
      </c>
      <c r="J130" s="34">
        <f t="shared" si="172"/>
        <v>0</v>
      </c>
      <c r="K130" s="34">
        <f t="shared" si="172"/>
        <v>0</v>
      </c>
      <c r="L130" s="34">
        <f t="shared" si="172"/>
        <v>0</v>
      </c>
      <c r="M130" s="34">
        <f t="shared" si="172"/>
        <v>0</v>
      </c>
      <c r="N130" s="34">
        <f t="shared" si="166"/>
        <v>0</v>
      </c>
      <c r="O130" s="35" t="str">
        <f t="shared" si="167"/>
        <v/>
      </c>
      <c r="P130" s="5"/>
      <c r="Q130" s="5"/>
      <c r="R130" s="36"/>
      <c r="S130" s="36"/>
      <c r="T130" s="36"/>
      <c r="U130" s="34">
        <f t="shared" ref="U130:AF130" si="173">SUM(U124:U129)</f>
        <v>0</v>
      </c>
      <c r="V130" s="34">
        <f t="shared" si="173"/>
        <v>0</v>
      </c>
      <c r="W130" s="34">
        <f t="shared" si="173"/>
        <v>0</v>
      </c>
      <c r="X130" s="34">
        <f t="shared" si="173"/>
        <v>0</v>
      </c>
      <c r="Y130" s="34">
        <f t="shared" si="173"/>
        <v>0</v>
      </c>
      <c r="Z130" s="34">
        <f t="shared" si="173"/>
        <v>0</v>
      </c>
      <c r="AA130" s="34">
        <f t="shared" si="173"/>
        <v>0</v>
      </c>
      <c r="AB130" s="34">
        <f t="shared" si="173"/>
        <v>0</v>
      </c>
      <c r="AC130" s="34">
        <f t="shared" si="173"/>
        <v>0</v>
      </c>
      <c r="AD130" s="34">
        <f t="shared" si="173"/>
        <v>0</v>
      </c>
      <c r="AE130" s="34">
        <f t="shared" si="173"/>
        <v>0</v>
      </c>
      <c r="AF130" s="34">
        <f t="shared" si="173"/>
        <v>0</v>
      </c>
      <c r="AG130" s="34">
        <f t="shared" si="169"/>
        <v>0</v>
      </c>
      <c r="AH130" s="35" t="str">
        <f t="shared" si="170"/>
        <v/>
      </c>
      <c r="AI130" s="4"/>
      <c r="AJ130" s="34">
        <f t="shared" si="171"/>
        <v>0</v>
      </c>
    </row>
    <row r="131" ht="13.5" customHeight="1">
      <c r="A131" s="52" t="s">
        <v>161</v>
      </c>
      <c r="B131" s="34">
        <f t="shared" ref="B131:M131" si="174">B122-B130</f>
        <v>0</v>
      </c>
      <c r="C131" s="34">
        <f t="shared" si="174"/>
        <v>0</v>
      </c>
      <c r="D131" s="34">
        <f t="shared" si="174"/>
        <v>0</v>
      </c>
      <c r="E131" s="34">
        <f t="shared" si="174"/>
        <v>0</v>
      </c>
      <c r="F131" s="34">
        <f t="shared" si="174"/>
        <v>0</v>
      </c>
      <c r="G131" s="34">
        <f t="shared" si="174"/>
        <v>0</v>
      </c>
      <c r="H131" s="34">
        <f t="shared" si="174"/>
        <v>0</v>
      </c>
      <c r="I131" s="34">
        <f t="shared" si="174"/>
        <v>0</v>
      </c>
      <c r="J131" s="34">
        <f t="shared" si="174"/>
        <v>0</v>
      </c>
      <c r="K131" s="34">
        <f t="shared" si="174"/>
        <v>0</v>
      </c>
      <c r="L131" s="34">
        <f t="shared" si="174"/>
        <v>0</v>
      </c>
      <c r="M131" s="34">
        <f t="shared" si="174"/>
        <v>0</v>
      </c>
      <c r="N131" s="34">
        <f t="shared" si="166"/>
        <v>0</v>
      </c>
      <c r="O131" s="35" t="str">
        <f t="shared" si="167"/>
        <v/>
      </c>
      <c r="P131" s="5"/>
      <c r="Q131" s="5"/>
      <c r="R131" s="36"/>
      <c r="S131" s="36"/>
      <c r="T131" s="36"/>
      <c r="U131" s="34">
        <f t="shared" ref="U131:AF131" si="175">U122-U130</f>
        <v>0</v>
      </c>
      <c r="V131" s="34">
        <f t="shared" si="175"/>
        <v>0</v>
      </c>
      <c r="W131" s="34">
        <f t="shared" si="175"/>
        <v>0</v>
      </c>
      <c r="X131" s="34">
        <f t="shared" si="175"/>
        <v>0</v>
      </c>
      <c r="Y131" s="34">
        <f t="shared" si="175"/>
        <v>0</v>
      </c>
      <c r="Z131" s="34">
        <f t="shared" si="175"/>
        <v>0</v>
      </c>
      <c r="AA131" s="34">
        <f t="shared" si="175"/>
        <v>0</v>
      </c>
      <c r="AB131" s="34">
        <f t="shared" si="175"/>
        <v>0</v>
      </c>
      <c r="AC131" s="34">
        <f t="shared" si="175"/>
        <v>0</v>
      </c>
      <c r="AD131" s="34">
        <f t="shared" si="175"/>
        <v>0</v>
      </c>
      <c r="AE131" s="34">
        <f t="shared" si="175"/>
        <v>0</v>
      </c>
      <c r="AF131" s="34">
        <f t="shared" si="175"/>
        <v>0</v>
      </c>
      <c r="AG131" s="34">
        <f t="shared" si="169"/>
        <v>0</v>
      </c>
      <c r="AH131" s="35" t="str">
        <f t="shared" si="170"/>
        <v/>
      </c>
      <c r="AI131" s="4"/>
      <c r="AJ131" s="34">
        <f t="shared" ref="AJ131:AJ132" si="178">AG131-N131</f>
        <v>0</v>
      </c>
    </row>
    <row r="132" ht="13.5" customHeight="1">
      <c r="A132" s="52" t="s">
        <v>162</v>
      </c>
      <c r="B132" s="53">
        <f t="shared" ref="B132:M132" si="176">B117+B131</f>
        <v>-153934.95</v>
      </c>
      <c r="C132" s="53">
        <f t="shared" si="176"/>
        <v>-107839.52</v>
      </c>
      <c r="D132" s="53">
        <f t="shared" si="176"/>
        <v>-190961.69</v>
      </c>
      <c r="E132" s="53">
        <f t="shared" si="176"/>
        <v>-144233.65</v>
      </c>
      <c r="F132" s="53">
        <f t="shared" si="176"/>
        <v>-168942.74</v>
      </c>
      <c r="G132" s="53">
        <f t="shared" si="176"/>
        <v>-189851.83</v>
      </c>
      <c r="H132" s="53">
        <f t="shared" si="176"/>
        <v>-178369.86</v>
      </c>
      <c r="I132" s="53">
        <f t="shared" si="176"/>
        <v>-164186.55</v>
      </c>
      <c r="J132" s="53">
        <f t="shared" si="176"/>
        <v>-216558</v>
      </c>
      <c r="K132" s="53">
        <f t="shared" si="176"/>
        <v>-218928</v>
      </c>
      <c r="L132" s="53">
        <f t="shared" si="176"/>
        <v>-222771</v>
      </c>
      <c r="M132" s="53">
        <f t="shared" si="176"/>
        <v>-228245</v>
      </c>
      <c r="N132" s="53">
        <f t="shared" si="166"/>
        <v>-2184822.79</v>
      </c>
      <c r="O132" s="54" t="str">
        <f t="shared" si="167"/>
        <v/>
      </c>
      <c r="P132" s="5"/>
      <c r="Q132" s="5"/>
      <c r="R132" s="36"/>
      <c r="S132" s="36"/>
      <c r="T132" s="36"/>
      <c r="U132" s="53">
        <f t="shared" ref="U132:AF132" si="177">U117+U131</f>
        <v>-110942.7247</v>
      </c>
      <c r="V132" s="53">
        <f t="shared" si="177"/>
        <v>-110942.7247</v>
      </c>
      <c r="W132" s="53">
        <f t="shared" si="177"/>
        <v>-110942.7247</v>
      </c>
      <c r="X132" s="53">
        <f t="shared" si="177"/>
        <v>-110942.7247</v>
      </c>
      <c r="Y132" s="53">
        <f t="shared" si="177"/>
        <v>-110942.7247</v>
      </c>
      <c r="Z132" s="53">
        <f t="shared" si="177"/>
        <v>-110942.7247</v>
      </c>
      <c r="AA132" s="53">
        <f t="shared" si="177"/>
        <v>-110942.7247</v>
      </c>
      <c r="AB132" s="53">
        <f t="shared" si="177"/>
        <v>-110942.7247</v>
      </c>
      <c r="AC132" s="53">
        <f t="shared" si="177"/>
        <v>-110942.7247</v>
      </c>
      <c r="AD132" s="53">
        <f t="shared" si="177"/>
        <v>-114271.0064</v>
      </c>
      <c r="AE132" s="53">
        <f t="shared" si="177"/>
        <v>-114271.0064</v>
      </c>
      <c r="AF132" s="53">
        <f t="shared" si="177"/>
        <v>-114271.0064</v>
      </c>
      <c r="AG132" s="53">
        <f t="shared" si="169"/>
        <v>-1341297.542</v>
      </c>
      <c r="AH132" s="54" t="str">
        <f t="shared" si="170"/>
        <v/>
      </c>
      <c r="AI132" s="4"/>
      <c r="AJ132" s="53">
        <f t="shared" si="178"/>
        <v>843525.2483</v>
      </c>
    </row>
    <row r="133" ht="13.5" customHeight="1">
      <c r="A133" s="4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36"/>
      <c r="S133" s="36"/>
      <c r="T133" s="36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  <c r="AE133" s="55"/>
      <c r="AF133" s="55"/>
      <c r="AG133" s="28"/>
      <c r="AH133" s="5"/>
      <c r="AI133" s="4"/>
      <c r="AJ133" s="4"/>
    </row>
    <row r="134" ht="13.5" customHeight="1">
      <c r="A134" s="4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28"/>
      <c r="P134" s="5"/>
      <c r="Q134" s="5"/>
      <c r="R134" s="36"/>
      <c r="S134" s="36"/>
      <c r="T134" s="36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4"/>
      <c r="AJ134" s="4"/>
    </row>
    <row r="135" ht="13.5" customHeight="1">
      <c r="A135" s="4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28"/>
      <c r="P135" s="5"/>
      <c r="Q135" s="5"/>
      <c r="R135" s="36"/>
      <c r="S135" s="36"/>
      <c r="T135" s="36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4"/>
      <c r="AJ135" s="4"/>
    </row>
    <row r="136" ht="13.5" customHeight="1">
      <c r="A136" s="4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28"/>
      <c r="P136" s="5"/>
      <c r="Q136" s="5"/>
      <c r="R136" s="36"/>
      <c r="S136" s="36"/>
      <c r="T136" s="36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4"/>
      <c r="AJ136" s="4"/>
    </row>
    <row r="137" ht="13.5" customHeight="1">
      <c r="A137" s="25" t="s">
        <v>163</v>
      </c>
      <c r="B137" s="5">
        <f t="shared" ref="B137:N137" si="179">SUMIF($A$9:$A$132,"*"&amp;$A137&amp;"*",B$9:B$132)</f>
        <v>70558.34</v>
      </c>
      <c r="C137" s="5">
        <f t="shared" si="179"/>
        <v>36169.81</v>
      </c>
      <c r="D137" s="5">
        <f t="shared" si="179"/>
        <v>68774.92</v>
      </c>
      <c r="E137" s="5">
        <f t="shared" si="179"/>
        <v>77202.08</v>
      </c>
      <c r="F137" s="5">
        <f t="shared" si="179"/>
        <v>72865.8</v>
      </c>
      <c r="G137" s="5">
        <f t="shared" si="179"/>
        <v>64701.68</v>
      </c>
      <c r="H137" s="5">
        <f t="shared" si="179"/>
        <v>82139.24</v>
      </c>
      <c r="I137" s="5">
        <f t="shared" si="179"/>
        <v>79454.55</v>
      </c>
      <c r="J137" s="5">
        <f t="shared" si="179"/>
        <v>90000</v>
      </c>
      <c r="K137" s="5">
        <f t="shared" si="179"/>
        <v>92700</v>
      </c>
      <c r="L137" s="5">
        <f t="shared" si="179"/>
        <v>95800</v>
      </c>
      <c r="M137" s="5">
        <f t="shared" si="179"/>
        <v>96900</v>
      </c>
      <c r="N137" s="5">
        <f t="shared" si="179"/>
        <v>927266.42</v>
      </c>
      <c r="O137" s="28"/>
      <c r="P137" s="4"/>
      <c r="Q137" s="4"/>
      <c r="R137" s="36"/>
      <c r="S137" s="36"/>
      <c r="T137" s="36"/>
      <c r="U137" s="5">
        <f t="shared" ref="U137:AG137" si="180">SUMIF($A$9:$A$132,"*"&amp;$A137&amp;"*",U$9:U$132)</f>
        <v>90012.58333</v>
      </c>
      <c r="V137" s="5">
        <f t="shared" si="180"/>
        <v>90012.58333</v>
      </c>
      <c r="W137" s="5">
        <f t="shared" si="180"/>
        <v>90012.58333</v>
      </c>
      <c r="X137" s="5">
        <f t="shared" si="180"/>
        <v>90012.58333</v>
      </c>
      <c r="Y137" s="5">
        <f t="shared" si="180"/>
        <v>90012.58333</v>
      </c>
      <c r="Z137" s="5">
        <f t="shared" si="180"/>
        <v>90012.58333</v>
      </c>
      <c r="AA137" s="5">
        <f t="shared" si="180"/>
        <v>90012.58333</v>
      </c>
      <c r="AB137" s="5">
        <f t="shared" si="180"/>
        <v>90012.58333</v>
      </c>
      <c r="AC137" s="5">
        <f t="shared" si="180"/>
        <v>90012.58333</v>
      </c>
      <c r="AD137" s="5">
        <f t="shared" si="180"/>
        <v>92712.96083</v>
      </c>
      <c r="AE137" s="5">
        <f t="shared" si="180"/>
        <v>92712.96083</v>
      </c>
      <c r="AF137" s="5">
        <f t="shared" si="180"/>
        <v>92712.96083</v>
      </c>
      <c r="AG137" s="5">
        <f t="shared" si="180"/>
        <v>1088252.133</v>
      </c>
      <c r="AH137" s="28"/>
      <c r="AI137" s="4"/>
      <c r="AJ137" s="5"/>
    </row>
    <row r="138" ht="13.5" customHeight="1">
      <c r="A138" s="25" t="s">
        <v>164</v>
      </c>
      <c r="B138" s="5">
        <f t="shared" ref="B138:N138" si="181">SUMIF($A$9:$A$132,"*"&amp;$A138&amp;"*",B$9:B$132)</f>
        <v>0</v>
      </c>
      <c r="C138" s="5">
        <f t="shared" si="181"/>
        <v>0</v>
      </c>
      <c r="D138" s="5">
        <f t="shared" si="181"/>
        <v>0</v>
      </c>
      <c r="E138" s="5">
        <f t="shared" si="181"/>
        <v>0</v>
      </c>
      <c r="F138" s="5">
        <f t="shared" si="181"/>
        <v>0</v>
      </c>
      <c r="G138" s="5">
        <f t="shared" si="181"/>
        <v>0</v>
      </c>
      <c r="H138" s="5">
        <f t="shared" si="181"/>
        <v>0</v>
      </c>
      <c r="I138" s="5">
        <f t="shared" si="181"/>
        <v>0</v>
      </c>
      <c r="J138" s="5">
        <f t="shared" si="181"/>
        <v>0</v>
      </c>
      <c r="K138" s="5">
        <f t="shared" si="181"/>
        <v>0</v>
      </c>
      <c r="L138" s="5">
        <f t="shared" si="181"/>
        <v>0</v>
      </c>
      <c r="M138" s="5">
        <f t="shared" si="181"/>
        <v>0</v>
      </c>
      <c r="N138" s="5">
        <f t="shared" si="181"/>
        <v>0</v>
      </c>
      <c r="O138" s="5"/>
      <c r="P138" s="5"/>
      <c r="Q138" s="5"/>
      <c r="R138" s="36"/>
      <c r="S138" s="36"/>
      <c r="T138" s="36"/>
      <c r="U138" s="5">
        <f t="shared" ref="U138:AG138" si="182">SUMIF($A$9:$A$132,"*"&amp;$A138&amp;"*",U$9:U$132)</f>
        <v>0</v>
      </c>
      <c r="V138" s="5">
        <f t="shared" si="182"/>
        <v>0</v>
      </c>
      <c r="W138" s="5">
        <f t="shared" si="182"/>
        <v>0</v>
      </c>
      <c r="X138" s="5">
        <f t="shared" si="182"/>
        <v>0</v>
      </c>
      <c r="Y138" s="5">
        <f t="shared" si="182"/>
        <v>0</v>
      </c>
      <c r="Z138" s="5">
        <f t="shared" si="182"/>
        <v>0</v>
      </c>
      <c r="AA138" s="5">
        <f t="shared" si="182"/>
        <v>0</v>
      </c>
      <c r="AB138" s="5">
        <f t="shared" si="182"/>
        <v>0</v>
      </c>
      <c r="AC138" s="5">
        <f t="shared" si="182"/>
        <v>0</v>
      </c>
      <c r="AD138" s="5">
        <f t="shared" si="182"/>
        <v>0</v>
      </c>
      <c r="AE138" s="5">
        <f t="shared" si="182"/>
        <v>0</v>
      </c>
      <c r="AF138" s="5">
        <f t="shared" si="182"/>
        <v>0</v>
      </c>
      <c r="AG138" s="5">
        <f t="shared" si="182"/>
        <v>0</v>
      </c>
      <c r="AH138" s="5"/>
      <c r="AI138" s="4"/>
      <c r="AJ138" s="4"/>
    </row>
    <row r="139" ht="13.5" customHeight="1">
      <c r="A139" s="25" t="s">
        <v>165</v>
      </c>
      <c r="B139" s="5">
        <f t="shared" ref="B139:N139" si="183">SUMIF($A$9:$A$132,"*"&amp;$A139&amp;"*",B$9:B$132)</f>
        <v>5777.74</v>
      </c>
      <c r="C139" s="5">
        <f t="shared" si="183"/>
        <v>3251.23</v>
      </c>
      <c r="D139" s="5">
        <f t="shared" si="183"/>
        <v>4737.21</v>
      </c>
      <c r="E139" s="5">
        <f t="shared" si="183"/>
        <v>5152.42</v>
      </c>
      <c r="F139" s="5">
        <f t="shared" si="183"/>
        <v>4827.71</v>
      </c>
      <c r="G139" s="5">
        <f t="shared" si="183"/>
        <v>4403.72</v>
      </c>
      <c r="H139" s="5">
        <f t="shared" si="183"/>
        <v>5573.24</v>
      </c>
      <c r="I139" s="5">
        <f t="shared" si="183"/>
        <v>5853.77</v>
      </c>
      <c r="J139" s="5">
        <f t="shared" si="183"/>
        <v>5850</v>
      </c>
      <c r="K139" s="5">
        <f t="shared" si="183"/>
        <v>6026</v>
      </c>
      <c r="L139" s="5">
        <f t="shared" si="183"/>
        <v>6227</v>
      </c>
      <c r="M139" s="5">
        <f t="shared" si="183"/>
        <v>6299</v>
      </c>
      <c r="N139" s="5">
        <f t="shared" si="183"/>
        <v>63979.04</v>
      </c>
      <c r="O139" s="5"/>
      <c r="P139" s="5"/>
      <c r="Q139" s="5"/>
      <c r="R139" s="36"/>
      <c r="S139" s="36"/>
      <c r="T139" s="36"/>
      <c r="U139" s="5">
        <f t="shared" ref="U139:AG139" si="184">SUMIF($A$9:$A$132,"*"&amp;$A139&amp;"*",U$9:U$132)</f>
        <v>6163.243351</v>
      </c>
      <c r="V139" s="5">
        <f t="shared" si="184"/>
        <v>6163.243351</v>
      </c>
      <c r="W139" s="5">
        <f t="shared" si="184"/>
        <v>6163.243351</v>
      </c>
      <c r="X139" s="5">
        <f t="shared" si="184"/>
        <v>6163.243351</v>
      </c>
      <c r="Y139" s="5">
        <f t="shared" si="184"/>
        <v>6163.243351</v>
      </c>
      <c r="Z139" s="5">
        <f t="shared" si="184"/>
        <v>6163.243351</v>
      </c>
      <c r="AA139" s="5">
        <f t="shared" si="184"/>
        <v>6163.243351</v>
      </c>
      <c r="AB139" s="5">
        <f t="shared" si="184"/>
        <v>6163.243351</v>
      </c>
      <c r="AC139" s="5">
        <f t="shared" si="184"/>
        <v>6163.243351</v>
      </c>
      <c r="AD139" s="5">
        <f t="shared" si="184"/>
        <v>6348.140652</v>
      </c>
      <c r="AE139" s="5">
        <f t="shared" si="184"/>
        <v>6348.140652</v>
      </c>
      <c r="AF139" s="5">
        <f t="shared" si="184"/>
        <v>6348.140652</v>
      </c>
      <c r="AG139" s="5">
        <f t="shared" si="184"/>
        <v>74513.61211</v>
      </c>
      <c r="AH139" s="5"/>
      <c r="AI139" s="4"/>
      <c r="AJ139" s="5"/>
    </row>
    <row r="140" ht="13.5" customHeight="1">
      <c r="A140" s="25" t="s">
        <v>166</v>
      </c>
      <c r="B140" s="5">
        <f t="shared" ref="B140:N140" si="185">SUMIF($A$9:$A$132,"*"&amp;$A140&amp;"*",B$9:B$132)</f>
        <v>30858.44</v>
      </c>
      <c r="C140" s="5">
        <f t="shared" si="185"/>
        <v>21649.75</v>
      </c>
      <c r="D140" s="5">
        <f t="shared" si="185"/>
        <v>9095.03</v>
      </c>
      <c r="E140" s="5">
        <f t="shared" si="185"/>
        <v>12493.8</v>
      </c>
      <c r="F140" s="5">
        <f t="shared" si="185"/>
        <v>12115.76</v>
      </c>
      <c r="G140" s="5">
        <f t="shared" si="185"/>
        <v>16324.25</v>
      </c>
      <c r="H140" s="5">
        <f t="shared" si="185"/>
        <v>13014.13</v>
      </c>
      <c r="I140" s="5">
        <f t="shared" si="185"/>
        <v>17324.26</v>
      </c>
      <c r="J140" s="5">
        <f t="shared" si="185"/>
        <v>10800</v>
      </c>
      <c r="K140" s="5">
        <f t="shared" si="185"/>
        <v>11124</v>
      </c>
      <c r="L140" s="5">
        <f t="shared" si="185"/>
        <v>11496</v>
      </c>
      <c r="M140" s="5">
        <f t="shared" si="185"/>
        <v>11628</v>
      </c>
      <c r="N140" s="5">
        <f t="shared" si="185"/>
        <v>177923.42</v>
      </c>
      <c r="O140" s="5"/>
      <c r="P140" s="5"/>
      <c r="Q140" s="5"/>
      <c r="R140" s="36"/>
      <c r="S140" s="36"/>
      <c r="T140" s="36"/>
      <c r="U140" s="5">
        <f t="shared" ref="U140:AG140" si="186">SUMIF($A$9:$A$132,"*"&amp;$A140&amp;"*",U$9:U$132)</f>
        <v>14766.89802</v>
      </c>
      <c r="V140" s="5">
        <f t="shared" si="186"/>
        <v>14766.89802</v>
      </c>
      <c r="W140" s="5">
        <f t="shared" si="186"/>
        <v>14766.89802</v>
      </c>
      <c r="X140" s="5">
        <f t="shared" si="186"/>
        <v>14766.89802</v>
      </c>
      <c r="Y140" s="5">
        <f t="shared" si="186"/>
        <v>14766.89802</v>
      </c>
      <c r="Z140" s="5">
        <f t="shared" si="186"/>
        <v>14766.89802</v>
      </c>
      <c r="AA140" s="5">
        <f t="shared" si="186"/>
        <v>14766.89802</v>
      </c>
      <c r="AB140" s="5">
        <f t="shared" si="186"/>
        <v>14766.89802</v>
      </c>
      <c r="AC140" s="5">
        <f t="shared" si="186"/>
        <v>14766.89802</v>
      </c>
      <c r="AD140" s="5">
        <f t="shared" si="186"/>
        <v>15209.90496</v>
      </c>
      <c r="AE140" s="5">
        <f t="shared" si="186"/>
        <v>15209.90496</v>
      </c>
      <c r="AF140" s="5">
        <f t="shared" si="186"/>
        <v>15209.90496</v>
      </c>
      <c r="AG140" s="5">
        <f t="shared" si="186"/>
        <v>178531.797</v>
      </c>
      <c r="AH140" s="5"/>
      <c r="AI140" s="4"/>
      <c r="AJ140" s="5"/>
    </row>
    <row r="141" ht="13.5" customHeight="1">
      <c r="A141" s="4" t="s">
        <v>167</v>
      </c>
      <c r="B141" s="28">
        <f t="shared" ref="B141:N141" si="187">IFERROR(SUM(B139:B140)/SUM(B137:B138),"")</f>
        <v>0.5192324536</v>
      </c>
      <c r="C141" s="28">
        <f t="shared" si="187"/>
        <v>0.6884465249</v>
      </c>
      <c r="D141" s="28">
        <f t="shared" si="187"/>
        <v>0.2011233165</v>
      </c>
      <c r="E141" s="28">
        <f t="shared" si="187"/>
        <v>0.2285718209</v>
      </c>
      <c r="F141" s="28">
        <f t="shared" si="187"/>
        <v>0.2325298014</v>
      </c>
      <c r="G141" s="28">
        <f t="shared" si="187"/>
        <v>0.3203621606</v>
      </c>
      <c r="H141" s="28">
        <f t="shared" si="187"/>
        <v>0.2262909908</v>
      </c>
      <c r="I141" s="28">
        <f t="shared" si="187"/>
        <v>0.2917143197</v>
      </c>
      <c r="J141" s="28">
        <f t="shared" si="187"/>
        <v>0.185</v>
      </c>
      <c r="K141" s="28">
        <f t="shared" si="187"/>
        <v>0.1850053937</v>
      </c>
      <c r="L141" s="28">
        <f t="shared" si="187"/>
        <v>0.185</v>
      </c>
      <c r="M141" s="28">
        <f t="shared" si="187"/>
        <v>0.18500516</v>
      </c>
      <c r="N141" s="28">
        <f t="shared" si="187"/>
        <v>0.2608769764</v>
      </c>
      <c r="O141" s="28"/>
      <c r="P141" s="28"/>
      <c r="Q141" s="28"/>
      <c r="R141" s="36"/>
      <c r="S141" s="36"/>
      <c r="T141" s="36"/>
      <c r="U141" s="28">
        <f t="shared" ref="U141:AG141" si="188">IFERROR(SUM(U139:U140)/SUM(U137:U138),"")</f>
        <v>0.2325246159</v>
      </c>
      <c r="V141" s="28">
        <f t="shared" si="188"/>
        <v>0.2325246159</v>
      </c>
      <c r="W141" s="28">
        <f t="shared" si="188"/>
        <v>0.2325246159</v>
      </c>
      <c r="X141" s="28">
        <f t="shared" si="188"/>
        <v>0.2325246159</v>
      </c>
      <c r="Y141" s="28">
        <f t="shared" si="188"/>
        <v>0.2325246159</v>
      </c>
      <c r="Z141" s="28">
        <f t="shared" si="188"/>
        <v>0.2325246159</v>
      </c>
      <c r="AA141" s="28">
        <f t="shared" si="188"/>
        <v>0.2325246159</v>
      </c>
      <c r="AB141" s="28">
        <f t="shared" si="188"/>
        <v>0.2325246159</v>
      </c>
      <c r="AC141" s="28">
        <f t="shared" si="188"/>
        <v>0.2325246159</v>
      </c>
      <c r="AD141" s="28">
        <f t="shared" si="188"/>
        <v>0.2325246159</v>
      </c>
      <c r="AE141" s="28">
        <f t="shared" si="188"/>
        <v>0.2325246159</v>
      </c>
      <c r="AF141" s="28">
        <f t="shared" si="188"/>
        <v>0.2325246159</v>
      </c>
      <c r="AG141" s="28">
        <f t="shared" si="188"/>
        <v>0.2325246159</v>
      </c>
      <c r="AH141" s="28"/>
      <c r="AI141" s="28"/>
      <c r="AJ141" s="28"/>
    </row>
    <row r="142" ht="13.5" customHeight="1">
      <c r="A142" s="4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28"/>
      <c r="P142" s="5"/>
      <c r="Q142" s="5"/>
      <c r="R142" s="36"/>
      <c r="S142" s="36"/>
      <c r="T142" s="36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4"/>
    </row>
    <row r="143" ht="13.5" customHeight="1">
      <c r="A143" s="4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28"/>
      <c r="P143" s="5"/>
      <c r="Q143" s="5"/>
      <c r="R143" s="36"/>
      <c r="S143" s="36"/>
      <c r="T143" s="36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4"/>
      <c r="AJ143" s="4"/>
    </row>
    <row r="144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28"/>
      <c r="P144" s="4"/>
      <c r="Q144" s="4"/>
      <c r="R144" s="56"/>
      <c r="S144" s="56"/>
      <c r="T144" s="56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28"/>
      <c r="P145" s="4"/>
      <c r="Q145" s="4"/>
      <c r="R145" s="56"/>
      <c r="S145" s="56"/>
      <c r="T145" s="56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8"/>
      <c r="P146" s="4"/>
      <c r="Q146" s="4"/>
      <c r="R146" s="56"/>
      <c r="S146" s="56"/>
      <c r="T146" s="56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28"/>
      <c r="P147" s="4"/>
      <c r="Q147" s="4"/>
      <c r="R147" s="56"/>
      <c r="S147" s="56"/>
      <c r="T147" s="56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28"/>
      <c r="P148" s="4"/>
      <c r="Q148" s="4"/>
      <c r="R148" s="56"/>
      <c r="S148" s="56"/>
      <c r="T148" s="56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28"/>
      <c r="P149" s="4"/>
      <c r="Q149" s="4"/>
      <c r="R149" s="56"/>
      <c r="S149" s="56"/>
      <c r="T149" s="56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28"/>
      <c r="P150" s="4"/>
      <c r="Q150" s="4"/>
      <c r="R150" s="56"/>
      <c r="S150" s="56"/>
      <c r="T150" s="56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28"/>
      <c r="P151" s="4"/>
      <c r="Q151" s="4"/>
      <c r="R151" s="56"/>
      <c r="S151" s="56"/>
      <c r="T151" s="56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28"/>
      <c r="P152" s="4"/>
      <c r="Q152" s="4"/>
      <c r="R152" s="56"/>
      <c r="S152" s="56"/>
      <c r="T152" s="56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28"/>
      <c r="P153" s="4"/>
      <c r="Q153" s="4"/>
      <c r="R153" s="56"/>
      <c r="S153" s="56"/>
      <c r="T153" s="56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28"/>
      <c r="P154" s="4"/>
      <c r="Q154" s="4"/>
      <c r="R154" s="56"/>
      <c r="S154" s="56"/>
      <c r="T154" s="56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28"/>
      <c r="P155" s="4"/>
      <c r="Q155" s="4"/>
      <c r="R155" s="56"/>
      <c r="S155" s="56"/>
      <c r="T155" s="56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28"/>
      <c r="P156" s="4"/>
      <c r="Q156" s="4"/>
      <c r="R156" s="56"/>
      <c r="S156" s="56"/>
      <c r="T156" s="56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28"/>
      <c r="P157" s="4"/>
      <c r="Q157" s="4"/>
      <c r="R157" s="56"/>
      <c r="S157" s="56"/>
      <c r="T157" s="56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28"/>
      <c r="P158" s="4"/>
      <c r="Q158" s="4"/>
      <c r="R158" s="56"/>
      <c r="S158" s="56"/>
      <c r="T158" s="56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28"/>
      <c r="P159" s="4"/>
      <c r="Q159" s="4"/>
      <c r="R159" s="56"/>
      <c r="S159" s="56"/>
      <c r="T159" s="56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28"/>
      <c r="P160" s="4"/>
      <c r="Q160" s="4"/>
      <c r="R160" s="56"/>
      <c r="S160" s="56"/>
      <c r="T160" s="56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28"/>
      <c r="P161" s="4"/>
      <c r="Q161" s="4"/>
      <c r="R161" s="56"/>
      <c r="S161" s="56"/>
      <c r="T161" s="56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28"/>
      <c r="P162" s="4"/>
      <c r="Q162" s="4"/>
      <c r="R162" s="56"/>
      <c r="S162" s="56"/>
      <c r="T162" s="56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28"/>
      <c r="P163" s="4"/>
      <c r="Q163" s="4"/>
      <c r="R163" s="56"/>
      <c r="S163" s="56"/>
      <c r="T163" s="56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28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28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28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8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28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28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8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28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28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8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28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28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8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28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28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28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28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28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28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28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28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28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28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28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28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28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28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28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28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28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28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28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28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28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28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28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</row>
    <row r="293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</row>
    <row r="294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</row>
    <row r="295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</row>
    <row r="29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</row>
    <row r="297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</row>
    <row r="298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</row>
    <row r="299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</row>
    <row r="300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</row>
    <row r="301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</row>
    <row r="302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</row>
    <row r="303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</row>
    <row r="304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</row>
    <row r="305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</row>
    <row r="30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</row>
    <row r="307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</row>
    <row r="308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</row>
    <row r="309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</row>
    <row r="310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</row>
    <row r="311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</row>
    <row r="312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</row>
    <row r="313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</row>
    <row r="314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</row>
    <row r="315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</row>
    <row r="31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</row>
    <row r="317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</row>
    <row r="318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</row>
    <row r="319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</row>
    <row r="320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</row>
    <row r="321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</row>
    <row r="322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</row>
    <row r="323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</row>
    <row r="324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</row>
    <row r="325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</row>
    <row r="3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</row>
    <row r="327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</row>
    <row r="328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</row>
    <row r="329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</row>
    <row r="330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</row>
    <row r="331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</row>
    <row r="332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</row>
    <row r="333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</row>
    <row r="334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</row>
    <row r="335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</row>
    <row r="33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</row>
    <row r="337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</row>
    <row r="338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</row>
    <row r="339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</row>
    <row r="340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</row>
    <row r="341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</row>
    <row r="342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</row>
    <row r="343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</row>
    <row r="344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</row>
    <row r="345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</row>
    <row r="34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</row>
    <row r="347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</row>
    <row r="348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</row>
    <row r="349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</row>
    <row r="350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</row>
    <row r="351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</row>
    <row r="352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</row>
    <row r="353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</row>
    <row r="354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</row>
    <row r="355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</row>
    <row r="35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</row>
    <row r="357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</row>
    <row r="358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</row>
    <row r="359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</row>
    <row r="360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</row>
    <row r="361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</row>
    <row r="362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</row>
    <row r="363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</row>
    <row r="364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</row>
    <row r="365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</row>
    <row r="36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</row>
    <row r="367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</row>
    <row r="368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</row>
    <row r="369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</row>
    <row r="370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</row>
    <row r="371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</row>
    <row r="372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</row>
    <row r="373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</row>
    <row r="374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</row>
    <row r="375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</row>
    <row r="37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</row>
    <row r="377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</row>
    <row r="378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</row>
    <row r="379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</row>
    <row r="380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</row>
    <row r="381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</row>
    <row r="382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</row>
    <row r="383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</row>
    <row r="384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</row>
    <row r="385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</row>
    <row r="38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</row>
    <row r="387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</row>
    <row r="388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</row>
    <row r="389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</row>
    <row r="390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</row>
    <row r="391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</row>
    <row r="392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</row>
    <row r="393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</row>
    <row r="394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</row>
    <row r="395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</row>
    <row r="39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</row>
    <row r="397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</row>
    <row r="398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</row>
    <row r="399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</row>
    <row r="400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</row>
    <row r="401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</row>
    <row r="402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</row>
    <row r="403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</row>
    <row r="404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</row>
    <row r="405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</row>
    <row r="40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</row>
    <row r="407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</row>
    <row r="408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</row>
    <row r="409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</row>
    <row r="410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</row>
    <row r="411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</row>
    <row r="412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</row>
    <row r="413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</row>
    <row r="414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</row>
    <row r="415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</row>
    <row r="41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</row>
    <row r="417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</row>
    <row r="418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</row>
    <row r="419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</row>
    <row r="420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</row>
    <row r="421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</row>
    <row r="422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</row>
    <row r="423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</row>
    <row r="424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</row>
    <row r="425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</row>
    <row r="4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</row>
    <row r="427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</row>
    <row r="428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</row>
    <row r="429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</row>
    <row r="430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</row>
    <row r="431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</row>
    <row r="432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</row>
    <row r="433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</row>
    <row r="434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</row>
    <row r="435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</row>
    <row r="43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</row>
    <row r="437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</row>
    <row r="438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</row>
    <row r="439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</row>
    <row r="440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</row>
    <row r="441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</row>
    <row r="442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</row>
    <row r="443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</row>
    <row r="444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</row>
    <row r="445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</row>
    <row r="44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</row>
    <row r="447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</row>
    <row r="448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</row>
    <row r="449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</row>
    <row r="450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</row>
    <row r="451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</row>
    <row r="452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</row>
    <row r="453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</row>
    <row r="454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</row>
    <row r="455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</row>
    <row r="45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</row>
    <row r="457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</row>
    <row r="458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</row>
    <row r="459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</row>
    <row r="460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</row>
    <row r="461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</row>
    <row r="462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</row>
    <row r="463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</row>
    <row r="464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</row>
    <row r="465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</row>
    <row r="46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</row>
    <row r="467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</row>
    <row r="468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</row>
    <row r="469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</row>
    <row r="470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</row>
    <row r="471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</row>
    <row r="472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</row>
    <row r="473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</row>
    <row r="474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</row>
    <row r="475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</row>
    <row r="47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</row>
    <row r="477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</row>
    <row r="478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</row>
    <row r="479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</row>
    <row r="480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</row>
    <row r="481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</row>
    <row r="482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</row>
    <row r="483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</row>
    <row r="484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</row>
    <row r="485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</row>
    <row r="48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</row>
    <row r="487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</row>
    <row r="488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</row>
    <row r="489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</row>
    <row r="490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</row>
    <row r="491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</row>
    <row r="492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</row>
    <row r="493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</row>
    <row r="494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</row>
    <row r="495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</row>
    <row r="49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</row>
    <row r="497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</row>
    <row r="498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</row>
    <row r="499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</row>
    <row r="500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</row>
    <row r="501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</row>
    <row r="502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</row>
    <row r="503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</row>
    <row r="504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</row>
    <row r="505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</row>
    <row r="50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</row>
    <row r="507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</row>
    <row r="508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</row>
    <row r="509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</row>
    <row r="510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</row>
    <row r="511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</row>
    <row r="512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</row>
    <row r="513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</row>
    <row r="514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</row>
    <row r="515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</row>
    <row r="51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</row>
    <row r="517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</row>
    <row r="518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</row>
    <row r="519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</row>
    <row r="520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</row>
    <row r="521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</row>
    <row r="522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</row>
    <row r="523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</row>
    <row r="524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</row>
    <row r="525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</row>
    <row r="5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</row>
    <row r="527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</row>
    <row r="528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</row>
    <row r="529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</row>
    <row r="530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</row>
    <row r="531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</row>
    <row r="532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</row>
    <row r="533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</row>
    <row r="534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</row>
    <row r="535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</row>
    <row r="53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</row>
    <row r="537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</row>
    <row r="538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</row>
    <row r="539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</row>
    <row r="540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</row>
    <row r="541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</row>
    <row r="542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</row>
    <row r="543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</row>
    <row r="544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</row>
    <row r="545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</row>
    <row r="54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</row>
    <row r="547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</row>
    <row r="548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</row>
    <row r="549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</row>
    <row r="550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</row>
    <row r="551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</row>
    <row r="552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</row>
    <row r="553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</row>
    <row r="554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</row>
    <row r="555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</row>
    <row r="55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</row>
    <row r="557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</row>
    <row r="558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</row>
    <row r="559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</row>
    <row r="560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</row>
    <row r="561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</row>
    <row r="562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</row>
    <row r="563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</row>
    <row r="564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</row>
    <row r="565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</row>
    <row r="56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</row>
    <row r="567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</row>
    <row r="568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</row>
    <row r="569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</row>
    <row r="570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</row>
    <row r="571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</row>
    <row r="572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</row>
    <row r="573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</row>
    <row r="574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</row>
    <row r="575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</row>
    <row r="57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</row>
    <row r="577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</row>
    <row r="578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</row>
    <row r="579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</row>
    <row r="580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</row>
    <row r="581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</row>
    <row r="582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</row>
    <row r="583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</row>
    <row r="584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</row>
    <row r="585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</row>
    <row r="58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</row>
    <row r="587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</row>
    <row r="588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</row>
    <row r="589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</row>
    <row r="590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</row>
    <row r="591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</row>
    <row r="592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</row>
    <row r="593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</row>
    <row r="594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</row>
    <row r="595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</row>
    <row r="59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</row>
    <row r="597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</row>
    <row r="598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</row>
    <row r="599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</row>
    <row r="600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</row>
    <row r="601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</row>
    <row r="602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</row>
    <row r="603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</row>
    <row r="604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</row>
    <row r="605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</row>
    <row r="60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</row>
    <row r="607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</row>
    <row r="608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</row>
    <row r="609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</row>
    <row r="610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</row>
    <row r="611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</row>
    <row r="612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</row>
    <row r="613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</row>
    <row r="614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</row>
    <row r="615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</row>
    <row r="61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</row>
    <row r="617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</row>
    <row r="618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</row>
    <row r="619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</row>
    <row r="620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</row>
    <row r="621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</row>
    <row r="622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</row>
    <row r="623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</row>
    <row r="624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</row>
    <row r="625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</row>
    <row r="6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</row>
    <row r="627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</row>
    <row r="628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</row>
    <row r="629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</row>
    <row r="630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</row>
    <row r="631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</row>
    <row r="632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</row>
    <row r="633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</row>
    <row r="634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</row>
    <row r="635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</row>
    <row r="63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</row>
    <row r="637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</row>
    <row r="638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</row>
    <row r="639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</row>
    <row r="640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</row>
    <row r="641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</row>
    <row r="642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</row>
    <row r="643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</row>
    <row r="644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</row>
    <row r="645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</row>
    <row r="64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</row>
    <row r="647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</row>
    <row r="648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</row>
    <row r="649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</row>
    <row r="650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</row>
    <row r="651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</row>
    <row r="652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</row>
    <row r="653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</row>
    <row r="654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</row>
    <row r="655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</row>
    <row r="65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</row>
    <row r="657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</row>
    <row r="658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</row>
    <row r="659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</row>
    <row r="660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</row>
    <row r="661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</row>
    <row r="662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</row>
    <row r="663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</row>
    <row r="664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</row>
    <row r="665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</row>
    <row r="66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</row>
    <row r="667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</row>
    <row r="668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</row>
    <row r="669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</row>
    <row r="670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</row>
    <row r="671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</row>
    <row r="672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</row>
    <row r="673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</row>
    <row r="674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</row>
    <row r="675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</row>
    <row r="67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</row>
    <row r="677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</row>
    <row r="678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</row>
    <row r="679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</row>
    <row r="680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</row>
    <row r="681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</row>
    <row r="682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</row>
    <row r="683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</row>
    <row r="684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</row>
    <row r="685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</row>
    <row r="68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</row>
    <row r="687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</row>
    <row r="688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</row>
    <row r="689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</row>
    <row r="690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</row>
    <row r="691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</row>
    <row r="692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</row>
    <row r="693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</row>
    <row r="694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</row>
    <row r="695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</row>
    <row r="69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</row>
    <row r="697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</row>
    <row r="698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</row>
    <row r="699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</row>
    <row r="700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</row>
    <row r="701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</row>
    <row r="702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</row>
    <row r="703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</row>
    <row r="704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</row>
    <row r="705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</row>
    <row r="70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</row>
    <row r="707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</row>
    <row r="708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</row>
    <row r="709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</row>
    <row r="710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</row>
    <row r="711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</row>
    <row r="712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</row>
    <row r="713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</row>
    <row r="714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</row>
    <row r="715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</row>
    <row r="71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</row>
    <row r="717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</row>
    <row r="718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</row>
    <row r="719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</row>
    <row r="720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</row>
    <row r="721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</row>
    <row r="722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</row>
    <row r="723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</row>
    <row r="724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</row>
    <row r="725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</row>
    <row r="7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</row>
    <row r="727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</row>
    <row r="728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</row>
    <row r="729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</row>
    <row r="730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</row>
    <row r="731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</row>
    <row r="732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</row>
    <row r="733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</row>
    <row r="734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</row>
    <row r="735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</row>
    <row r="73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</row>
    <row r="737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</row>
    <row r="738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</row>
    <row r="739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</row>
    <row r="740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</row>
    <row r="741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</row>
    <row r="742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</row>
    <row r="743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</row>
    <row r="744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</row>
    <row r="745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</row>
    <row r="74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</row>
    <row r="747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</row>
    <row r="748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</row>
    <row r="749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</row>
    <row r="750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</row>
    <row r="751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</row>
    <row r="752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</row>
    <row r="753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</row>
    <row r="754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</row>
    <row r="755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</row>
    <row r="75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</row>
    <row r="757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</row>
    <row r="758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</row>
    <row r="759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</row>
    <row r="760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</row>
    <row r="761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</row>
    <row r="762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</row>
    <row r="763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</row>
    <row r="764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</row>
    <row r="765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</row>
    <row r="76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</row>
    <row r="767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</row>
    <row r="768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</row>
    <row r="769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</row>
    <row r="770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</row>
    <row r="771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</row>
    <row r="772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</row>
    <row r="773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</row>
    <row r="774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</row>
    <row r="775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</row>
    <row r="77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</row>
    <row r="777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</row>
    <row r="778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</row>
    <row r="779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</row>
    <row r="780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</row>
    <row r="781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</row>
    <row r="782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</row>
    <row r="783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</row>
    <row r="784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</row>
    <row r="785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</row>
    <row r="78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</row>
    <row r="787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</row>
    <row r="788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</row>
    <row r="789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</row>
    <row r="790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</row>
    <row r="791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</row>
    <row r="792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</row>
    <row r="793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</row>
    <row r="794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</row>
    <row r="795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</row>
    <row r="79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</row>
    <row r="797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</row>
    <row r="798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</row>
    <row r="799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</row>
    <row r="800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</row>
    <row r="801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</row>
    <row r="802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</row>
    <row r="803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</row>
    <row r="804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</row>
    <row r="805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</row>
    <row r="80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</row>
    <row r="807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</row>
    <row r="808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</row>
    <row r="809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</row>
    <row r="810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</row>
    <row r="811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</row>
    <row r="812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</row>
    <row r="813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</row>
    <row r="814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</row>
    <row r="815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</row>
    <row r="81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</row>
    <row r="817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</row>
    <row r="818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</row>
    <row r="819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</row>
    <row r="820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</row>
    <row r="821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</row>
    <row r="822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</row>
    <row r="823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</row>
    <row r="824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</row>
    <row r="825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</row>
    <row r="8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</row>
    <row r="827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</row>
    <row r="828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</row>
    <row r="829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</row>
    <row r="830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</row>
    <row r="831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</row>
    <row r="832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</row>
    <row r="833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</row>
    <row r="834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</row>
    <row r="835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</row>
    <row r="83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</row>
    <row r="837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</row>
    <row r="838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</row>
    <row r="839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</row>
    <row r="840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</row>
    <row r="841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</row>
    <row r="842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</row>
    <row r="843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</row>
    <row r="844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</row>
    <row r="845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</row>
    <row r="84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</row>
    <row r="847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</row>
    <row r="848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</row>
    <row r="849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</row>
    <row r="850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</row>
    <row r="851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</row>
    <row r="852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</row>
    <row r="853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</row>
    <row r="854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</row>
    <row r="855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</row>
    <row r="85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</row>
    <row r="857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</row>
    <row r="858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</row>
    <row r="859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</row>
    <row r="860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</row>
    <row r="861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</row>
    <row r="862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</row>
    <row r="863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</row>
    <row r="864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</row>
    <row r="865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</row>
    <row r="86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</row>
    <row r="867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</row>
    <row r="868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</row>
    <row r="869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</row>
    <row r="870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</row>
    <row r="871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</row>
    <row r="872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</row>
    <row r="873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</row>
    <row r="874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</row>
    <row r="875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</row>
    <row r="87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</row>
    <row r="877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</row>
    <row r="878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</row>
    <row r="879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</row>
    <row r="880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</row>
    <row r="881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</row>
    <row r="882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</row>
    <row r="883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</row>
    <row r="884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</row>
    <row r="885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</row>
    <row r="88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</row>
    <row r="887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</row>
    <row r="888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</row>
    <row r="889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</row>
    <row r="890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</row>
    <row r="891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</row>
    <row r="892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</row>
    <row r="893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</row>
    <row r="894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</row>
    <row r="895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</row>
    <row r="89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</row>
    <row r="897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</row>
    <row r="898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</row>
    <row r="899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</row>
    <row r="900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</row>
    <row r="901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</row>
    <row r="902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</row>
    <row r="903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</row>
    <row r="904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</row>
    <row r="905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</row>
    <row r="90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</row>
    <row r="907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</row>
    <row r="908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</row>
    <row r="909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</row>
    <row r="910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</row>
    <row r="911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</row>
    <row r="912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</row>
    <row r="913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</row>
    <row r="914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</row>
    <row r="915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</row>
    <row r="91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</row>
    <row r="917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</row>
    <row r="918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</row>
    <row r="919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</row>
    <row r="920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</row>
    <row r="921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</row>
    <row r="922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</row>
    <row r="923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</row>
    <row r="924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</row>
    <row r="925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</row>
    <row r="9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</row>
    <row r="927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</row>
    <row r="928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</row>
    <row r="929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</row>
    <row r="930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</row>
    <row r="931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</row>
    <row r="932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</row>
    <row r="933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</row>
    <row r="934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</row>
    <row r="935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</row>
    <row r="93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</row>
    <row r="937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</row>
    <row r="938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</row>
    <row r="939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</row>
    <row r="940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</row>
    <row r="941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</row>
    <row r="942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</row>
    <row r="943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</row>
    <row r="944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</row>
    <row r="945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</row>
    <row r="94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</row>
    <row r="947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</row>
    <row r="948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</row>
    <row r="949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</row>
    <row r="950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</row>
    <row r="951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</row>
    <row r="952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</row>
    <row r="953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</row>
    <row r="954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</row>
    <row r="955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</row>
    <row r="95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</row>
    <row r="957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</row>
    <row r="958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</row>
    <row r="959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</row>
    <row r="960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</row>
    <row r="961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</row>
    <row r="962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</row>
    <row r="963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</row>
    <row r="964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</row>
    <row r="965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</row>
    <row r="96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</row>
    <row r="967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</row>
    <row r="968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</row>
    <row r="969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</row>
    <row r="970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</row>
    <row r="971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</row>
    <row r="972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</row>
    <row r="973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</row>
    <row r="974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</row>
    <row r="975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</row>
    <row r="97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</row>
    <row r="977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</row>
    <row r="978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</row>
    <row r="979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</row>
    <row r="980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</row>
    <row r="981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</row>
    <row r="982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</row>
    <row r="983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</row>
    <row r="984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</row>
    <row r="985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</row>
    <row r="98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</row>
    <row r="987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</row>
    <row r="988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</row>
    <row r="989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</row>
    <row r="990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</row>
    <row r="991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</row>
    <row r="992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</row>
    <row r="993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</row>
    <row r="994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</row>
    <row r="995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</row>
    <row r="996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</row>
    <row r="997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</row>
    <row r="998" ht="13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</row>
    <row r="999" ht="13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</row>
    <row r="1000" ht="13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</row>
  </sheetData>
  <conditionalFormatting sqref="S12:S13">
    <cfRule type="expression" dxfId="0" priority="1">
      <formula>AND(NOT(ISFORMULA(S12)),ISNUMBER(S12))</formula>
    </cfRule>
  </conditionalFormatting>
  <conditionalFormatting sqref="S15">
    <cfRule type="expression" dxfId="0" priority="2">
      <formula>AND(NOT(ISFORMULA(S15)),ISNUMBER(S15))</formula>
    </cfRule>
  </conditionalFormatting>
  <conditionalFormatting sqref="S19:S22">
    <cfRule type="expression" dxfId="0" priority="3">
      <formula>AND(NOT(ISFORMULA(S19)),ISNUMBER(S19))</formula>
    </cfRule>
  </conditionalFormatting>
  <conditionalFormatting sqref="S24:S26">
    <cfRule type="expression" dxfId="0" priority="4">
      <formula>AND(NOT(ISFORMULA(S24)),ISNUMBER(S24))</formula>
    </cfRule>
  </conditionalFormatting>
  <conditionalFormatting sqref="S28:S31">
    <cfRule type="expression" dxfId="0" priority="5">
      <formula>AND(NOT(ISFORMULA(S28)),ISNUMBER(S28))</formula>
    </cfRule>
  </conditionalFormatting>
  <conditionalFormatting sqref="S38:S42">
    <cfRule type="expression" dxfId="0" priority="6">
      <formula>AND(NOT(ISFORMULA(S38)),ISNUMBER(S38))</formula>
    </cfRule>
  </conditionalFormatting>
  <conditionalFormatting sqref="S44:S50">
    <cfRule type="expression" dxfId="0" priority="7">
      <formula>AND(NOT(ISFORMULA(S44)),ISNUMBER(S44))</formula>
    </cfRule>
  </conditionalFormatting>
  <conditionalFormatting sqref="S58:S60">
    <cfRule type="expression" dxfId="0" priority="8">
      <formula>AND(NOT(ISFORMULA(S58)),ISNUMBER(S58))</formula>
    </cfRule>
  </conditionalFormatting>
  <conditionalFormatting sqref="S62">
    <cfRule type="expression" dxfId="0" priority="9">
      <formula>AND(NOT(ISFORMULA(S62)),ISNUMBER(S62))</formula>
    </cfRule>
  </conditionalFormatting>
  <conditionalFormatting sqref="S70:S72">
    <cfRule type="expression" dxfId="0" priority="10">
      <formula>AND(NOT(ISFORMULA(S70)),ISNUMBER(S70))</formula>
    </cfRule>
  </conditionalFormatting>
  <conditionalFormatting sqref="S74:S80">
    <cfRule type="expression" dxfId="0" priority="11">
      <formula>AND(NOT(ISFORMULA(S74)),ISNUMBER(S74))</formula>
    </cfRule>
  </conditionalFormatting>
  <conditionalFormatting sqref="S82:S86">
    <cfRule type="expression" dxfId="0" priority="12">
      <formula>AND(NOT(ISFORMULA(S82)),ISNUMBER(S82))</formula>
    </cfRule>
  </conditionalFormatting>
  <conditionalFormatting sqref="S88:S115">
    <cfRule type="expression" dxfId="0" priority="13">
      <formula>AND(NOT(ISFORMULA(S88)),ISNUMBER(S88))</formula>
    </cfRule>
  </conditionalFormatting>
  <conditionalFormatting sqref="S120:S121">
    <cfRule type="expression" dxfId="0" priority="14">
      <formula>AND(NOT(ISFORMULA(S120)),ISNUMBER(S120))</formula>
    </cfRule>
  </conditionalFormatting>
  <conditionalFormatting sqref="S124:S129">
    <cfRule type="expression" dxfId="0" priority="15">
      <formula>AND(NOT(ISFORMULA(S124)),ISNUMBER(S124))</formula>
    </cfRule>
  </conditionalFormatting>
  <dataValidations>
    <dataValidation type="decimal" allowBlank="1" showInputMessage="1" showErrorMessage="1" prompt="Numbers only - Please enter a number (no text)." sqref="S12:AF13 S15:AF15 S19:AF22 S24:AF26 S28:AF31 S38:AF42 S44:AF50 S58:AF60 S62:AF62 S70:AF72 S74:AF80 S82:AF86 S88:AF115 S120:AF121 S124:AF129">
      <formula1>-1.0E15</formula1>
      <formula2>1.0E15</formula2>
    </dataValidation>
    <dataValidation type="list" allowBlank="1" showErrorMessage="1" sqref="R12:R13 R15 R19:R22 R24:R26 R28:R31 R38:R42 R44:R50 R58:R60 R62 R70:R72 R74:R80 R82:R86 R88:R115 R120:R121 R124:R129">
      <formula1>"Even,YOY Growth,Manual"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3E5A1"/>
    <pageSetUpPr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 outlineLevelCol="1"/>
  <cols>
    <col customWidth="1" min="1" max="1" width="54.71"/>
    <col customWidth="1" min="2" max="13" width="11.29" outlineLevel="1"/>
    <col customWidth="1" min="14" max="14" width="14.29"/>
    <col customWidth="1" min="15" max="15" width="12.71"/>
    <col customWidth="1" min="16" max="17" width="7.57"/>
    <col customWidth="1" min="18" max="18" width="15.0"/>
    <col customWidth="1" min="19" max="19" width="13.71"/>
    <col customWidth="1" min="20" max="20" width="12.71"/>
    <col customWidth="1" min="21" max="32" width="11.29" outlineLevel="1"/>
    <col customWidth="1" min="33" max="33" width="14.29"/>
    <col customWidth="1" min="34" max="34" width="12.71"/>
    <col customWidth="1" min="35" max="35" width="7.43"/>
    <col customWidth="1" min="36" max="36" width="13.14"/>
  </cols>
  <sheetData>
    <row r="1" ht="13.5" customHeight="1">
      <c r="A1" s="2" t="s">
        <v>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4"/>
      <c r="AH1" s="4"/>
      <c r="AI1" s="4"/>
      <c r="AJ1" s="4"/>
    </row>
    <row r="2" ht="13.5" customHeight="1">
      <c r="A2" s="7" t="s">
        <v>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4"/>
      <c r="AH2" s="4"/>
      <c r="AI2" s="4"/>
      <c r="AJ2" s="4"/>
    </row>
    <row r="3" ht="13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ht="13.5" customHeight="1">
      <c r="A4" s="9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13.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4"/>
      <c r="AH5" s="4"/>
      <c r="AI5" s="4"/>
      <c r="AJ5" s="4"/>
    </row>
    <row r="6" ht="13.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13.5" customHeight="1">
      <c r="A7" s="11"/>
      <c r="B7" s="12" t="s">
        <v>5</v>
      </c>
      <c r="C7" s="12" t="s">
        <v>5</v>
      </c>
      <c r="D7" s="12" t="s">
        <v>5</v>
      </c>
      <c r="E7" s="12" t="s">
        <v>5</v>
      </c>
      <c r="F7" s="12" t="s">
        <v>5</v>
      </c>
      <c r="G7" s="12" t="s">
        <v>5</v>
      </c>
      <c r="H7" s="12" t="s">
        <v>5</v>
      </c>
      <c r="I7" s="12" t="s">
        <v>5</v>
      </c>
      <c r="J7" s="13" t="s">
        <v>6</v>
      </c>
      <c r="K7" s="13" t="s">
        <v>6</v>
      </c>
      <c r="L7" s="13" t="s">
        <v>6</v>
      </c>
      <c r="M7" s="13" t="s">
        <v>6</v>
      </c>
      <c r="N7" s="13" t="s">
        <v>6</v>
      </c>
      <c r="O7" s="13" t="s">
        <v>6</v>
      </c>
      <c r="P7" s="4"/>
      <c r="Q7" s="4"/>
      <c r="R7" s="15"/>
      <c r="S7" s="16" t="s">
        <v>8</v>
      </c>
      <c r="T7" s="16" t="s">
        <v>9</v>
      </c>
      <c r="U7" s="14" t="s">
        <v>7</v>
      </c>
      <c r="V7" s="14" t="s">
        <v>7</v>
      </c>
      <c r="W7" s="14" t="s">
        <v>7</v>
      </c>
      <c r="X7" s="14" t="s">
        <v>7</v>
      </c>
      <c r="Y7" s="14" t="s">
        <v>7</v>
      </c>
      <c r="Z7" s="14" t="s">
        <v>7</v>
      </c>
      <c r="AA7" s="14" t="s">
        <v>7</v>
      </c>
      <c r="AB7" s="14" t="s">
        <v>7</v>
      </c>
      <c r="AC7" s="14" t="s">
        <v>7</v>
      </c>
      <c r="AD7" s="14" t="s">
        <v>7</v>
      </c>
      <c r="AE7" s="14" t="s">
        <v>7</v>
      </c>
      <c r="AF7" s="14" t="s">
        <v>7</v>
      </c>
      <c r="AG7" s="14" t="s">
        <v>7</v>
      </c>
      <c r="AH7" s="14" t="s">
        <v>7</v>
      </c>
      <c r="AI7" s="20" t="s">
        <v>24</v>
      </c>
      <c r="AJ7" s="17" t="s">
        <v>9</v>
      </c>
    </row>
    <row r="8" ht="13.5" customHeight="1">
      <c r="A8" s="11" t="s">
        <v>10</v>
      </c>
      <c r="B8" s="18" t="s">
        <v>11</v>
      </c>
      <c r="C8" s="18" t="s">
        <v>12</v>
      </c>
      <c r="D8" s="18" t="s">
        <v>13</v>
      </c>
      <c r="E8" s="18" t="s">
        <v>14</v>
      </c>
      <c r="F8" s="18" t="s">
        <v>15</v>
      </c>
      <c r="G8" s="18" t="s">
        <v>16</v>
      </c>
      <c r="H8" s="18" t="s">
        <v>17</v>
      </c>
      <c r="I8" s="18" t="s">
        <v>18</v>
      </c>
      <c r="J8" s="18" t="s">
        <v>19</v>
      </c>
      <c r="K8" s="18" t="s">
        <v>20</v>
      </c>
      <c r="L8" s="18" t="s">
        <v>21</v>
      </c>
      <c r="M8" s="18" t="s">
        <v>22</v>
      </c>
      <c r="N8" s="12">
        <v>2026.0</v>
      </c>
      <c r="O8" s="12" t="s">
        <v>23</v>
      </c>
      <c r="P8" s="4"/>
      <c r="Q8" s="4"/>
      <c r="R8" s="15" t="s">
        <v>27</v>
      </c>
      <c r="S8" s="16" t="s">
        <v>28</v>
      </c>
      <c r="T8" s="16" t="s">
        <v>29</v>
      </c>
      <c r="U8" s="19" t="s">
        <v>11</v>
      </c>
      <c r="V8" s="19" t="s">
        <v>12</v>
      </c>
      <c r="W8" s="19" t="s">
        <v>13</v>
      </c>
      <c r="X8" s="19" t="s">
        <v>14</v>
      </c>
      <c r="Y8" s="19" t="s">
        <v>15</v>
      </c>
      <c r="Z8" s="19" t="s">
        <v>16</v>
      </c>
      <c r="AA8" s="19" t="s">
        <v>17</v>
      </c>
      <c r="AB8" s="19" t="s">
        <v>18</v>
      </c>
      <c r="AC8" s="19" t="s">
        <v>19</v>
      </c>
      <c r="AD8" s="19" t="s">
        <v>20</v>
      </c>
      <c r="AE8" s="19" t="s">
        <v>21</v>
      </c>
      <c r="AF8" s="19" t="s">
        <v>22</v>
      </c>
      <c r="AG8" s="21" t="s">
        <v>25</v>
      </c>
      <c r="AH8" s="14" t="s">
        <v>23</v>
      </c>
      <c r="AI8" s="4"/>
      <c r="AJ8" s="22" t="s">
        <v>26</v>
      </c>
    </row>
    <row r="9" ht="13.5" customHeight="1">
      <c r="A9" s="23" t="s">
        <v>30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4"/>
      <c r="AI9" s="4"/>
      <c r="AJ9" s="4"/>
    </row>
    <row r="10" ht="13.5" customHeight="1">
      <c r="A10" s="24" t="s">
        <v>31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4"/>
      <c r="AI10" s="4"/>
      <c r="AJ10" s="4"/>
    </row>
    <row r="11" ht="13.5" customHeight="1">
      <c r="A11" s="24" t="s">
        <v>32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4"/>
      <c r="AI11" s="4"/>
      <c r="AJ11" s="4"/>
    </row>
    <row r="12" ht="13.5" customHeight="1">
      <c r="A12" s="25" t="s">
        <v>33</v>
      </c>
      <c r="B12" s="5">
        <v>534716.78</v>
      </c>
      <c r="C12" s="5">
        <v>494949.28</v>
      </c>
      <c r="D12" s="5">
        <v>468603.55</v>
      </c>
      <c r="E12" s="5">
        <v>481426.2</v>
      </c>
      <c r="F12" s="5">
        <v>501668.11</v>
      </c>
      <c r="G12" s="5">
        <v>473687.43</v>
      </c>
      <c r="H12" s="5">
        <v>454042.16</v>
      </c>
      <c r="I12" s="5">
        <v>467055.56</v>
      </c>
      <c r="J12" s="27">
        <v>531107.3333333333</v>
      </c>
      <c r="K12" s="27">
        <v>626940.6666666666</v>
      </c>
      <c r="L12" s="27">
        <v>651940.6666666666</v>
      </c>
      <c r="M12" s="27">
        <v>676940.6666666666</v>
      </c>
      <c r="N12" s="5">
        <f t="shared" ref="N12:N16" si="2">SUM(B12:M12)</f>
        <v>6363078.403</v>
      </c>
      <c r="O12" s="28">
        <f t="shared" ref="O12:O13" si="3">IFERROR(N12/N$16,"")</f>
        <v>0.8571026698</v>
      </c>
      <c r="P12" s="5"/>
      <c r="Q12" s="5"/>
      <c r="R12" s="29" t="s">
        <v>34</v>
      </c>
      <c r="S12" s="30"/>
      <c r="T12" s="31">
        <v>0.05</v>
      </c>
      <c r="U12" s="26">
        <f t="shared" ref="U12:AF12" si="1">IF($R12="Manual","",IFERROR(IF($R12="YOY Growth",$N12*(1+$T12)/12,$S12/12),""))</f>
        <v>0</v>
      </c>
      <c r="V12" s="26">
        <f t="shared" si="1"/>
        <v>0</v>
      </c>
      <c r="W12" s="26">
        <f t="shared" si="1"/>
        <v>0</v>
      </c>
      <c r="X12" s="26">
        <f t="shared" si="1"/>
        <v>0</v>
      </c>
      <c r="Y12" s="26">
        <f t="shared" si="1"/>
        <v>0</v>
      </c>
      <c r="Z12" s="26">
        <f t="shared" si="1"/>
        <v>0</v>
      </c>
      <c r="AA12" s="26">
        <f t="shared" si="1"/>
        <v>0</v>
      </c>
      <c r="AB12" s="26">
        <f t="shared" si="1"/>
        <v>0</v>
      </c>
      <c r="AC12" s="26">
        <f t="shared" si="1"/>
        <v>0</v>
      </c>
      <c r="AD12" s="26">
        <f t="shared" si="1"/>
        <v>0</v>
      </c>
      <c r="AE12" s="26">
        <f t="shared" si="1"/>
        <v>0</v>
      </c>
      <c r="AF12" s="26">
        <f t="shared" si="1"/>
        <v>0</v>
      </c>
      <c r="AG12" s="5">
        <f t="shared" ref="AG12:AG16" si="5">SUM(U12:AF12)</f>
        <v>0</v>
      </c>
      <c r="AH12" s="28" t="str">
        <f t="shared" ref="AH12:AH13" si="6">IFERROR(AG12/AG$16,"")</f>
        <v/>
      </c>
      <c r="AI12" s="4"/>
      <c r="AJ12" s="5">
        <f t="shared" ref="AJ12:AJ16" si="7">AG12-N12</f>
        <v>-6363078.403</v>
      </c>
    </row>
    <row r="13" ht="13.5" customHeight="1">
      <c r="A13" s="25" t="s">
        <v>35</v>
      </c>
      <c r="B13" s="5">
        <v>8277.78</v>
      </c>
      <c r="C13" s="5">
        <v>8277.78</v>
      </c>
      <c r="D13" s="5">
        <v>18277.78</v>
      </c>
      <c r="E13" s="5">
        <v>18277.78</v>
      </c>
      <c r="F13" s="5">
        <v>18277.78</v>
      </c>
      <c r="G13" s="5">
        <v>6055.57</v>
      </c>
      <c r="H13" s="5">
        <v>2166.67</v>
      </c>
      <c r="I13" s="5">
        <v>4250.0</v>
      </c>
      <c r="J13" s="27">
        <v>500.0</v>
      </c>
      <c r="K13" s="27">
        <v>500.0</v>
      </c>
      <c r="L13" s="27">
        <v>500.0</v>
      </c>
      <c r="M13" s="27">
        <v>500.0</v>
      </c>
      <c r="N13" s="5">
        <f t="shared" si="2"/>
        <v>85861.14</v>
      </c>
      <c r="O13" s="28">
        <f t="shared" si="3"/>
        <v>0.0115654417</v>
      </c>
      <c r="P13" s="5"/>
      <c r="Q13" s="5"/>
      <c r="R13" s="29" t="s">
        <v>34</v>
      </c>
      <c r="S13" s="30">
        <v>0.0</v>
      </c>
      <c r="T13" s="31">
        <v>0.05</v>
      </c>
      <c r="U13" s="26">
        <f t="shared" ref="U13:AF13" si="4">IF($R13="Manual","",IFERROR(IF($R13="YOY Growth",$N13*(1+$T13)/12,$S13/12),""))</f>
        <v>0</v>
      </c>
      <c r="V13" s="26">
        <f t="shared" si="4"/>
        <v>0</v>
      </c>
      <c r="W13" s="26">
        <f t="shared" si="4"/>
        <v>0</v>
      </c>
      <c r="X13" s="26">
        <f t="shared" si="4"/>
        <v>0</v>
      </c>
      <c r="Y13" s="26">
        <f t="shared" si="4"/>
        <v>0</v>
      </c>
      <c r="Z13" s="26">
        <f t="shared" si="4"/>
        <v>0</v>
      </c>
      <c r="AA13" s="26">
        <f t="shared" si="4"/>
        <v>0</v>
      </c>
      <c r="AB13" s="26">
        <f t="shared" si="4"/>
        <v>0</v>
      </c>
      <c r="AC13" s="26">
        <f t="shared" si="4"/>
        <v>0</v>
      </c>
      <c r="AD13" s="26">
        <f t="shared" si="4"/>
        <v>0</v>
      </c>
      <c r="AE13" s="26">
        <f t="shared" si="4"/>
        <v>0</v>
      </c>
      <c r="AF13" s="26">
        <f t="shared" si="4"/>
        <v>0</v>
      </c>
      <c r="AG13" s="5">
        <f t="shared" si="5"/>
        <v>0</v>
      </c>
      <c r="AH13" s="28" t="str">
        <f t="shared" si="6"/>
        <v/>
      </c>
      <c r="AI13" s="4"/>
      <c r="AJ13" s="5">
        <f t="shared" si="7"/>
        <v>-85861.14</v>
      </c>
    </row>
    <row r="14" ht="13.5" customHeight="1">
      <c r="A14" s="33" t="s">
        <v>36</v>
      </c>
      <c r="B14" s="34">
        <f t="shared" ref="B14:M14" si="8">SUM(B12:B13)</f>
        <v>542994.56</v>
      </c>
      <c r="C14" s="34">
        <f t="shared" si="8"/>
        <v>503227.06</v>
      </c>
      <c r="D14" s="34">
        <f t="shared" si="8"/>
        <v>486881.33</v>
      </c>
      <c r="E14" s="34">
        <f t="shared" si="8"/>
        <v>499703.98</v>
      </c>
      <c r="F14" s="34">
        <f t="shared" si="8"/>
        <v>519945.89</v>
      </c>
      <c r="G14" s="34">
        <f t="shared" si="8"/>
        <v>479743</v>
      </c>
      <c r="H14" s="34">
        <f t="shared" si="8"/>
        <v>456208.83</v>
      </c>
      <c r="I14" s="34">
        <f t="shared" si="8"/>
        <v>471305.56</v>
      </c>
      <c r="J14" s="34">
        <f t="shared" si="8"/>
        <v>531607.3333</v>
      </c>
      <c r="K14" s="34">
        <f t="shared" si="8"/>
        <v>627440.6667</v>
      </c>
      <c r="L14" s="34">
        <f t="shared" si="8"/>
        <v>652440.6667</v>
      </c>
      <c r="M14" s="34">
        <f t="shared" si="8"/>
        <v>677440.6667</v>
      </c>
      <c r="N14" s="34">
        <f t="shared" si="2"/>
        <v>6448939.543</v>
      </c>
      <c r="O14" s="35">
        <f>SUM(O12:O13)</f>
        <v>0.8686681115</v>
      </c>
      <c r="P14" s="5"/>
      <c r="Q14" s="5"/>
      <c r="R14" s="36"/>
      <c r="S14" s="36"/>
      <c r="T14" s="36"/>
      <c r="U14" s="34">
        <f t="shared" ref="U14:AF14" si="9">SUM(U12:U13)</f>
        <v>0</v>
      </c>
      <c r="V14" s="34">
        <f t="shared" si="9"/>
        <v>0</v>
      </c>
      <c r="W14" s="34">
        <f t="shared" si="9"/>
        <v>0</v>
      </c>
      <c r="X14" s="34">
        <f t="shared" si="9"/>
        <v>0</v>
      </c>
      <c r="Y14" s="34">
        <f t="shared" si="9"/>
        <v>0</v>
      </c>
      <c r="Z14" s="34">
        <f t="shared" si="9"/>
        <v>0</v>
      </c>
      <c r="AA14" s="34">
        <f t="shared" si="9"/>
        <v>0</v>
      </c>
      <c r="AB14" s="34">
        <f t="shared" si="9"/>
        <v>0</v>
      </c>
      <c r="AC14" s="34">
        <f t="shared" si="9"/>
        <v>0</v>
      </c>
      <c r="AD14" s="34">
        <f t="shared" si="9"/>
        <v>0</v>
      </c>
      <c r="AE14" s="34">
        <f t="shared" si="9"/>
        <v>0</v>
      </c>
      <c r="AF14" s="34">
        <f t="shared" si="9"/>
        <v>0</v>
      </c>
      <c r="AG14" s="34">
        <f t="shared" si="5"/>
        <v>0</v>
      </c>
      <c r="AH14" s="35">
        <f>SUM(AH12:AH13)</f>
        <v>0</v>
      </c>
      <c r="AI14" s="4"/>
      <c r="AJ14" s="34">
        <f t="shared" si="7"/>
        <v>-6448939.543</v>
      </c>
    </row>
    <row r="15" ht="13.5" customHeight="1">
      <c r="A15" s="25" t="s">
        <v>37</v>
      </c>
      <c r="B15" s="5">
        <v>0.0</v>
      </c>
      <c r="C15" s="5">
        <v>0.0</v>
      </c>
      <c r="D15" s="5">
        <v>60000.0</v>
      </c>
      <c r="E15" s="5">
        <v>250000.0</v>
      </c>
      <c r="F15" s="5">
        <v>0.0</v>
      </c>
      <c r="G15" s="5">
        <v>0.0</v>
      </c>
      <c r="H15" s="5">
        <v>185000.0</v>
      </c>
      <c r="I15" s="5">
        <v>0.0</v>
      </c>
      <c r="J15" s="27">
        <f t="shared" ref="J15:M15" si="10">720000/6</f>
        <v>120000</v>
      </c>
      <c r="K15" s="27">
        <f t="shared" si="10"/>
        <v>120000</v>
      </c>
      <c r="L15" s="27">
        <f t="shared" si="10"/>
        <v>120000</v>
      </c>
      <c r="M15" s="27">
        <f t="shared" si="10"/>
        <v>120000</v>
      </c>
      <c r="N15" s="5">
        <f t="shared" si="2"/>
        <v>975000</v>
      </c>
      <c r="O15" s="28">
        <f>IFERROR(N15/N$16,"")</f>
        <v>0.1313318885</v>
      </c>
      <c r="P15" s="5"/>
      <c r="Q15" s="5"/>
      <c r="R15" s="29" t="s">
        <v>34</v>
      </c>
      <c r="S15" s="30">
        <v>0.0</v>
      </c>
      <c r="T15" s="31">
        <v>0.05</v>
      </c>
      <c r="U15" s="26">
        <f t="shared" ref="U15:AF15" si="11">IF($R15="Manual","",IFERROR(IF($R15="YOY Growth",$N15*(1+$T15)/12,$S15/12),""))</f>
        <v>0</v>
      </c>
      <c r="V15" s="26">
        <f t="shared" si="11"/>
        <v>0</v>
      </c>
      <c r="W15" s="26">
        <f t="shared" si="11"/>
        <v>0</v>
      </c>
      <c r="X15" s="26">
        <f t="shared" si="11"/>
        <v>0</v>
      </c>
      <c r="Y15" s="26">
        <f t="shared" si="11"/>
        <v>0</v>
      </c>
      <c r="Z15" s="26">
        <f t="shared" si="11"/>
        <v>0</v>
      </c>
      <c r="AA15" s="26">
        <f t="shared" si="11"/>
        <v>0</v>
      </c>
      <c r="AB15" s="26">
        <f t="shared" si="11"/>
        <v>0</v>
      </c>
      <c r="AC15" s="26">
        <f t="shared" si="11"/>
        <v>0</v>
      </c>
      <c r="AD15" s="26">
        <f t="shared" si="11"/>
        <v>0</v>
      </c>
      <c r="AE15" s="26">
        <f t="shared" si="11"/>
        <v>0</v>
      </c>
      <c r="AF15" s="26">
        <f t="shared" si="11"/>
        <v>0</v>
      </c>
      <c r="AG15" s="5">
        <f t="shared" si="5"/>
        <v>0</v>
      </c>
      <c r="AH15" s="28" t="str">
        <f>IFERROR(AG15/AG$16,"")</f>
        <v/>
      </c>
      <c r="AI15" s="4"/>
      <c r="AJ15" s="5">
        <f t="shared" si="7"/>
        <v>-975000</v>
      </c>
    </row>
    <row r="16" ht="13.5" customHeight="1">
      <c r="A16" s="33" t="s">
        <v>38</v>
      </c>
      <c r="B16" s="34">
        <f t="shared" ref="B16:M16" si="12">B14+B15</f>
        <v>542994.56</v>
      </c>
      <c r="C16" s="34">
        <f t="shared" si="12"/>
        <v>503227.06</v>
      </c>
      <c r="D16" s="34">
        <f t="shared" si="12"/>
        <v>546881.33</v>
      </c>
      <c r="E16" s="34">
        <f t="shared" si="12"/>
        <v>749703.98</v>
      </c>
      <c r="F16" s="34">
        <f t="shared" si="12"/>
        <v>519945.89</v>
      </c>
      <c r="G16" s="34">
        <f t="shared" si="12"/>
        <v>479743</v>
      </c>
      <c r="H16" s="34">
        <f t="shared" si="12"/>
        <v>641208.83</v>
      </c>
      <c r="I16" s="34">
        <f t="shared" si="12"/>
        <v>471305.56</v>
      </c>
      <c r="J16" s="34">
        <f t="shared" si="12"/>
        <v>651607.3333</v>
      </c>
      <c r="K16" s="34">
        <f t="shared" si="12"/>
        <v>747440.6667</v>
      </c>
      <c r="L16" s="34">
        <f t="shared" si="12"/>
        <v>772440.6667</v>
      </c>
      <c r="M16" s="34">
        <f t="shared" si="12"/>
        <v>797440.6667</v>
      </c>
      <c r="N16" s="34">
        <f t="shared" si="2"/>
        <v>7423939.543</v>
      </c>
      <c r="O16" s="35">
        <f>SUM(O14:O15)</f>
        <v>1</v>
      </c>
      <c r="P16" s="5"/>
      <c r="Q16" s="5"/>
      <c r="R16" s="36"/>
      <c r="S16" s="36"/>
      <c r="T16" s="36"/>
      <c r="U16" s="34">
        <f t="shared" ref="U16:AF16" si="13">U14+U15</f>
        <v>0</v>
      </c>
      <c r="V16" s="34">
        <f t="shared" si="13"/>
        <v>0</v>
      </c>
      <c r="W16" s="34">
        <f t="shared" si="13"/>
        <v>0</v>
      </c>
      <c r="X16" s="34">
        <f t="shared" si="13"/>
        <v>0</v>
      </c>
      <c r="Y16" s="34">
        <f t="shared" si="13"/>
        <v>0</v>
      </c>
      <c r="Z16" s="34">
        <f t="shared" si="13"/>
        <v>0</v>
      </c>
      <c r="AA16" s="34">
        <f t="shared" si="13"/>
        <v>0</v>
      </c>
      <c r="AB16" s="34">
        <f t="shared" si="13"/>
        <v>0</v>
      </c>
      <c r="AC16" s="34">
        <f t="shared" si="13"/>
        <v>0</v>
      </c>
      <c r="AD16" s="34">
        <f t="shared" si="13"/>
        <v>0</v>
      </c>
      <c r="AE16" s="34">
        <f t="shared" si="13"/>
        <v>0</v>
      </c>
      <c r="AF16" s="34">
        <f t="shared" si="13"/>
        <v>0</v>
      </c>
      <c r="AG16" s="34">
        <f t="shared" si="5"/>
        <v>0</v>
      </c>
      <c r="AH16" s="35">
        <f>SUM(AH14:AH15)</f>
        <v>0</v>
      </c>
      <c r="AI16" s="4"/>
      <c r="AJ16" s="34">
        <f t="shared" si="7"/>
        <v>-7423939.543</v>
      </c>
    </row>
    <row r="17" ht="13.5" customHeight="1">
      <c r="A17" s="24" t="s">
        <v>39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28"/>
      <c r="P17" s="5"/>
      <c r="Q17" s="5"/>
      <c r="R17" s="36"/>
      <c r="S17" s="36"/>
      <c r="T17" s="36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28"/>
      <c r="AI17" s="4"/>
      <c r="AJ17" s="5"/>
    </row>
    <row r="18" ht="13.5" customHeight="1">
      <c r="A18" s="24" t="s">
        <v>40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28"/>
      <c r="P18" s="5"/>
      <c r="Q18" s="5"/>
      <c r="R18" s="36"/>
      <c r="S18" s="36"/>
      <c r="T18" s="36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28"/>
      <c r="AI18" s="4"/>
      <c r="AJ18" s="5"/>
    </row>
    <row r="19" ht="13.5" customHeight="1">
      <c r="A19" s="25" t="s">
        <v>41</v>
      </c>
      <c r="B19" s="5">
        <v>141122.35</v>
      </c>
      <c r="C19" s="5">
        <v>122211.90000000001</v>
      </c>
      <c r="D19" s="5">
        <v>126630.20000000001</v>
      </c>
      <c r="E19" s="5">
        <v>128215.48000000001</v>
      </c>
      <c r="F19" s="5">
        <v>133968.64</v>
      </c>
      <c r="G19" s="5">
        <v>133968.64</v>
      </c>
      <c r="H19" s="5">
        <v>127510.0</v>
      </c>
      <c r="I19" s="5">
        <v>127510.0</v>
      </c>
      <c r="J19" s="27">
        <v>112797.85</v>
      </c>
      <c r="K19" s="27">
        <v>112797.85</v>
      </c>
      <c r="L19" s="27">
        <v>112797.85</v>
      </c>
      <c r="M19" s="27">
        <v>112797.85</v>
      </c>
      <c r="N19" s="5">
        <f t="shared" ref="N19:N22" si="15">SUM(B19:M19)</f>
        <v>1492328.61</v>
      </c>
      <c r="O19" s="28">
        <f t="shared" ref="O19:O22" si="16">IFERROR(N19/N$16,"")</f>
        <v>0.2010157277</v>
      </c>
      <c r="P19" s="5"/>
      <c r="Q19" s="5"/>
      <c r="R19" s="29" t="s">
        <v>34</v>
      </c>
      <c r="S19" s="30">
        <v>0.0</v>
      </c>
      <c r="T19" s="31">
        <v>0.05</v>
      </c>
      <c r="U19" s="26">
        <f t="shared" ref="U19:AF19" si="14">IF($R19="Manual","",IFERROR(IF($R19="YOY Growth",$N19*(1+$T19)/12,$S19/12),""))</f>
        <v>0</v>
      </c>
      <c r="V19" s="26">
        <f t="shared" si="14"/>
        <v>0</v>
      </c>
      <c r="W19" s="26">
        <f t="shared" si="14"/>
        <v>0</v>
      </c>
      <c r="X19" s="26">
        <f t="shared" si="14"/>
        <v>0</v>
      </c>
      <c r="Y19" s="26">
        <f t="shared" si="14"/>
        <v>0</v>
      </c>
      <c r="Z19" s="26">
        <f t="shared" si="14"/>
        <v>0</v>
      </c>
      <c r="AA19" s="26">
        <f t="shared" si="14"/>
        <v>0</v>
      </c>
      <c r="AB19" s="26">
        <f t="shared" si="14"/>
        <v>0</v>
      </c>
      <c r="AC19" s="26">
        <f t="shared" si="14"/>
        <v>0</v>
      </c>
      <c r="AD19" s="26">
        <f t="shared" si="14"/>
        <v>0</v>
      </c>
      <c r="AE19" s="26">
        <f t="shared" si="14"/>
        <v>0</v>
      </c>
      <c r="AF19" s="26">
        <f t="shared" si="14"/>
        <v>0</v>
      </c>
      <c r="AG19" s="5">
        <f t="shared" ref="AG19:AG22" si="18">SUM(U19:AF19)</f>
        <v>0</v>
      </c>
      <c r="AH19" s="28" t="str">
        <f t="shared" ref="AH19:AH22" si="19">IFERROR(AG19/AG$16,"")</f>
        <v/>
      </c>
      <c r="AI19" s="4"/>
      <c r="AJ19" s="5">
        <f t="shared" ref="AJ19:AJ22" si="20">N19-AG19</f>
        <v>1492328.61</v>
      </c>
    </row>
    <row r="20" ht="13.5" customHeight="1">
      <c r="A20" s="25" t="s">
        <v>42</v>
      </c>
      <c r="B20" s="5">
        <v>0.0</v>
      </c>
      <c r="C20" s="5">
        <v>0.0</v>
      </c>
      <c r="D20" s="5">
        <v>1677.96</v>
      </c>
      <c r="E20" s="5">
        <v>3263.24</v>
      </c>
      <c r="F20" s="5">
        <v>3263.24</v>
      </c>
      <c r="G20" s="5">
        <v>11653.04</v>
      </c>
      <c r="H20" s="5">
        <v>7458.139999999999</v>
      </c>
      <c r="I20" s="5">
        <v>9836.06</v>
      </c>
      <c r="J20" s="27">
        <v>8837.757142857143</v>
      </c>
      <c r="K20" s="27">
        <v>15802.042857142858</v>
      </c>
      <c r="L20" s="27">
        <v>18123.47142857143</v>
      </c>
      <c r="M20" s="27">
        <v>20444.9</v>
      </c>
      <c r="N20" s="5">
        <f t="shared" si="15"/>
        <v>100359.8514</v>
      </c>
      <c r="O20" s="28">
        <f t="shared" si="16"/>
        <v>0.01351840904</v>
      </c>
      <c r="P20" s="5"/>
      <c r="Q20" s="5"/>
      <c r="R20" s="29" t="s">
        <v>34</v>
      </c>
      <c r="S20" s="30">
        <v>0.0</v>
      </c>
      <c r="T20" s="31">
        <v>0.05</v>
      </c>
      <c r="U20" s="26">
        <f t="shared" ref="U20:AF20" si="17">IF($R20="Manual","",IFERROR(IF($R20="YOY Growth",$N20*(1+$T20)/12,$S20/12),""))</f>
        <v>0</v>
      </c>
      <c r="V20" s="26">
        <f t="shared" si="17"/>
        <v>0</v>
      </c>
      <c r="W20" s="26">
        <f t="shared" si="17"/>
        <v>0</v>
      </c>
      <c r="X20" s="26">
        <f t="shared" si="17"/>
        <v>0</v>
      </c>
      <c r="Y20" s="26">
        <f t="shared" si="17"/>
        <v>0</v>
      </c>
      <c r="Z20" s="26">
        <f t="shared" si="17"/>
        <v>0</v>
      </c>
      <c r="AA20" s="26">
        <f t="shared" si="17"/>
        <v>0</v>
      </c>
      <c r="AB20" s="26">
        <f t="shared" si="17"/>
        <v>0</v>
      </c>
      <c r="AC20" s="26">
        <f t="shared" si="17"/>
        <v>0</v>
      </c>
      <c r="AD20" s="26">
        <f t="shared" si="17"/>
        <v>0</v>
      </c>
      <c r="AE20" s="26">
        <f t="shared" si="17"/>
        <v>0</v>
      </c>
      <c r="AF20" s="26">
        <f t="shared" si="17"/>
        <v>0</v>
      </c>
      <c r="AG20" s="5">
        <f t="shared" si="18"/>
        <v>0</v>
      </c>
      <c r="AH20" s="28" t="str">
        <f t="shared" si="19"/>
        <v/>
      </c>
      <c r="AI20" s="4"/>
      <c r="AJ20" s="5">
        <f t="shared" si="20"/>
        <v>100359.8514</v>
      </c>
    </row>
    <row r="21" ht="13.5" customHeight="1">
      <c r="A21" s="25" t="s">
        <v>43</v>
      </c>
      <c r="B21" s="5">
        <v>0.0</v>
      </c>
      <c r="C21" s="5">
        <v>0.0</v>
      </c>
      <c r="D21" s="5">
        <v>0.0</v>
      </c>
      <c r="E21" s="5">
        <v>1791.23</v>
      </c>
      <c r="F21" s="5">
        <v>3124.54</v>
      </c>
      <c r="G21" s="5">
        <v>4796.43</v>
      </c>
      <c r="H21" s="5">
        <v>3293.79</v>
      </c>
      <c r="I21" s="5">
        <v>3909.48</v>
      </c>
      <c r="J21" s="27">
        <v>2969.3066666666664</v>
      </c>
      <c r="K21" s="27">
        <v>4902.64</v>
      </c>
      <c r="L21" s="27">
        <v>5702.64</v>
      </c>
      <c r="M21" s="27">
        <v>6502.64</v>
      </c>
      <c r="N21" s="5">
        <f t="shared" si="15"/>
        <v>36992.69667</v>
      </c>
      <c r="O21" s="28">
        <f t="shared" si="16"/>
        <v>0.004982893038</v>
      </c>
      <c r="P21" s="5"/>
      <c r="Q21" s="5"/>
      <c r="R21" s="29" t="s">
        <v>34</v>
      </c>
      <c r="S21" s="30">
        <v>0.0</v>
      </c>
      <c r="T21" s="31">
        <v>0.05</v>
      </c>
      <c r="U21" s="26">
        <f t="shared" ref="U21:AF21" si="21">IF($R21="Manual","",IFERROR(IF($R21="YOY Growth",$N21*(1+$T21)/12,$S21/12),""))</f>
        <v>0</v>
      </c>
      <c r="V21" s="26">
        <f t="shared" si="21"/>
        <v>0</v>
      </c>
      <c r="W21" s="26">
        <f t="shared" si="21"/>
        <v>0</v>
      </c>
      <c r="X21" s="26">
        <f t="shared" si="21"/>
        <v>0</v>
      </c>
      <c r="Y21" s="26">
        <f t="shared" si="21"/>
        <v>0</v>
      </c>
      <c r="Z21" s="26">
        <f t="shared" si="21"/>
        <v>0</v>
      </c>
      <c r="AA21" s="26">
        <f t="shared" si="21"/>
        <v>0</v>
      </c>
      <c r="AB21" s="26">
        <f t="shared" si="21"/>
        <v>0</v>
      </c>
      <c r="AC21" s="26">
        <f t="shared" si="21"/>
        <v>0</v>
      </c>
      <c r="AD21" s="26">
        <f t="shared" si="21"/>
        <v>0</v>
      </c>
      <c r="AE21" s="26">
        <f t="shared" si="21"/>
        <v>0</v>
      </c>
      <c r="AF21" s="26">
        <f t="shared" si="21"/>
        <v>0</v>
      </c>
      <c r="AG21" s="5">
        <f t="shared" si="18"/>
        <v>0</v>
      </c>
      <c r="AH21" s="28" t="str">
        <f t="shared" si="19"/>
        <v/>
      </c>
      <c r="AI21" s="4"/>
      <c r="AJ21" s="5">
        <f t="shared" si="20"/>
        <v>36992.69667</v>
      </c>
    </row>
    <row r="22" ht="13.5" customHeight="1">
      <c r="A22" s="25" t="s">
        <v>44</v>
      </c>
      <c r="B22" s="5">
        <v>8211.9</v>
      </c>
      <c r="C22" s="5">
        <v>10913.63</v>
      </c>
      <c r="D22" s="5">
        <v>10939.43</v>
      </c>
      <c r="E22" s="5">
        <v>13555.74</v>
      </c>
      <c r="F22" s="5">
        <v>13555.75</v>
      </c>
      <c r="G22" s="5">
        <v>13770.42</v>
      </c>
      <c r="H22" s="5">
        <v>8508.95</v>
      </c>
      <c r="I22" s="5">
        <v>8591.56</v>
      </c>
      <c r="J22" s="27">
        <v>14866.996666666666</v>
      </c>
      <c r="K22" s="27">
        <v>17475.33</v>
      </c>
      <c r="L22" s="27">
        <v>18500.33</v>
      </c>
      <c r="M22" s="27">
        <v>19525.33</v>
      </c>
      <c r="N22" s="5">
        <f t="shared" si="15"/>
        <v>158415.3667</v>
      </c>
      <c r="O22" s="28">
        <f t="shared" si="16"/>
        <v>0.02133845053</v>
      </c>
      <c r="P22" s="5"/>
      <c r="Q22" s="5"/>
      <c r="R22" s="29" t="s">
        <v>34</v>
      </c>
      <c r="S22" s="30">
        <v>0.0</v>
      </c>
      <c r="T22" s="31">
        <v>0.05</v>
      </c>
      <c r="U22" s="26">
        <f t="shared" ref="U22:AF22" si="22">IF($R22="Manual","",IFERROR(IF($R22="YOY Growth",$N22*(1+$T22)/12,$S22/12),""))</f>
        <v>0</v>
      </c>
      <c r="V22" s="26">
        <f t="shared" si="22"/>
        <v>0</v>
      </c>
      <c r="W22" s="26">
        <f t="shared" si="22"/>
        <v>0</v>
      </c>
      <c r="X22" s="26">
        <f t="shared" si="22"/>
        <v>0</v>
      </c>
      <c r="Y22" s="26">
        <f t="shared" si="22"/>
        <v>0</v>
      </c>
      <c r="Z22" s="26">
        <f t="shared" si="22"/>
        <v>0</v>
      </c>
      <c r="AA22" s="26">
        <f t="shared" si="22"/>
        <v>0</v>
      </c>
      <c r="AB22" s="26">
        <f t="shared" si="22"/>
        <v>0</v>
      </c>
      <c r="AC22" s="26">
        <f t="shared" si="22"/>
        <v>0</v>
      </c>
      <c r="AD22" s="26">
        <f t="shared" si="22"/>
        <v>0</v>
      </c>
      <c r="AE22" s="26">
        <f t="shared" si="22"/>
        <v>0</v>
      </c>
      <c r="AF22" s="26">
        <f t="shared" si="22"/>
        <v>0</v>
      </c>
      <c r="AG22" s="5">
        <f t="shared" si="18"/>
        <v>0</v>
      </c>
      <c r="AH22" s="28" t="str">
        <f t="shared" si="19"/>
        <v/>
      </c>
      <c r="AI22" s="4"/>
      <c r="AJ22" s="5">
        <f t="shared" si="20"/>
        <v>158415.3667</v>
      </c>
    </row>
    <row r="23" ht="13.5" customHeight="1">
      <c r="A23" s="24" t="s">
        <v>45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28"/>
      <c r="P23" s="5"/>
      <c r="Q23" s="5"/>
      <c r="R23" s="36"/>
      <c r="S23" s="36"/>
      <c r="T23" s="36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28"/>
      <c r="AI23" s="4"/>
      <c r="AJ23" s="5"/>
    </row>
    <row r="24" ht="13.5" customHeight="1">
      <c r="A24" s="25" t="s">
        <v>45</v>
      </c>
      <c r="B24" s="5">
        <v>1994.3</v>
      </c>
      <c r="C24" s="5">
        <v>2984.35</v>
      </c>
      <c r="D24" s="5">
        <v>10270.19</v>
      </c>
      <c r="E24" s="5">
        <v>6439.02</v>
      </c>
      <c r="F24" s="5">
        <v>0.0</v>
      </c>
      <c r="G24" s="5">
        <v>-544.45</v>
      </c>
      <c r="H24" s="5">
        <v>0.0</v>
      </c>
      <c r="I24" s="5">
        <v>93.45</v>
      </c>
      <c r="J24" s="27">
        <v>8800.0</v>
      </c>
      <c r="K24" s="27">
        <v>5400.0</v>
      </c>
      <c r="L24" s="27">
        <v>5400.0</v>
      </c>
      <c r="M24" s="27">
        <v>5400.0</v>
      </c>
      <c r="N24" s="5">
        <f t="shared" ref="N24:N31" si="24">SUM(B24:M24)</f>
        <v>46236.86</v>
      </c>
      <c r="O24" s="28">
        <f t="shared" ref="O24:O31" si="25">IFERROR(N24/N$16,"")</f>
        <v>0.006228076041</v>
      </c>
      <c r="P24" s="5"/>
      <c r="Q24" s="5"/>
      <c r="R24" s="29" t="s">
        <v>34</v>
      </c>
      <c r="S24" s="30">
        <v>0.0</v>
      </c>
      <c r="T24" s="31">
        <v>0.05</v>
      </c>
      <c r="U24" s="26">
        <f t="shared" ref="U24:AF24" si="23">IF($R24="Manual","",IFERROR(IF($R24="YOY Growth",$N24*(1+$T24)/12,$S24/12),""))</f>
        <v>0</v>
      </c>
      <c r="V24" s="26">
        <f t="shared" si="23"/>
        <v>0</v>
      </c>
      <c r="W24" s="26">
        <f t="shared" si="23"/>
        <v>0</v>
      </c>
      <c r="X24" s="26">
        <f t="shared" si="23"/>
        <v>0</v>
      </c>
      <c r="Y24" s="26">
        <f t="shared" si="23"/>
        <v>0</v>
      </c>
      <c r="Z24" s="26">
        <f t="shared" si="23"/>
        <v>0</v>
      </c>
      <c r="AA24" s="26">
        <f t="shared" si="23"/>
        <v>0</v>
      </c>
      <c r="AB24" s="26">
        <f t="shared" si="23"/>
        <v>0</v>
      </c>
      <c r="AC24" s="26">
        <f t="shared" si="23"/>
        <v>0</v>
      </c>
      <c r="AD24" s="26">
        <f t="shared" si="23"/>
        <v>0</v>
      </c>
      <c r="AE24" s="26">
        <f t="shared" si="23"/>
        <v>0</v>
      </c>
      <c r="AF24" s="26">
        <f t="shared" si="23"/>
        <v>0</v>
      </c>
      <c r="AG24" s="5">
        <f t="shared" ref="AG24:AG31" si="27">SUM(U24:AF24)</f>
        <v>0</v>
      </c>
      <c r="AH24" s="28" t="str">
        <f t="shared" ref="AH24:AH31" si="28">IFERROR(AG24/AG$16,"")</f>
        <v/>
      </c>
      <c r="AI24" s="4"/>
      <c r="AJ24" s="5">
        <f t="shared" ref="AJ24:AJ31" si="29">N24-AG24</f>
        <v>46236.86</v>
      </c>
    </row>
    <row r="25" ht="13.5" customHeight="1">
      <c r="A25" s="25" t="s">
        <v>46</v>
      </c>
      <c r="B25" s="5">
        <v>0.0</v>
      </c>
      <c r="C25" s="5">
        <v>250.0</v>
      </c>
      <c r="D25" s="5">
        <v>2122.44</v>
      </c>
      <c r="E25" s="5">
        <v>0.0</v>
      </c>
      <c r="F25" s="5">
        <v>0.0</v>
      </c>
      <c r="G25" s="5">
        <v>-86.24</v>
      </c>
      <c r="H25" s="5">
        <v>0.0</v>
      </c>
      <c r="I25" s="5">
        <v>1638.89</v>
      </c>
      <c r="J25" s="27">
        <v>0.0</v>
      </c>
      <c r="K25" s="27">
        <v>0.0</v>
      </c>
      <c r="L25" s="27">
        <v>0.0</v>
      </c>
      <c r="M25" s="27">
        <v>0.0</v>
      </c>
      <c r="N25" s="5">
        <f t="shared" si="24"/>
        <v>3925.09</v>
      </c>
      <c r="O25" s="28">
        <f t="shared" si="25"/>
        <v>0.0005287071611</v>
      </c>
      <c r="P25" s="5"/>
      <c r="Q25" s="5"/>
      <c r="R25" s="29" t="s">
        <v>34</v>
      </c>
      <c r="S25" s="30">
        <v>0.0</v>
      </c>
      <c r="T25" s="31">
        <v>0.05</v>
      </c>
      <c r="U25" s="26">
        <f t="shared" ref="U25:AF25" si="26">IF($R25="Manual","",IFERROR(IF($R25="YOY Growth",$N25*(1+$T25)/12,$S25/12),""))</f>
        <v>0</v>
      </c>
      <c r="V25" s="26">
        <f t="shared" si="26"/>
        <v>0</v>
      </c>
      <c r="W25" s="26">
        <f t="shared" si="26"/>
        <v>0</v>
      </c>
      <c r="X25" s="26">
        <f t="shared" si="26"/>
        <v>0</v>
      </c>
      <c r="Y25" s="26">
        <f t="shared" si="26"/>
        <v>0</v>
      </c>
      <c r="Z25" s="26">
        <f t="shared" si="26"/>
        <v>0</v>
      </c>
      <c r="AA25" s="26">
        <f t="shared" si="26"/>
        <v>0</v>
      </c>
      <c r="AB25" s="26">
        <f t="shared" si="26"/>
        <v>0</v>
      </c>
      <c r="AC25" s="26">
        <f t="shared" si="26"/>
        <v>0</v>
      </c>
      <c r="AD25" s="26">
        <f t="shared" si="26"/>
        <v>0</v>
      </c>
      <c r="AE25" s="26">
        <f t="shared" si="26"/>
        <v>0</v>
      </c>
      <c r="AF25" s="26">
        <f t="shared" si="26"/>
        <v>0</v>
      </c>
      <c r="AG25" s="5">
        <f t="shared" si="27"/>
        <v>0</v>
      </c>
      <c r="AH25" s="28" t="str">
        <f t="shared" si="28"/>
        <v/>
      </c>
      <c r="AI25" s="4"/>
      <c r="AJ25" s="5">
        <f t="shared" si="29"/>
        <v>3925.09</v>
      </c>
    </row>
    <row r="26" ht="13.5" customHeight="1">
      <c r="A26" s="25" t="s">
        <v>47</v>
      </c>
      <c r="B26" s="5">
        <v>0.0</v>
      </c>
      <c r="C26" s="5">
        <v>85.0</v>
      </c>
      <c r="D26" s="5">
        <v>149.33</v>
      </c>
      <c r="E26" s="5">
        <v>2145.88</v>
      </c>
      <c r="F26" s="5">
        <v>98.2</v>
      </c>
      <c r="G26" s="5">
        <v>-32.02</v>
      </c>
      <c r="H26" s="5">
        <v>852.51</v>
      </c>
      <c r="I26" s="5">
        <v>2935.91</v>
      </c>
      <c r="J26" s="27">
        <v>200.0</v>
      </c>
      <c r="K26" s="27">
        <v>200.0</v>
      </c>
      <c r="L26" s="27">
        <v>200.0</v>
      </c>
      <c r="M26" s="27">
        <v>200.0</v>
      </c>
      <c r="N26" s="5">
        <f t="shared" si="24"/>
        <v>7034.81</v>
      </c>
      <c r="O26" s="28">
        <f t="shared" si="25"/>
        <v>0.0009475844946</v>
      </c>
      <c r="P26" s="5"/>
      <c r="Q26" s="5"/>
      <c r="R26" s="29" t="s">
        <v>34</v>
      </c>
      <c r="S26" s="30">
        <v>0.0</v>
      </c>
      <c r="T26" s="31">
        <v>0.05</v>
      </c>
      <c r="U26" s="26">
        <f t="shared" ref="U26:AF26" si="30">IF($R26="Manual","",IFERROR(IF($R26="YOY Growth",$N26*(1+$T26)/12,$S26/12),""))</f>
        <v>0</v>
      </c>
      <c r="V26" s="26">
        <f t="shared" si="30"/>
        <v>0</v>
      </c>
      <c r="W26" s="26">
        <f t="shared" si="30"/>
        <v>0</v>
      </c>
      <c r="X26" s="26">
        <f t="shared" si="30"/>
        <v>0</v>
      </c>
      <c r="Y26" s="26">
        <f t="shared" si="30"/>
        <v>0</v>
      </c>
      <c r="Z26" s="26">
        <f t="shared" si="30"/>
        <v>0</v>
      </c>
      <c r="AA26" s="26">
        <f t="shared" si="30"/>
        <v>0</v>
      </c>
      <c r="AB26" s="26">
        <f t="shared" si="30"/>
        <v>0</v>
      </c>
      <c r="AC26" s="26">
        <f t="shared" si="30"/>
        <v>0</v>
      </c>
      <c r="AD26" s="26">
        <f t="shared" si="30"/>
        <v>0</v>
      </c>
      <c r="AE26" s="26">
        <f t="shared" si="30"/>
        <v>0</v>
      </c>
      <c r="AF26" s="26">
        <f t="shared" si="30"/>
        <v>0</v>
      </c>
      <c r="AG26" s="5">
        <f t="shared" si="27"/>
        <v>0</v>
      </c>
      <c r="AH26" s="28" t="str">
        <f t="shared" si="28"/>
        <v/>
      </c>
      <c r="AI26" s="4"/>
      <c r="AJ26" s="5">
        <f t="shared" si="29"/>
        <v>7034.81</v>
      </c>
    </row>
    <row r="27" ht="13.5" customHeight="1">
      <c r="A27" s="33" t="s">
        <v>48</v>
      </c>
      <c r="B27" s="34">
        <f t="shared" ref="B27:M27" si="31">SUM(B24:B26)</f>
        <v>1994.3</v>
      </c>
      <c r="C27" s="34">
        <f t="shared" si="31"/>
        <v>3319.35</v>
      </c>
      <c r="D27" s="34">
        <f t="shared" si="31"/>
        <v>12541.96</v>
      </c>
      <c r="E27" s="34">
        <f t="shared" si="31"/>
        <v>8584.9</v>
      </c>
      <c r="F27" s="34">
        <f t="shared" si="31"/>
        <v>98.2</v>
      </c>
      <c r="G27" s="34">
        <f t="shared" si="31"/>
        <v>-662.71</v>
      </c>
      <c r="H27" s="34">
        <f t="shared" si="31"/>
        <v>852.51</v>
      </c>
      <c r="I27" s="34">
        <f t="shared" si="31"/>
        <v>4668.25</v>
      </c>
      <c r="J27" s="34">
        <f t="shared" si="31"/>
        <v>9000</v>
      </c>
      <c r="K27" s="34">
        <f t="shared" si="31"/>
        <v>5600</v>
      </c>
      <c r="L27" s="34">
        <f t="shared" si="31"/>
        <v>5600</v>
      </c>
      <c r="M27" s="34">
        <f t="shared" si="31"/>
        <v>5600</v>
      </c>
      <c r="N27" s="34">
        <f t="shared" si="24"/>
        <v>57196.76</v>
      </c>
      <c r="O27" s="35">
        <f t="shared" si="25"/>
        <v>0.007704367697</v>
      </c>
      <c r="P27" s="5"/>
      <c r="Q27" s="5"/>
      <c r="R27" s="36"/>
      <c r="S27" s="36"/>
      <c r="T27" s="36"/>
      <c r="U27" s="34">
        <f t="shared" ref="U27:AF27" si="32">SUM(U24:U26)</f>
        <v>0</v>
      </c>
      <c r="V27" s="34">
        <f t="shared" si="32"/>
        <v>0</v>
      </c>
      <c r="W27" s="34">
        <f t="shared" si="32"/>
        <v>0</v>
      </c>
      <c r="X27" s="34">
        <f t="shared" si="32"/>
        <v>0</v>
      </c>
      <c r="Y27" s="34">
        <f t="shared" si="32"/>
        <v>0</v>
      </c>
      <c r="Z27" s="34">
        <f t="shared" si="32"/>
        <v>0</v>
      </c>
      <c r="AA27" s="34">
        <f t="shared" si="32"/>
        <v>0</v>
      </c>
      <c r="AB27" s="34">
        <f t="shared" si="32"/>
        <v>0</v>
      </c>
      <c r="AC27" s="34">
        <f t="shared" si="32"/>
        <v>0</v>
      </c>
      <c r="AD27" s="34">
        <f t="shared" si="32"/>
        <v>0</v>
      </c>
      <c r="AE27" s="34">
        <f t="shared" si="32"/>
        <v>0</v>
      </c>
      <c r="AF27" s="34">
        <f t="shared" si="32"/>
        <v>0</v>
      </c>
      <c r="AG27" s="34">
        <f t="shared" si="27"/>
        <v>0</v>
      </c>
      <c r="AH27" s="35" t="str">
        <f t="shared" si="28"/>
        <v/>
      </c>
      <c r="AI27" s="4"/>
      <c r="AJ27" s="34">
        <f t="shared" si="29"/>
        <v>57196.76</v>
      </c>
    </row>
    <row r="28" ht="13.5" customHeight="1">
      <c r="A28" s="25" t="s">
        <v>49</v>
      </c>
      <c r="B28" s="5">
        <v>3083.02</v>
      </c>
      <c r="C28" s="5">
        <v>3250.63</v>
      </c>
      <c r="D28" s="5">
        <v>8171.08</v>
      </c>
      <c r="E28" s="5">
        <v>4055.09</v>
      </c>
      <c r="F28" s="5">
        <v>983.17</v>
      </c>
      <c r="G28" s="5">
        <v>1134.99</v>
      </c>
      <c r="H28" s="5">
        <v>2637.34</v>
      </c>
      <c r="I28" s="5">
        <v>19.97</v>
      </c>
      <c r="J28" s="27">
        <v>6200.0</v>
      </c>
      <c r="K28" s="27">
        <v>4700.0</v>
      </c>
      <c r="L28" s="27">
        <v>4700.0</v>
      </c>
      <c r="M28" s="27">
        <v>4700.0</v>
      </c>
      <c r="N28" s="5">
        <f t="shared" si="24"/>
        <v>43635.29</v>
      </c>
      <c r="O28" s="28">
        <f t="shared" si="25"/>
        <v>0.005877646194</v>
      </c>
      <c r="P28" s="5"/>
      <c r="Q28" s="5"/>
      <c r="R28" s="37" t="s">
        <v>34</v>
      </c>
      <c r="S28" s="38">
        <v>65000.0</v>
      </c>
      <c r="T28" s="39">
        <v>0.2</v>
      </c>
      <c r="U28" s="26">
        <f>IF($R28="Manual","",IFERROR(IF($R28="YOY Growth",$N28*(1+$T28)/12,$S28/12),""))+5000</f>
        <v>10416.66667</v>
      </c>
      <c r="V28" s="26">
        <f t="shared" ref="V28:X28" si="33">IF($R28="Manual","",IFERROR(IF($R28="YOY Growth",$N28*(1+$T28)/12,$S28/12),""))</f>
        <v>5416.666667</v>
      </c>
      <c r="W28" s="26">
        <f t="shared" si="33"/>
        <v>5416.666667</v>
      </c>
      <c r="X28" s="26">
        <f t="shared" si="33"/>
        <v>5416.666667</v>
      </c>
      <c r="Y28" s="26">
        <f>IF($R28="Manual","",IFERROR(IF($R28="YOY Growth",$N28*(1+$T28)/12,$S28/12),""))+5000</f>
        <v>10416.66667</v>
      </c>
      <c r="Z28" s="26">
        <f t="shared" ref="Z28:AC28" si="34">IF($R28="Manual","",IFERROR(IF($R28="YOY Growth",$N28*(1+$T28)/12,$S28/12),""))*Z146</f>
        <v>5958.333333</v>
      </c>
      <c r="AA28" s="26">
        <f t="shared" si="34"/>
        <v>6229.166667</v>
      </c>
      <c r="AB28" s="26">
        <f t="shared" si="34"/>
        <v>6500</v>
      </c>
      <c r="AC28" s="26">
        <f t="shared" si="34"/>
        <v>6770.833333</v>
      </c>
      <c r="AD28" s="26">
        <f>IF($R28="Manual","",IFERROR(IF($R28="YOY Growth",$N28*(1+$T28)/12,$S28/12),""))+5000</f>
        <v>10416.66667</v>
      </c>
      <c r="AE28" s="26">
        <f t="shared" ref="AE28:AF28" si="35">IF($R28="Manual","",IFERROR(IF($R28="YOY Growth",$N28*(1+$T28)/12,$S28/12),""))*AE146</f>
        <v>7312.5</v>
      </c>
      <c r="AF28" s="26">
        <f t="shared" si="35"/>
        <v>7583.333333</v>
      </c>
      <c r="AG28" s="5">
        <f t="shared" si="27"/>
        <v>87854.16667</v>
      </c>
      <c r="AH28" s="28" t="str">
        <f t="shared" si="28"/>
        <v/>
      </c>
      <c r="AI28" s="20" t="s">
        <v>50</v>
      </c>
      <c r="AJ28" s="5">
        <f t="shared" si="29"/>
        <v>-44218.87667</v>
      </c>
    </row>
    <row r="29" ht="13.5" customHeight="1">
      <c r="A29" s="25" t="s">
        <v>51</v>
      </c>
      <c r="B29" s="5">
        <v>0.0</v>
      </c>
      <c r="C29" s="5">
        <v>0.0</v>
      </c>
      <c r="D29" s="5">
        <v>1400.0</v>
      </c>
      <c r="E29" s="5">
        <v>19879.38</v>
      </c>
      <c r="F29" s="5">
        <v>84.54</v>
      </c>
      <c r="G29" s="5">
        <v>-7.82</v>
      </c>
      <c r="H29" s="5">
        <v>0.0</v>
      </c>
      <c r="I29" s="5">
        <v>0.0</v>
      </c>
      <c r="J29" s="27">
        <v>2000.0</v>
      </c>
      <c r="K29" s="27">
        <v>2000.0</v>
      </c>
      <c r="L29" s="27">
        <v>0.0</v>
      </c>
      <c r="M29" s="27">
        <v>0.0</v>
      </c>
      <c r="N29" s="5">
        <f t="shared" si="24"/>
        <v>25356.1</v>
      </c>
      <c r="O29" s="28">
        <f t="shared" si="25"/>
        <v>0.003415450766</v>
      </c>
      <c r="P29" s="5"/>
      <c r="Q29" s="5"/>
      <c r="R29" s="29" t="s">
        <v>34</v>
      </c>
      <c r="S29" s="30">
        <v>0.0</v>
      </c>
      <c r="T29" s="31">
        <v>0.05</v>
      </c>
      <c r="U29" s="26">
        <f t="shared" ref="U29:AF29" si="36">IF($R29="Manual","",IFERROR(IF($R29="YOY Growth",$N29*(1+$T29)/12,$S29/12),""))</f>
        <v>0</v>
      </c>
      <c r="V29" s="26">
        <f t="shared" si="36"/>
        <v>0</v>
      </c>
      <c r="W29" s="26">
        <f t="shared" si="36"/>
        <v>0</v>
      </c>
      <c r="X29" s="26">
        <f t="shared" si="36"/>
        <v>0</v>
      </c>
      <c r="Y29" s="26">
        <f t="shared" si="36"/>
        <v>0</v>
      </c>
      <c r="Z29" s="26">
        <f t="shared" si="36"/>
        <v>0</v>
      </c>
      <c r="AA29" s="26">
        <f t="shared" si="36"/>
        <v>0</v>
      </c>
      <c r="AB29" s="26">
        <f t="shared" si="36"/>
        <v>0</v>
      </c>
      <c r="AC29" s="26">
        <f t="shared" si="36"/>
        <v>0</v>
      </c>
      <c r="AD29" s="26">
        <f t="shared" si="36"/>
        <v>0</v>
      </c>
      <c r="AE29" s="26">
        <f t="shared" si="36"/>
        <v>0</v>
      </c>
      <c r="AF29" s="26">
        <f t="shared" si="36"/>
        <v>0</v>
      </c>
      <c r="AG29" s="5">
        <f t="shared" si="27"/>
        <v>0</v>
      </c>
      <c r="AH29" s="28" t="str">
        <f t="shared" si="28"/>
        <v/>
      </c>
      <c r="AI29" s="20" t="s">
        <v>52</v>
      </c>
      <c r="AJ29" s="5">
        <f t="shared" si="29"/>
        <v>25356.1</v>
      </c>
    </row>
    <row r="30" ht="13.5" customHeight="1">
      <c r="A30" s="25" t="s">
        <v>53</v>
      </c>
      <c r="B30" s="5">
        <v>0.0</v>
      </c>
      <c r="C30" s="5">
        <v>0.0</v>
      </c>
      <c r="D30" s="5">
        <v>0.0</v>
      </c>
      <c r="E30" s="5">
        <v>0.0</v>
      </c>
      <c r="F30" s="5">
        <v>0.0</v>
      </c>
      <c r="G30" s="5">
        <v>0.0</v>
      </c>
      <c r="H30" s="5">
        <v>0.0</v>
      </c>
      <c r="I30" s="5">
        <v>96.96</v>
      </c>
      <c r="J30" s="26"/>
      <c r="K30" s="26"/>
      <c r="L30" s="26"/>
      <c r="M30" s="26"/>
      <c r="N30" s="5">
        <f t="shared" si="24"/>
        <v>96.96</v>
      </c>
      <c r="O30" s="28">
        <f t="shared" si="25"/>
        <v>0.00001306045118</v>
      </c>
      <c r="P30" s="5"/>
      <c r="Q30" s="5"/>
      <c r="R30" s="29" t="s">
        <v>34</v>
      </c>
      <c r="S30" s="30">
        <v>0.0</v>
      </c>
      <c r="T30" s="31">
        <v>0.05</v>
      </c>
      <c r="U30" s="26">
        <f t="shared" ref="U30:AF30" si="37">IF($R30="Manual","",IFERROR(IF($R30="YOY Growth",$N30*(1+$T30)/12,$S30/12),""))</f>
        <v>0</v>
      </c>
      <c r="V30" s="26">
        <f t="shared" si="37"/>
        <v>0</v>
      </c>
      <c r="W30" s="26">
        <f t="shared" si="37"/>
        <v>0</v>
      </c>
      <c r="X30" s="26">
        <f t="shared" si="37"/>
        <v>0</v>
      </c>
      <c r="Y30" s="26">
        <f t="shared" si="37"/>
        <v>0</v>
      </c>
      <c r="Z30" s="26">
        <f t="shared" si="37"/>
        <v>0</v>
      </c>
      <c r="AA30" s="26">
        <f t="shared" si="37"/>
        <v>0</v>
      </c>
      <c r="AB30" s="26">
        <f t="shared" si="37"/>
        <v>0</v>
      </c>
      <c r="AC30" s="26">
        <f t="shared" si="37"/>
        <v>0</v>
      </c>
      <c r="AD30" s="26">
        <f t="shared" si="37"/>
        <v>0</v>
      </c>
      <c r="AE30" s="26">
        <f t="shared" si="37"/>
        <v>0</v>
      </c>
      <c r="AF30" s="26">
        <f t="shared" si="37"/>
        <v>0</v>
      </c>
      <c r="AG30" s="5">
        <f t="shared" si="27"/>
        <v>0</v>
      </c>
      <c r="AH30" s="28" t="str">
        <f t="shared" si="28"/>
        <v/>
      </c>
      <c r="AI30" s="4"/>
      <c r="AJ30" s="5">
        <f t="shared" si="29"/>
        <v>96.96</v>
      </c>
    </row>
    <row r="31" ht="13.5" customHeight="1">
      <c r="A31" s="25" t="s">
        <v>54</v>
      </c>
      <c r="B31" s="5">
        <v>0.0</v>
      </c>
      <c r="C31" s="5">
        <v>0.0</v>
      </c>
      <c r="D31" s="5">
        <v>175.0</v>
      </c>
      <c r="E31" s="5">
        <v>44.2</v>
      </c>
      <c r="F31" s="5">
        <v>0.0</v>
      </c>
      <c r="G31" s="5">
        <v>-7.08</v>
      </c>
      <c r="H31" s="5">
        <v>0.0</v>
      </c>
      <c r="I31" s="5">
        <v>0.0</v>
      </c>
      <c r="J31" s="27">
        <v>0.0</v>
      </c>
      <c r="K31" s="27">
        <v>0.0</v>
      </c>
      <c r="L31" s="27">
        <v>0.0</v>
      </c>
      <c r="M31" s="27">
        <v>0.0</v>
      </c>
      <c r="N31" s="5">
        <f t="shared" si="24"/>
        <v>212.12</v>
      </c>
      <c r="O31" s="28">
        <f t="shared" si="25"/>
        <v>0.00002857243095</v>
      </c>
      <c r="P31" s="5"/>
      <c r="Q31" s="5"/>
      <c r="R31" s="29" t="s">
        <v>34</v>
      </c>
      <c r="S31" s="30">
        <v>0.0</v>
      </c>
      <c r="T31" s="31">
        <v>0.05</v>
      </c>
      <c r="U31" s="26">
        <f t="shared" ref="U31:AF31" si="38">IF($R31="Manual","",IFERROR(IF($R31="YOY Growth",$N31*(1+$T31)/12,$S31/12),""))</f>
        <v>0</v>
      </c>
      <c r="V31" s="26">
        <f t="shared" si="38"/>
        <v>0</v>
      </c>
      <c r="W31" s="26">
        <f t="shared" si="38"/>
        <v>0</v>
      </c>
      <c r="X31" s="26">
        <f t="shared" si="38"/>
        <v>0</v>
      </c>
      <c r="Y31" s="26">
        <f t="shared" si="38"/>
        <v>0</v>
      </c>
      <c r="Z31" s="26">
        <f t="shared" si="38"/>
        <v>0</v>
      </c>
      <c r="AA31" s="26">
        <f t="shared" si="38"/>
        <v>0</v>
      </c>
      <c r="AB31" s="26">
        <f t="shared" si="38"/>
        <v>0</v>
      </c>
      <c r="AC31" s="26">
        <f t="shared" si="38"/>
        <v>0</v>
      </c>
      <c r="AD31" s="26">
        <f t="shared" si="38"/>
        <v>0</v>
      </c>
      <c r="AE31" s="26">
        <f t="shared" si="38"/>
        <v>0</v>
      </c>
      <c r="AF31" s="26">
        <f t="shared" si="38"/>
        <v>0</v>
      </c>
      <c r="AG31" s="5">
        <f t="shared" si="27"/>
        <v>0</v>
      </c>
      <c r="AH31" s="28" t="str">
        <f t="shared" si="28"/>
        <v/>
      </c>
      <c r="AI31" s="4"/>
      <c r="AJ31" s="5">
        <f t="shared" si="29"/>
        <v>212.12</v>
      </c>
    </row>
    <row r="32" ht="13.5" customHeight="1">
      <c r="A32" s="24" t="s">
        <v>55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28"/>
      <c r="P32" s="5"/>
      <c r="Q32" s="5"/>
      <c r="R32" s="36"/>
      <c r="S32" s="36"/>
      <c r="T32" s="36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28"/>
      <c r="AI32" s="4"/>
      <c r="AJ32" s="5"/>
    </row>
    <row r="33" ht="13.5" customHeight="1">
      <c r="A33" s="25" t="s">
        <v>56</v>
      </c>
      <c r="B33" s="5">
        <v>0.0</v>
      </c>
      <c r="C33" s="5">
        <v>29333.47</v>
      </c>
      <c r="D33" s="5">
        <v>-53487.1</v>
      </c>
      <c r="E33" s="5">
        <v>21646.72</v>
      </c>
      <c r="F33" s="5">
        <v>17259.93</v>
      </c>
      <c r="G33" s="5">
        <v>17454.2</v>
      </c>
      <c r="H33" s="5">
        <v>20023.74</v>
      </c>
      <c r="I33" s="5">
        <v>14849.42</v>
      </c>
      <c r="J33" s="27">
        <v>17500.0</v>
      </c>
      <c r="K33" s="27">
        <v>17500.0</v>
      </c>
      <c r="L33" s="27">
        <v>17500.0</v>
      </c>
      <c r="M33" s="27">
        <v>17500.0</v>
      </c>
      <c r="N33" s="5">
        <f t="shared" ref="N33:N42" si="39">SUM(B33:M33)</f>
        <v>137080.38</v>
      </c>
      <c r="O33" s="28">
        <f t="shared" ref="O33:O42" si="40">IFERROR(N33/N$16,"")</f>
        <v>0.01846464121</v>
      </c>
      <c r="P33" s="5"/>
      <c r="Q33" s="5"/>
      <c r="R33" s="43"/>
      <c r="S33" s="43"/>
      <c r="T33" s="43"/>
      <c r="U33" s="43">
        <v>43450.0</v>
      </c>
      <c r="V33" s="43">
        <v>43450.0</v>
      </c>
      <c r="W33" s="43">
        <v>43450.0</v>
      </c>
      <c r="X33" s="43">
        <v>43450.0</v>
      </c>
      <c r="Y33" s="43">
        <v>43450.0</v>
      </c>
      <c r="Z33" s="43">
        <v>43450.0</v>
      </c>
      <c r="AA33" s="43">
        <v>43450.0</v>
      </c>
      <c r="AB33" s="43">
        <v>43450.0</v>
      </c>
      <c r="AC33" s="43">
        <v>43450.0</v>
      </c>
      <c r="AD33" s="43">
        <v>44753.50000000001</v>
      </c>
      <c r="AE33" s="43">
        <v>44753.50000000001</v>
      </c>
      <c r="AF33" s="43">
        <v>44753.50000000001</v>
      </c>
      <c r="AG33" s="5">
        <f t="shared" ref="AG33:AG42" si="41">SUM(U33:AF33)</f>
        <v>525310.5</v>
      </c>
      <c r="AH33" s="28" t="str">
        <f t="shared" ref="AH33:AH42" si="42">IFERROR(AG33/AG$16,"")</f>
        <v/>
      </c>
      <c r="AI33" s="4"/>
      <c r="AJ33" s="5">
        <f t="shared" ref="AJ33:AJ42" si="43">N33-AG33</f>
        <v>-388230.12</v>
      </c>
    </row>
    <row r="34" ht="13.5" customHeight="1">
      <c r="A34" s="25" t="s">
        <v>57</v>
      </c>
      <c r="B34" s="5">
        <v>0.0</v>
      </c>
      <c r="C34" s="5">
        <v>1065.32</v>
      </c>
      <c r="D34" s="5">
        <v>-1003.17</v>
      </c>
      <c r="E34" s="5">
        <v>703.54</v>
      </c>
      <c r="F34" s="5">
        <v>618.04</v>
      </c>
      <c r="G34" s="5">
        <v>634.79</v>
      </c>
      <c r="H34" s="5">
        <v>768.4</v>
      </c>
      <c r="I34" s="5">
        <v>592.79</v>
      </c>
      <c r="J34" s="27">
        <v>648.0</v>
      </c>
      <c r="K34" s="27">
        <v>648.0</v>
      </c>
      <c r="L34" s="27">
        <v>648.0</v>
      </c>
      <c r="M34" s="27">
        <v>648.0</v>
      </c>
      <c r="N34" s="5">
        <f t="shared" si="39"/>
        <v>5971.71</v>
      </c>
      <c r="O34" s="28">
        <f t="shared" si="40"/>
        <v>0.0008043855914</v>
      </c>
      <c r="P34" s="5"/>
      <c r="Q34" s="5"/>
      <c r="R34" s="43"/>
      <c r="S34" s="43"/>
      <c r="T34" s="43"/>
      <c r="U34" s="43">
        <v>1580.2285696279405</v>
      </c>
      <c r="V34" s="43">
        <v>1580.2285696279405</v>
      </c>
      <c r="W34" s="43">
        <v>1580.2285696279405</v>
      </c>
      <c r="X34" s="43">
        <v>1580.2285696279405</v>
      </c>
      <c r="Y34" s="43">
        <v>1580.2285696279405</v>
      </c>
      <c r="Z34" s="43">
        <v>1580.2285696279405</v>
      </c>
      <c r="AA34" s="43">
        <v>1580.2285696279405</v>
      </c>
      <c r="AB34" s="43">
        <v>1580.2285696279405</v>
      </c>
      <c r="AC34" s="43">
        <v>1580.2285696279405</v>
      </c>
      <c r="AD34" s="43">
        <v>1627.635426716779</v>
      </c>
      <c r="AE34" s="43">
        <v>1627.635426716779</v>
      </c>
      <c r="AF34" s="43">
        <v>1627.635426716779</v>
      </c>
      <c r="AG34" s="5">
        <f t="shared" si="41"/>
        <v>19104.96341</v>
      </c>
      <c r="AH34" s="28" t="str">
        <f t="shared" si="42"/>
        <v/>
      </c>
      <c r="AI34" s="4"/>
      <c r="AJ34" s="5">
        <f t="shared" si="43"/>
        <v>-13133.25341</v>
      </c>
    </row>
    <row r="35" ht="13.5" customHeight="1">
      <c r="A35" s="25" t="s">
        <v>58</v>
      </c>
      <c r="B35" s="5">
        <v>35767.69</v>
      </c>
      <c r="C35" s="5">
        <v>-7499.98</v>
      </c>
      <c r="D35" s="5">
        <v>3057.92</v>
      </c>
      <c r="E35" s="5">
        <v>2876.74</v>
      </c>
      <c r="F35" s="5">
        <v>4138.12</v>
      </c>
      <c r="G35" s="5">
        <v>3992.14</v>
      </c>
      <c r="H35" s="5">
        <v>-6793.75</v>
      </c>
      <c r="I35" s="5">
        <v>2732.36</v>
      </c>
      <c r="J35" s="27">
        <v>4000.0</v>
      </c>
      <c r="K35" s="27">
        <v>4000.0</v>
      </c>
      <c r="L35" s="27">
        <v>4000.0</v>
      </c>
      <c r="M35" s="27">
        <v>4000.0</v>
      </c>
      <c r="N35" s="5">
        <f t="shared" si="39"/>
        <v>54271.24</v>
      </c>
      <c r="O35" s="28">
        <f t="shared" si="40"/>
        <v>0.007310301988</v>
      </c>
      <c r="P35" s="5"/>
      <c r="Q35" s="5"/>
      <c r="R35" s="43"/>
      <c r="S35" s="43"/>
      <c r="T35" s="43"/>
      <c r="U35" s="43">
        <v>8966.458750994732</v>
      </c>
      <c r="V35" s="43">
        <v>8966.458750994732</v>
      </c>
      <c r="W35" s="43">
        <v>8966.458750994732</v>
      </c>
      <c r="X35" s="43">
        <v>8966.458750994732</v>
      </c>
      <c r="Y35" s="43">
        <v>8966.458750994732</v>
      </c>
      <c r="Z35" s="43">
        <v>8966.458750994732</v>
      </c>
      <c r="AA35" s="43">
        <v>8966.458750994732</v>
      </c>
      <c r="AB35" s="43">
        <v>8966.458750994732</v>
      </c>
      <c r="AC35" s="43">
        <v>8966.458750994732</v>
      </c>
      <c r="AD35" s="43">
        <v>9235.452513524577</v>
      </c>
      <c r="AE35" s="43">
        <v>9235.452513524577</v>
      </c>
      <c r="AF35" s="43">
        <v>9235.452513524577</v>
      </c>
      <c r="AG35" s="5">
        <f t="shared" si="41"/>
        <v>108404.4863</v>
      </c>
      <c r="AH35" s="28" t="str">
        <f t="shared" si="42"/>
        <v/>
      </c>
      <c r="AI35" s="4"/>
      <c r="AJ35" s="5">
        <f t="shared" si="43"/>
        <v>-54133.2463</v>
      </c>
    </row>
    <row r="36" ht="13.5" customHeight="1">
      <c r="A36" s="33" t="s">
        <v>59</v>
      </c>
      <c r="B36" s="34">
        <f t="shared" ref="B36:M36" si="44">SUM(B33:B35)</f>
        <v>35767.69</v>
      </c>
      <c r="C36" s="34">
        <f t="shared" si="44"/>
        <v>22898.81</v>
      </c>
      <c r="D36" s="34">
        <f t="shared" si="44"/>
        <v>-51432.35</v>
      </c>
      <c r="E36" s="34">
        <f t="shared" si="44"/>
        <v>25227</v>
      </c>
      <c r="F36" s="34">
        <f t="shared" si="44"/>
        <v>22016.09</v>
      </c>
      <c r="G36" s="34">
        <f t="shared" si="44"/>
        <v>22081.13</v>
      </c>
      <c r="H36" s="34">
        <f t="shared" si="44"/>
        <v>13998.39</v>
      </c>
      <c r="I36" s="34">
        <f t="shared" si="44"/>
        <v>18174.57</v>
      </c>
      <c r="J36" s="34">
        <f t="shared" si="44"/>
        <v>22148</v>
      </c>
      <c r="K36" s="34">
        <f t="shared" si="44"/>
        <v>22148</v>
      </c>
      <c r="L36" s="34">
        <f t="shared" si="44"/>
        <v>22148</v>
      </c>
      <c r="M36" s="34">
        <f t="shared" si="44"/>
        <v>22148</v>
      </c>
      <c r="N36" s="34">
        <f t="shared" si="39"/>
        <v>197323.33</v>
      </c>
      <c r="O36" s="35">
        <f t="shared" si="40"/>
        <v>0.02657932878</v>
      </c>
      <c r="P36" s="5"/>
      <c r="Q36" s="5"/>
      <c r="R36" s="36"/>
      <c r="S36" s="36"/>
      <c r="T36" s="36"/>
      <c r="U36" s="34">
        <f t="shared" ref="U36:AF36" si="45">SUM(U33:U35)</f>
        <v>53996.68732</v>
      </c>
      <c r="V36" s="34">
        <f t="shared" si="45"/>
        <v>53996.68732</v>
      </c>
      <c r="W36" s="34">
        <f t="shared" si="45"/>
        <v>53996.68732</v>
      </c>
      <c r="X36" s="34">
        <f t="shared" si="45"/>
        <v>53996.68732</v>
      </c>
      <c r="Y36" s="34">
        <f t="shared" si="45"/>
        <v>53996.68732</v>
      </c>
      <c r="Z36" s="34">
        <f t="shared" si="45"/>
        <v>53996.68732</v>
      </c>
      <c r="AA36" s="34">
        <f t="shared" si="45"/>
        <v>53996.68732</v>
      </c>
      <c r="AB36" s="34">
        <f t="shared" si="45"/>
        <v>53996.68732</v>
      </c>
      <c r="AC36" s="34">
        <f t="shared" si="45"/>
        <v>53996.68732</v>
      </c>
      <c r="AD36" s="34">
        <f t="shared" si="45"/>
        <v>55616.58794</v>
      </c>
      <c r="AE36" s="34">
        <f t="shared" si="45"/>
        <v>55616.58794</v>
      </c>
      <c r="AF36" s="34">
        <f t="shared" si="45"/>
        <v>55616.58794</v>
      </c>
      <c r="AG36" s="34">
        <f t="shared" si="41"/>
        <v>652819.9497</v>
      </c>
      <c r="AH36" s="35" t="str">
        <f t="shared" si="42"/>
        <v/>
      </c>
      <c r="AI36" s="4"/>
      <c r="AJ36" s="34">
        <f t="shared" si="43"/>
        <v>-455496.6197</v>
      </c>
    </row>
    <row r="37" ht="13.5" customHeight="1">
      <c r="A37" s="33" t="s">
        <v>60</v>
      </c>
      <c r="B37" s="34">
        <f t="shared" ref="B37:M37" si="46">B19+B22+B27+B28+B29+B30+B31+B36+B20+B21</f>
        <v>190179.26</v>
      </c>
      <c r="C37" s="34">
        <f t="shared" si="46"/>
        <v>162594.32</v>
      </c>
      <c r="D37" s="34">
        <f t="shared" si="46"/>
        <v>110103.28</v>
      </c>
      <c r="E37" s="34">
        <f t="shared" si="46"/>
        <v>204616.26</v>
      </c>
      <c r="F37" s="34">
        <f t="shared" si="46"/>
        <v>177094.17</v>
      </c>
      <c r="G37" s="34">
        <f t="shared" si="46"/>
        <v>186727.04</v>
      </c>
      <c r="H37" s="34">
        <f t="shared" si="46"/>
        <v>164259.12</v>
      </c>
      <c r="I37" s="34">
        <f t="shared" si="46"/>
        <v>172806.85</v>
      </c>
      <c r="J37" s="34">
        <f t="shared" si="46"/>
        <v>178819.9105</v>
      </c>
      <c r="K37" s="34">
        <f t="shared" si="46"/>
        <v>185425.8629</v>
      </c>
      <c r="L37" s="34">
        <f t="shared" si="46"/>
        <v>187572.2914</v>
      </c>
      <c r="M37" s="34">
        <f t="shared" si="46"/>
        <v>191718.72</v>
      </c>
      <c r="N37" s="34">
        <f t="shared" si="39"/>
        <v>2111917.085</v>
      </c>
      <c r="O37" s="35">
        <f t="shared" si="40"/>
        <v>0.2844739067</v>
      </c>
      <c r="P37" s="5"/>
      <c r="Q37" s="5"/>
      <c r="R37" s="36"/>
      <c r="S37" s="36"/>
      <c r="T37" s="36"/>
      <c r="U37" s="34">
        <f t="shared" ref="U37:AF37" si="47">U19+U22+U27+U28+U29+U30+U31+U36+U20+U21</f>
        <v>64413.35399</v>
      </c>
      <c r="V37" s="34">
        <f t="shared" si="47"/>
        <v>59413.35399</v>
      </c>
      <c r="W37" s="34">
        <f t="shared" si="47"/>
        <v>59413.35399</v>
      </c>
      <c r="X37" s="34">
        <f t="shared" si="47"/>
        <v>59413.35399</v>
      </c>
      <c r="Y37" s="34">
        <f t="shared" si="47"/>
        <v>64413.35399</v>
      </c>
      <c r="Z37" s="34">
        <f t="shared" si="47"/>
        <v>59955.02065</v>
      </c>
      <c r="AA37" s="34">
        <f t="shared" si="47"/>
        <v>60225.85399</v>
      </c>
      <c r="AB37" s="34">
        <f t="shared" si="47"/>
        <v>60496.68732</v>
      </c>
      <c r="AC37" s="34">
        <f t="shared" si="47"/>
        <v>60767.52065</v>
      </c>
      <c r="AD37" s="34">
        <f t="shared" si="47"/>
        <v>66033.25461</v>
      </c>
      <c r="AE37" s="34">
        <f t="shared" si="47"/>
        <v>62929.08794</v>
      </c>
      <c r="AF37" s="34">
        <f t="shared" si="47"/>
        <v>63199.92127</v>
      </c>
      <c r="AG37" s="34">
        <f t="shared" si="41"/>
        <v>740674.1164</v>
      </c>
      <c r="AH37" s="35" t="str">
        <f t="shared" si="42"/>
        <v/>
      </c>
      <c r="AI37" s="4"/>
      <c r="AJ37" s="34">
        <f t="shared" si="43"/>
        <v>1371242.968</v>
      </c>
    </row>
    <row r="38" ht="13.5" customHeight="1">
      <c r="A38" s="25" t="s">
        <v>61</v>
      </c>
      <c r="B38" s="5">
        <v>0.0</v>
      </c>
      <c r="C38" s="5">
        <v>0.0</v>
      </c>
      <c r="D38" s="5">
        <v>2782.65</v>
      </c>
      <c r="E38" s="5">
        <v>56.1</v>
      </c>
      <c r="F38" s="5">
        <v>0.0</v>
      </c>
      <c r="G38" s="5">
        <v>0.0</v>
      </c>
      <c r="H38" s="5">
        <v>0.0</v>
      </c>
      <c r="I38" s="5">
        <v>0.0</v>
      </c>
      <c r="J38" s="27">
        <v>0.0</v>
      </c>
      <c r="K38" s="27">
        <v>0.0</v>
      </c>
      <c r="L38" s="27">
        <v>0.0</v>
      </c>
      <c r="M38" s="27">
        <v>0.0</v>
      </c>
      <c r="N38" s="5">
        <f t="shared" si="39"/>
        <v>2838.75</v>
      </c>
      <c r="O38" s="28">
        <f t="shared" si="40"/>
        <v>0.0003823778445</v>
      </c>
      <c r="P38" s="5"/>
      <c r="Q38" s="5"/>
      <c r="R38" s="29" t="s">
        <v>34</v>
      </c>
      <c r="S38" s="38">
        <v>75000.0</v>
      </c>
      <c r="T38" s="31">
        <v>0.05</v>
      </c>
      <c r="U38" s="26">
        <f>IF($R38="Manual","",IFERROR(IF($R38="YOY Growth",$N38*(1+$T38)/12,$S38/12),""))+15000</f>
        <v>21250</v>
      </c>
      <c r="V38" s="26">
        <f t="shared" ref="V38:X38" si="48">IF($R38="Manual","",IFERROR(IF($R38="YOY Growth",$N38*(1+$T38)/12,$S38/12),""))</f>
        <v>6250</v>
      </c>
      <c r="W38" s="26">
        <f t="shared" si="48"/>
        <v>6250</v>
      </c>
      <c r="X38" s="26">
        <f t="shared" si="48"/>
        <v>6250</v>
      </c>
      <c r="Y38" s="26">
        <f t="shared" ref="Y38:AF38" si="49">IF($R38="Manual","",IFERROR(IF($R38="YOY Growth",$N38*(1+$T38)/12,$S38/12),""))*Y146</f>
        <v>6562.5</v>
      </c>
      <c r="Z38" s="26">
        <f t="shared" si="49"/>
        <v>6875</v>
      </c>
      <c r="AA38" s="26">
        <f t="shared" si="49"/>
        <v>7187.5</v>
      </c>
      <c r="AB38" s="26">
        <f t="shared" si="49"/>
        <v>7500</v>
      </c>
      <c r="AC38" s="26">
        <f t="shared" si="49"/>
        <v>7812.5</v>
      </c>
      <c r="AD38" s="26">
        <f t="shared" si="49"/>
        <v>8125</v>
      </c>
      <c r="AE38" s="26">
        <f t="shared" si="49"/>
        <v>8437.5</v>
      </c>
      <c r="AF38" s="26">
        <f t="shared" si="49"/>
        <v>8750</v>
      </c>
      <c r="AG38" s="5">
        <f t="shared" si="41"/>
        <v>101250</v>
      </c>
      <c r="AH38" s="28" t="str">
        <f t="shared" si="42"/>
        <v/>
      </c>
      <c r="AI38" s="20" t="s">
        <v>62</v>
      </c>
      <c r="AJ38" s="5">
        <f t="shared" si="43"/>
        <v>-98411.25</v>
      </c>
    </row>
    <row r="39" ht="13.5" customHeight="1">
      <c r="A39" s="25" t="s">
        <v>63</v>
      </c>
      <c r="B39" s="5">
        <v>0.0</v>
      </c>
      <c r="C39" s="5">
        <v>0.0</v>
      </c>
      <c r="D39" s="5">
        <v>0.0</v>
      </c>
      <c r="E39" s="5">
        <v>0.0</v>
      </c>
      <c r="F39" s="5">
        <v>6857.32</v>
      </c>
      <c r="G39" s="5">
        <v>0.0</v>
      </c>
      <c r="H39" s="5">
        <v>10645.5</v>
      </c>
      <c r="I39" s="5">
        <v>1721.11</v>
      </c>
      <c r="J39" s="27">
        <v>3000.0</v>
      </c>
      <c r="K39" s="27">
        <v>1000.0</v>
      </c>
      <c r="L39" s="27">
        <v>1000.0</v>
      </c>
      <c r="M39" s="27">
        <v>1000.0</v>
      </c>
      <c r="N39" s="5">
        <f t="shared" si="39"/>
        <v>25223.93</v>
      </c>
      <c r="O39" s="28">
        <f t="shared" si="40"/>
        <v>0.00339764755</v>
      </c>
      <c r="P39" s="5"/>
      <c r="Q39" s="5"/>
      <c r="R39" s="37" t="s">
        <v>64</v>
      </c>
      <c r="S39" s="30">
        <v>0.0</v>
      </c>
      <c r="T39" s="31">
        <v>0.05</v>
      </c>
      <c r="U39" s="26">
        <f t="shared" ref="U39:AF39" si="50">IF($R39="Manual","",IFERROR(IF($R39="YOY Growth",$N39*(1+$T39)/12,$S39/12),""))</f>
        <v>2207.093875</v>
      </c>
      <c r="V39" s="26">
        <f t="shared" si="50"/>
        <v>2207.093875</v>
      </c>
      <c r="W39" s="26">
        <f t="shared" si="50"/>
        <v>2207.093875</v>
      </c>
      <c r="X39" s="26">
        <f t="shared" si="50"/>
        <v>2207.093875</v>
      </c>
      <c r="Y39" s="26">
        <f t="shared" si="50"/>
        <v>2207.093875</v>
      </c>
      <c r="Z39" s="26">
        <f t="shared" si="50"/>
        <v>2207.093875</v>
      </c>
      <c r="AA39" s="26">
        <f t="shared" si="50"/>
        <v>2207.093875</v>
      </c>
      <c r="AB39" s="26">
        <f t="shared" si="50"/>
        <v>2207.093875</v>
      </c>
      <c r="AC39" s="26">
        <f t="shared" si="50"/>
        <v>2207.093875</v>
      </c>
      <c r="AD39" s="26">
        <f t="shared" si="50"/>
        <v>2207.093875</v>
      </c>
      <c r="AE39" s="26">
        <f t="shared" si="50"/>
        <v>2207.093875</v>
      </c>
      <c r="AF39" s="26">
        <f t="shared" si="50"/>
        <v>2207.093875</v>
      </c>
      <c r="AG39" s="5">
        <f t="shared" si="41"/>
        <v>26485.1265</v>
      </c>
      <c r="AH39" s="28" t="str">
        <f t="shared" si="42"/>
        <v/>
      </c>
      <c r="AI39" s="4"/>
      <c r="AJ39" s="5">
        <f t="shared" si="43"/>
        <v>-1261.1965</v>
      </c>
    </row>
    <row r="40" ht="13.5" customHeight="1">
      <c r="A40" s="25" t="s">
        <v>65</v>
      </c>
      <c r="B40" s="5">
        <v>0.0</v>
      </c>
      <c r="C40" s="5">
        <v>0.0</v>
      </c>
      <c r="D40" s="5">
        <v>0.0</v>
      </c>
      <c r="E40" s="5">
        <v>0.0</v>
      </c>
      <c r="F40" s="5">
        <v>125.0</v>
      </c>
      <c r="G40" s="5">
        <v>-362.34</v>
      </c>
      <c r="H40" s="5">
        <v>0.0</v>
      </c>
      <c r="I40" s="5">
        <v>4095.3</v>
      </c>
      <c r="J40" s="27">
        <v>125.0</v>
      </c>
      <c r="K40" s="27">
        <v>125.0</v>
      </c>
      <c r="L40" s="27">
        <v>125.0</v>
      </c>
      <c r="M40" s="27">
        <v>125.0</v>
      </c>
      <c r="N40" s="5">
        <f t="shared" si="39"/>
        <v>4357.96</v>
      </c>
      <c r="O40" s="28">
        <f t="shared" si="40"/>
        <v>0.0005870144786</v>
      </c>
      <c r="P40" s="5"/>
      <c r="Q40" s="5"/>
      <c r="R40" s="37" t="s">
        <v>64</v>
      </c>
      <c r="S40" s="30">
        <v>0.0</v>
      </c>
      <c r="T40" s="31">
        <v>0.05</v>
      </c>
      <c r="U40" s="26">
        <f t="shared" ref="U40:AF40" si="51">IF($R40="Manual","",IFERROR(IF($R40="YOY Growth",$N40*(1+$T40)/12,$S40/12),""))</f>
        <v>381.3215</v>
      </c>
      <c r="V40" s="26">
        <f t="shared" si="51"/>
        <v>381.3215</v>
      </c>
      <c r="W40" s="26">
        <f t="shared" si="51"/>
        <v>381.3215</v>
      </c>
      <c r="X40" s="26">
        <f t="shared" si="51"/>
        <v>381.3215</v>
      </c>
      <c r="Y40" s="26">
        <f t="shared" si="51"/>
        <v>381.3215</v>
      </c>
      <c r="Z40" s="26">
        <f t="shared" si="51"/>
        <v>381.3215</v>
      </c>
      <c r="AA40" s="26">
        <f t="shared" si="51"/>
        <v>381.3215</v>
      </c>
      <c r="AB40" s="26">
        <f t="shared" si="51"/>
        <v>381.3215</v>
      </c>
      <c r="AC40" s="26">
        <f t="shared" si="51"/>
        <v>381.3215</v>
      </c>
      <c r="AD40" s="26">
        <f t="shared" si="51"/>
        <v>381.3215</v>
      </c>
      <c r="AE40" s="26">
        <f t="shared" si="51"/>
        <v>381.3215</v>
      </c>
      <c r="AF40" s="26">
        <f t="shared" si="51"/>
        <v>381.3215</v>
      </c>
      <c r="AG40" s="5">
        <f t="shared" si="41"/>
        <v>4575.858</v>
      </c>
      <c r="AH40" s="28" t="str">
        <f t="shared" si="42"/>
        <v/>
      </c>
      <c r="AI40" s="4"/>
      <c r="AJ40" s="5">
        <f t="shared" si="43"/>
        <v>-217.898</v>
      </c>
    </row>
    <row r="41" ht="13.5" customHeight="1">
      <c r="A41" s="25" t="s">
        <v>66</v>
      </c>
      <c r="B41" s="5">
        <v>0.0</v>
      </c>
      <c r="C41" s="5">
        <v>0.0</v>
      </c>
      <c r="D41" s="5">
        <v>0.0</v>
      </c>
      <c r="E41" s="5">
        <v>0.0</v>
      </c>
      <c r="F41" s="5">
        <v>0.0</v>
      </c>
      <c r="G41" s="5">
        <v>1662.88</v>
      </c>
      <c r="H41" s="5">
        <v>818.38</v>
      </c>
      <c r="I41" s="5">
        <v>111429.29</v>
      </c>
      <c r="J41" s="27"/>
      <c r="K41" s="27"/>
      <c r="L41" s="27"/>
      <c r="M41" s="27"/>
      <c r="N41" s="5">
        <f t="shared" si="39"/>
        <v>113910.55</v>
      </c>
      <c r="O41" s="28">
        <f t="shared" si="40"/>
        <v>0.01534367964</v>
      </c>
      <c r="P41" s="5"/>
      <c r="Q41" s="5"/>
      <c r="R41" s="37" t="s">
        <v>64</v>
      </c>
      <c r="S41" s="30">
        <v>0.0</v>
      </c>
      <c r="T41" s="39">
        <v>0.0</v>
      </c>
      <c r="U41" s="26">
        <f t="shared" ref="U41:AF41" si="52">IF($R41="Manual","",IFERROR(IF($R41="YOY Growth",$N41*(1+$T41)/12,$S41/12),""))</f>
        <v>9492.545833</v>
      </c>
      <c r="V41" s="26">
        <f t="shared" si="52"/>
        <v>9492.545833</v>
      </c>
      <c r="W41" s="26">
        <f t="shared" si="52"/>
        <v>9492.545833</v>
      </c>
      <c r="X41" s="26">
        <f t="shared" si="52"/>
        <v>9492.545833</v>
      </c>
      <c r="Y41" s="26">
        <f t="shared" si="52"/>
        <v>9492.545833</v>
      </c>
      <c r="Z41" s="26">
        <f t="shared" si="52"/>
        <v>9492.545833</v>
      </c>
      <c r="AA41" s="26">
        <f t="shared" si="52"/>
        <v>9492.545833</v>
      </c>
      <c r="AB41" s="26">
        <f t="shared" si="52"/>
        <v>9492.545833</v>
      </c>
      <c r="AC41" s="26">
        <f t="shared" si="52"/>
        <v>9492.545833</v>
      </c>
      <c r="AD41" s="26">
        <f t="shared" si="52"/>
        <v>9492.545833</v>
      </c>
      <c r="AE41" s="26">
        <f t="shared" si="52"/>
        <v>9492.545833</v>
      </c>
      <c r="AF41" s="26">
        <f t="shared" si="52"/>
        <v>9492.545833</v>
      </c>
      <c r="AG41" s="5">
        <f t="shared" si="41"/>
        <v>113910.55</v>
      </c>
      <c r="AH41" s="28" t="str">
        <f t="shared" si="42"/>
        <v/>
      </c>
      <c r="AI41" s="4"/>
      <c r="AJ41" s="5">
        <f t="shared" si="43"/>
        <v>0</v>
      </c>
    </row>
    <row r="42" ht="13.5" customHeight="1">
      <c r="A42" s="25" t="s">
        <v>67</v>
      </c>
      <c r="B42" s="5">
        <v>0.0</v>
      </c>
      <c r="C42" s="5">
        <v>0.0</v>
      </c>
      <c r="D42" s="5">
        <v>0.0</v>
      </c>
      <c r="E42" s="5">
        <v>0.0</v>
      </c>
      <c r="F42" s="5">
        <v>0.0</v>
      </c>
      <c r="G42" s="5">
        <v>0.0</v>
      </c>
      <c r="H42" s="5">
        <v>0.0</v>
      </c>
      <c r="I42" s="5">
        <v>0.0</v>
      </c>
      <c r="J42" s="27">
        <v>7000.0</v>
      </c>
      <c r="K42" s="27">
        <v>7000.0</v>
      </c>
      <c r="L42" s="27">
        <v>4000.0</v>
      </c>
      <c r="M42" s="27">
        <v>4000.0</v>
      </c>
      <c r="N42" s="5">
        <f t="shared" si="39"/>
        <v>22000</v>
      </c>
      <c r="O42" s="28">
        <f t="shared" si="40"/>
        <v>0.002963386201</v>
      </c>
      <c r="P42" s="5"/>
      <c r="Q42" s="5"/>
      <c r="R42" s="29" t="s">
        <v>34</v>
      </c>
      <c r="S42" s="38">
        <v>60000.0</v>
      </c>
      <c r="T42" s="31">
        <v>0.05</v>
      </c>
      <c r="U42" s="26">
        <f>IF($R42="Manual","",IFERROR(IF($R42="YOY Growth",$N42*(1+$T42)/12,$S42/12),""))+15000</f>
        <v>20000</v>
      </c>
      <c r="V42" s="26">
        <f t="shared" ref="V42:AF42" si="53">IF($R42="Manual","",IFERROR(IF($R42="YOY Growth",$N42*(1+$T42)/12,$S42/12),""))</f>
        <v>5000</v>
      </c>
      <c r="W42" s="26">
        <f t="shared" si="53"/>
        <v>5000</v>
      </c>
      <c r="X42" s="26">
        <f t="shared" si="53"/>
        <v>5000</v>
      </c>
      <c r="Y42" s="26">
        <f t="shared" si="53"/>
        <v>5000</v>
      </c>
      <c r="Z42" s="26">
        <f t="shared" si="53"/>
        <v>5000</v>
      </c>
      <c r="AA42" s="26">
        <f t="shared" si="53"/>
        <v>5000</v>
      </c>
      <c r="AB42" s="26">
        <f t="shared" si="53"/>
        <v>5000</v>
      </c>
      <c r="AC42" s="26">
        <f t="shared" si="53"/>
        <v>5000</v>
      </c>
      <c r="AD42" s="26">
        <f t="shared" si="53"/>
        <v>5000</v>
      </c>
      <c r="AE42" s="26">
        <f t="shared" si="53"/>
        <v>5000</v>
      </c>
      <c r="AF42" s="26">
        <f t="shared" si="53"/>
        <v>5000</v>
      </c>
      <c r="AG42" s="5">
        <f t="shared" si="41"/>
        <v>75000</v>
      </c>
      <c r="AH42" s="28" t="str">
        <f t="shared" si="42"/>
        <v/>
      </c>
      <c r="AI42" s="4"/>
      <c r="AJ42" s="5">
        <f t="shared" si="43"/>
        <v>-53000</v>
      </c>
    </row>
    <row r="43" ht="13.5" customHeight="1">
      <c r="A43" s="24" t="s">
        <v>68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28"/>
      <c r="P43" s="5"/>
      <c r="Q43" s="5"/>
      <c r="R43" s="36"/>
      <c r="S43" s="36"/>
      <c r="T43" s="36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28"/>
      <c r="AI43" s="4"/>
      <c r="AJ43" s="5"/>
    </row>
    <row r="44" ht="13.5" customHeight="1">
      <c r="A44" s="25" t="s">
        <v>69</v>
      </c>
      <c r="B44" s="5">
        <v>0.0</v>
      </c>
      <c r="C44" s="5">
        <v>0.0</v>
      </c>
      <c r="D44" s="5">
        <v>0.0</v>
      </c>
      <c r="E44" s="5">
        <v>0.0</v>
      </c>
      <c r="F44" s="5">
        <v>0.0</v>
      </c>
      <c r="G44" s="5">
        <v>0.0</v>
      </c>
      <c r="H44" s="5">
        <v>0.0</v>
      </c>
      <c r="I44" s="5">
        <v>0.0</v>
      </c>
      <c r="J44" s="27">
        <v>0.0</v>
      </c>
      <c r="K44" s="27">
        <v>0.0</v>
      </c>
      <c r="L44" s="27">
        <v>0.0</v>
      </c>
      <c r="M44" s="27">
        <v>0.0</v>
      </c>
      <c r="N44" s="5">
        <f t="shared" ref="N44:N50" si="55">SUM(B44:M44)</f>
        <v>0</v>
      </c>
      <c r="O44" s="28">
        <f t="shared" ref="O44:O50" si="56">IFERROR(N44/N$16,"")</f>
        <v>0</v>
      </c>
      <c r="P44" s="5"/>
      <c r="Q44" s="5"/>
      <c r="R44" s="29" t="s">
        <v>34</v>
      </c>
      <c r="S44" s="30">
        <v>0.0</v>
      </c>
      <c r="T44" s="31">
        <v>0.05</v>
      </c>
      <c r="U44" s="26">
        <f t="shared" ref="U44:AF44" si="54">IF($R44="Manual","",IFERROR(IF($R44="YOY Growth",$N44*(1+$T44)/12,$S44/12),""))</f>
        <v>0</v>
      </c>
      <c r="V44" s="26">
        <f t="shared" si="54"/>
        <v>0</v>
      </c>
      <c r="W44" s="26">
        <f t="shared" si="54"/>
        <v>0</v>
      </c>
      <c r="X44" s="26">
        <f t="shared" si="54"/>
        <v>0</v>
      </c>
      <c r="Y44" s="26">
        <f t="shared" si="54"/>
        <v>0</v>
      </c>
      <c r="Z44" s="26">
        <f t="shared" si="54"/>
        <v>0</v>
      </c>
      <c r="AA44" s="26">
        <f t="shared" si="54"/>
        <v>0</v>
      </c>
      <c r="AB44" s="26">
        <f t="shared" si="54"/>
        <v>0</v>
      </c>
      <c r="AC44" s="26">
        <f t="shared" si="54"/>
        <v>0</v>
      </c>
      <c r="AD44" s="26">
        <f t="shared" si="54"/>
        <v>0</v>
      </c>
      <c r="AE44" s="26">
        <f t="shared" si="54"/>
        <v>0</v>
      </c>
      <c r="AF44" s="26">
        <f t="shared" si="54"/>
        <v>0</v>
      </c>
      <c r="AG44" s="5">
        <f t="shared" ref="AG44:AG50" si="58">SUM(U44:AF44)</f>
        <v>0</v>
      </c>
      <c r="AH44" s="28" t="str">
        <f t="shared" ref="AH44:AH50" si="59">IFERROR(AG44/AG$16,"")</f>
        <v/>
      </c>
      <c r="AI44" s="4"/>
      <c r="AJ44" s="5">
        <f t="shared" ref="AJ44:AJ50" si="60">N44-AG44</f>
        <v>0</v>
      </c>
    </row>
    <row r="45" ht="13.5" customHeight="1">
      <c r="A45" s="25" t="s">
        <v>70</v>
      </c>
      <c r="B45" s="5">
        <v>0.0</v>
      </c>
      <c r="C45" s="5">
        <v>0.0</v>
      </c>
      <c r="D45" s="5">
        <v>0.0</v>
      </c>
      <c r="E45" s="5">
        <v>1100.0</v>
      </c>
      <c r="F45" s="5">
        <v>0.0</v>
      </c>
      <c r="G45" s="5">
        <v>0.0</v>
      </c>
      <c r="H45" s="5">
        <v>0.0</v>
      </c>
      <c r="I45" s="5">
        <v>0.0</v>
      </c>
      <c r="J45" s="27">
        <v>0.0</v>
      </c>
      <c r="K45" s="27">
        <v>0.0</v>
      </c>
      <c r="L45" s="27">
        <v>0.0</v>
      </c>
      <c r="M45" s="27">
        <v>0.0</v>
      </c>
      <c r="N45" s="5">
        <f t="shared" si="55"/>
        <v>1100</v>
      </c>
      <c r="O45" s="28">
        <f t="shared" si="56"/>
        <v>0.0001481693101</v>
      </c>
      <c r="P45" s="5"/>
      <c r="Q45" s="5"/>
      <c r="R45" s="29" t="s">
        <v>34</v>
      </c>
      <c r="S45" s="30">
        <v>0.0</v>
      </c>
      <c r="T45" s="31">
        <v>0.05</v>
      </c>
      <c r="U45" s="26">
        <f t="shared" ref="U45:AF45" si="57">IF($R45="Manual","",IFERROR(IF($R45="YOY Growth",$N45*(1+$T45)/12,$S45/12),""))</f>
        <v>0</v>
      </c>
      <c r="V45" s="26">
        <f t="shared" si="57"/>
        <v>0</v>
      </c>
      <c r="W45" s="26">
        <f t="shared" si="57"/>
        <v>0</v>
      </c>
      <c r="X45" s="26">
        <f t="shared" si="57"/>
        <v>0</v>
      </c>
      <c r="Y45" s="26">
        <f t="shared" si="57"/>
        <v>0</v>
      </c>
      <c r="Z45" s="26">
        <f t="shared" si="57"/>
        <v>0</v>
      </c>
      <c r="AA45" s="26">
        <f t="shared" si="57"/>
        <v>0</v>
      </c>
      <c r="AB45" s="26">
        <f t="shared" si="57"/>
        <v>0</v>
      </c>
      <c r="AC45" s="26">
        <f t="shared" si="57"/>
        <v>0</v>
      </c>
      <c r="AD45" s="26">
        <f t="shared" si="57"/>
        <v>0</v>
      </c>
      <c r="AE45" s="26">
        <f t="shared" si="57"/>
        <v>0</v>
      </c>
      <c r="AF45" s="26">
        <f t="shared" si="57"/>
        <v>0</v>
      </c>
      <c r="AG45" s="5">
        <f t="shared" si="58"/>
        <v>0</v>
      </c>
      <c r="AH45" s="28" t="str">
        <f t="shared" si="59"/>
        <v/>
      </c>
      <c r="AI45" s="4"/>
      <c r="AJ45" s="5">
        <f t="shared" si="60"/>
        <v>1100</v>
      </c>
    </row>
    <row r="46" ht="13.5" customHeight="1">
      <c r="A46" s="25" t="s">
        <v>71</v>
      </c>
      <c r="B46" s="5">
        <v>0.0</v>
      </c>
      <c r="C46" s="5">
        <v>0.0</v>
      </c>
      <c r="D46" s="5">
        <v>0.0</v>
      </c>
      <c r="E46" s="5">
        <v>0.0</v>
      </c>
      <c r="F46" s="5">
        <v>0.0</v>
      </c>
      <c r="G46" s="5">
        <v>0.0</v>
      </c>
      <c r="H46" s="5">
        <v>0.0</v>
      </c>
      <c r="I46" s="5">
        <v>0.0</v>
      </c>
      <c r="J46" s="27">
        <v>0.0</v>
      </c>
      <c r="K46" s="27">
        <v>0.0</v>
      </c>
      <c r="L46" s="27">
        <v>0.0</v>
      </c>
      <c r="M46" s="27">
        <v>0.0</v>
      </c>
      <c r="N46" s="5">
        <f t="shared" si="55"/>
        <v>0</v>
      </c>
      <c r="O46" s="28">
        <f t="shared" si="56"/>
        <v>0</v>
      </c>
      <c r="P46" s="5"/>
      <c r="Q46" s="5"/>
      <c r="R46" s="29" t="s">
        <v>34</v>
      </c>
      <c r="S46" s="38"/>
      <c r="T46" s="31">
        <v>0.05</v>
      </c>
      <c r="U46" s="26">
        <f t="shared" ref="U46:X46" si="61">IF($R46="Manual","",IFERROR(IF($R46="YOY Growth",$N46*(1+$T46)/12,$S46/12),""))</f>
        <v>0</v>
      </c>
      <c r="V46" s="26">
        <f t="shared" si="61"/>
        <v>0</v>
      </c>
      <c r="W46" s="26">
        <f t="shared" si="61"/>
        <v>0</v>
      </c>
      <c r="X46" s="26">
        <f t="shared" si="61"/>
        <v>0</v>
      </c>
      <c r="Y46" s="26">
        <f t="shared" ref="Y46:AF46" si="62">IF($R46="Manual","",IFERROR(IF($R46="YOY Growth",$N46*(1+$T46)/12,$S46/12),""))*Y146</f>
        <v>0</v>
      </c>
      <c r="Z46" s="26">
        <f t="shared" si="62"/>
        <v>0</v>
      </c>
      <c r="AA46" s="26">
        <f t="shared" si="62"/>
        <v>0</v>
      </c>
      <c r="AB46" s="26">
        <f t="shared" si="62"/>
        <v>0</v>
      </c>
      <c r="AC46" s="26">
        <f t="shared" si="62"/>
        <v>0</v>
      </c>
      <c r="AD46" s="26">
        <f t="shared" si="62"/>
        <v>0</v>
      </c>
      <c r="AE46" s="26">
        <f t="shared" si="62"/>
        <v>0</v>
      </c>
      <c r="AF46" s="26">
        <f t="shared" si="62"/>
        <v>0</v>
      </c>
      <c r="AG46" s="5">
        <f t="shared" si="58"/>
        <v>0</v>
      </c>
      <c r="AH46" s="28" t="str">
        <f t="shared" si="59"/>
        <v/>
      </c>
      <c r="AI46" s="4"/>
      <c r="AJ46" s="5">
        <f t="shared" si="60"/>
        <v>0</v>
      </c>
    </row>
    <row r="47" ht="13.5" customHeight="1">
      <c r="A47" s="25" t="s">
        <v>72</v>
      </c>
      <c r="B47" s="5">
        <v>1101.49</v>
      </c>
      <c r="C47" s="5">
        <v>14250.32</v>
      </c>
      <c r="D47" s="5">
        <v>4902.73</v>
      </c>
      <c r="E47" s="5">
        <v>97.11</v>
      </c>
      <c r="F47" s="5">
        <v>17369.79</v>
      </c>
      <c r="G47" s="5">
        <v>20676.3</v>
      </c>
      <c r="H47" s="5">
        <v>1239.24</v>
      </c>
      <c r="I47" s="5">
        <v>0.0</v>
      </c>
      <c r="J47" s="27">
        <v>1000.0</v>
      </c>
      <c r="K47" s="27">
        <v>1000.0</v>
      </c>
      <c r="L47" s="27">
        <v>1000.0</v>
      </c>
      <c r="M47" s="27">
        <v>1000.0</v>
      </c>
      <c r="N47" s="5">
        <f t="shared" si="55"/>
        <v>63636.98</v>
      </c>
      <c r="O47" s="28">
        <f t="shared" si="56"/>
        <v>0.008571861291</v>
      </c>
      <c r="P47" s="5"/>
      <c r="Q47" s="5"/>
      <c r="R47" s="37" t="s">
        <v>34</v>
      </c>
      <c r="S47" s="38">
        <v>30000.0</v>
      </c>
      <c r="T47" s="31">
        <v>0.05</v>
      </c>
      <c r="U47" s="26">
        <f t="shared" ref="U47:X47" si="63">IF($R47="Manual","",IFERROR(IF($R47="YOY Growth",$N47*(1+$T47)/12,$S47/12),""))</f>
        <v>2500</v>
      </c>
      <c r="V47" s="26">
        <f t="shared" si="63"/>
        <v>2500</v>
      </c>
      <c r="W47" s="26">
        <f t="shared" si="63"/>
        <v>2500</v>
      </c>
      <c r="X47" s="26">
        <f t="shared" si="63"/>
        <v>2500</v>
      </c>
      <c r="Y47" s="26">
        <f t="shared" ref="Y47:AF47" si="64">IF($R47="Manual","",IFERROR(IF($R47="YOY Growth",$N47*(1+$T47)/12,$S47/12),""))*Y146</f>
        <v>2625</v>
      </c>
      <c r="Z47" s="26">
        <f t="shared" si="64"/>
        <v>2750</v>
      </c>
      <c r="AA47" s="26">
        <f t="shared" si="64"/>
        <v>2875</v>
      </c>
      <c r="AB47" s="26">
        <f t="shared" si="64"/>
        <v>3000</v>
      </c>
      <c r="AC47" s="26">
        <f t="shared" si="64"/>
        <v>3125</v>
      </c>
      <c r="AD47" s="26">
        <f t="shared" si="64"/>
        <v>3250</v>
      </c>
      <c r="AE47" s="26">
        <f t="shared" si="64"/>
        <v>3375</v>
      </c>
      <c r="AF47" s="26">
        <f t="shared" si="64"/>
        <v>3500</v>
      </c>
      <c r="AG47" s="5">
        <f t="shared" si="58"/>
        <v>34500</v>
      </c>
      <c r="AH47" s="28" t="str">
        <f t="shared" si="59"/>
        <v/>
      </c>
      <c r="AI47" s="4"/>
      <c r="AJ47" s="5">
        <f t="shared" si="60"/>
        <v>29136.98</v>
      </c>
    </row>
    <row r="48" ht="13.5" customHeight="1">
      <c r="A48" s="25" t="s">
        <v>73</v>
      </c>
      <c r="B48" s="5">
        <v>1745.99</v>
      </c>
      <c r="C48" s="5">
        <v>1595.0</v>
      </c>
      <c r="D48" s="5">
        <v>0.0</v>
      </c>
      <c r="E48" s="5">
        <v>0.0</v>
      </c>
      <c r="F48" s="5">
        <v>0.0</v>
      </c>
      <c r="G48" s="5">
        <v>0.0</v>
      </c>
      <c r="H48" s="5">
        <v>0.0</v>
      </c>
      <c r="I48" s="5">
        <v>0.0</v>
      </c>
      <c r="J48" s="27">
        <v>0.0</v>
      </c>
      <c r="K48" s="27">
        <v>0.0</v>
      </c>
      <c r="L48" s="27">
        <v>0.0</v>
      </c>
      <c r="M48" s="27">
        <v>0.0</v>
      </c>
      <c r="N48" s="5">
        <f t="shared" si="55"/>
        <v>3340.99</v>
      </c>
      <c r="O48" s="28">
        <f t="shared" si="56"/>
        <v>0.0004500292574</v>
      </c>
      <c r="P48" s="5"/>
      <c r="Q48" s="5"/>
      <c r="R48" s="29" t="s">
        <v>34</v>
      </c>
      <c r="S48" s="30">
        <v>0.0</v>
      </c>
      <c r="T48" s="31">
        <v>0.05</v>
      </c>
      <c r="U48" s="26">
        <f t="shared" ref="U48:AF48" si="65">IF($R48="Manual","",IFERROR(IF($R48="YOY Growth",$N48*(1+$T48)/12,$S48/12),""))</f>
        <v>0</v>
      </c>
      <c r="V48" s="26">
        <f t="shared" si="65"/>
        <v>0</v>
      </c>
      <c r="W48" s="26">
        <f t="shared" si="65"/>
        <v>0</v>
      </c>
      <c r="X48" s="26">
        <f t="shared" si="65"/>
        <v>0</v>
      </c>
      <c r="Y48" s="26">
        <f t="shared" si="65"/>
        <v>0</v>
      </c>
      <c r="Z48" s="26">
        <f t="shared" si="65"/>
        <v>0</v>
      </c>
      <c r="AA48" s="26">
        <f t="shared" si="65"/>
        <v>0</v>
      </c>
      <c r="AB48" s="26">
        <f t="shared" si="65"/>
        <v>0</v>
      </c>
      <c r="AC48" s="26">
        <f t="shared" si="65"/>
        <v>0</v>
      </c>
      <c r="AD48" s="26">
        <f t="shared" si="65"/>
        <v>0</v>
      </c>
      <c r="AE48" s="26">
        <f t="shared" si="65"/>
        <v>0</v>
      </c>
      <c r="AF48" s="26">
        <f t="shared" si="65"/>
        <v>0</v>
      </c>
      <c r="AG48" s="5">
        <f t="shared" si="58"/>
        <v>0</v>
      </c>
      <c r="AH48" s="28" t="str">
        <f t="shared" si="59"/>
        <v/>
      </c>
      <c r="AI48" s="4"/>
      <c r="AJ48" s="5">
        <f t="shared" si="60"/>
        <v>3340.99</v>
      </c>
    </row>
    <row r="49" ht="13.5" customHeight="1">
      <c r="A49" s="25" t="s">
        <v>74</v>
      </c>
      <c r="B49" s="5">
        <v>0.0</v>
      </c>
      <c r="C49" s="5">
        <v>0.0</v>
      </c>
      <c r="D49" s="5">
        <v>0.0</v>
      </c>
      <c r="E49" s="5">
        <v>0.0</v>
      </c>
      <c r="F49" s="5">
        <v>0.0</v>
      </c>
      <c r="G49" s="5">
        <v>0.0</v>
      </c>
      <c r="H49" s="5">
        <v>0.0</v>
      </c>
      <c r="I49" s="5">
        <v>0.0</v>
      </c>
      <c r="J49" s="27">
        <v>0.0</v>
      </c>
      <c r="K49" s="27">
        <v>0.0</v>
      </c>
      <c r="L49" s="27">
        <v>0.0</v>
      </c>
      <c r="M49" s="27">
        <v>0.0</v>
      </c>
      <c r="N49" s="5">
        <f t="shared" si="55"/>
        <v>0</v>
      </c>
      <c r="O49" s="28">
        <f t="shared" si="56"/>
        <v>0</v>
      </c>
      <c r="P49" s="5"/>
      <c r="Q49" s="5"/>
      <c r="R49" s="29" t="s">
        <v>34</v>
      </c>
      <c r="S49" s="30">
        <v>0.0</v>
      </c>
      <c r="T49" s="31">
        <v>0.05</v>
      </c>
      <c r="U49" s="26">
        <f t="shared" ref="U49:AF49" si="66">IF($R49="Manual","",IFERROR(IF($R49="YOY Growth",$N49*(1+$T49)/12,$S49/12),""))</f>
        <v>0</v>
      </c>
      <c r="V49" s="26">
        <f t="shared" si="66"/>
        <v>0</v>
      </c>
      <c r="W49" s="26">
        <f t="shared" si="66"/>
        <v>0</v>
      </c>
      <c r="X49" s="26">
        <f t="shared" si="66"/>
        <v>0</v>
      </c>
      <c r="Y49" s="26">
        <f t="shared" si="66"/>
        <v>0</v>
      </c>
      <c r="Z49" s="26">
        <f t="shared" si="66"/>
        <v>0</v>
      </c>
      <c r="AA49" s="26">
        <f t="shared" si="66"/>
        <v>0</v>
      </c>
      <c r="AB49" s="26">
        <f t="shared" si="66"/>
        <v>0</v>
      </c>
      <c r="AC49" s="26">
        <f t="shared" si="66"/>
        <v>0</v>
      </c>
      <c r="AD49" s="26">
        <f t="shared" si="66"/>
        <v>0</v>
      </c>
      <c r="AE49" s="26">
        <f t="shared" si="66"/>
        <v>0</v>
      </c>
      <c r="AF49" s="26">
        <f t="shared" si="66"/>
        <v>0</v>
      </c>
      <c r="AG49" s="5">
        <f t="shared" si="58"/>
        <v>0</v>
      </c>
      <c r="AH49" s="28" t="str">
        <f t="shared" si="59"/>
        <v/>
      </c>
      <c r="AI49" s="4"/>
      <c r="AJ49" s="5">
        <f t="shared" si="60"/>
        <v>0</v>
      </c>
    </row>
    <row r="50" ht="13.5" customHeight="1">
      <c r="A50" s="25" t="s">
        <v>75</v>
      </c>
      <c r="B50" s="5">
        <v>0.0</v>
      </c>
      <c r="C50" s="5">
        <v>0.0</v>
      </c>
      <c r="D50" s="5">
        <v>0.0</v>
      </c>
      <c r="E50" s="5">
        <v>0.0</v>
      </c>
      <c r="F50" s="5">
        <v>0.0</v>
      </c>
      <c r="G50" s="5">
        <v>0.0</v>
      </c>
      <c r="H50" s="5">
        <v>0.0</v>
      </c>
      <c r="I50" s="5">
        <v>0.0</v>
      </c>
      <c r="J50" s="27">
        <v>0.0</v>
      </c>
      <c r="K50" s="27">
        <v>0.0</v>
      </c>
      <c r="L50" s="27">
        <v>0.0</v>
      </c>
      <c r="M50" s="27">
        <v>0.0</v>
      </c>
      <c r="N50" s="5">
        <f t="shared" si="55"/>
        <v>0</v>
      </c>
      <c r="O50" s="28">
        <f t="shared" si="56"/>
        <v>0</v>
      </c>
      <c r="P50" s="5"/>
      <c r="Q50" s="5"/>
      <c r="R50" s="29" t="s">
        <v>34</v>
      </c>
      <c r="S50" s="30">
        <v>0.0</v>
      </c>
      <c r="T50" s="31">
        <v>0.05</v>
      </c>
      <c r="U50" s="26">
        <f t="shared" ref="U50:AF50" si="67">IF($R50="Manual","",IFERROR(IF($R50="YOY Growth",$N50*(1+$T50)/12,$S50/12),""))</f>
        <v>0</v>
      </c>
      <c r="V50" s="26">
        <f t="shared" si="67"/>
        <v>0</v>
      </c>
      <c r="W50" s="26">
        <f t="shared" si="67"/>
        <v>0</v>
      </c>
      <c r="X50" s="26">
        <f t="shared" si="67"/>
        <v>0</v>
      </c>
      <c r="Y50" s="26">
        <f t="shared" si="67"/>
        <v>0</v>
      </c>
      <c r="Z50" s="26">
        <f t="shared" si="67"/>
        <v>0</v>
      </c>
      <c r="AA50" s="26">
        <f t="shared" si="67"/>
        <v>0</v>
      </c>
      <c r="AB50" s="26">
        <f t="shared" si="67"/>
        <v>0</v>
      </c>
      <c r="AC50" s="26">
        <f t="shared" si="67"/>
        <v>0</v>
      </c>
      <c r="AD50" s="26">
        <f t="shared" si="67"/>
        <v>0</v>
      </c>
      <c r="AE50" s="26">
        <f t="shared" si="67"/>
        <v>0</v>
      </c>
      <c r="AF50" s="26">
        <f t="shared" si="67"/>
        <v>0</v>
      </c>
      <c r="AG50" s="5">
        <f t="shared" si="58"/>
        <v>0</v>
      </c>
      <c r="AH50" s="28" t="str">
        <f t="shared" si="59"/>
        <v/>
      </c>
      <c r="AI50" s="4"/>
      <c r="AJ50" s="5">
        <f t="shared" si="60"/>
        <v>0</v>
      </c>
    </row>
    <row r="51" ht="13.5" customHeight="1">
      <c r="A51" s="24" t="s">
        <v>76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28"/>
      <c r="P51" s="5"/>
      <c r="Q51" s="5"/>
      <c r="R51" s="36"/>
      <c r="S51" s="36"/>
      <c r="T51" s="36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28"/>
      <c r="AI51" s="4"/>
      <c r="AJ51" s="5"/>
    </row>
    <row r="52" ht="13.5" customHeight="1">
      <c r="A52" s="25" t="s">
        <v>77</v>
      </c>
      <c r="B52" s="5">
        <v>0.0</v>
      </c>
      <c r="C52" s="5">
        <v>11274.7</v>
      </c>
      <c r="D52" s="5">
        <v>0.0</v>
      </c>
      <c r="E52" s="5">
        <v>0.0</v>
      </c>
      <c r="F52" s="5">
        <v>0.0</v>
      </c>
      <c r="G52" s="5">
        <v>0.0</v>
      </c>
      <c r="H52" s="5">
        <v>0.0</v>
      </c>
      <c r="I52" s="5">
        <v>0.0</v>
      </c>
      <c r="J52" s="27">
        <v>0.0</v>
      </c>
      <c r="K52" s="27">
        <v>0.0</v>
      </c>
      <c r="L52" s="27">
        <v>0.0</v>
      </c>
      <c r="M52" s="27">
        <v>0.0</v>
      </c>
      <c r="N52" s="5">
        <f t="shared" ref="N52:N56" si="68">SUM(B52:M52)</f>
        <v>11274.7</v>
      </c>
      <c r="O52" s="28">
        <f t="shared" ref="O52:O56" si="69">IFERROR(N52/N$16,"")</f>
        <v>0.001518695018</v>
      </c>
      <c r="P52" s="5"/>
      <c r="Q52" s="5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5">
        <f t="shared" ref="AG52:AG56" si="70">SUM(U52:AF52)</f>
        <v>0</v>
      </c>
      <c r="AH52" s="28" t="str">
        <f t="shared" ref="AH52:AH56" si="71">IFERROR(AG52/AG$16,"")</f>
        <v/>
      </c>
      <c r="AI52" s="4"/>
      <c r="AJ52" s="5">
        <f t="shared" ref="AJ52:AJ56" si="72">N52-AG52</f>
        <v>11274.7</v>
      </c>
    </row>
    <row r="53" ht="13.5" customHeight="1">
      <c r="A53" s="25" t="s">
        <v>78</v>
      </c>
      <c r="B53" s="5">
        <v>0.0</v>
      </c>
      <c r="C53" s="5">
        <v>0.0</v>
      </c>
      <c r="D53" s="5">
        <v>0.0</v>
      </c>
      <c r="E53" s="5">
        <v>0.0</v>
      </c>
      <c r="F53" s="5">
        <v>0.0</v>
      </c>
      <c r="G53" s="5">
        <v>0.0</v>
      </c>
      <c r="H53" s="5">
        <v>0.0</v>
      </c>
      <c r="I53" s="5">
        <v>0.0</v>
      </c>
      <c r="J53" s="27">
        <v>0.0</v>
      </c>
      <c r="K53" s="27">
        <v>0.0</v>
      </c>
      <c r="L53" s="27">
        <v>0.0</v>
      </c>
      <c r="M53" s="27">
        <v>0.0</v>
      </c>
      <c r="N53" s="5">
        <f t="shared" si="68"/>
        <v>0</v>
      </c>
      <c r="O53" s="28">
        <f t="shared" si="69"/>
        <v>0</v>
      </c>
      <c r="P53" s="5"/>
      <c r="Q53" s="5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5">
        <f t="shared" si="70"/>
        <v>0</v>
      </c>
      <c r="AH53" s="28" t="str">
        <f t="shared" si="71"/>
        <v/>
      </c>
      <c r="AI53" s="4"/>
      <c r="AJ53" s="5">
        <f t="shared" si="72"/>
        <v>0</v>
      </c>
    </row>
    <row r="54" ht="13.5" customHeight="1">
      <c r="A54" s="25" t="s">
        <v>79</v>
      </c>
      <c r="B54" s="5">
        <v>647.35</v>
      </c>
      <c r="C54" s="5">
        <v>0.0</v>
      </c>
      <c r="D54" s="5">
        <v>0.0</v>
      </c>
      <c r="E54" s="5">
        <v>0.0</v>
      </c>
      <c r="F54" s="5">
        <v>0.0</v>
      </c>
      <c r="G54" s="5">
        <v>0.0</v>
      </c>
      <c r="H54" s="5">
        <v>0.0</v>
      </c>
      <c r="I54" s="5">
        <v>0.0</v>
      </c>
      <c r="J54" s="27">
        <v>0.0</v>
      </c>
      <c r="K54" s="27">
        <v>0.0</v>
      </c>
      <c r="L54" s="27">
        <v>0.0</v>
      </c>
      <c r="M54" s="27">
        <v>0.0</v>
      </c>
      <c r="N54" s="5">
        <f t="shared" si="68"/>
        <v>647.35</v>
      </c>
      <c r="O54" s="28">
        <f t="shared" si="69"/>
        <v>0.00008719763897</v>
      </c>
      <c r="P54" s="5"/>
      <c r="Q54" s="5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5">
        <f t="shared" si="70"/>
        <v>0</v>
      </c>
      <c r="AH54" s="28" t="str">
        <f t="shared" si="71"/>
        <v/>
      </c>
      <c r="AI54" s="4"/>
      <c r="AJ54" s="5">
        <f t="shared" si="72"/>
        <v>647.35</v>
      </c>
    </row>
    <row r="55" ht="13.5" customHeight="1">
      <c r="A55" s="33" t="s">
        <v>80</v>
      </c>
      <c r="B55" s="34">
        <f t="shared" ref="B55:M55" si="73">SUM(B52:B54)</f>
        <v>647.35</v>
      </c>
      <c r="C55" s="34">
        <f t="shared" si="73"/>
        <v>11274.7</v>
      </c>
      <c r="D55" s="34">
        <f t="shared" si="73"/>
        <v>0</v>
      </c>
      <c r="E55" s="34">
        <f t="shared" si="73"/>
        <v>0</v>
      </c>
      <c r="F55" s="34">
        <f t="shared" si="73"/>
        <v>0</v>
      </c>
      <c r="G55" s="34">
        <f t="shared" si="73"/>
        <v>0</v>
      </c>
      <c r="H55" s="34">
        <f t="shared" si="73"/>
        <v>0</v>
      </c>
      <c r="I55" s="34">
        <f t="shared" si="73"/>
        <v>0</v>
      </c>
      <c r="J55" s="34">
        <f t="shared" si="73"/>
        <v>0</v>
      </c>
      <c r="K55" s="34">
        <f t="shared" si="73"/>
        <v>0</v>
      </c>
      <c r="L55" s="34">
        <f t="shared" si="73"/>
        <v>0</v>
      </c>
      <c r="M55" s="34">
        <f t="shared" si="73"/>
        <v>0</v>
      </c>
      <c r="N55" s="34">
        <f t="shared" si="68"/>
        <v>11922.05</v>
      </c>
      <c r="O55" s="35">
        <f t="shared" si="69"/>
        <v>0.001605892657</v>
      </c>
      <c r="P55" s="5"/>
      <c r="Q55" s="5"/>
      <c r="R55" s="45"/>
      <c r="S55" s="45"/>
      <c r="T55" s="45"/>
      <c r="U55" s="34">
        <f t="shared" ref="U55:AF55" si="74">SUM(U52:U54)</f>
        <v>0</v>
      </c>
      <c r="V55" s="34">
        <f t="shared" si="74"/>
        <v>0</v>
      </c>
      <c r="W55" s="34">
        <f t="shared" si="74"/>
        <v>0</v>
      </c>
      <c r="X55" s="34">
        <f t="shared" si="74"/>
        <v>0</v>
      </c>
      <c r="Y55" s="34">
        <f t="shared" si="74"/>
        <v>0</v>
      </c>
      <c r="Z55" s="34">
        <f t="shared" si="74"/>
        <v>0</v>
      </c>
      <c r="AA55" s="34">
        <f t="shared" si="74"/>
        <v>0</v>
      </c>
      <c r="AB55" s="34">
        <f t="shared" si="74"/>
        <v>0</v>
      </c>
      <c r="AC55" s="34">
        <f t="shared" si="74"/>
        <v>0</v>
      </c>
      <c r="AD55" s="34">
        <f t="shared" si="74"/>
        <v>0</v>
      </c>
      <c r="AE55" s="34">
        <f t="shared" si="74"/>
        <v>0</v>
      </c>
      <c r="AF55" s="34">
        <f t="shared" si="74"/>
        <v>0</v>
      </c>
      <c r="AG55" s="34">
        <f t="shared" si="70"/>
        <v>0</v>
      </c>
      <c r="AH55" s="35" t="str">
        <f t="shared" si="71"/>
        <v/>
      </c>
      <c r="AI55" s="4"/>
      <c r="AJ55" s="34">
        <f t="shared" si="72"/>
        <v>11922.05</v>
      </c>
    </row>
    <row r="56" ht="13.5" customHeight="1">
      <c r="A56" s="33" t="s">
        <v>81</v>
      </c>
      <c r="B56" s="34">
        <f t="shared" ref="B56:M56" si="75">B44+B45+B46+B47+B48+B49+B50+B55</f>
        <v>3494.83</v>
      </c>
      <c r="C56" s="34">
        <f t="shared" si="75"/>
        <v>27120.02</v>
      </c>
      <c r="D56" s="34">
        <f t="shared" si="75"/>
        <v>4902.73</v>
      </c>
      <c r="E56" s="34">
        <f t="shared" si="75"/>
        <v>1197.11</v>
      </c>
      <c r="F56" s="34">
        <f t="shared" si="75"/>
        <v>17369.79</v>
      </c>
      <c r="G56" s="34">
        <f t="shared" si="75"/>
        <v>20676.3</v>
      </c>
      <c r="H56" s="34">
        <f t="shared" si="75"/>
        <v>1239.24</v>
      </c>
      <c r="I56" s="34">
        <f t="shared" si="75"/>
        <v>0</v>
      </c>
      <c r="J56" s="34">
        <f t="shared" si="75"/>
        <v>1000</v>
      </c>
      <c r="K56" s="34">
        <f t="shared" si="75"/>
        <v>1000</v>
      </c>
      <c r="L56" s="34">
        <f t="shared" si="75"/>
        <v>1000</v>
      </c>
      <c r="M56" s="34">
        <f t="shared" si="75"/>
        <v>1000</v>
      </c>
      <c r="N56" s="34">
        <f t="shared" si="68"/>
        <v>80000.02</v>
      </c>
      <c r="O56" s="35">
        <f t="shared" si="69"/>
        <v>0.01077595252</v>
      </c>
      <c r="P56" s="5"/>
      <c r="Q56" s="5"/>
      <c r="R56" s="36"/>
      <c r="S56" s="36"/>
      <c r="T56" s="36"/>
      <c r="U56" s="34">
        <f t="shared" ref="U56:AF56" si="76">U44+U45+U46+U47+U48+U49+U50+U55</f>
        <v>2500</v>
      </c>
      <c r="V56" s="34">
        <f t="shared" si="76"/>
        <v>2500</v>
      </c>
      <c r="W56" s="34">
        <f t="shared" si="76"/>
        <v>2500</v>
      </c>
      <c r="X56" s="34">
        <f t="shared" si="76"/>
        <v>2500</v>
      </c>
      <c r="Y56" s="34">
        <f t="shared" si="76"/>
        <v>2625</v>
      </c>
      <c r="Z56" s="34">
        <f t="shared" si="76"/>
        <v>2750</v>
      </c>
      <c r="AA56" s="34">
        <f t="shared" si="76"/>
        <v>2875</v>
      </c>
      <c r="AB56" s="34">
        <f t="shared" si="76"/>
        <v>3000</v>
      </c>
      <c r="AC56" s="34">
        <f t="shared" si="76"/>
        <v>3125</v>
      </c>
      <c r="AD56" s="34">
        <f t="shared" si="76"/>
        <v>3250</v>
      </c>
      <c r="AE56" s="34">
        <f t="shared" si="76"/>
        <v>3375</v>
      </c>
      <c r="AF56" s="34">
        <f t="shared" si="76"/>
        <v>3500</v>
      </c>
      <c r="AG56" s="34">
        <f t="shared" si="70"/>
        <v>34500</v>
      </c>
      <c r="AH56" s="35" t="str">
        <f t="shared" si="71"/>
        <v/>
      </c>
      <c r="AI56" s="4"/>
      <c r="AJ56" s="34">
        <f t="shared" si="72"/>
        <v>45500.02</v>
      </c>
    </row>
    <row r="57" ht="13.5" customHeight="1">
      <c r="A57" s="24" t="s">
        <v>82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28"/>
      <c r="P57" s="5"/>
      <c r="Q57" s="5"/>
      <c r="R57" s="36"/>
      <c r="S57" s="36"/>
      <c r="T57" s="36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28"/>
      <c r="AI57" s="4"/>
      <c r="AJ57" s="5"/>
    </row>
    <row r="58" ht="13.5" customHeight="1">
      <c r="A58" s="25" t="s">
        <v>83</v>
      </c>
      <c r="B58" s="5">
        <v>1020.0</v>
      </c>
      <c r="C58" s="5">
        <v>0.0</v>
      </c>
      <c r="D58" s="5">
        <v>0.0</v>
      </c>
      <c r="E58" s="5">
        <v>0.0</v>
      </c>
      <c r="F58" s="5">
        <v>0.0</v>
      </c>
      <c r="G58" s="5">
        <v>119.99</v>
      </c>
      <c r="H58" s="5">
        <v>0.0</v>
      </c>
      <c r="I58" s="5">
        <v>0.0</v>
      </c>
      <c r="J58" s="27">
        <v>0.0</v>
      </c>
      <c r="K58" s="27">
        <v>0.0</v>
      </c>
      <c r="L58" s="27">
        <v>0.0</v>
      </c>
      <c r="M58" s="27">
        <v>0.0</v>
      </c>
      <c r="N58" s="5">
        <f t="shared" ref="N58:N64" si="78">SUM(B58:M58)</f>
        <v>1139.99</v>
      </c>
      <c r="O58" s="28">
        <f t="shared" ref="O58:O64" si="79">IFERROR(N58/N$16,"")</f>
        <v>0.000153555938</v>
      </c>
      <c r="P58" s="5"/>
      <c r="Q58" s="5"/>
      <c r="R58" s="29" t="s">
        <v>34</v>
      </c>
      <c r="S58" s="30">
        <v>0.0</v>
      </c>
      <c r="T58" s="31">
        <v>0.05</v>
      </c>
      <c r="U58" s="26">
        <f t="shared" ref="U58:AF58" si="77">IF($R58="Manual","",IFERROR(IF($R58="YOY Growth",$N58*(1+$T58)/12,$S58/12),""))</f>
        <v>0</v>
      </c>
      <c r="V58" s="26">
        <f t="shared" si="77"/>
        <v>0</v>
      </c>
      <c r="W58" s="26">
        <f t="shared" si="77"/>
        <v>0</v>
      </c>
      <c r="X58" s="26">
        <f t="shared" si="77"/>
        <v>0</v>
      </c>
      <c r="Y58" s="26">
        <f t="shared" si="77"/>
        <v>0</v>
      </c>
      <c r="Z58" s="26">
        <f t="shared" si="77"/>
        <v>0</v>
      </c>
      <c r="AA58" s="26">
        <f t="shared" si="77"/>
        <v>0</v>
      </c>
      <c r="AB58" s="26">
        <f t="shared" si="77"/>
        <v>0</v>
      </c>
      <c r="AC58" s="26">
        <f t="shared" si="77"/>
        <v>0</v>
      </c>
      <c r="AD58" s="26">
        <f t="shared" si="77"/>
        <v>0</v>
      </c>
      <c r="AE58" s="26">
        <f t="shared" si="77"/>
        <v>0</v>
      </c>
      <c r="AF58" s="26">
        <f t="shared" si="77"/>
        <v>0</v>
      </c>
      <c r="AG58" s="5">
        <f t="shared" ref="AG58:AG64" si="81">SUM(U58:AF58)</f>
        <v>0</v>
      </c>
      <c r="AH58" s="28" t="str">
        <f t="shared" ref="AH58:AH64" si="82">IFERROR(AG58/AG$16,"")</f>
        <v/>
      </c>
      <c r="AI58" s="4"/>
      <c r="AJ58" s="5">
        <f t="shared" ref="AJ58:AJ63" si="83">N58-AG58</f>
        <v>1139.99</v>
      </c>
    </row>
    <row r="59" ht="13.5" customHeight="1">
      <c r="A59" s="25" t="s">
        <v>84</v>
      </c>
      <c r="B59" s="5">
        <v>0.0</v>
      </c>
      <c r="C59" s="5">
        <v>0.0</v>
      </c>
      <c r="D59" s="5">
        <v>0.0</v>
      </c>
      <c r="E59" s="5">
        <v>0.0</v>
      </c>
      <c r="F59" s="5">
        <v>119.9</v>
      </c>
      <c r="G59" s="5">
        <v>0.0</v>
      </c>
      <c r="H59" s="5">
        <v>59.95</v>
      </c>
      <c r="I59" s="5">
        <v>0.0</v>
      </c>
      <c r="J59" s="27">
        <v>40.0</v>
      </c>
      <c r="K59" s="27">
        <v>40.0</v>
      </c>
      <c r="L59" s="27">
        <v>40.0</v>
      </c>
      <c r="M59" s="27">
        <v>40.0</v>
      </c>
      <c r="N59" s="5">
        <f t="shared" si="78"/>
        <v>339.85</v>
      </c>
      <c r="O59" s="28">
        <f t="shared" si="79"/>
        <v>0.00004577758184</v>
      </c>
      <c r="P59" s="5"/>
      <c r="Q59" s="5"/>
      <c r="R59" s="29" t="s">
        <v>34</v>
      </c>
      <c r="S59" s="38">
        <v>500.0</v>
      </c>
      <c r="T59" s="31">
        <v>0.05</v>
      </c>
      <c r="U59" s="26">
        <f t="shared" ref="U59:AF59" si="80">IF($R59="Manual","",IFERROR(IF($R59="YOY Growth",$N59*(1+$T59)/12,$S59/12),""))</f>
        <v>41.66666667</v>
      </c>
      <c r="V59" s="26">
        <f t="shared" si="80"/>
        <v>41.66666667</v>
      </c>
      <c r="W59" s="26">
        <f t="shared" si="80"/>
        <v>41.66666667</v>
      </c>
      <c r="X59" s="26">
        <f t="shared" si="80"/>
        <v>41.66666667</v>
      </c>
      <c r="Y59" s="26">
        <f t="shared" si="80"/>
        <v>41.66666667</v>
      </c>
      <c r="Z59" s="26">
        <f t="shared" si="80"/>
        <v>41.66666667</v>
      </c>
      <c r="AA59" s="26">
        <f t="shared" si="80"/>
        <v>41.66666667</v>
      </c>
      <c r="AB59" s="26">
        <f t="shared" si="80"/>
        <v>41.66666667</v>
      </c>
      <c r="AC59" s="26">
        <f t="shared" si="80"/>
        <v>41.66666667</v>
      </c>
      <c r="AD59" s="26">
        <f t="shared" si="80"/>
        <v>41.66666667</v>
      </c>
      <c r="AE59" s="26">
        <f t="shared" si="80"/>
        <v>41.66666667</v>
      </c>
      <c r="AF59" s="26">
        <f t="shared" si="80"/>
        <v>41.66666667</v>
      </c>
      <c r="AG59" s="5">
        <f t="shared" si="81"/>
        <v>500</v>
      </c>
      <c r="AH59" s="28" t="str">
        <f t="shared" si="82"/>
        <v/>
      </c>
      <c r="AI59" s="4"/>
      <c r="AJ59" s="5">
        <f t="shared" si="83"/>
        <v>-160.15</v>
      </c>
    </row>
    <row r="60" ht="13.5" customHeight="1">
      <c r="A60" s="25" t="s">
        <v>85</v>
      </c>
      <c r="B60" s="5">
        <v>0.0</v>
      </c>
      <c r="C60" s="5">
        <v>0.0</v>
      </c>
      <c r="D60" s="5">
        <v>0.0</v>
      </c>
      <c r="E60" s="5">
        <v>0.0</v>
      </c>
      <c r="F60" s="5">
        <v>0.0</v>
      </c>
      <c r="G60" s="5">
        <v>0.0</v>
      </c>
      <c r="H60" s="5">
        <v>20.7</v>
      </c>
      <c r="I60" s="5">
        <v>0.0</v>
      </c>
      <c r="J60" s="27">
        <v>0.0</v>
      </c>
      <c r="K60" s="27">
        <v>0.0</v>
      </c>
      <c r="L60" s="27">
        <v>0.0</v>
      </c>
      <c r="M60" s="27">
        <v>0.0</v>
      </c>
      <c r="N60" s="5">
        <f t="shared" si="78"/>
        <v>20.7</v>
      </c>
      <c r="O60" s="28">
        <f t="shared" si="79"/>
        <v>0.000002788277016</v>
      </c>
      <c r="P60" s="5"/>
      <c r="Q60" s="5"/>
      <c r="R60" s="29" t="s">
        <v>34</v>
      </c>
      <c r="S60" s="30">
        <v>0.0</v>
      </c>
      <c r="T60" s="31">
        <v>0.05</v>
      </c>
      <c r="U60" s="26">
        <f t="shared" ref="U60:AF60" si="84">IF($R60="Manual","",IFERROR(IF($R60="YOY Growth",$N60*(1+$T60)/12,$S60/12),""))</f>
        <v>0</v>
      </c>
      <c r="V60" s="26">
        <f t="shared" si="84"/>
        <v>0</v>
      </c>
      <c r="W60" s="26">
        <f t="shared" si="84"/>
        <v>0</v>
      </c>
      <c r="X60" s="26">
        <f t="shared" si="84"/>
        <v>0</v>
      </c>
      <c r="Y60" s="26">
        <f t="shared" si="84"/>
        <v>0</v>
      </c>
      <c r="Z60" s="26">
        <f t="shared" si="84"/>
        <v>0</v>
      </c>
      <c r="AA60" s="26">
        <f t="shared" si="84"/>
        <v>0</v>
      </c>
      <c r="AB60" s="26">
        <f t="shared" si="84"/>
        <v>0</v>
      </c>
      <c r="AC60" s="26">
        <f t="shared" si="84"/>
        <v>0</v>
      </c>
      <c r="AD60" s="26">
        <f t="shared" si="84"/>
        <v>0</v>
      </c>
      <c r="AE60" s="26">
        <f t="shared" si="84"/>
        <v>0</v>
      </c>
      <c r="AF60" s="26">
        <f t="shared" si="84"/>
        <v>0</v>
      </c>
      <c r="AG60" s="5">
        <f t="shared" si="81"/>
        <v>0</v>
      </c>
      <c r="AH60" s="28" t="str">
        <f t="shared" si="82"/>
        <v/>
      </c>
      <c r="AI60" s="4"/>
      <c r="AJ60" s="5">
        <f t="shared" si="83"/>
        <v>20.7</v>
      </c>
    </row>
    <row r="61" ht="13.5" customHeight="1">
      <c r="A61" s="33" t="s">
        <v>86</v>
      </c>
      <c r="B61" s="46">
        <f t="shared" ref="B61:M61" si="85">SUM(B58:B60)</f>
        <v>1020</v>
      </c>
      <c r="C61" s="46">
        <f t="shared" si="85"/>
        <v>0</v>
      </c>
      <c r="D61" s="46">
        <f t="shared" si="85"/>
        <v>0</v>
      </c>
      <c r="E61" s="46">
        <f t="shared" si="85"/>
        <v>0</v>
      </c>
      <c r="F61" s="46">
        <f t="shared" si="85"/>
        <v>119.9</v>
      </c>
      <c r="G61" s="46">
        <f t="shared" si="85"/>
        <v>119.99</v>
      </c>
      <c r="H61" s="46">
        <f t="shared" si="85"/>
        <v>80.65</v>
      </c>
      <c r="I61" s="46">
        <f t="shared" si="85"/>
        <v>0</v>
      </c>
      <c r="J61" s="46">
        <f t="shared" si="85"/>
        <v>40</v>
      </c>
      <c r="K61" s="46">
        <f t="shared" si="85"/>
        <v>40</v>
      </c>
      <c r="L61" s="46">
        <f t="shared" si="85"/>
        <v>40</v>
      </c>
      <c r="M61" s="46">
        <f t="shared" si="85"/>
        <v>40</v>
      </c>
      <c r="N61" s="46">
        <f t="shared" si="78"/>
        <v>1500.54</v>
      </c>
      <c r="O61" s="47">
        <f t="shared" si="79"/>
        <v>0.0002021217968</v>
      </c>
      <c r="P61" s="5"/>
      <c r="Q61" s="5"/>
      <c r="R61" s="36"/>
      <c r="S61" s="36"/>
      <c r="T61" s="36"/>
      <c r="U61" s="46">
        <f t="shared" ref="U61:AF61" si="86">SUM(U58:U60)</f>
        <v>41.66666667</v>
      </c>
      <c r="V61" s="46">
        <f t="shared" si="86"/>
        <v>41.66666667</v>
      </c>
      <c r="W61" s="46">
        <f t="shared" si="86"/>
        <v>41.66666667</v>
      </c>
      <c r="X61" s="46">
        <f t="shared" si="86"/>
        <v>41.66666667</v>
      </c>
      <c r="Y61" s="46">
        <f t="shared" si="86"/>
        <v>41.66666667</v>
      </c>
      <c r="Z61" s="46">
        <f t="shared" si="86"/>
        <v>41.66666667</v>
      </c>
      <c r="AA61" s="46">
        <f t="shared" si="86"/>
        <v>41.66666667</v>
      </c>
      <c r="AB61" s="46">
        <f t="shared" si="86"/>
        <v>41.66666667</v>
      </c>
      <c r="AC61" s="46">
        <f t="shared" si="86"/>
        <v>41.66666667</v>
      </c>
      <c r="AD61" s="46">
        <f t="shared" si="86"/>
        <v>41.66666667</v>
      </c>
      <c r="AE61" s="46">
        <f t="shared" si="86"/>
        <v>41.66666667</v>
      </c>
      <c r="AF61" s="46">
        <f t="shared" si="86"/>
        <v>41.66666667</v>
      </c>
      <c r="AG61" s="46">
        <f t="shared" si="81"/>
        <v>500</v>
      </c>
      <c r="AH61" s="47" t="str">
        <f t="shared" si="82"/>
        <v/>
      </c>
      <c r="AI61" s="4"/>
      <c r="AJ61" s="34">
        <f t="shared" si="83"/>
        <v>1000.54</v>
      </c>
    </row>
    <row r="62" ht="13.5" customHeight="1">
      <c r="A62" s="48" t="s">
        <v>87</v>
      </c>
      <c r="B62" s="5">
        <v>0.0</v>
      </c>
      <c r="C62" s="5">
        <v>0.0</v>
      </c>
      <c r="D62" s="5">
        <v>0.0</v>
      </c>
      <c r="E62" s="5">
        <v>0.0</v>
      </c>
      <c r="F62" s="5">
        <v>0.0</v>
      </c>
      <c r="G62" s="5">
        <v>0.0</v>
      </c>
      <c r="H62" s="5">
        <v>-410.41</v>
      </c>
      <c r="I62" s="5">
        <v>0.0</v>
      </c>
      <c r="J62" s="27">
        <v>0.0</v>
      </c>
      <c r="K62" s="27">
        <v>0.0</v>
      </c>
      <c r="L62" s="27">
        <v>0.0</v>
      </c>
      <c r="M62" s="27">
        <v>0.0</v>
      </c>
      <c r="N62" s="5">
        <f t="shared" si="78"/>
        <v>-410.41</v>
      </c>
      <c r="O62" s="28">
        <f t="shared" si="79"/>
        <v>-0.00005528196958</v>
      </c>
      <c r="P62" s="5"/>
      <c r="Q62" s="5"/>
      <c r="R62" s="29" t="s">
        <v>34</v>
      </c>
      <c r="S62" s="30">
        <v>0.0</v>
      </c>
      <c r="T62" s="31">
        <v>0.05</v>
      </c>
      <c r="U62" s="26">
        <f t="shared" ref="U62:AF62" si="87">IF($R62="Manual","",IFERROR(IF($R62="YOY Growth",$N62*(1+$T62)/12,$S62/12),""))</f>
        <v>0</v>
      </c>
      <c r="V62" s="26">
        <f t="shared" si="87"/>
        <v>0</v>
      </c>
      <c r="W62" s="26">
        <f t="shared" si="87"/>
        <v>0</v>
      </c>
      <c r="X62" s="26">
        <f t="shared" si="87"/>
        <v>0</v>
      </c>
      <c r="Y62" s="26">
        <f t="shared" si="87"/>
        <v>0</v>
      </c>
      <c r="Z62" s="26">
        <f t="shared" si="87"/>
        <v>0</v>
      </c>
      <c r="AA62" s="26">
        <f t="shared" si="87"/>
        <v>0</v>
      </c>
      <c r="AB62" s="26">
        <f t="shared" si="87"/>
        <v>0</v>
      </c>
      <c r="AC62" s="26">
        <f t="shared" si="87"/>
        <v>0</v>
      </c>
      <c r="AD62" s="26">
        <f t="shared" si="87"/>
        <v>0</v>
      </c>
      <c r="AE62" s="26">
        <f t="shared" si="87"/>
        <v>0</v>
      </c>
      <c r="AF62" s="26">
        <f t="shared" si="87"/>
        <v>0</v>
      </c>
      <c r="AG62" s="5">
        <f t="shared" si="81"/>
        <v>0</v>
      </c>
      <c r="AH62" s="28" t="str">
        <f t="shared" si="82"/>
        <v/>
      </c>
      <c r="AI62" s="4"/>
      <c r="AJ62" s="5">
        <f t="shared" si="83"/>
        <v>-410.41</v>
      </c>
    </row>
    <row r="63" ht="13.5" customHeight="1">
      <c r="A63" s="33" t="s">
        <v>88</v>
      </c>
      <c r="B63" s="34">
        <f t="shared" ref="B63:M63" si="88">B37+B38+B39+B40+B41+B42+B56+B61+B62</f>
        <v>194694.09</v>
      </c>
      <c r="C63" s="34">
        <f t="shared" si="88"/>
        <v>189714.34</v>
      </c>
      <c r="D63" s="34">
        <f t="shared" si="88"/>
        <v>117788.66</v>
      </c>
      <c r="E63" s="34">
        <f t="shared" si="88"/>
        <v>205869.47</v>
      </c>
      <c r="F63" s="34">
        <f t="shared" si="88"/>
        <v>201566.18</v>
      </c>
      <c r="G63" s="34">
        <f t="shared" si="88"/>
        <v>208823.87</v>
      </c>
      <c r="H63" s="34">
        <f t="shared" si="88"/>
        <v>176632.48</v>
      </c>
      <c r="I63" s="34">
        <f t="shared" si="88"/>
        <v>290052.55</v>
      </c>
      <c r="J63" s="34">
        <f t="shared" si="88"/>
        <v>189984.9105</v>
      </c>
      <c r="K63" s="34">
        <f t="shared" si="88"/>
        <v>194590.8629</v>
      </c>
      <c r="L63" s="34">
        <f t="shared" si="88"/>
        <v>193737.2914</v>
      </c>
      <c r="M63" s="34">
        <f t="shared" si="88"/>
        <v>197883.72</v>
      </c>
      <c r="N63" s="34">
        <f t="shared" si="78"/>
        <v>2361338.425</v>
      </c>
      <c r="O63" s="35">
        <f t="shared" si="79"/>
        <v>0.3180708047</v>
      </c>
      <c r="P63" s="5"/>
      <c r="Q63" s="5"/>
      <c r="R63" s="36"/>
      <c r="S63" s="36"/>
      <c r="T63" s="36"/>
      <c r="U63" s="34">
        <f t="shared" ref="U63:AF63" si="89">U37+U38+U39+U40+U41+U42+U56+U61+U62</f>
        <v>120285.9819</v>
      </c>
      <c r="V63" s="34">
        <f t="shared" si="89"/>
        <v>85285.98186</v>
      </c>
      <c r="W63" s="34">
        <f t="shared" si="89"/>
        <v>85285.98186</v>
      </c>
      <c r="X63" s="34">
        <f t="shared" si="89"/>
        <v>85285.98186</v>
      </c>
      <c r="Y63" s="34">
        <f t="shared" si="89"/>
        <v>90723.48186</v>
      </c>
      <c r="Z63" s="34">
        <f t="shared" si="89"/>
        <v>86702.64853</v>
      </c>
      <c r="AA63" s="34">
        <f t="shared" si="89"/>
        <v>87410.98186</v>
      </c>
      <c r="AB63" s="34">
        <f t="shared" si="89"/>
        <v>88119.3152</v>
      </c>
      <c r="AC63" s="34">
        <f t="shared" si="89"/>
        <v>88827.64853</v>
      </c>
      <c r="AD63" s="34">
        <f t="shared" si="89"/>
        <v>94530.88248</v>
      </c>
      <c r="AE63" s="34">
        <f t="shared" si="89"/>
        <v>91864.21582</v>
      </c>
      <c r="AF63" s="34">
        <f t="shared" si="89"/>
        <v>92572.54915</v>
      </c>
      <c r="AG63" s="34">
        <f t="shared" si="81"/>
        <v>1096895.651</v>
      </c>
      <c r="AH63" s="35" t="str">
        <f t="shared" si="82"/>
        <v/>
      </c>
      <c r="AI63" s="4"/>
      <c r="AJ63" s="34">
        <f t="shared" si="83"/>
        <v>1264442.774</v>
      </c>
    </row>
    <row r="64" ht="13.5" customHeight="1">
      <c r="A64" s="49" t="s">
        <v>89</v>
      </c>
      <c r="B64" s="34">
        <f t="shared" ref="B64:M64" si="90">B16-B63</f>
        <v>348300.47</v>
      </c>
      <c r="C64" s="34">
        <f t="shared" si="90"/>
        <v>313512.72</v>
      </c>
      <c r="D64" s="34">
        <f t="shared" si="90"/>
        <v>429092.67</v>
      </c>
      <c r="E64" s="34">
        <f t="shared" si="90"/>
        <v>543834.51</v>
      </c>
      <c r="F64" s="34">
        <f t="shared" si="90"/>
        <v>318379.71</v>
      </c>
      <c r="G64" s="34">
        <f t="shared" si="90"/>
        <v>270919.13</v>
      </c>
      <c r="H64" s="34">
        <f t="shared" si="90"/>
        <v>464576.35</v>
      </c>
      <c r="I64" s="34">
        <f t="shared" si="90"/>
        <v>181253.01</v>
      </c>
      <c r="J64" s="34">
        <f t="shared" si="90"/>
        <v>461622.4229</v>
      </c>
      <c r="K64" s="34">
        <f t="shared" si="90"/>
        <v>552849.8038</v>
      </c>
      <c r="L64" s="34">
        <f t="shared" si="90"/>
        <v>578703.3752</v>
      </c>
      <c r="M64" s="34">
        <f t="shared" si="90"/>
        <v>599556.9467</v>
      </c>
      <c r="N64" s="34">
        <f t="shared" si="78"/>
        <v>5062601.119</v>
      </c>
      <c r="O64" s="35">
        <f t="shared" si="79"/>
        <v>0.6819291953</v>
      </c>
      <c r="P64" s="5"/>
      <c r="Q64" s="5"/>
      <c r="R64" s="36"/>
      <c r="S64" s="36"/>
      <c r="T64" s="36"/>
      <c r="U64" s="34">
        <f t="shared" ref="U64:AF64" si="91">U16-U63</f>
        <v>-120285.9819</v>
      </c>
      <c r="V64" s="34">
        <f t="shared" si="91"/>
        <v>-85285.98186</v>
      </c>
      <c r="W64" s="34">
        <f t="shared" si="91"/>
        <v>-85285.98186</v>
      </c>
      <c r="X64" s="34">
        <f t="shared" si="91"/>
        <v>-85285.98186</v>
      </c>
      <c r="Y64" s="34">
        <f t="shared" si="91"/>
        <v>-90723.48186</v>
      </c>
      <c r="Z64" s="34">
        <f t="shared" si="91"/>
        <v>-86702.64853</v>
      </c>
      <c r="AA64" s="34">
        <f t="shared" si="91"/>
        <v>-87410.98186</v>
      </c>
      <c r="AB64" s="34">
        <f t="shared" si="91"/>
        <v>-88119.3152</v>
      </c>
      <c r="AC64" s="34">
        <f t="shared" si="91"/>
        <v>-88827.64853</v>
      </c>
      <c r="AD64" s="34">
        <f t="shared" si="91"/>
        <v>-94530.88248</v>
      </c>
      <c r="AE64" s="34">
        <f t="shared" si="91"/>
        <v>-91864.21582</v>
      </c>
      <c r="AF64" s="34">
        <f t="shared" si="91"/>
        <v>-92572.54915</v>
      </c>
      <c r="AG64" s="34">
        <f t="shared" si="81"/>
        <v>-1096895.651</v>
      </c>
      <c r="AH64" s="35" t="str">
        <f t="shared" si="82"/>
        <v/>
      </c>
      <c r="AI64" s="4"/>
      <c r="AJ64" s="34">
        <f>AG64-N64</f>
        <v>-6159496.769</v>
      </c>
    </row>
    <row r="65" ht="13.5" customHeight="1">
      <c r="A65" s="24" t="s">
        <v>90</v>
      </c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5"/>
      <c r="Q65" s="5"/>
      <c r="R65" s="36"/>
      <c r="S65" s="36"/>
      <c r="T65" s="36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4"/>
      <c r="AJ65" s="28"/>
    </row>
    <row r="66" ht="13.5" customHeight="1">
      <c r="A66" s="24" t="s">
        <v>91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28"/>
      <c r="P66" s="5"/>
      <c r="Q66" s="5"/>
      <c r="R66" s="36"/>
      <c r="S66" s="36"/>
      <c r="T66" s="36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28"/>
      <c r="AI66" s="4"/>
      <c r="AJ66" s="5"/>
    </row>
    <row r="67" ht="13.5" customHeight="1">
      <c r="A67" s="25" t="s">
        <v>92</v>
      </c>
      <c r="B67" s="5">
        <v>-142290.68</v>
      </c>
      <c r="C67" s="5">
        <v>-165768.2</v>
      </c>
      <c r="D67" s="5">
        <v>0.0</v>
      </c>
      <c r="E67" s="5">
        <v>0.0</v>
      </c>
      <c r="F67" s="5">
        <v>0.0</v>
      </c>
      <c r="G67" s="5">
        <v>0.0</v>
      </c>
      <c r="H67" s="5">
        <v>0.0</v>
      </c>
      <c r="I67" s="5">
        <v>0.0</v>
      </c>
      <c r="J67" s="27">
        <v>0.0</v>
      </c>
      <c r="K67" s="27">
        <v>0.0</v>
      </c>
      <c r="L67" s="27">
        <v>0.0</v>
      </c>
      <c r="M67" s="27">
        <v>0.0</v>
      </c>
      <c r="N67" s="5">
        <f t="shared" ref="N67:N80" si="92">SUM(B67:M67)</f>
        <v>-308058.88</v>
      </c>
      <c r="O67" s="28">
        <f t="shared" ref="O67:O80" si="93">IFERROR(N67/N$16,"")</f>
        <v>-0.04149533791</v>
      </c>
      <c r="P67" s="5"/>
      <c r="Q67" s="5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5">
        <f t="shared" ref="AG67:AG80" si="94">SUM(U67:AF67)</f>
        <v>0</v>
      </c>
      <c r="AH67" s="28" t="str">
        <f t="shared" ref="AH67:AH80" si="95">IFERROR(AG67/AG$16,"")</f>
        <v/>
      </c>
      <c r="AI67" s="4"/>
      <c r="AJ67" s="5">
        <f t="shared" ref="AJ67:AJ80" si="96">N67-AG67</f>
        <v>-308058.88</v>
      </c>
    </row>
    <row r="68" ht="13.5" customHeight="1">
      <c r="A68" s="25" t="s">
        <v>93</v>
      </c>
      <c r="B68" s="5">
        <v>1615.95</v>
      </c>
      <c r="C68" s="5">
        <v>0.0</v>
      </c>
      <c r="D68" s="5">
        <v>0.0</v>
      </c>
      <c r="E68" s="5">
        <v>0.0</v>
      </c>
      <c r="F68" s="5">
        <v>0.0</v>
      </c>
      <c r="G68" s="5">
        <v>0.0</v>
      </c>
      <c r="H68" s="5">
        <v>0.0</v>
      </c>
      <c r="I68" s="5">
        <v>0.0</v>
      </c>
      <c r="J68" s="27">
        <v>0.0</v>
      </c>
      <c r="K68" s="27">
        <v>0.0</v>
      </c>
      <c r="L68" s="27">
        <v>0.0</v>
      </c>
      <c r="M68" s="27">
        <v>0.0</v>
      </c>
      <c r="N68" s="5">
        <f t="shared" si="92"/>
        <v>1615.95</v>
      </c>
      <c r="O68" s="28">
        <f t="shared" si="93"/>
        <v>0.0002176674514</v>
      </c>
      <c r="P68" s="5"/>
      <c r="Q68" s="5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5">
        <f t="shared" si="94"/>
        <v>0</v>
      </c>
      <c r="AH68" s="28" t="str">
        <f t="shared" si="95"/>
        <v/>
      </c>
      <c r="AI68" s="4"/>
      <c r="AJ68" s="5">
        <f t="shared" si="96"/>
        <v>1615.95</v>
      </c>
    </row>
    <row r="69" ht="13.5" customHeight="1">
      <c r="A69" s="25" t="s">
        <v>94</v>
      </c>
      <c r="B69" s="5">
        <v>-3646.58</v>
      </c>
      <c r="C69" s="5">
        <v>218.75</v>
      </c>
      <c r="D69" s="5">
        <v>0.0</v>
      </c>
      <c r="E69" s="5">
        <v>0.0</v>
      </c>
      <c r="F69" s="5">
        <v>0.0</v>
      </c>
      <c r="G69" s="5">
        <v>0.0</v>
      </c>
      <c r="H69" s="5">
        <v>0.0</v>
      </c>
      <c r="I69" s="5">
        <v>0.0</v>
      </c>
      <c r="J69" s="27">
        <v>0.0</v>
      </c>
      <c r="K69" s="27">
        <v>0.0</v>
      </c>
      <c r="L69" s="27">
        <v>0.0</v>
      </c>
      <c r="M69" s="27">
        <v>0.0</v>
      </c>
      <c r="N69" s="5">
        <f t="shared" si="92"/>
        <v>-3427.83</v>
      </c>
      <c r="O69" s="28">
        <f t="shared" si="93"/>
        <v>-0.000461726551</v>
      </c>
      <c r="P69" s="5"/>
      <c r="Q69" s="5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5">
        <f t="shared" si="94"/>
        <v>0</v>
      </c>
      <c r="AH69" s="28" t="str">
        <f t="shared" si="95"/>
        <v/>
      </c>
      <c r="AI69" s="4"/>
      <c r="AJ69" s="5">
        <f t="shared" si="96"/>
        <v>-3427.83</v>
      </c>
    </row>
    <row r="70" ht="13.5" customHeight="1">
      <c r="A70" s="25" t="s">
        <v>95</v>
      </c>
      <c r="B70" s="5">
        <v>0.0</v>
      </c>
      <c r="C70" s="5">
        <v>0.0</v>
      </c>
      <c r="D70" s="5">
        <v>0.0</v>
      </c>
      <c r="E70" s="5">
        <v>0.0</v>
      </c>
      <c r="F70" s="5">
        <v>0.0</v>
      </c>
      <c r="G70" s="5">
        <v>0.0</v>
      </c>
      <c r="H70" s="5">
        <v>0.0</v>
      </c>
      <c r="I70" s="5">
        <v>0.0</v>
      </c>
      <c r="J70" s="27">
        <v>0.0</v>
      </c>
      <c r="K70" s="27">
        <v>0.0</v>
      </c>
      <c r="L70" s="27">
        <v>0.0</v>
      </c>
      <c r="M70" s="27">
        <v>0.0</v>
      </c>
      <c r="N70" s="5">
        <f t="shared" si="92"/>
        <v>0</v>
      </c>
      <c r="O70" s="28">
        <f t="shared" si="93"/>
        <v>0</v>
      </c>
      <c r="P70" s="5"/>
      <c r="Q70" s="5"/>
      <c r="R70" s="29" t="s">
        <v>34</v>
      </c>
      <c r="S70" s="30">
        <v>0.0</v>
      </c>
      <c r="T70" s="31">
        <v>0.05</v>
      </c>
      <c r="U70" s="26">
        <f t="shared" ref="U70:AF70" si="97">IF($R70="Manual","",IFERROR(IF($R70="YOY Growth",$N70*(1+$T70)/12,$S70/12),""))</f>
        <v>0</v>
      </c>
      <c r="V70" s="26">
        <f t="shared" si="97"/>
        <v>0</v>
      </c>
      <c r="W70" s="26">
        <f t="shared" si="97"/>
        <v>0</v>
      </c>
      <c r="X70" s="26">
        <f t="shared" si="97"/>
        <v>0</v>
      </c>
      <c r="Y70" s="26">
        <f t="shared" si="97"/>
        <v>0</v>
      </c>
      <c r="Z70" s="26">
        <f t="shared" si="97"/>
        <v>0</v>
      </c>
      <c r="AA70" s="26">
        <f t="shared" si="97"/>
        <v>0</v>
      </c>
      <c r="AB70" s="26">
        <f t="shared" si="97"/>
        <v>0</v>
      </c>
      <c r="AC70" s="26">
        <f t="shared" si="97"/>
        <v>0</v>
      </c>
      <c r="AD70" s="26">
        <f t="shared" si="97"/>
        <v>0</v>
      </c>
      <c r="AE70" s="26">
        <f t="shared" si="97"/>
        <v>0</v>
      </c>
      <c r="AF70" s="26">
        <f t="shared" si="97"/>
        <v>0</v>
      </c>
      <c r="AG70" s="5">
        <f t="shared" si="94"/>
        <v>0</v>
      </c>
      <c r="AH70" s="28" t="str">
        <f t="shared" si="95"/>
        <v/>
      </c>
      <c r="AI70" s="4"/>
      <c r="AJ70" s="5">
        <f t="shared" si="96"/>
        <v>0</v>
      </c>
    </row>
    <row r="71" ht="13.5" customHeight="1">
      <c r="A71" s="25" t="s">
        <v>96</v>
      </c>
      <c r="B71" s="5">
        <v>0.0</v>
      </c>
      <c r="C71" s="5">
        <v>0.0</v>
      </c>
      <c r="D71" s="5">
        <v>0.0</v>
      </c>
      <c r="E71" s="5">
        <v>0.0</v>
      </c>
      <c r="F71" s="5">
        <v>0.0</v>
      </c>
      <c r="G71" s="5">
        <v>0.0</v>
      </c>
      <c r="H71" s="5">
        <v>0.0</v>
      </c>
      <c r="I71" s="5">
        <v>0.0</v>
      </c>
      <c r="J71" s="27">
        <v>0.0</v>
      </c>
      <c r="K71" s="27">
        <v>0.0</v>
      </c>
      <c r="L71" s="27">
        <v>0.0</v>
      </c>
      <c r="M71" s="27">
        <v>0.0</v>
      </c>
      <c r="N71" s="5">
        <f t="shared" si="92"/>
        <v>0</v>
      </c>
      <c r="O71" s="28">
        <f t="shared" si="93"/>
        <v>0</v>
      </c>
      <c r="P71" s="5"/>
      <c r="Q71" s="5"/>
      <c r="R71" s="29" t="s">
        <v>34</v>
      </c>
      <c r="S71" s="30">
        <v>0.0</v>
      </c>
      <c r="T71" s="31">
        <v>0.05</v>
      </c>
      <c r="U71" s="26">
        <f t="shared" ref="U71:AF71" si="98">IF($R71="Manual","",IFERROR(IF($R71="YOY Growth",$N71*(1+$T71)/12,$S71/12),""))</f>
        <v>0</v>
      </c>
      <c r="V71" s="26">
        <f t="shared" si="98"/>
        <v>0</v>
      </c>
      <c r="W71" s="26">
        <f t="shared" si="98"/>
        <v>0</v>
      </c>
      <c r="X71" s="26">
        <f t="shared" si="98"/>
        <v>0</v>
      </c>
      <c r="Y71" s="26">
        <f t="shared" si="98"/>
        <v>0</v>
      </c>
      <c r="Z71" s="26">
        <f t="shared" si="98"/>
        <v>0</v>
      </c>
      <c r="AA71" s="26">
        <f t="shared" si="98"/>
        <v>0</v>
      </c>
      <c r="AB71" s="26">
        <f t="shared" si="98"/>
        <v>0</v>
      </c>
      <c r="AC71" s="26">
        <f t="shared" si="98"/>
        <v>0</v>
      </c>
      <c r="AD71" s="26">
        <f t="shared" si="98"/>
        <v>0</v>
      </c>
      <c r="AE71" s="26">
        <f t="shared" si="98"/>
        <v>0</v>
      </c>
      <c r="AF71" s="26">
        <f t="shared" si="98"/>
        <v>0</v>
      </c>
      <c r="AG71" s="5">
        <f t="shared" si="94"/>
        <v>0</v>
      </c>
      <c r="AH71" s="28" t="str">
        <f t="shared" si="95"/>
        <v/>
      </c>
      <c r="AI71" s="4"/>
      <c r="AJ71" s="5">
        <f t="shared" si="96"/>
        <v>0</v>
      </c>
    </row>
    <row r="72" ht="13.5" customHeight="1">
      <c r="A72" s="25" t="s">
        <v>97</v>
      </c>
      <c r="B72" s="5">
        <v>0.0</v>
      </c>
      <c r="C72" s="5">
        <v>0.0</v>
      </c>
      <c r="D72" s="5">
        <v>0.0</v>
      </c>
      <c r="E72" s="5">
        <v>0.0</v>
      </c>
      <c r="F72" s="5">
        <v>0.0</v>
      </c>
      <c r="G72" s="5">
        <v>0.0</v>
      </c>
      <c r="H72" s="5">
        <v>0.0</v>
      </c>
      <c r="I72" s="5">
        <v>0.0</v>
      </c>
      <c r="J72" s="27">
        <v>0.0</v>
      </c>
      <c r="K72" s="27">
        <v>0.0</v>
      </c>
      <c r="L72" s="27">
        <v>0.0</v>
      </c>
      <c r="M72" s="27">
        <v>0.0</v>
      </c>
      <c r="N72" s="5">
        <f t="shared" si="92"/>
        <v>0</v>
      </c>
      <c r="O72" s="28">
        <f t="shared" si="93"/>
        <v>0</v>
      </c>
      <c r="P72" s="5"/>
      <c r="Q72" s="5"/>
      <c r="R72" s="29" t="s">
        <v>34</v>
      </c>
      <c r="S72" s="30">
        <v>0.0</v>
      </c>
      <c r="T72" s="31">
        <v>0.05</v>
      </c>
      <c r="U72" s="26">
        <f t="shared" ref="U72:AF72" si="99">IF($R72="Manual","",IFERROR(IF($R72="YOY Growth",$N72*(1+$T72)/12,$S72/12),""))</f>
        <v>0</v>
      </c>
      <c r="V72" s="26">
        <f t="shared" si="99"/>
        <v>0</v>
      </c>
      <c r="W72" s="26">
        <f t="shared" si="99"/>
        <v>0</v>
      </c>
      <c r="X72" s="26">
        <f t="shared" si="99"/>
        <v>0</v>
      </c>
      <c r="Y72" s="26">
        <f t="shared" si="99"/>
        <v>0</v>
      </c>
      <c r="Z72" s="26">
        <f t="shared" si="99"/>
        <v>0</v>
      </c>
      <c r="AA72" s="26">
        <f t="shared" si="99"/>
        <v>0</v>
      </c>
      <c r="AB72" s="26">
        <f t="shared" si="99"/>
        <v>0</v>
      </c>
      <c r="AC72" s="26">
        <f t="shared" si="99"/>
        <v>0</v>
      </c>
      <c r="AD72" s="26">
        <f t="shared" si="99"/>
        <v>0</v>
      </c>
      <c r="AE72" s="26">
        <f t="shared" si="99"/>
        <v>0</v>
      </c>
      <c r="AF72" s="26">
        <f t="shared" si="99"/>
        <v>0</v>
      </c>
      <c r="AG72" s="5">
        <f t="shared" si="94"/>
        <v>0</v>
      </c>
      <c r="AH72" s="28" t="str">
        <f t="shared" si="95"/>
        <v/>
      </c>
      <c r="AI72" s="4"/>
      <c r="AJ72" s="5">
        <f t="shared" si="96"/>
        <v>0</v>
      </c>
    </row>
    <row r="73" ht="13.5" customHeight="1">
      <c r="A73" s="33" t="s">
        <v>98</v>
      </c>
      <c r="B73" s="34">
        <f t="shared" ref="B73:M73" si="100">SUM(B67:B72)</f>
        <v>-144321.31</v>
      </c>
      <c r="C73" s="34">
        <f t="shared" si="100"/>
        <v>-165549.45</v>
      </c>
      <c r="D73" s="34">
        <f t="shared" si="100"/>
        <v>0</v>
      </c>
      <c r="E73" s="34">
        <f t="shared" si="100"/>
        <v>0</v>
      </c>
      <c r="F73" s="34">
        <f t="shared" si="100"/>
        <v>0</v>
      </c>
      <c r="G73" s="34">
        <f t="shared" si="100"/>
        <v>0</v>
      </c>
      <c r="H73" s="34">
        <f t="shared" si="100"/>
        <v>0</v>
      </c>
      <c r="I73" s="34">
        <f t="shared" si="100"/>
        <v>0</v>
      </c>
      <c r="J73" s="34">
        <f t="shared" si="100"/>
        <v>0</v>
      </c>
      <c r="K73" s="34">
        <f t="shared" si="100"/>
        <v>0</v>
      </c>
      <c r="L73" s="34">
        <f t="shared" si="100"/>
        <v>0</v>
      </c>
      <c r="M73" s="34">
        <f t="shared" si="100"/>
        <v>0</v>
      </c>
      <c r="N73" s="34">
        <f t="shared" si="92"/>
        <v>-309870.76</v>
      </c>
      <c r="O73" s="35">
        <f t="shared" si="93"/>
        <v>-0.04173939701</v>
      </c>
      <c r="P73" s="5"/>
      <c r="Q73" s="5"/>
      <c r="R73" s="36"/>
      <c r="S73" s="36"/>
      <c r="T73" s="36"/>
      <c r="U73" s="34">
        <f t="shared" ref="U73:AF73" si="101">SUM(U67:U72)</f>
        <v>0</v>
      </c>
      <c r="V73" s="34">
        <f t="shared" si="101"/>
        <v>0</v>
      </c>
      <c r="W73" s="34">
        <f t="shared" si="101"/>
        <v>0</v>
      </c>
      <c r="X73" s="34">
        <f t="shared" si="101"/>
        <v>0</v>
      </c>
      <c r="Y73" s="34">
        <f t="shared" si="101"/>
        <v>0</v>
      </c>
      <c r="Z73" s="34">
        <f t="shared" si="101"/>
        <v>0</v>
      </c>
      <c r="AA73" s="34">
        <f t="shared" si="101"/>
        <v>0</v>
      </c>
      <c r="AB73" s="34">
        <f t="shared" si="101"/>
        <v>0</v>
      </c>
      <c r="AC73" s="34">
        <f t="shared" si="101"/>
        <v>0</v>
      </c>
      <c r="AD73" s="34">
        <f t="shared" si="101"/>
        <v>0</v>
      </c>
      <c r="AE73" s="34">
        <f t="shared" si="101"/>
        <v>0</v>
      </c>
      <c r="AF73" s="34">
        <f t="shared" si="101"/>
        <v>0</v>
      </c>
      <c r="AG73" s="34">
        <f t="shared" si="94"/>
        <v>0</v>
      </c>
      <c r="AH73" s="35" t="str">
        <f t="shared" si="95"/>
        <v/>
      </c>
      <c r="AI73" s="4"/>
      <c r="AJ73" s="34">
        <f t="shared" si="96"/>
        <v>-309870.76</v>
      </c>
    </row>
    <row r="74" ht="13.5" customHeight="1">
      <c r="A74" s="25" t="s">
        <v>99</v>
      </c>
      <c r="B74" s="5">
        <v>0.0</v>
      </c>
      <c r="C74" s="5">
        <v>0.0</v>
      </c>
      <c r="D74" s="5">
        <v>0.0</v>
      </c>
      <c r="E74" s="5">
        <v>0.0</v>
      </c>
      <c r="F74" s="5">
        <v>0.0</v>
      </c>
      <c r="G74" s="5">
        <v>0.0</v>
      </c>
      <c r="H74" s="5">
        <v>0.0</v>
      </c>
      <c r="I74" s="5">
        <v>0.0</v>
      </c>
      <c r="J74" s="27">
        <v>0.0</v>
      </c>
      <c r="K74" s="27">
        <v>0.0</v>
      </c>
      <c r="L74" s="27">
        <v>0.0</v>
      </c>
      <c r="M74" s="27">
        <v>0.0</v>
      </c>
      <c r="N74" s="5">
        <f t="shared" si="92"/>
        <v>0</v>
      </c>
      <c r="O74" s="28">
        <f t="shared" si="93"/>
        <v>0</v>
      </c>
      <c r="P74" s="5"/>
      <c r="Q74" s="5"/>
      <c r="R74" s="29" t="s">
        <v>34</v>
      </c>
      <c r="S74" s="30">
        <v>0.0</v>
      </c>
      <c r="T74" s="31">
        <v>0.05</v>
      </c>
      <c r="U74" s="26">
        <f t="shared" ref="U74:AF74" si="102">IF($R74="Manual","",IFERROR(IF($R74="YOY Growth",$N74*(1+$T74)/12,$S74/12),""))</f>
        <v>0</v>
      </c>
      <c r="V74" s="26">
        <f t="shared" si="102"/>
        <v>0</v>
      </c>
      <c r="W74" s="26">
        <f t="shared" si="102"/>
        <v>0</v>
      </c>
      <c r="X74" s="26">
        <f t="shared" si="102"/>
        <v>0</v>
      </c>
      <c r="Y74" s="26">
        <f t="shared" si="102"/>
        <v>0</v>
      </c>
      <c r="Z74" s="26">
        <f t="shared" si="102"/>
        <v>0</v>
      </c>
      <c r="AA74" s="26">
        <f t="shared" si="102"/>
        <v>0</v>
      </c>
      <c r="AB74" s="26">
        <f t="shared" si="102"/>
        <v>0</v>
      </c>
      <c r="AC74" s="26">
        <f t="shared" si="102"/>
        <v>0</v>
      </c>
      <c r="AD74" s="26">
        <f t="shared" si="102"/>
        <v>0</v>
      </c>
      <c r="AE74" s="26">
        <f t="shared" si="102"/>
        <v>0</v>
      </c>
      <c r="AF74" s="26">
        <f t="shared" si="102"/>
        <v>0</v>
      </c>
      <c r="AG74" s="5">
        <f t="shared" si="94"/>
        <v>0</v>
      </c>
      <c r="AH74" s="28" t="str">
        <f t="shared" si="95"/>
        <v/>
      </c>
      <c r="AI74" s="4"/>
      <c r="AJ74" s="5">
        <f t="shared" si="96"/>
        <v>0</v>
      </c>
    </row>
    <row r="75" ht="13.5" customHeight="1">
      <c r="A75" s="25" t="s">
        <v>100</v>
      </c>
      <c r="B75" s="5">
        <v>0.0</v>
      </c>
      <c r="C75" s="5">
        <v>0.0</v>
      </c>
      <c r="D75" s="5">
        <v>0.0</v>
      </c>
      <c r="E75" s="5">
        <v>0.0</v>
      </c>
      <c r="F75" s="5">
        <v>0.0</v>
      </c>
      <c r="G75" s="5">
        <v>0.0</v>
      </c>
      <c r="H75" s="5">
        <v>0.0</v>
      </c>
      <c r="I75" s="5">
        <v>0.0</v>
      </c>
      <c r="J75" s="27">
        <v>0.0</v>
      </c>
      <c r="K75" s="27">
        <v>0.0</v>
      </c>
      <c r="L75" s="27">
        <v>0.0</v>
      </c>
      <c r="M75" s="27">
        <v>0.0</v>
      </c>
      <c r="N75" s="5">
        <f t="shared" si="92"/>
        <v>0</v>
      </c>
      <c r="O75" s="28">
        <f t="shared" si="93"/>
        <v>0</v>
      </c>
      <c r="P75" s="5"/>
      <c r="Q75" s="5"/>
      <c r="R75" s="29" t="s">
        <v>34</v>
      </c>
      <c r="S75" s="30">
        <v>0.0</v>
      </c>
      <c r="T75" s="31">
        <v>0.05</v>
      </c>
      <c r="U75" s="26">
        <f t="shared" ref="U75:AF75" si="103">IF($R75="Manual","",IFERROR(IF($R75="YOY Growth",$N75*(1+$T75)/12,$S75/12),""))</f>
        <v>0</v>
      </c>
      <c r="V75" s="26">
        <f t="shared" si="103"/>
        <v>0</v>
      </c>
      <c r="W75" s="26">
        <f t="shared" si="103"/>
        <v>0</v>
      </c>
      <c r="X75" s="26">
        <f t="shared" si="103"/>
        <v>0</v>
      </c>
      <c r="Y75" s="26">
        <f t="shared" si="103"/>
        <v>0</v>
      </c>
      <c r="Z75" s="26">
        <f t="shared" si="103"/>
        <v>0</v>
      </c>
      <c r="AA75" s="26">
        <f t="shared" si="103"/>
        <v>0</v>
      </c>
      <c r="AB75" s="26">
        <f t="shared" si="103"/>
        <v>0</v>
      </c>
      <c r="AC75" s="26">
        <f t="shared" si="103"/>
        <v>0</v>
      </c>
      <c r="AD75" s="26">
        <f t="shared" si="103"/>
        <v>0</v>
      </c>
      <c r="AE75" s="26">
        <f t="shared" si="103"/>
        <v>0</v>
      </c>
      <c r="AF75" s="26">
        <f t="shared" si="103"/>
        <v>0</v>
      </c>
      <c r="AG75" s="5">
        <f t="shared" si="94"/>
        <v>0</v>
      </c>
      <c r="AH75" s="28" t="str">
        <f t="shared" si="95"/>
        <v/>
      </c>
      <c r="AI75" s="4"/>
      <c r="AJ75" s="5">
        <f t="shared" si="96"/>
        <v>0</v>
      </c>
    </row>
    <row r="76" ht="13.5" customHeight="1">
      <c r="A76" s="25" t="s">
        <v>101</v>
      </c>
      <c r="B76" s="5">
        <v>341.94</v>
      </c>
      <c r="C76" s="5">
        <v>0.0</v>
      </c>
      <c r="D76" s="5">
        <v>0.0</v>
      </c>
      <c r="E76" s="5">
        <v>0.0</v>
      </c>
      <c r="F76" s="5">
        <v>0.0</v>
      </c>
      <c r="G76" s="5">
        <v>0.0</v>
      </c>
      <c r="H76" s="5">
        <v>0.0</v>
      </c>
      <c r="I76" s="5">
        <v>0.0</v>
      </c>
      <c r="J76" s="27">
        <v>0.0</v>
      </c>
      <c r="K76" s="27">
        <v>0.0</v>
      </c>
      <c r="L76" s="27">
        <v>0.0</v>
      </c>
      <c r="M76" s="27">
        <v>0.0</v>
      </c>
      <c r="N76" s="5">
        <f t="shared" si="92"/>
        <v>341.94</v>
      </c>
      <c r="O76" s="28">
        <f t="shared" si="93"/>
        <v>0.00004605910353</v>
      </c>
      <c r="P76" s="5"/>
      <c r="Q76" s="5"/>
      <c r="R76" s="29" t="s">
        <v>34</v>
      </c>
      <c r="S76" s="30">
        <v>0.0</v>
      </c>
      <c r="T76" s="31">
        <v>0.05</v>
      </c>
      <c r="U76" s="26">
        <f t="shared" ref="U76:AF76" si="104">IF($R76="Manual","",IFERROR(IF($R76="YOY Growth",$N76*(1+$T76)/12,$S76/12),""))</f>
        <v>0</v>
      </c>
      <c r="V76" s="26">
        <f t="shared" si="104"/>
        <v>0</v>
      </c>
      <c r="W76" s="26">
        <f t="shared" si="104"/>
        <v>0</v>
      </c>
      <c r="X76" s="26">
        <f t="shared" si="104"/>
        <v>0</v>
      </c>
      <c r="Y76" s="26">
        <f t="shared" si="104"/>
        <v>0</v>
      </c>
      <c r="Z76" s="26">
        <f t="shared" si="104"/>
        <v>0</v>
      </c>
      <c r="AA76" s="26">
        <f t="shared" si="104"/>
        <v>0</v>
      </c>
      <c r="AB76" s="26">
        <f t="shared" si="104"/>
        <v>0</v>
      </c>
      <c r="AC76" s="26">
        <f t="shared" si="104"/>
        <v>0</v>
      </c>
      <c r="AD76" s="26">
        <f t="shared" si="104"/>
        <v>0</v>
      </c>
      <c r="AE76" s="26">
        <f t="shared" si="104"/>
        <v>0</v>
      </c>
      <c r="AF76" s="26">
        <f t="shared" si="104"/>
        <v>0</v>
      </c>
      <c r="AG76" s="5">
        <f t="shared" si="94"/>
        <v>0</v>
      </c>
      <c r="AH76" s="28" t="str">
        <f t="shared" si="95"/>
        <v/>
      </c>
      <c r="AI76" s="4"/>
      <c r="AJ76" s="5">
        <f t="shared" si="96"/>
        <v>341.94</v>
      </c>
    </row>
    <row r="77" ht="13.5" customHeight="1">
      <c r="A77" s="25" t="s">
        <v>102</v>
      </c>
      <c r="B77" s="5">
        <v>0.0</v>
      </c>
      <c r="C77" s="5">
        <v>0.0</v>
      </c>
      <c r="D77" s="5">
        <v>0.0</v>
      </c>
      <c r="E77" s="5">
        <v>0.0</v>
      </c>
      <c r="F77" s="5">
        <v>0.0</v>
      </c>
      <c r="G77" s="5">
        <v>0.0</v>
      </c>
      <c r="H77" s="5">
        <v>0.0</v>
      </c>
      <c r="I77" s="5">
        <v>0.0</v>
      </c>
      <c r="J77" s="27">
        <v>0.0</v>
      </c>
      <c r="K77" s="27">
        <v>0.0</v>
      </c>
      <c r="L77" s="27">
        <v>0.0</v>
      </c>
      <c r="M77" s="27">
        <v>0.0</v>
      </c>
      <c r="N77" s="5">
        <f t="shared" si="92"/>
        <v>0</v>
      </c>
      <c r="O77" s="28">
        <f t="shared" si="93"/>
        <v>0</v>
      </c>
      <c r="P77" s="5"/>
      <c r="Q77" s="5"/>
      <c r="R77" s="29" t="s">
        <v>34</v>
      </c>
      <c r="S77" s="30">
        <v>0.0</v>
      </c>
      <c r="T77" s="31">
        <v>0.05</v>
      </c>
      <c r="U77" s="26">
        <f t="shared" ref="U77:AF77" si="105">IF($R77="Manual","",IFERROR(IF($R77="YOY Growth",$N77*(1+$T77)/12,$S77/12),""))</f>
        <v>0</v>
      </c>
      <c r="V77" s="26">
        <f t="shared" si="105"/>
        <v>0</v>
      </c>
      <c r="W77" s="26">
        <f t="shared" si="105"/>
        <v>0</v>
      </c>
      <c r="X77" s="26">
        <f t="shared" si="105"/>
        <v>0</v>
      </c>
      <c r="Y77" s="26">
        <f t="shared" si="105"/>
        <v>0</v>
      </c>
      <c r="Z77" s="26">
        <f t="shared" si="105"/>
        <v>0</v>
      </c>
      <c r="AA77" s="26">
        <f t="shared" si="105"/>
        <v>0</v>
      </c>
      <c r="AB77" s="26">
        <f t="shared" si="105"/>
        <v>0</v>
      </c>
      <c r="AC77" s="26">
        <f t="shared" si="105"/>
        <v>0</v>
      </c>
      <c r="AD77" s="26">
        <f t="shared" si="105"/>
        <v>0</v>
      </c>
      <c r="AE77" s="26">
        <f t="shared" si="105"/>
        <v>0</v>
      </c>
      <c r="AF77" s="26">
        <f t="shared" si="105"/>
        <v>0</v>
      </c>
      <c r="AG77" s="5">
        <f t="shared" si="94"/>
        <v>0</v>
      </c>
      <c r="AH77" s="28" t="str">
        <f t="shared" si="95"/>
        <v/>
      </c>
      <c r="AI77" s="4"/>
      <c r="AJ77" s="5">
        <f t="shared" si="96"/>
        <v>0</v>
      </c>
    </row>
    <row r="78" ht="13.5" customHeight="1">
      <c r="A78" s="25" t="s">
        <v>103</v>
      </c>
      <c r="B78" s="5">
        <v>0.0</v>
      </c>
      <c r="C78" s="5">
        <v>0.0</v>
      </c>
      <c r="D78" s="5">
        <v>0.0</v>
      </c>
      <c r="E78" s="5">
        <v>0.0</v>
      </c>
      <c r="F78" s="5">
        <v>0.0</v>
      </c>
      <c r="G78" s="5">
        <v>0.0</v>
      </c>
      <c r="H78" s="5">
        <v>0.0</v>
      </c>
      <c r="I78" s="5">
        <v>0.0</v>
      </c>
      <c r="J78" s="27">
        <v>0.0</v>
      </c>
      <c r="K78" s="27">
        <v>0.0</v>
      </c>
      <c r="L78" s="27">
        <v>0.0</v>
      </c>
      <c r="M78" s="27">
        <v>0.0</v>
      </c>
      <c r="N78" s="5">
        <f t="shared" si="92"/>
        <v>0</v>
      </c>
      <c r="O78" s="28">
        <f t="shared" si="93"/>
        <v>0</v>
      </c>
      <c r="P78" s="5"/>
      <c r="Q78" s="5"/>
      <c r="R78" s="29" t="s">
        <v>34</v>
      </c>
      <c r="S78" s="30">
        <v>0.0</v>
      </c>
      <c r="T78" s="31">
        <v>0.05</v>
      </c>
      <c r="U78" s="26">
        <f t="shared" ref="U78:AF78" si="106">IF($R78="Manual","",IFERROR(IF($R78="YOY Growth",$N78*(1+$T78)/12,$S78/12),""))</f>
        <v>0</v>
      </c>
      <c r="V78" s="26">
        <f t="shared" si="106"/>
        <v>0</v>
      </c>
      <c r="W78" s="26">
        <f t="shared" si="106"/>
        <v>0</v>
      </c>
      <c r="X78" s="26">
        <f t="shared" si="106"/>
        <v>0</v>
      </c>
      <c r="Y78" s="26">
        <f t="shared" si="106"/>
        <v>0</v>
      </c>
      <c r="Z78" s="26">
        <f t="shared" si="106"/>
        <v>0</v>
      </c>
      <c r="AA78" s="26">
        <f t="shared" si="106"/>
        <v>0</v>
      </c>
      <c r="AB78" s="26">
        <f t="shared" si="106"/>
        <v>0</v>
      </c>
      <c r="AC78" s="26">
        <f t="shared" si="106"/>
        <v>0</v>
      </c>
      <c r="AD78" s="26">
        <f t="shared" si="106"/>
        <v>0</v>
      </c>
      <c r="AE78" s="26">
        <f t="shared" si="106"/>
        <v>0</v>
      </c>
      <c r="AF78" s="26">
        <f t="shared" si="106"/>
        <v>0</v>
      </c>
      <c r="AG78" s="5">
        <f t="shared" si="94"/>
        <v>0</v>
      </c>
      <c r="AH78" s="28" t="str">
        <f t="shared" si="95"/>
        <v/>
      </c>
      <c r="AI78" s="4"/>
      <c r="AJ78" s="5">
        <f t="shared" si="96"/>
        <v>0</v>
      </c>
    </row>
    <row r="79" ht="13.5" customHeight="1">
      <c r="A79" s="25" t="s">
        <v>104</v>
      </c>
      <c r="B79" s="5">
        <v>0.0</v>
      </c>
      <c r="C79" s="5">
        <v>0.0</v>
      </c>
      <c r="D79" s="5">
        <v>0.0</v>
      </c>
      <c r="E79" s="5">
        <v>0.0</v>
      </c>
      <c r="F79" s="5">
        <v>0.0</v>
      </c>
      <c r="G79" s="5">
        <v>0.0</v>
      </c>
      <c r="H79" s="5">
        <v>0.0</v>
      </c>
      <c r="I79" s="5">
        <v>0.0</v>
      </c>
      <c r="J79" s="27">
        <v>0.0</v>
      </c>
      <c r="K79" s="27">
        <v>0.0</v>
      </c>
      <c r="L79" s="27">
        <v>0.0</v>
      </c>
      <c r="M79" s="27">
        <v>0.0</v>
      </c>
      <c r="N79" s="5">
        <f t="shared" si="92"/>
        <v>0</v>
      </c>
      <c r="O79" s="28">
        <f t="shared" si="93"/>
        <v>0</v>
      </c>
      <c r="P79" s="5"/>
      <c r="Q79" s="5"/>
      <c r="R79" s="29" t="s">
        <v>34</v>
      </c>
      <c r="S79" s="30">
        <v>0.0</v>
      </c>
      <c r="T79" s="31">
        <v>0.05</v>
      </c>
      <c r="U79" s="26">
        <f t="shared" ref="U79:AF79" si="107">IF($R79="Manual","",IFERROR(IF($R79="YOY Growth",$N79*(1+$T79)/12,$S79/12),""))</f>
        <v>0</v>
      </c>
      <c r="V79" s="26">
        <f t="shared" si="107"/>
        <v>0</v>
      </c>
      <c r="W79" s="26">
        <f t="shared" si="107"/>
        <v>0</v>
      </c>
      <c r="X79" s="26">
        <f t="shared" si="107"/>
        <v>0</v>
      </c>
      <c r="Y79" s="26">
        <f t="shared" si="107"/>
        <v>0</v>
      </c>
      <c r="Z79" s="26">
        <f t="shared" si="107"/>
        <v>0</v>
      </c>
      <c r="AA79" s="26">
        <f t="shared" si="107"/>
        <v>0</v>
      </c>
      <c r="AB79" s="26">
        <f t="shared" si="107"/>
        <v>0</v>
      </c>
      <c r="AC79" s="26">
        <f t="shared" si="107"/>
        <v>0</v>
      </c>
      <c r="AD79" s="26">
        <f t="shared" si="107"/>
        <v>0</v>
      </c>
      <c r="AE79" s="26">
        <f t="shared" si="107"/>
        <v>0</v>
      </c>
      <c r="AF79" s="26">
        <f t="shared" si="107"/>
        <v>0</v>
      </c>
      <c r="AG79" s="5">
        <f t="shared" si="94"/>
        <v>0</v>
      </c>
      <c r="AH79" s="28" t="str">
        <f t="shared" si="95"/>
        <v/>
      </c>
      <c r="AI79" s="4"/>
      <c r="AJ79" s="5">
        <f t="shared" si="96"/>
        <v>0</v>
      </c>
    </row>
    <row r="80" ht="13.5" customHeight="1">
      <c r="A80" s="25" t="s">
        <v>105</v>
      </c>
      <c r="B80" s="5">
        <v>0.0</v>
      </c>
      <c r="C80" s="5">
        <v>0.0</v>
      </c>
      <c r="D80" s="5">
        <v>20.0</v>
      </c>
      <c r="E80" s="5">
        <v>0.0</v>
      </c>
      <c r="F80" s="5">
        <v>0.0</v>
      </c>
      <c r="G80" s="5">
        <v>0.0</v>
      </c>
      <c r="H80" s="5">
        <v>0.0</v>
      </c>
      <c r="I80" s="5">
        <v>0.0</v>
      </c>
      <c r="J80" s="27">
        <v>0.0</v>
      </c>
      <c r="K80" s="27">
        <v>0.0</v>
      </c>
      <c r="L80" s="27">
        <v>0.0</v>
      </c>
      <c r="M80" s="27">
        <v>0.0</v>
      </c>
      <c r="N80" s="5">
        <f t="shared" si="92"/>
        <v>20</v>
      </c>
      <c r="O80" s="28">
        <f t="shared" si="93"/>
        <v>0.000002693987455</v>
      </c>
      <c r="P80" s="5"/>
      <c r="Q80" s="5"/>
      <c r="R80" s="29" t="s">
        <v>34</v>
      </c>
      <c r="S80" s="30">
        <v>0.0</v>
      </c>
      <c r="T80" s="31">
        <v>0.05</v>
      </c>
      <c r="U80" s="26">
        <f t="shared" ref="U80:AF80" si="108">IF($R80="Manual","",IFERROR(IF($R80="YOY Growth",$N80*(1+$T80)/12,$S80/12),""))</f>
        <v>0</v>
      </c>
      <c r="V80" s="26">
        <f t="shared" si="108"/>
        <v>0</v>
      </c>
      <c r="W80" s="26">
        <f t="shared" si="108"/>
        <v>0</v>
      </c>
      <c r="X80" s="26">
        <f t="shared" si="108"/>
        <v>0</v>
      </c>
      <c r="Y80" s="26">
        <f t="shared" si="108"/>
        <v>0</v>
      </c>
      <c r="Z80" s="26">
        <f t="shared" si="108"/>
        <v>0</v>
      </c>
      <c r="AA80" s="26">
        <f t="shared" si="108"/>
        <v>0</v>
      </c>
      <c r="AB80" s="26">
        <f t="shared" si="108"/>
        <v>0</v>
      </c>
      <c r="AC80" s="26">
        <f t="shared" si="108"/>
        <v>0</v>
      </c>
      <c r="AD80" s="26">
        <f t="shared" si="108"/>
        <v>0</v>
      </c>
      <c r="AE80" s="26">
        <f t="shared" si="108"/>
        <v>0</v>
      </c>
      <c r="AF80" s="26">
        <f t="shared" si="108"/>
        <v>0</v>
      </c>
      <c r="AG80" s="5">
        <f t="shared" si="94"/>
        <v>0</v>
      </c>
      <c r="AH80" s="28" t="str">
        <f t="shared" si="95"/>
        <v/>
      </c>
      <c r="AI80" s="4"/>
      <c r="AJ80" s="5">
        <f t="shared" si="96"/>
        <v>20</v>
      </c>
    </row>
    <row r="81" ht="13.5" customHeight="1">
      <c r="A81" s="24" t="s">
        <v>106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28"/>
      <c r="P81" s="5"/>
      <c r="Q81" s="5"/>
      <c r="R81" s="36"/>
      <c r="S81" s="36"/>
      <c r="T81" s="36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28"/>
      <c r="AI81" s="4"/>
      <c r="AJ81" s="5"/>
    </row>
    <row r="82" ht="13.5" customHeight="1">
      <c r="A82" s="25" t="s">
        <v>107</v>
      </c>
      <c r="B82" s="5">
        <v>0.0</v>
      </c>
      <c r="C82" s="5">
        <v>0.0</v>
      </c>
      <c r="D82" s="5">
        <v>0.0</v>
      </c>
      <c r="E82" s="5">
        <v>0.0</v>
      </c>
      <c r="F82" s="5">
        <v>0.0</v>
      </c>
      <c r="G82" s="5">
        <v>0.0</v>
      </c>
      <c r="H82" s="5">
        <v>0.0</v>
      </c>
      <c r="I82" s="5">
        <v>0.0</v>
      </c>
      <c r="J82" s="27">
        <v>0.0</v>
      </c>
      <c r="K82" s="27">
        <v>0.0</v>
      </c>
      <c r="L82" s="27">
        <v>0.0</v>
      </c>
      <c r="M82" s="27">
        <v>0.0</v>
      </c>
      <c r="N82" s="5">
        <f t="shared" ref="N82:N117" si="110">SUM(B82:M82)</f>
        <v>0</v>
      </c>
      <c r="O82" s="28">
        <f t="shared" ref="O82:O117" si="111">IFERROR(N82/N$16,"")</f>
        <v>0</v>
      </c>
      <c r="P82" s="5"/>
      <c r="Q82" s="5"/>
      <c r="R82" s="29" t="s">
        <v>34</v>
      </c>
      <c r="S82" s="30">
        <v>0.0</v>
      </c>
      <c r="T82" s="31">
        <v>0.05</v>
      </c>
      <c r="U82" s="26">
        <f t="shared" ref="U82:AF82" si="109">IF($R82="Manual","",IFERROR(IF($R82="YOY Growth",$N82*(1+$T82)/12,$S82/12),""))</f>
        <v>0</v>
      </c>
      <c r="V82" s="26">
        <f t="shared" si="109"/>
        <v>0</v>
      </c>
      <c r="W82" s="26">
        <f t="shared" si="109"/>
        <v>0</v>
      </c>
      <c r="X82" s="26">
        <f t="shared" si="109"/>
        <v>0</v>
      </c>
      <c r="Y82" s="26">
        <f t="shared" si="109"/>
        <v>0</v>
      </c>
      <c r="Z82" s="26">
        <f t="shared" si="109"/>
        <v>0</v>
      </c>
      <c r="AA82" s="26">
        <f t="shared" si="109"/>
        <v>0</v>
      </c>
      <c r="AB82" s="26">
        <f t="shared" si="109"/>
        <v>0</v>
      </c>
      <c r="AC82" s="26">
        <f t="shared" si="109"/>
        <v>0</v>
      </c>
      <c r="AD82" s="26">
        <f t="shared" si="109"/>
        <v>0</v>
      </c>
      <c r="AE82" s="26">
        <f t="shared" si="109"/>
        <v>0</v>
      </c>
      <c r="AF82" s="26">
        <f t="shared" si="109"/>
        <v>0</v>
      </c>
      <c r="AG82" s="5">
        <f t="shared" ref="AG82:AG117" si="113">SUM(U82:AF82)</f>
        <v>0</v>
      </c>
      <c r="AH82" s="28" t="str">
        <f t="shared" ref="AH82:AH117" si="114">IFERROR(AG82/AG$16,"")</f>
        <v/>
      </c>
      <c r="AI82" s="4"/>
      <c r="AJ82" s="5">
        <f t="shared" ref="AJ82:AJ116" si="115">N82-AG82</f>
        <v>0</v>
      </c>
    </row>
    <row r="83" ht="13.5" customHeight="1">
      <c r="A83" s="25" t="s">
        <v>108</v>
      </c>
      <c r="B83" s="5">
        <v>0.0</v>
      </c>
      <c r="C83" s="5">
        <v>0.0</v>
      </c>
      <c r="D83" s="5">
        <v>0.0</v>
      </c>
      <c r="E83" s="5">
        <v>0.0</v>
      </c>
      <c r="F83" s="5">
        <v>0.0</v>
      </c>
      <c r="G83" s="5">
        <v>0.0</v>
      </c>
      <c r="H83" s="5">
        <v>0.0</v>
      </c>
      <c r="I83" s="5">
        <v>0.0</v>
      </c>
      <c r="J83" s="27">
        <v>0.0</v>
      </c>
      <c r="K83" s="27">
        <v>0.0</v>
      </c>
      <c r="L83" s="27">
        <v>0.0</v>
      </c>
      <c r="M83" s="27">
        <v>0.0</v>
      </c>
      <c r="N83" s="5">
        <f t="shared" si="110"/>
        <v>0</v>
      </c>
      <c r="O83" s="28">
        <f t="shared" si="111"/>
        <v>0</v>
      </c>
      <c r="P83" s="5"/>
      <c r="Q83" s="5"/>
      <c r="R83" s="29" t="s">
        <v>34</v>
      </c>
      <c r="S83" s="30">
        <v>0.0</v>
      </c>
      <c r="T83" s="31">
        <v>0.05</v>
      </c>
      <c r="U83" s="26">
        <f t="shared" ref="U83:AF83" si="112">IF($R83="Manual","",IFERROR(IF($R83="YOY Growth",$N83*(1+$T83)/12,$S83/12),""))</f>
        <v>0</v>
      </c>
      <c r="V83" s="26">
        <f t="shared" si="112"/>
        <v>0</v>
      </c>
      <c r="W83" s="26">
        <f t="shared" si="112"/>
        <v>0</v>
      </c>
      <c r="X83" s="26">
        <f t="shared" si="112"/>
        <v>0</v>
      </c>
      <c r="Y83" s="26">
        <f t="shared" si="112"/>
        <v>0</v>
      </c>
      <c r="Z83" s="26">
        <f t="shared" si="112"/>
        <v>0</v>
      </c>
      <c r="AA83" s="26">
        <f t="shared" si="112"/>
        <v>0</v>
      </c>
      <c r="AB83" s="26">
        <f t="shared" si="112"/>
        <v>0</v>
      </c>
      <c r="AC83" s="26">
        <f t="shared" si="112"/>
        <v>0</v>
      </c>
      <c r="AD83" s="26">
        <f t="shared" si="112"/>
        <v>0</v>
      </c>
      <c r="AE83" s="26">
        <f t="shared" si="112"/>
        <v>0</v>
      </c>
      <c r="AF83" s="26">
        <f t="shared" si="112"/>
        <v>0</v>
      </c>
      <c r="AG83" s="5">
        <f t="shared" si="113"/>
        <v>0</v>
      </c>
      <c r="AH83" s="28" t="str">
        <f t="shared" si="114"/>
        <v/>
      </c>
      <c r="AI83" s="4"/>
      <c r="AJ83" s="5">
        <f t="shared" si="115"/>
        <v>0</v>
      </c>
    </row>
    <row r="84" ht="13.5" customHeight="1">
      <c r="A84" s="25" t="s">
        <v>109</v>
      </c>
      <c r="B84" s="5">
        <v>0.0</v>
      </c>
      <c r="C84" s="5">
        <v>0.0</v>
      </c>
      <c r="D84" s="5">
        <v>0.0</v>
      </c>
      <c r="E84" s="5">
        <v>0.0</v>
      </c>
      <c r="F84" s="5">
        <v>0.0</v>
      </c>
      <c r="G84" s="5">
        <v>0.0</v>
      </c>
      <c r="H84" s="5">
        <v>0.0</v>
      </c>
      <c r="I84" s="5">
        <v>0.0</v>
      </c>
      <c r="J84" s="27">
        <v>0.0</v>
      </c>
      <c r="K84" s="27">
        <v>0.0</v>
      </c>
      <c r="L84" s="27">
        <v>0.0</v>
      </c>
      <c r="M84" s="27">
        <v>0.0</v>
      </c>
      <c r="N84" s="5">
        <f t="shared" si="110"/>
        <v>0</v>
      </c>
      <c r="O84" s="28">
        <f t="shared" si="111"/>
        <v>0</v>
      </c>
      <c r="P84" s="5"/>
      <c r="Q84" s="5"/>
      <c r="R84" s="29" t="s">
        <v>34</v>
      </c>
      <c r="S84" s="30">
        <v>0.0</v>
      </c>
      <c r="T84" s="31">
        <v>0.05</v>
      </c>
      <c r="U84" s="26">
        <f t="shared" ref="U84:AF84" si="116">IF($R84="Manual","",IFERROR(IF($R84="YOY Growth",$N84*(1+$T84)/12,$S84/12),""))</f>
        <v>0</v>
      </c>
      <c r="V84" s="26">
        <f t="shared" si="116"/>
        <v>0</v>
      </c>
      <c r="W84" s="26">
        <f t="shared" si="116"/>
        <v>0</v>
      </c>
      <c r="X84" s="26">
        <f t="shared" si="116"/>
        <v>0</v>
      </c>
      <c r="Y84" s="26">
        <f t="shared" si="116"/>
        <v>0</v>
      </c>
      <c r="Z84" s="26">
        <f t="shared" si="116"/>
        <v>0</v>
      </c>
      <c r="AA84" s="26">
        <f t="shared" si="116"/>
        <v>0</v>
      </c>
      <c r="AB84" s="26">
        <f t="shared" si="116"/>
        <v>0</v>
      </c>
      <c r="AC84" s="26">
        <f t="shared" si="116"/>
        <v>0</v>
      </c>
      <c r="AD84" s="26">
        <f t="shared" si="116"/>
        <v>0</v>
      </c>
      <c r="AE84" s="26">
        <f t="shared" si="116"/>
        <v>0</v>
      </c>
      <c r="AF84" s="26">
        <f t="shared" si="116"/>
        <v>0</v>
      </c>
      <c r="AG84" s="5">
        <f t="shared" si="113"/>
        <v>0</v>
      </c>
      <c r="AH84" s="28" t="str">
        <f t="shared" si="114"/>
        <v/>
      </c>
      <c r="AI84" s="4"/>
      <c r="AJ84" s="5">
        <f t="shared" si="115"/>
        <v>0</v>
      </c>
    </row>
    <row r="85" ht="13.5" customHeight="1">
      <c r="A85" s="25" t="s">
        <v>110</v>
      </c>
      <c r="B85" s="5">
        <v>0.0</v>
      </c>
      <c r="C85" s="5">
        <v>0.0</v>
      </c>
      <c r="D85" s="5">
        <v>0.0</v>
      </c>
      <c r="E85" s="5">
        <v>0.0</v>
      </c>
      <c r="F85" s="5">
        <v>0.0</v>
      </c>
      <c r="G85" s="5">
        <v>0.0</v>
      </c>
      <c r="H85" s="5">
        <v>0.0</v>
      </c>
      <c r="I85" s="5">
        <v>0.0</v>
      </c>
      <c r="J85" s="27">
        <v>0.0</v>
      </c>
      <c r="K85" s="27">
        <v>0.0</v>
      </c>
      <c r="L85" s="27">
        <v>0.0</v>
      </c>
      <c r="M85" s="27">
        <v>0.0</v>
      </c>
      <c r="N85" s="5">
        <f t="shared" si="110"/>
        <v>0</v>
      </c>
      <c r="O85" s="28">
        <f t="shared" si="111"/>
        <v>0</v>
      </c>
      <c r="P85" s="5"/>
      <c r="Q85" s="5"/>
      <c r="R85" s="29" t="s">
        <v>34</v>
      </c>
      <c r="S85" s="30">
        <v>0.0</v>
      </c>
      <c r="T85" s="31">
        <v>0.05</v>
      </c>
      <c r="U85" s="26">
        <f t="shared" ref="U85:AF85" si="117">IF($R85="Manual","",IFERROR(IF($R85="YOY Growth",$N85*(1+$T85)/12,$S85/12),""))</f>
        <v>0</v>
      </c>
      <c r="V85" s="26">
        <f t="shared" si="117"/>
        <v>0</v>
      </c>
      <c r="W85" s="26">
        <f t="shared" si="117"/>
        <v>0</v>
      </c>
      <c r="X85" s="26">
        <f t="shared" si="117"/>
        <v>0</v>
      </c>
      <c r="Y85" s="26">
        <f t="shared" si="117"/>
        <v>0</v>
      </c>
      <c r="Z85" s="26">
        <f t="shared" si="117"/>
        <v>0</v>
      </c>
      <c r="AA85" s="26">
        <f t="shared" si="117"/>
        <v>0</v>
      </c>
      <c r="AB85" s="26">
        <f t="shared" si="117"/>
        <v>0</v>
      </c>
      <c r="AC85" s="26">
        <f t="shared" si="117"/>
        <v>0</v>
      </c>
      <c r="AD85" s="26">
        <f t="shared" si="117"/>
        <v>0</v>
      </c>
      <c r="AE85" s="26">
        <f t="shared" si="117"/>
        <v>0</v>
      </c>
      <c r="AF85" s="26">
        <f t="shared" si="117"/>
        <v>0</v>
      </c>
      <c r="AG85" s="5">
        <f t="shared" si="113"/>
        <v>0</v>
      </c>
      <c r="AH85" s="28" t="str">
        <f t="shared" si="114"/>
        <v/>
      </c>
      <c r="AI85" s="4"/>
      <c r="AJ85" s="5">
        <f t="shared" si="115"/>
        <v>0</v>
      </c>
    </row>
    <row r="86" ht="13.5" customHeight="1">
      <c r="A86" s="25" t="s">
        <v>111</v>
      </c>
      <c r="B86" s="5">
        <v>0.0</v>
      </c>
      <c r="C86" s="5">
        <v>0.0</v>
      </c>
      <c r="D86" s="5">
        <v>0.0</v>
      </c>
      <c r="E86" s="5">
        <v>0.0</v>
      </c>
      <c r="F86" s="5">
        <v>0.0</v>
      </c>
      <c r="G86" s="5">
        <v>0.0</v>
      </c>
      <c r="H86" s="5">
        <v>0.0</v>
      </c>
      <c r="I86" s="5">
        <v>0.0</v>
      </c>
      <c r="J86" s="27">
        <v>0.0</v>
      </c>
      <c r="K86" s="27">
        <v>0.0</v>
      </c>
      <c r="L86" s="27">
        <v>0.0</v>
      </c>
      <c r="M86" s="27">
        <v>0.0</v>
      </c>
      <c r="N86" s="5">
        <f t="shared" si="110"/>
        <v>0</v>
      </c>
      <c r="O86" s="28">
        <f t="shared" si="111"/>
        <v>0</v>
      </c>
      <c r="P86" s="5"/>
      <c r="Q86" s="5"/>
      <c r="R86" s="29" t="s">
        <v>34</v>
      </c>
      <c r="S86" s="30">
        <v>0.0</v>
      </c>
      <c r="T86" s="31">
        <v>0.05</v>
      </c>
      <c r="U86" s="26">
        <f t="shared" ref="U86:AF86" si="118">IF($R86="Manual","",IFERROR(IF($R86="YOY Growth",$N86*(1+$T86)/12,$S86/12),""))</f>
        <v>0</v>
      </c>
      <c r="V86" s="26">
        <f t="shared" si="118"/>
        <v>0</v>
      </c>
      <c r="W86" s="26">
        <f t="shared" si="118"/>
        <v>0</v>
      </c>
      <c r="X86" s="26">
        <f t="shared" si="118"/>
        <v>0</v>
      </c>
      <c r="Y86" s="26">
        <f t="shared" si="118"/>
        <v>0</v>
      </c>
      <c r="Z86" s="26">
        <f t="shared" si="118"/>
        <v>0</v>
      </c>
      <c r="AA86" s="26">
        <f t="shared" si="118"/>
        <v>0</v>
      </c>
      <c r="AB86" s="26">
        <f t="shared" si="118"/>
        <v>0</v>
      </c>
      <c r="AC86" s="26">
        <f t="shared" si="118"/>
        <v>0</v>
      </c>
      <c r="AD86" s="26">
        <f t="shared" si="118"/>
        <v>0</v>
      </c>
      <c r="AE86" s="26">
        <f t="shared" si="118"/>
        <v>0</v>
      </c>
      <c r="AF86" s="26">
        <f t="shared" si="118"/>
        <v>0</v>
      </c>
      <c r="AG86" s="5">
        <f t="shared" si="113"/>
        <v>0</v>
      </c>
      <c r="AH86" s="28" t="str">
        <f t="shared" si="114"/>
        <v/>
      </c>
      <c r="AI86" s="4"/>
      <c r="AJ86" s="5">
        <f t="shared" si="115"/>
        <v>0</v>
      </c>
    </row>
    <row r="87" ht="13.5" customHeight="1">
      <c r="A87" s="33" t="s">
        <v>112</v>
      </c>
      <c r="B87" s="34">
        <f t="shared" ref="B87:M87" si="119">SUM(B82:B86)</f>
        <v>0</v>
      </c>
      <c r="C87" s="34">
        <f t="shared" si="119"/>
        <v>0</v>
      </c>
      <c r="D87" s="34">
        <f t="shared" si="119"/>
        <v>0</v>
      </c>
      <c r="E87" s="34">
        <f t="shared" si="119"/>
        <v>0</v>
      </c>
      <c r="F87" s="34">
        <f t="shared" si="119"/>
        <v>0</v>
      </c>
      <c r="G87" s="34">
        <f t="shared" si="119"/>
        <v>0</v>
      </c>
      <c r="H87" s="34">
        <f t="shared" si="119"/>
        <v>0</v>
      </c>
      <c r="I87" s="34">
        <f t="shared" si="119"/>
        <v>0</v>
      </c>
      <c r="J87" s="34">
        <f t="shared" si="119"/>
        <v>0</v>
      </c>
      <c r="K87" s="34">
        <f t="shared" si="119"/>
        <v>0</v>
      </c>
      <c r="L87" s="34">
        <f t="shared" si="119"/>
        <v>0</v>
      </c>
      <c r="M87" s="34">
        <f t="shared" si="119"/>
        <v>0</v>
      </c>
      <c r="N87" s="34">
        <f t="shared" si="110"/>
        <v>0</v>
      </c>
      <c r="O87" s="35">
        <f t="shared" si="111"/>
        <v>0</v>
      </c>
      <c r="P87" s="5"/>
      <c r="Q87" s="5"/>
      <c r="R87" s="36"/>
      <c r="S87" s="36"/>
      <c r="T87" s="36"/>
      <c r="U87" s="34">
        <f t="shared" ref="U87:AF87" si="120">SUM(U82:U86)</f>
        <v>0</v>
      </c>
      <c r="V87" s="34">
        <f t="shared" si="120"/>
        <v>0</v>
      </c>
      <c r="W87" s="34">
        <f t="shared" si="120"/>
        <v>0</v>
      </c>
      <c r="X87" s="34">
        <f t="shared" si="120"/>
        <v>0</v>
      </c>
      <c r="Y87" s="34">
        <f t="shared" si="120"/>
        <v>0</v>
      </c>
      <c r="Z87" s="34">
        <f t="shared" si="120"/>
        <v>0</v>
      </c>
      <c r="AA87" s="34">
        <f t="shared" si="120"/>
        <v>0</v>
      </c>
      <c r="AB87" s="34">
        <f t="shared" si="120"/>
        <v>0</v>
      </c>
      <c r="AC87" s="34">
        <f t="shared" si="120"/>
        <v>0</v>
      </c>
      <c r="AD87" s="34">
        <f t="shared" si="120"/>
        <v>0</v>
      </c>
      <c r="AE87" s="34">
        <f t="shared" si="120"/>
        <v>0</v>
      </c>
      <c r="AF87" s="34">
        <f t="shared" si="120"/>
        <v>0</v>
      </c>
      <c r="AG87" s="34">
        <f t="shared" si="113"/>
        <v>0</v>
      </c>
      <c r="AH87" s="35" t="str">
        <f t="shared" si="114"/>
        <v/>
      </c>
      <c r="AI87" s="4"/>
      <c r="AJ87" s="34">
        <f t="shared" si="115"/>
        <v>0</v>
      </c>
    </row>
    <row r="88" ht="13.5" customHeight="1">
      <c r="A88" s="25" t="s">
        <v>113</v>
      </c>
      <c r="B88" s="5">
        <v>0.0</v>
      </c>
      <c r="C88" s="5">
        <v>0.0</v>
      </c>
      <c r="D88" s="5">
        <v>0.0</v>
      </c>
      <c r="E88" s="5">
        <v>0.0</v>
      </c>
      <c r="F88" s="5">
        <v>0.0</v>
      </c>
      <c r="G88" s="5">
        <v>0.0</v>
      </c>
      <c r="H88" s="5">
        <v>0.0</v>
      </c>
      <c r="I88" s="5">
        <v>0.0</v>
      </c>
      <c r="J88" s="27">
        <v>0.0</v>
      </c>
      <c r="K88" s="27">
        <v>0.0</v>
      </c>
      <c r="L88" s="27">
        <v>0.0</v>
      </c>
      <c r="M88" s="27">
        <v>0.0</v>
      </c>
      <c r="N88" s="5">
        <f t="shared" si="110"/>
        <v>0</v>
      </c>
      <c r="O88" s="28">
        <f t="shared" si="111"/>
        <v>0</v>
      </c>
      <c r="P88" s="5"/>
      <c r="Q88" s="5"/>
      <c r="R88" s="29" t="s">
        <v>34</v>
      </c>
      <c r="S88" s="30">
        <v>0.0</v>
      </c>
      <c r="T88" s="31">
        <v>0.05</v>
      </c>
      <c r="U88" s="26">
        <f t="shared" ref="U88:AF88" si="121">IF($R88="Manual","",IFERROR(IF($R88="YOY Growth",$N88*(1+$T88)/12,$S88/12),""))</f>
        <v>0</v>
      </c>
      <c r="V88" s="26">
        <f t="shared" si="121"/>
        <v>0</v>
      </c>
      <c r="W88" s="26">
        <f t="shared" si="121"/>
        <v>0</v>
      </c>
      <c r="X88" s="26">
        <f t="shared" si="121"/>
        <v>0</v>
      </c>
      <c r="Y88" s="26">
        <f t="shared" si="121"/>
        <v>0</v>
      </c>
      <c r="Z88" s="26">
        <f t="shared" si="121"/>
        <v>0</v>
      </c>
      <c r="AA88" s="26">
        <f t="shared" si="121"/>
        <v>0</v>
      </c>
      <c r="AB88" s="26">
        <f t="shared" si="121"/>
        <v>0</v>
      </c>
      <c r="AC88" s="26">
        <f t="shared" si="121"/>
        <v>0</v>
      </c>
      <c r="AD88" s="26">
        <f t="shared" si="121"/>
        <v>0</v>
      </c>
      <c r="AE88" s="26">
        <f t="shared" si="121"/>
        <v>0</v>
      </c>
      <c r="AF88" s="26">
        <f t="shared" si="121"/>
        <v>0</v>
      </c>
      <c r="AG88" s="5">
        <f t="shared" si="113"/>
        <v>0</v>
      </c>
      <c r="AH88" s="28" t="str">
        <f t="shared" si="114"/>
        <v/>
      </c>
      <c r="AI88" s="4"/>
      <c r="AJ88" s="5">
        <f t="shared" si="115"/>
        <v>0</v>
      </c>
    </row>
    <row r="89" ht="13.5" customHeight="1">
      <c r="A89" s="25" t="s">
        <v>114</v>
      </c>
      <c r="B89" s="5">
        <v>0.0</v>
      </c>
      <c r="C89" s="5">
        <v>0.0</v>
      </c>
      <c r="D89" s="5">
        <v>0.0</v>
      </c>
      <c r="E89" s="5">
        <v>0.0</v>
      </c>
      <c r="F89" s="5">
        <v>0.0</v>
      </c>
      <c r="G89" s="5">
        <v>0.0</v>
      </c>
      <c r="H89" s="5">
        <v>0.0</v>
      </c>
      <c r="I89" s="5">
        <v>0.0</v>
      </c>
      <c r="J89" s="27">
        <v>0.0</v>
      </c>
      <c r="K89" s="27">
        <v>0.0</v>
      </c>
      <c r="L89" s="27">
        <v>0.0</v>
      </c>
      <c r="M89" s="27">
        <v>0.0</v>
      </c>
      <c r="N89" s="5">
        <f t="shared" si="110"/>
        <v>0</v>
      </c>
      <c r="O89" s="28">
        <f t="shared" si="111"/>
        <v>0</v>
      </c>
      <c r="P89" s="5"/>
      <c r="Q89" s="5"/>
      <c r="R89" s="29" t="s">
        <v>34</v>
      </c>
      <c r="S89" s="30">
        <v>0.0</v>
      </c>
      <c r="T89" s="31">
        <v>0.05</v>
      </c>
      <c r="U89" s="26">
        <f t="shared" ref="U89:AF89" si="122">IF($R89="Manual","",IFERROR(IF($R89="YOY Growth",$N89*(1+$T89)/12,$S89/12),""))</f>
        <v>0</v>
      </c>
      <c r="V89" s="26">
        <f t="shared" si="122"/>
        <v>0</v>
      </c>
      <c r="W89" s="26">
        <f t="shared" si="122"/>
        <v>0</v>
      </c>
      <c r="X89" s="26">
        <f t="shared" si="122"/>
        <v>0</v>
      </c>
      <c r="Y89" s="26">
        <f t="shared" si="122"/>
        <v>0</v>
      </c>
      <c r="Z89" s="26">
        <f t="shared" si="122"/>
        <v>0</v>
      </c>
      <c r="AA89" s="26">
        <f t="shared" si="122"/>
        <v>0</v>
      </c>
      <c r="AB89" s="26">
        <f t="shared" si="122"/>
        <v>0</v>
      </c>
      <c r="AC89" s="26">
        <f t="shared" si="122"/>
        <v>0</v>
      </c>
      <c r="AD89" s="26">
        <f t="shared" si="122"/>
        <v>0</v>
      </c>
      <c r="AE89" s="26">
        <f t="shared" si="122"/>
        <v>0</v>
      </c>
      <c r="AF89" s="26">
        <f t="shared" si="122"/>
        <v>0</v>
      </c>
      <c r="AG89" s="5">
        <f t="shared" si="113"/>
        <v>0</v>
      </c>
      <c r="AH89" s="28" t="str">
        <f t="shared" si="114"/>
        <v/>
      </c>
      <c r="AI89" s="4"/>
      <c r="AJ89" s="5">
        <f t="shared" si="115"/>
        <v>0</v>
      </c>
    </row>
    <row r="90" ht="13.5" customHeight="1">
      <c r="A90" s="25" t="s">
        <v>115</v>
      </c>
      <c r="B90" s="5">
        <v>0.0</v>
      </c>
      <c r="C90" s="5">
        <v>0.0</v>
      </c>
      <c r="D90" s="5">
        <v>0.0</v>
      </c>
      <c r="E90" s="5">
        <v>0.0</v>
      </c>
      <c r="F90" s="5">
        <v>0.0</v>
      </c>
      <c r="G90" s="5">
        <v>0.0</v>
      </c>
      <c r="H90" s="5">
        <v>0.0</v>
      </c>
      <c r="I90" s="5">
        <v>0.0</v>
      </c>
      <c r="J90" s="27">
        <v>0.0</v>
      </c>
      <c r="K90" s="27">
        <v>0.0</v>
      </c>
      <c r="L90" s="27">
        <v>0.0</v>
      </c>
      <c r="M90" s="27">
        <v>0.0</v>
      </c>
      <c r="N90" s="5">
        <f t="shared" si="110"/>
        <v>0</v>
      </c>
      <c r="O90" s="28">
        <f t="shared" si="111"/>
        <v>0</v>
      </c>
      <c r="P90" s="5"/>
      <c r="Q90" s="5"/>
      <c r="R90" s="29" t="s">
        <v>34</v>
      </c>
      <c r="S90" s="30">
        <v>0.0</v>
      </c>
      <c r="T90" s="31">
        <v>0.05</v>
      </c>
      <c r="U90" s="26">
        <f t="shared" ref="U90:AF90" si="123">IF($R90="Manual","",IFERROR(IF($R90="YOY Growth",$N90*(1+$T90)/12,$S90/12),""))</f>
        <v>0</v>
      </c>
      <c r="V90" s="26">
        <f t="shared" si="123"/>
        <v>0</v>
      </c>
      <c r="W90" s="26">
        <f t="shared" si="123"/>
        <v>0</v>
      </c>
      <c r="X90" s="26">
        <f t="shared" si="123"/>
        <v>0</v>
      </c>
      <c r="Y90" s="26">
        <f t="shared" si="123"/>
        <v>0</v>
      </c>
      <c r="Z90" s="26">
        <f t="shared" si="123"/>
        <v>0</v>
      </c>
      <c r="AA90" s="26">
        <f t="shared" si="123"/>
        <v>0</v>
      </c>
      <c r="AB90" s="26">
        <f t="shared" si="123"/>
        <v>0</v>
      </c>
      <c r="AC90" s="26">
        <f t="shared" si="123"/>
        <v>0</v>
      </c>
      <c r="AD90" s="26">
        <f t="shared" si="123"/>
        <v>0</v>
      </c>
      <c r="AE90" s="26">
        <f t="shared" si="123"/>
        <v>0</v>
      </c>
      <c r="AF90" s="26">
        <f t="shared" si="123"/>
        <v>0</v>
      </c>
      <c r="AG90" s="5">
        <f t="shared" si="113"/>
        <v>0</v>
      </c>
      <c r="AH90" s="28" t="str">
        <f t="shared" si="114"/>
        <v/>
      </c>
      <c r="AI90" s="4"/>
      <c r="AJ90" s="5">
        <f t="shared" si="115"/>
        <v>0</v>
      </c>
    </row>
    <row r="91" ht="13.5" customHeight="1">
      <c r="A91" s="25" t="s">
        <v>116</v>
      </c>
      <c r="B91" s="5">
        <v>0.0</v>
      </c>
      <c r="C91" s="5">
        <v>0.0</v>
      </c>
      <c r="D91" s="5">
        <v>0.0</v>
      </c>
      <c r="E91" s="5">
        <v>0.0</v>
      </c>
      <c r="F91" s="5">
        <v>0.0</v>
      </c>
      <c r="G91" s="5">
        <v>0.0</v>
      </c>
      <c r="H91" s="5">
        <v>0.0</v>
      </c>
      <c r="I91" s="5">
        <v>0.0</v>
      </c>
      <c r="J91" s="27">
        <v>0.0</v>
      </c>
      <c r="K91" s="27">
        <v>0.0</v>
      </c>
      <c r="L91" s="27">
        <v>0.0</v>
      </c>
      <c r="M91" s="27">
        <v>0.0</v>
      </c>
      <c r="N91" s="5">
        <f t="shared" si="110"/>
        <v>0</v>
      </c>
      <c r="O91" s="28">
        <f t="shared" si="111"/>
        <v>0</v>
      </c>
      <c r="P91" s="5"/>
      <c r="Q91" s="5"/>
      <c r="R91" s="29" t="s">
        <v>34</v>
      </c>
      <c r="S91" s="30">
        <v>0.0</v>
      </c>
      <c r="T91" s="31">
        <v>0.05</v>
      </c>
      <c r="U91" s="26">
        <f t="shared" ref="U91:AF91" si="124">IF($R91="Manual","",IFERROR(IF($R91="YOY Growth",$N91*(1+$T91)/12,$S91/12),""))</f>
        <v>0</v>
      </c>
      <c r="V91" s="26">
        <f t="shared" si="124"/>
        <v>0</v>
      </c>
      <c r="W91" s="26">
        <f t="shared" si="124"/>
        <v>0</v>
      </c>
      <c r="X91" s="26">
        <f t="shared" si="124"/>
        <v>0</v>
      </c>
      <c r="Y91" s="26">
        <f t="shared" si="124"/>
        <v>0</v>
      </c>
      <c r="Z91" s="26">
        <f t="shared" si="124"/>
        <v>0</v>
      </c>
      <c r="AA91" s="26">
        <f t="shared" si="124"/>
        <v>0</v>
      </c>
      <c r="AB91" s="26">
        <f t="shared" si="124"/>
        <v>0</v>
      </c>
      <c r="AC91" s="26">
        <f t="shared" si="124"/>
        <v>0</v>
      </c>
      <c r="AD91" s="26">
        <f t="shared" si="124"/>
        <v>0</v>
      </c>
      <c r="AE91" s="26">
        <f t="shared" si="124"/>
        <v>0</v>
      </c>
      <c r="AF91" s="26">
        <f t="shared" si="124"/>
        <v>0</v>
      </c>
      <c r="AG91" s="5">
        <f t="shared" si="113"/>
        <v>0</v>
      </c>
      <c r="AH91" s="28" t="str">
        <f t="shared" si="114"/>
        <v/>
      </c>
      <c r="AI91" s="4"/>
      <c r="AJ91" s="5">
        <f t="shared" si="115"/>
        <v>0</v>
      </c>
    </row>
    <row r="92" ht="13.5" customHeight="1">
      <c r="A92" s="25" t="s">
        <v>117</v>
      </c>
      <c r="B92" s="5">
        <v>2274.72</v>
      </c>
      <c r="C92" s="5">
        <v>1469.25</v>
      </c>
      <c r="D92" s="5">
        <v>2581.6</v>
      </c>
      <c r="E92" s="5">
        <v>762.9</v>
      </c>
      <c r="F92" s="5">
        <v>9578.03</v>
      </c>
      <c r="G92" s="5">
        <v>2948.97</v>
      </c>
      <c r="H92" s="5">
        <v>0.0</v>
      </c>
      <c r="I92" s="5">
        <v>796.11</v>
      </c>
      <c r="J92" s="27">
        <v>0.0</v>
      </c>
      <c r="K92" s="27">
        <v>0.0</v>
      </c>
      <c r="L92" s="27">
        <v>0.0</v>
      </c>
      <c r="M92" s="27">
        <v>0.0</v>
      </c>
      <c r="N92" s="5">
        <f t="shared" si="110"/>
        <v>20411.58</v>
      </c>
      <c r="O92" s="28">
        <f t="shared" si="111"/>
        <v>0.002749427023</v>
      </c>
      <c r="P92" s="5"/>
      <c r="Q92" s="5"/>
      <c r="R92" s="29" t="s">
        <v>34</v>
      </c>
      <c r="S92" s="30">
        <v>0.0</v>
      </c>
      <c r="T92" s="31">
        <v>0.05</v>
      </c>
      <c r="U92" s="26">
        <f t="shared" ref="U92:AF92" si="125">IF($R92="Manual","",IFERROR(IF($R92="YOY Growth",$N92*(1+$T92)/12,$S92/12),""))</f>
        <v>0</v>
      </c>
      <c r="V92" s="26">
        <f t="shared" si="125"/>
        <v>0</v>
      </c>
      <c r="W92" s="26">
        <f t="shared" si="125"/>
        <v>0</v>
      </c>
      <c r="X92" s="26">
        <f t="shared" si="125"/>
        <v>0</v>
      </c>
      <c r="Y92" s="26">
        <f t="shared" si="125"/>
        <v>0</v>
      </c>
      <c r="Z92" s="26">
        <f t="shared" si="125"/>
        <v>0</v>
      </c>
      <c r="AA92" s="26">
        <f t="shared" si="125"/>
        <v>0</v>
      </c>
      <c r="AB92" s="26">
        <f t="shared" si="125"/>
        <v>0</v>
      </c>
      <c r="AC92" s="26">
        <f t="shared" si="125"/>
        <v>0</v>
      </c>
      <c r="AD92" s="26">
        <f t="shared" si="125"/>
        <v>0</v>
      </c>
      <c r="AE92" s="26">
        <f t="shared" si="125"/>
        <v>0</v>
      </c>
      <c r="AF92" s="26">
        <f t="shared" si="125"/>
        <v>0</v>
      </c>
      <c r="AG92" s="5">
        <f t="shared" si="113"/>
        <v>0</v>
      </c>
      <c r="AH92" s="28" t="str">
        <f t="shared" si="114"/>
        <v/>
      </c>
      <c r="AI92" s="20" t="s">
        <v>125</v>
      </c>
      <c r="AJ92" s="5">
        <f t="shared" si="115"/>
        <v>20411.58</v>
      </c>
    </row>
    <row r="93" ht="13.5" customHeight="1">
      <c r="A93" s="25" t="s">
        <v>118</v>
      </c>
      <c r="B93" s="5">
        <v>0.0</v>
      </c>
      <c r="C93" s="5">
        <v>0.0</v>
      </c>
      <c r="D93" s="5">
        <v>0.0</v>
      </c>
      <c r="E93" s="5">
        <v>0.0</v>
      </c>
      <c r="F93" s="5">
        <v>0.0</v>
      </c>
      <c r="G93" s="5">
        <v>530.0</v>
      </c>
      <c r="H93" s="5">
        <v>0.0</v>
      </c>
      <c r="I93" s="5">
        <v>0.0</v>
      </c>
      <c r="J93" s="27">
        <v>0.0</v>
      </c>
      <c r="K93" s="27">
        <v>0.0</v>
      </c>
      <c r="L93" s="27">
        <v>0.0</v>
      </c>
      <c r="M93" s="27">
        <v>0.0</v>
      </c>
      <c r="N93" s="5">
        <f t="shared" si="110"/>
        <v>530</v>
      </c>
      <c r="O93" s="28">
        <f t="shared" si="111"/>
        <v>0.00007139066757</v>
      </c>
      <c r="P93" s="5"/>
      <c r="Q93" s="5"/>
      <c r="R93" s="29" t="s">
        <v>34</v>
      </c>
      <c r="S93" s="38">
        <v>5000.0</v>
      </c>
      <c r="T93" s="31">
        <v>0.05</v>
      </c>
      <c r="U93" s="26">
        <f t="shared" ref="U93:X93" si="126">IF($R93="Manual","",IFERROR(IF($R93="YOY Growth",$N93*(1+$T93)/12,$S93/12),""))</f>
        <v>416.6666667</v>
      </c>
      <c r="V93" s="26">
        <f t="shared" si="126"/>
        <v>416.6666667</v>
      </c>
      <c r="W93" s="26">
        <f t="shared" si="126"/>
        <v>416.6666667</v>
      </c>
      <c r="X93" s="26">
        <f t="shared" si="126"/>
        <v>416.6666667</v>
      </c>
      <c r="Y93" s="26">
        <f t="shared" ref="Y93:AF93" si="127">IF($R93="Manual","",IFERROR(IF($R93="YOY Growth",$N93*(1+$T93)/12,$S93/12),""))*Y146</f>
        <v>437.5</v>
      </c>
      <c r="Z93" s="26">
        <f t="shared" si="127"/>
        <v>458.3333333</v>
      </c>
      <c r="AA93" s="26">
        <f t="shared" si="127"/>
        <v>479.1666667</v>
      </c>
      <c r="AB93" s="26">
        <f t="shared" si="127"/>
        <v>500</v>
      </c>
      <c r="AC93" s="26">
        <f t="shared" si="127"/>
        <v>520.8333333</v>
      </c>
      <c r="AD93" s="26">
        <f t="shared" si="127"/>
        <v>541.6666667</v>
      </c>
      <c r="AE93" s="26">
        <f t="shared" si="127"/>
        <v>562.5</v>
      </c>
      <c r="AF93" s="26">
        <f t="shared" si="127"/>
        <v>583.3333333</v>
      </c>
      <c r="AG93" s="5">
        <f t="shared" si="113"/>
        <v>5750</v>
      </c>
      <c r="AH93" s="28" t="str">
        <f t="shared" si="114"/>
        <v/>
      </c>
      <c r="AI93" s="20" t="s">
        <v>127</v>
      </c>
      <c r="AJ93" s="5">
        <f t="shared" si="115"/>
        <v>-5220</v>
      </c>
    </row>
    <row r="94" ht="13.5" customHeight="1">
      <c r="A94" s="25" t="s">
        <v>119</v>
      </c>
      <c r="B94" s="5">
        <v>0.0</v>
      </c>
      <c r="C94" s="5">
        <v>0.0</v>
      </c>
      <c r="D94" s="5">
        <v>0.0</v>
      </c>
      <c r="E94" s="5">
        <v>0.0</v>
      </c>
      <c r="F94" s="5">
        <v>0.0</v>
      </c>
      <c r="G94" s="5">
        <v>0.0</v>
      </c>
      <c r="H94" s="5">
        <v>0.0</v>
      </c>
      <c r="I94" s="5">
        <v>0.0</v>
      </c>
      <c r="J94" s="27">
        <v>0.0</v>
      </c>
      <c r="K94" s="27">
        <v>0.0</v>
      </c>
      <c r="L94" s="27">
        <v>0.0</v>
      </c>
      <c r="M94" s="27">
        <v>0.0</v>
      </c>
      <c r="N94" s="5">
        <f t="shared" si="110"/>
        <v>0</v>
      </c>
      <c r="O94" s="28">
        <f t="shared" si="111"/>
        <v>0</v>
      </c>
      <c r="P94" s="5"/>
      <c r="Q94" s="5"/>
      <c r="R94" s="29" t="s">
        <v>34</v>
      </c>
      <c r="S94" s="30">
        <v>0.0</v>
      </c>
      <c r="T94" s="31">
        <v>0.05</v>
      </c>
      <c r="U94" s="26">
        <f t="shared" ref="U94:AF94" si="128">IF($R94="Manual","",IFERROR(IF($R94="YOY Growth",$N94*(1+$T94)/12,$S94/12),""))</f>
        <v>0</v>
      </c>
      <c r="V94" s="26">
        <f t="shared" si="128"/>
        <v>0</v>
      </c>
      <c r="W94" s="26">
        <f t="shared" si="128"/>
        <v>0</v>
      </c>
      <c r="X94" s="26">
        <f t="shared" si="128"/>
        <v>0</v>
      </c>
      <c r="Y94" s="26">
        <f t="shared" si="128"/>
        <v>0</v>
      </c>
      <c r="Z94" s="26">
        <f t="shared" si="128"/>
        <v>0</v>
      </c>
      <c r="AA94" s="26">
        <f t="shared" si="128"/>
        <v>0</v>
      </c>
      <c r="AB94" s="26">
        <f t="shared" si="128"/>
        <v>0</v>
      </c>
      <c r="AC94" s="26">
        <f t="shared" si="128"/>
        <v>0</v>
      </c>
      <c r="AD94" s="26">
        <f t="shared" si="128"/>
        <v>0</v>
      </c>
      <c r="AE94" s="26">
        <f t="shared" si="128"/>
        <v>0</v>
      </c>
      <c r="AF94" s="26">
        <f t="shared" si="128"/>
        <v>0</v>
      </c>
      <c r="AG94" s="5">
        <f t="shared" si="113"/>
        <v>0</v>
      </c>
      <c r="AH94" s="28" t="str">
        <f t="shared" si="114"/>
        <v/>
      </c>
      <c r="AI94" s="4"/>
      <c r="AJ94" s="5">
        <f t="shared" si="115"/>
        <v>0</v>
      </c>
    </row>
    <row r="95" ht="13.5" customHeight="1">
      <c r="A95" s="25" t="s">
        <v>120</v>
      </c>
      <c r="B95" s="5">
        <v>0.0</v>
      </c>
      <c r="C95" s="5">
        <v>0.0</v>
      </c>
      <c r="D95" s="5">
        <v>316.43</v>
      </c>
      <c r="E95" s="5">
        <v>0.0</v>
      </c>
      <c r="F95" s="5">
        <v>0.0</v>
      </c>
      <c r="G95" s="5">
        <v>-3257.19</v>
      </c>
      <c r="H95" s="5">
        <v>0.0</v>
      </c>
      <c r="I95" s="5">
        <v>0.0</v>
      </c>
      <c r="J95" s="27">
        <v>2000.0</v>
      </c>
      <c r="K95" s="27">
        <v>2000.0</v>
      </c>
      <c r="L95" s="27">
        <v>2000.0</v>
      </c>
      <c r="M95" s="27">
        <v>2000.0</v>
      </c>
      <c r="N95" s="5">
        <f t="shared" si="110"/>
        <v>5059.24</v>
      </c>
      <c r="O95" s="28">
        <f t="shared" si="111"/>
        <v>0.0006814764547</v>
      </c>
      <c r="P95" s="5"/>
      <c r="Q95" s="5"/>
      <c r="R95" s="29" t="s">
        <v>34</v>
      </c>
      <c r="S95" s="38">
        <v>26000.0</v>
      </c>
      <c r="T95" s="31">
        <v>0.05</v>
      </c>
      <c r="U95" s="26">
        <f t="shared" ref="U95:X95" si="129">IF($R95="Manual","",IFERROR(IF($R95="YOY Growth",$N95*(1+$T95)/12,$S95/12),""))</f>
        <v>2166.666667</v>
      </c>
      <c r="V95" s="26">
        <f t="shared" si="129"/>
        <v>2166.666667</v>
      </c>
      <c r="W95" s="26">
        <f t="shared" si="129"/>
        <v>2166.666667</v>
      </c>
      <c r="X95" s="26">
        <f t="shared" si="129"/>
        <v>2166.666667</v>
      </c>
      <c r="Y95" s="26">
        <f t="shared" ref="Y95:AF95" si="130">IF($R95="Manual","",IFERROR(IF($R95="YOY Growth",$N95*(1+$T95)/12,$S95/12),""))*Y146</f>
        <v>2275</v>
      </c>
      <c r="Z95" s="26">
        <f t="shared" si="130"/>
        <v>2383.333333</v>
      </c>
      <c r="AA95" s="26">
        <f t="shared" si="130"/>
        <v>2491.666667</v>
      </c>
      <c r="AB95" s="26">
        <f t="shared" si="130"/>
        <v>2600</v>
      </c>
      <c r="AC95" s="26">
        <f t="shared" si="130"/>
        <v>2708.333333</v>
      </c>
      <c r="AD95" s="26">
        <f t="shared" si="130"/>
        <v>2816.666667</v>
      </c>
      <c r="AE95" s="26">
        <f t="shared" si="130"/>
        <v>2925</v>
      </c>
      <c r="AF95" s="26">
        <f t="shared" si="130"/>
        <v>3033.333333</v>
      </c>
      <c r="AG95" s="5">
        <f t="shared" si="113"/>
        <v>29900</v>
      </c>
      <c r="AH95" s="28" t="str">
        <f t="shared" si="114"/>
        <v/>
      </c>
      <c r="AI95" s="4"/>
      <c r="AJ95" s="5">
        <f t="shared" si="115"/>
        <v>-24840.76</v>
      </c>
    </row>
    <row r="96" ht="13.5" customHeight="1">
      <c r="A96" s="25" t="s">
        <v>121</v>
      </c>
      <c r="B96" s="5">
        <v>0.0</v>
      </c>
      <c r="C96" s="5">
        <v>15.09</v>
      </c>
      <c r="D96" s="5">
        <v>665.79</v>
      </c>
      <c r="E96" s="5">
        <v>9525.44</v>
      </c>
      <c r="F96" s="5">
        <v>1129.75</v>
      </c>
      <c r="G96" s="5">
        <v>-801.0</v>
      </c>
      <c r="H96" s="5">
        <v>561.23</v>
      </c>
      <c r="I96" s="5">
        <v>273.43</v>
      </c>
      <c r="J96" s="27">
        <v>500.0</v>
      </c>
      <c r="K96" s="27">
        <v>500.0</v>
      </c>
      <c r="L96" s="27">
        <v>500.0</v>
      </c>
      <c r="M96" s="27">
        <v>500.0</v>
      </c>
      <c r="N96" s="5">
        <f t="shared" si="110"/>
        <v>13369.73</v>
      </c>
      <c r="O96" s="28">
        <f t="shared" si="111"/>
        <v>0.001800894245</v>
      </c>
      <c r="P96" s="5"/>
      <c r="Q96" s="5"/>
      <c r="R96" s="29" t="s">
        <v>34</v>
      </c>
      <c r="S96" s="38">
        <v>6000.0</v>
      </c>
      <c r="T96" s="31">
        <v>0.05</v>
      </c>
      <c r="U96" s="26">
        <f t="shared" ref="U96:AF96" si="131">IF($R96="Manual","",IFERROR(IF($R96="YOY Growth",$N96*(1+$T96)/12,$S96/12),""))</f>
        <v>500</v>
      </c>
      <c r="V96" s="26">
        <f t="shared" si="131"/>
        <v>500</v>
      </c>
      <c r="W96" s="26">
        <f t="shared" si="131"/>
        <v>500</v>
      </c>
      <c r="X96" s="26">
        <f t="shared" si="131"/>
        <v>500</v>
      </c>
      <c r="Y96" s="26">
        <f t="shared" si="131"/>
        <v>500</v>
      </c>
      <c r="Z96" s="26">
        <f t="shared" si="131"/>
        <v>500</v>
      </c>
      <c r="AA96" s="26">
        <f t="shared" si="131"/>
        <v>500</v>
      </c>
      <c r="AB96" s="26">
        <f t="shared" si="131"/>
        <v>500</v>
      </c>
      <c r="AC96" s="26">
        <f t="shared" si="131"/>
        <v>500</v>
      </c>
      <c r="AD96" s="26">
        <f t="shared" si="131"/>
        <v>500</v>
      </c>
      <c r="AE96" s="26">
        <f t="shared" si="131"/>
        <v>500</v>
      </c>
      <c r="AF96" s="26">
        <f t="shared" si="131"/>
        <v>500</v>
      </c>
      <c r="AG96" s="5">
        <f t="shared" si="113"/>
        <v>6000</v>
      </c>
      <c r="AH96" s="28" t="str">
        <f t="shared" si="114"/>
        <v/>
      </c>
      <c r="AI96" s="4"/>
      <c r="AJ96" s="5">
        <f t="shared" si="115"/>
        <v>7369.73</v>
      </c>
    </row>
    <row r="97" ht="13.5" customHeight="1">
      <c r="A97" s="25" t="s">
        <v>122</v>
      </c>
      <c r="B97" s="5">
        <v>0.0</v>
      </c>
      <c r="C97" s="5">
        <v>0.0</v>
      </c>
      <c r="D97" s="5">
        <v>0.0</v>
      </c>
      <c r="E97" s="5">
        <v>0.0</v>
      </c>
      <c r="F97" s="5">
        <v>0.0</v>
      </c>
      <c r="G97" s="5">
        <v>0.0</v>
      </c>
      <c r="H97" s="5">
        <v>0.0</v>
      </c>
      <c r="I97" s="5">
        <v>0.0</v>
      </c>
      <c r="J97" s="27">
        <v>0.0</v>
      </c>
      <c r="K97" s="27">
        <v>0.0</v>
      </c>
      <c r="L97" s="27">
        <v>0.0</v>
      </c>
      <c r="M97" s="27">
        <v>0.0</v>
      </c>
      <c r="N97" s="5">
        <f t="shared" si="110"/>
        <v>0</v>
      </c>
      <c r="O97" s="28">
        <f t="shared" si="111"/>
        <v>0</v>
      </c>
      <c r="P97" s="5"/>
      <c r="Q97" s="5"/>
      <c r="R97" s="29" t="s">
        <v>34</v>
      </c>
      <c r="S97" s="30">
        <v>0.0</v>
      </c>
      <c r="T97" s="31">
        <v>0.05</v>
      </c>
      <c r="U97" s="26">
        <f t="shared" ref="U97:AF97" si="132">IF($R97="Manual","",IFERROR(IF($R97="YOY Growth",$N97*(1+$T97)/12,$S97/12),""))</f>
        <v>0</v>
      </c>
      <c r="V97" s="26">
        <f t="shared" si="132"/>
        <v>0</v>
      </c>
      <c r="W97" s="26">
        <f t="shared" si="132"/>
        <v>0</v>
      </c>
      <c r="X97" s="26">
        <f t="shared" si="132"/>
        <v>0</v>
      </c>
      <c r="Y97" s="26">
        <f t="shared" si="132"/>
        <v>0</v>
      </c>
      <c r="Z97" s="26">
        <f t="shared" si="132"/>
        <v>0</v>
      </c>
      <c r="AA97" s="26">
        <f t="shared" si="132"/>
        <v>0</v>
      </c>
      <c r="AB97" s="26">
        <f t="shared" si="132"/>
        <v>0</v>
      </c>
      <c r="AC97" s="26">
        <f t="shared" si="132"/>
        <v>0</v>
      </c>
      <c r="AD97" s="26">
        <f t="shared" si="132"/>
        <v>0</v>
      </c>
      <c r="AE97" s="26">
        <f t="shared" si="132"/>
        <v>0</v>
      </c>
      <c r="AF97" s="26">
        <f t="shared" si="132"/>
        <v>0</v>
      </c>
      <c r="AG97" s="5">
        <f t="shared" si="113"/>
        <v>0</v>
      </c>
      <c r="AH97" s="28" t="str">
        <f t="shared" si="114"/>
        <v/>
      </c>
      <c r="AI97" s="4"/>
      <c r="AJ97" s="5">
        <f t="shared" si="115"/>
        <v>0</v>
      </c>
    </row>
    <row r="98" ht="13.5" customHeight="1">
      <c r="A98" s="25" t="s">
        <v>123</v>
      </c>
      <c r="B98" s="5">
        <v>0.0</v>
      </c>
      <c r="C98" s="5">
        <v>0.0</v>
      </c>
      <c r="D98" s="5">
        <v>0.0</v>
      </c>
      <c r="E98" s="5">
        <v>0.0</v>
      </c>
      <c r="F98" s="5">
        <v>0.0</v>
      </c>
      <c r="G98" s="5">
        <v>0.0</v>
      </c>
      <c r="H98" s="5">
        <v>0.0</v>
      </c>
      <c r="I98" s="5">
        <v>0.0</v>
      </c>
      <c r="J98" s="27">
        <v>630000.0</v>
      </c>
      <c r="K98" s="27">
        <v>2000.0</v>
      </c>
      <c r="L98" s="27">
        <v>2000.0</v>
      </c>
      <c r="M98" s="27">
        <v>2000.0</v>
      </c>
      <c r="N98" s="5">
        <f t="shared" si="110"/>
        <v>636000</v>
      </c>
      <c r="O98" s="28">
        <f t="shared" si="111"/>
        <v>0.08566880108</v>
      </c>
      <c r="P98" s="5"/>
      <c r="Q98" s="5"/>
      <c r="R98" s="37" t="s">
        <v>34</v>
      </c>
      <c r="S98" s="30">
        <v>0.0</v>
      </c>
      <c r="T98" s="39">
        <v>0.0</v>
      </c>
      <c r="U98" s="26">
        <f t="shared" ref="U98:AF98" si="133">IF($R98="Manual","",IFERROR(IF($R98="YOY Growth",$N98*(1+$T98)/12,$S98/12),""))</f>
        <v>0</v>
      </c>
      <c r="V98" s="26">
        <f t="shared" si="133"/>
        <v>0</v>
      </c>
      <c r="W98" s="26">
        <f t="shared" si="133"/>
        <v>0</v>
      </c>
      <c r="X98" s="26">
        <f t="shared" si="133"/>
        <v>0</v>
      </c>
      <c r="Y98" s="26">
        <f t="shared" si="133"/>
        <v>0</v>
      </c>
      <c r="Z98" s="26">
        <f t="shared" si="133"/>
        <v>0</v>
      </c>
      <c r="AA98" s="26">
        <f t="shared" si="133"/>
        <v>0</v>
      </c>
      <c r="AB98" s="26">
        <f t="shared" si="133"/>
        <v>0</v>
      </c>
      <c r="AC98" s="26">
        <f t="shared" si="133"/>
        <v>0</v>
      </c>
      <c r="AD98" s="26">
        <f t="shared" si="133"/>
        <v>0</v>
      </c>
      <c r="AE98" s="26">
        <f t="shared" si="133"/>
        <v>0</v>
      </c>
      <c r="AF98" s="26">
        <f t="shared" si="133"/>
        <v>0</v>
      </c>
      <c r="AG98" s="5">
        <f t="shared" si="113"/>
        <v>0</v>
      </c>
      <c r="AH98" s="28" t="str">
        <f t="shared" si="114"/>
        <v/>
      </c>
      <c r="AI98" s="20" t="s">
        <v>134</v>
      </c>
      <c r="AJ98" s="5">
        <f t="shared" si="115"/>
        <v>636000</v>
      </c>
    </row>
    <row r="99" ht="13.5" customHeight="1">
      <c r="A99" s="25" t="s">
        <v>124</v>
      </c>
      <c r="B99" s="5">
        <v>4876.8</v>
      </c>
      <c r="C99" s="5">
        <v>0.0</v>
      </c>
      <c r="D99" s="5">
        <v>0.0</v>
      </c>
      <c r="E99" s="5">
        <v>448.44</v>
      </c>
      <c r="F99" s="5">
        <v>577.8</v>
      </c>
      <c r="G99" s="5">
        <v>448.44</v>
      </c>
      <c r="H99" s="5">
        <v>448.44</v>
      </c>
      <c r="I99" s="5">
        <v>448.44</v>
      </c>
      <c r="J99" s="27">
        <v>1600.0</v>
      </c>
      <c r="K99" s="27">
        <v>1600.0</v>
      </c>
      <c r="L99" s="27">
        <v>1600.0</v>
      </c>
      <c r="M99" s="27">
        <v>1600.0</v>
      </c>
      <c r="N99" s="5">
        <f t="shared" si="110"/>
        <v>13648.36</v>
      </c>
      <c r="O99" s="28">
        <f t="shared" si="111"/>
        <v>0.001838425531</v>
      </c>
      <c r="P99" s="5"/>
      <c r="Q99" s="5"/>
      <c r="R99" s="29" t="s">
        <v>34</v>
      </c>
      <c r="S99" s="38">
        <v>20000.0</v>
      </c>
      <c r="T99" s="31">
        <v>0.05</v>
      </c>
      <c r="U99" s="26">
        <f t="shared" ref="U99:AF99" si="134">IF($R99="Manual","",IFERROR(IF($R99="YOY Growth",$N99*(1+$T99)/12,$S99/12),""))</f>
        <v>1666.666667</v>
      </c>
      <c r="V99" s="26">
        <f t="shared" si="134"/>
        <v>1666.666667</v>
      </c>
      <c r="W99" s="26">
        <f t="shared" si="134"/>
        <v>1666.666667</v>
      </c>
      <c r="X99" s="26">
        <f t="shared" si="134"/>
        <v>1666.666667</v>
      </c>
      <c r="Y99" s="26">
        <f t="shared" si="134"/>
        <v>1666.666667</v>
      </c>
      <c r="Z99" s="26">
        <f t="shared" si="134"/>
        <v>1666.666667</v>
      </c>
      <c r="AA99" s="26">
        <f t="shared" si="134"/>
        <v>1666.666667</v>
      </c>
      <c r="AB99" s="26">
        <f t="shared" si="134"/>
        <v>1666.666667</v>
      </c>
      <c r="AC99" s="26">
        <f t="shared" si="134"/>
        <v>1666.666667</v>
      </c>
      <c r="AD99" s="26">
        <f t="shared" si="134"/>
        <v>1666.666667</v>
      </c>
      <c r="AE99" s="26">
        <f t="shared" si="134"/>
        <v>1666.666667</v>
      </c>
      <c r="AF99" s="26">
        <f t="shared" si="134"/>
        <v>1666.666667</v>
      </c>
      <c r="AG99" s="5">
        <f t="shared" si="113"/>
        <v>20000</v>
      </c>
      <c r="AH99" s="28" t="str">
        <f t="shared" si="114"/>
        <v/>
      </c>
      <c r="AI99" s="4"/>
      <c r="AJ99" s="5">
        <f t="shared" si="115"/>
        <v>-6351.64</v>
      </c>
    </row>
    <row r="100" ht="13.5" customHeight="1">
      <c r="A100" s="25" t="s">
        <v>126</v>
      </c>
      <c r="B100" s="5">
        <v>0.0</v>
      </c>
      <c r="C100" s="5">
        <v>0.0</v>
      </c>
      <c r="D100" s="5">
        <v>0.0</v>
      </c>
      <c r="E100" s="5">
        <v>0.0</v>
      </c>
      <c r="F100" s="5">
        <v>0.0</v>
      </c>
      <c r="G100" s="5">
        <v>0.0</v>
      </c>
      <c r="H100" s="5">
        <v>0.0</v>
      </c>
      <c r="I100" s="5">
        <v>0.0</v>
      </c>
      <c r="J100" s="27">
        <v>0.0</v>
      </c>
      <c r="K100" s="27">
        <v>0.0</v>
      </c>
      <c r="L100" s="27">
        <v>0.0</v>
      </c>
      <c r="M100" s="27">
        <v>0.0</v>
      </c>
      <c r="N100" s="5">
        <f t="shared" si="110"/>
        <v>0</v>
      </c>
      <c r="O100" s="28">
        <f t="shared" si="111"/>
        <v>0</v>
      </c>
      <c r="P100" s="5"/>
      <c r="Q100" s="5"/>
      <c r="R100" s="29" t="s">
        <v>34</v>
      </c>
      <c r="S100" s="30">
        <v>0.0</v>
      </c>
      <c r="T100" s="31">
        <v>0.05</v>
      </c>
      <c r="U100" s="26">
        <f t="shared" ref="U100:AF100" si="135">IF($R100="Manual","",IFERROR(IF($R100="YOY Growth",$N100*(1+$T100)/12,$S100/12),""))</f>
        <v>0</v>
      </c>
      <c r="V100" s="26">
        <f t="shared" si="135"/>
        <v>0</v>
      </c>
      <c r="W100" s="26">
        <f t="shared" si="135"/>
        <v>0</v>
      </c>
      <c r="X100" s="26">
        <f t="shared" si="135"/>
        <v>0</v>
      </c>
      <c r="Y100" s="26">
        <f t="shared" si="135"/>
        <v>0</v>
      </c>
      <c r="Z100" s="26">
        <f t="shared" si="135"/>
        <v>0</v>
      </c>
      <c r="AA100" s="26">
        <f t="shared" si="135"/>
        <v>0</v>
      </c>
      <c r="AB100" s="26">
        <f t="shared" si="135"/>
        <v>0</v>
      </c>
      <c r="AC100" s="26">
        <f t="shared" si="135"/>
        <v>0</v>
      </c>
      <c r="AD100" s="26">
        <f t="shared" si="135"/>
        <v>0</v>
      </c>
      <c r="AE100" s="26">
        <f t="shared" si="135"/>
        <v>0</v>
      </c>
      <c r="AF100" s="26">
        <f t="shared" si="135"/>
        <v>0</v>
      </c>
      <c r="AG100" s="5">
        <f t="shared" si="113"/>
        <v>0</v>
      </c>
      <c r="AH100" s="28" t="str">
        <f t="shared" si="114"/>
        <v/>
      </c>
      <c r="AI100" s="4"/>
      <c r="AJ100" s="5">
        <f t="shared" si="115"/>
        <v>0</v>
      </c>
    </row>
    <row r="101" ht="13.5" customHeight="1">
      <c r="A101" s="25" t="s">
        <v>128</v>
      </c>
      <c r="B101" s="5">
        <v>2546.7</v>
      </c>
      <c r="C101" s="5">
        <v>1667.4</v>
      </c>
      <c r="D101" s="5">
        <v>2505.74</v>
      </c>
      <c r="E101" s="5">
        <v>2170.39</v>
      </c>
      <c r="F101" s="5">
        <v>2114.52</v>
      </c>
      <c r="G101" s="5">
        <v>2730.36</v>
      </c>
      <c r="H101" s="5">
        <v>2114.51</v>
      </c>
      <c r="I101" s="5">
        <v>0.0</v>
      </c>
      <c r="J101" s="27">
        <v>2200.0</v>
      </c>
      <c r="K101" s="27">
        <v>2200.0</v>
      </c>
      <c r="L101" s="27">
        <v>2200.0</v>
      </c>
      <c r="M101" s="27">
        <v>2200.0</v>
      </c>
      <c r="N101" s="5">
        <f t="shared" si="110"/>
        <v>24649.62</v>
      </c>
      <c r="O101" s="28">
        <f t="shared" si="111"/>
        <v>0.003320288353</v>
      </c>
      <c r="P101" s="5"/>
      <c r="Q101" s="5"/>
      <c r="R101" s="29" t="s">
        <v>34</v>
      </c>
      <c r="S101" s="38">
        <v>50000.0</v>
      </c>
      <c r="T101" s="31">
        <v>0.05</v>
      </c>
      <c r="U101" s="26">
        <f t="shared" ref="U101:AF101" si="136">IF($R101="Manual","",IFERROR(IF($R101="YOY Growth",$N101*(1+$T101)/12,$S101/12),""))</f>
        <v>4166.666667</v>
      </c>
      <c r="V101" s="26">
        <f t="shared" si="136"/>
        <v>4166.666667</v>
      </c>
      <c r="W101" s="26">
        <f t="shared" si="136"/>
        <v>4166.666667</v>
      </c>
      <c r="X101" s="26">
        <f t="shared" si="136"/>
        <v>4166.666667</v>
      </c>
      <c r="Y101" s="26">
        <f t="shared" si="136"/>
        <v>4166.666667</v>
      </c>
      <c r="Z101" s="26">
        <f t="shared" si="136"/>
        <v>4166.666667</v>
      </c>
      <c r="AA101" s="26">
        <f t="shared" si="136"/>
        <v>4166.666667</v>
      </c>
      <c r="AB101" s="26">
        <f t="shared" si="136"/>
        <v>4166.666667</v>
      </c>
      <c r="AC101" s="26">
        <f t="shared" si="136"/>
        <v>4166.666667</v>
      </c>
      <c r="AD101" s="26">
        <f t="shared" si="136"/>
        <v>4166.666667</v>
      </c>
      <c r="AE101" s="26">
        <f t="shared" si="136"/>
        <v>4166.666667</v>
      </c>
      <c r="AF101" s="26">
        <f t="shared" si="136"/>
        <v>4166.666667</v>
      </c>
      <c r="AG101" s="5">
        <f t="shared" si="113"/>
        <v>50000</v>
      </c>
      <c r="AH101" s="28" t="str">
        <f t="shared" si="114"/>
        <v/>
      </c>
      <c r="AI101" s="20" t="s">
        <v>139</v>
      </c>
      <c r="AJ101" s="5">
        <f t="shared" si="115"/>
        <v>-25350.38</v>
      </c>
    </row>
    <row r="102" ht="13.5" customHeight="1">
      <c r="A102" s="25" t="s">
        <v>129</v>
      </c>
      <c r="B102" s="5">
        <v>0.0</v>
      </c>
      <c r="C102" s="5">
        <v>0.0</v>
      </c>
      <c r="D102" s="5">
        <v>0.0</v>
      </c>
      <c r="E102" s="5">
        <v>0.0</v>
      </c>
      <c r="F102" s="5">
        <v>21.59</v>
      </c>
      <c r="G102" s="5">
        <v>0.0</v>
      </c>
      <c r="H102" s="5">
        <v>0.0</v>
      </c>
      <c r="I102" s="5">
        <v>0.0</v>
      </c>
      <c r="J102" s="27">
        <v>0.0</v>
      </c>
      <c r="K102" s="27">
        <v>0.0</v>
      </c>
      <c r="L102" s="27">
        <v>0.0</v>
      </c>
      <c r="M102" s="27">
        <v>0.0</v>
      </c>
      <c r="N102" s="5">
        <f t="shared" si="110"/>
        <v>21.59</v>
      </c>
      <c r="O102" s="28">
        <f t="shared" si="111"/>
        <v>0.000002908159458</v>
      </c>
      <c r="P102" s="5"/>
      <c r="Q102" s="5"/>
      <c r="R102" s="29" t="s">
        <v>34</v>
      </c>
      <c r="S102" s="30">
        <v>0.0</v>
      </c>
      <c r="T102" s="31">
        <v>0.05</v>
      </c>
      <c r="U102" s="26">
        <f t="shared" ref="U102:AF102" si="137">IF($R102="Manual","",IFERROR(IF($R102="YOY Growth",$N102*(1+$T102)/12,$S102/12),""))</f>
        <v>0</v>
      </c>
      <c r="V102" s="26">
        <f t="shared" si="137"/>
        <v>0</v>
      </c>
      <c r="W102" s="26">
        <f t="shared" si="137"/>
        <v>0</v>
      </c>
      <c r="X102" s="26">
        <f t="shared" si="137"/>
        <v>0</v>
      </c>
      <c r="Y102" s="26">
        <f t="shared" si="137"/>
        <v>0</v>
      </c>
      <c r="Z102" s="26">
        <f t="shared" si="137"/>
        <v>0</v>
      </c>
      <c r="AA102" s="26">
        <f t="shared" si="137"/>
        <v>0</v>
      </c>
      <c r="AB102" s="26">
        <f t="shared" si="137"/>
        <v>0</v>
      </c>
      <c r="AC102" s="26">
        <f t="shared" si="137"/>
        <v>0</v>
      </c>
      <c r="AD102" s="26">
        <f t="shared" si="137"/>
        <v>0</v>
      </c>
      <c r="AE102" s="26">
        <f t="shared" si="137"/>
        <v>0</v>
      </c>
      <c r="AF102" s="26">
        <f t="shared" si="137"/>
        <v>0</v>
      </c>
      <c r="AG102" s="5">
        <f t="shared" si="113"/>
        <v>0</v>
      </c>
      <c r="AH102" s="28" t="str">
        <f t="shared" si="114"/>
        <v/>
      </c>
      <c r="AI102" s="4"/>
      <c r="AJ102" s="5">
        <f t="shared" si="115"/>
        <v>21.59</v>
      </c>
    </row>
    <row r="103" ht="13.5" customHeight="1">
      <c r="A103" s="25" t="s">
        <v>130</v>
      </c>
      <c r="B103" s="5">
        <v>0.0</v>
      </c>
      <c r="C103" s="5">
        <v>0.0</v>
      </c>
      <c r="D103" s="5">
        <v>0.0</v>
      </c>
      <c r="E103" s="5">
        <v>0.0</v>
      </c>
      <c r="F103" s="5">
        <v>0.0</v>
      </c>
      <c r="G103" s="5">
        <v>0.0</v>
      </c>
      <c r="H103" s="5">
        <v>0.0</v>
      </c>
      <c r="I103" s="5">
        <v>0.0</v>
      </c>
      <c r="J103" s="27">
        <v>0.0</v>
      </c>
      <c r="K103" s="27">
        <v>0.0</v>
      </c>
      <c r="L103" s="27">
        <v>0.0</v>
      </c>
      <c r="M103" s="27">
        <v>0.0</v>
      </c>
      <c r="N103" s="5">
        <f t="shared" si="110"/>
        <v>0</v>
      </c>
      <c r="O103" s="28">
        <f t="shared" si="111"/>
        <v>0</v>
      </c>
      <c r="P103" s="5"/>
      <c r="Q103" s="5"/>
      <c r="R103" s="29" t="s">
        <v>34</v>
      </c>
      <c r="S103" s="30">
        <v>0.0</v>
      </c>
      <c r="T103" s="31">
        <v>0.05</v>
      </c>
      <c r="U103" s="26">
        <f t="shared" ref="U103:AF103" si="138">IF($R103="Manual","",IFERROR(IF($R103="YOY Growth",$N103*(1+$T103)/12,$S103/12),""))</f>
        <v>0</v>
      </c>
      <c r="V103" s="26">
        <f t="shared" si="138"/>
        <v>0</v>
      </c>
      <c r="W103" s="26">
        <f t="shared" si="138"/>
        <v>0</v>
      </c>
      <c r="X103" s="26">
        <f t="shared" si="138"/>
        <v>0</v>
      </c>
      <c r="Y103" s="26">
        <f t="shared" si="138"/>
        <v>0</v>
      </c>
      <c r="Z103" s="26">
        <f t="shared" si="138"/>
        <v>0</v>
      </c>
      <c r="AA103" s="26">
        <f t="shared" si="138"/>
        <v>0</v>
      </c>
      <c r="AB103" s="26">
        <f t="shared" si="138"/>
        <v>0</v>
      </c>
      <c r="AC103" s="26">
        <f t="shared" si="138"/>
        <v>0</v>
      </c>
      <c r="AD103" s="26">
        <f t="shared" si="138"/>
        <v>0</v>
      </c>
      <c r="AE103" s="26">
        <f t="shared" si="138"/>
        <v>0</v>
      </c>
      <c r="AF103" s="26">
        <f t="shared" si="138"/>
        <v>0</v>
      </c>
      <c r="AG103" s="5">
        <f t="shared" si="113"/>
        <v>0</v>
      </c>
      <c r="AH103" s="28" t="str">
        <f t="shared" si="114"/>
        <v/>
      </c>
      <c r="AI103" s="4"/>
      <c r="AJ103" s="5">
        <f t="shared" si="115"/>
        <v>0</v>
      </c>
    </row>
    <row r="104" ht="13.5" customHeight="1">
      <c r="A104" s="25" t="s">
        <v>131</v>
      </c>
      <c r="B104" s="5">
        <v>0.0</v>
      </c>
      <c r="C104" s="5">
        <v>0.0</v>
      </c>
      <c r="D104" s="5">
        <v>0.0</v>
      </c>
      <c r="E104" s="5">
        <v>2070.05</v>
      </c>
      <c r="F104" s="5">
        <v>0.0</v>
      </c>
      <c r="G104" s="5">
        <v>78.84</v>
      </c>
      <c r="H104" s="5">
        <v>0.0</v>
      </c>
      <c r="I104" s="5">
        <v>0.0</v>
      </c>
      <c r="J104" s="27">
        <v>0.0</v>
      </c>
      <c r="K104" s="27">
        <v>0.0</v>
      </c>
      <c r="L104" s="27">
        <v>0.0</v>
      </c>
      <c r="M104" s="27">
        <v>0.0</v>
      </c>
      <c r="N104" s="5">
        <f t="shared" si="110"/>
        <v>2148.89</v>
      </c>
      <c r="O104" s="28">
        <f t="shared" si="111"/>
        <v>0.0002894541352</v>
      </c>
      <c r="P104" s="5"/>
      <c r="Q104" s="5"/>
      <c r="R104" s="29" t="s">
        <v>34</v>
      </c>
      <c r="S104" s="38"/>
      <c r="T104" s="31">
        <v>0.05</v>
      </c>
      <c r="U104" s="26">
        <f t="shared" ref="U104:AF104" si="139">IF($R104="Manual","",IFERROR(IF($R104="YOY Growth",$N104*(1+$T104)/12,$S104/12),""))</f>
        <v>0</v>
      </c>
      <c r="V104" s="26">
        <f t="shared" si="139"/>
        <v>0</v>
      </c>
      <c r="W104" s="26">
        <f t="shared" si="139"/>
        <v>0</v>
      </c>
      <c r="X104" s="26">
        <f t="shared" si="139"/>
        <v>0</v>
      </c>
      <c r="Y104" s="26">
        <f t="shared" si="139"/>
        <v>0</v>
      </c>
      <c r="Z104" s="26">
        <f t="shared" si="139"/>
        <v>0</v>
      </c>
      <c r="AA104" s="26">
        <f t="shared" si="139"/>
        <v>0</v>
      </c>
      <c r="AB104" s="26">
        <f t="shared" si="139"/>
        <v>0</v>
      </c>
      <c r="AC104" s="26">
        <f t="shared" si="139"/>
        <v>0</v>
      </c>
      <c r="AD104" s="26">
        <f t="shared" si="139"/>
        <v>0</v>
      </c>
      <c r="AE104" s="26">
        <f t="shared" si="139"/>
        <v>0</v>
      </c>
      <c r="AF104" s="26">
        <f t="shared" si="139"/>
        <v>0</v>
      </c>
      <c r="AG104" s="5">
        <f t="shared" si="113"/>
        <v>0</v>
      </c>
      <c r="AH104" s="28" t="str">
        <f t="shared" si="114"/>
        <v/>
      </c>
      <c r="AI104" s="4"/>
      <c r="AJ104" s="5">
        <f t="shared" si="115"/>
        <v>2148.89</v>
      </c>
    </row>
    <row r="105" ht="13.5" customHeight="1">
      <c r="A105" s="25" t="s">
        <v>132</v>
      </c>
      <c r="B105" s="5">
        <v>0.0</v>
      </c>
      <c r="C105" s="5">
        <v>0.0</v>
      </c>
      <c r="D105" s="5">
        <v>0.0</v>
      </c>
      <c r="E105" s="5">
        <v>0.0</v>
      </c>
      <c r="F105" s="5">
        <v>0.0</v>
      </c>
      <c r="G105" s="5">
        <v>0.0</v>
      </c>
      <c r="H105" s="5">
        <v>0.0</v>
      </c>
      <c r="I105" s="5">
        <v>0.0</v>
      </c>
      <c r="J105" s="27">
        <v>0.0</v>
      </c>
      <c r="K105" s="27">
        <v>0.0</v>
      </c>
      <c r="L105" s="27">
        <v>0.0</v>
      </c>
      <c r="M105" s="27">
        <v>0.0</v>
      </c>
      <c r="N105" s="5">
        <f t="shared" si="110"/>
        <v>0</v>
      </c>
      <c r="O105" s="28">
        <f t="shared" si="111"/>
        <v>0</v>
      </c>
      <c r="P105" s="5"/>
      <c r="Q105" s="5"/>
      <c r="R105" s="29" t="s">
        <v>34</v>
      </c>
      <c r="S105" s="30">
        <v>0.0</v>
      </c>
      <c r="T105" s="31">
        <v>0.05</v>
      </c>
      <c r="U105" s="26">
        <f t="shared" ref="U105:AF105" si="140">IF($R105="Manual","",IFERROR(IF($R105="YOY Growth",$N105*(1+$T105)/12,$S105/12),""))</f>
        <v>0</v>
      </c>
      <c r="V105" s="26">
        <f t="shared" si="140"/>
        <v>0</v>
      </c>
      <c r="W105" s="26">
        <f t="shared" si="140"/>
        <v>0</v>
      </c>
      <c r="X105" s="26">
        <f t="shared" si="140"/>
        <v>0</v>
      </c>
      <c r="Y105" s="26">
        <f t="shared" si="140"/>
        <v>0</v>
      </c>
      <c r="Z105" s="26">
        <f t="shared" si="140"/>
        <v>0</v>
      </c>
      <c r="AA105" s="26">
        <f t="shared" si="140"/>
        <v>0</v>
      </c>
      <c r="AB105" s="26">
        <f t="shared" si="140"/>
        <v>0</v>
      </c>
      <c r="AC105" s="26">
        <f t="shared" si="140"/>
        <v>0</v>
      </c>
      <c r="AD105" s="26">
        <f t="shared" si="140"/>
        <v>0</v>
      </c>
      <c r="AE105" s="26">
        <f t="shared" si="140"/>
        <v>0</v>
      </c>
      <c r="AF105" s="26">
        <f t="shared" si="140"/>
        <v>0</v>
      </c>
      <c r="AG105" s="5">
        <f t="shared" si="113"/>
        <v>0</v>
      </c>
      <c r="AH105" s="28" t="str">
        <f t="shared" si="114"/>
        <v/>
      </c>
      <c r="AI105" s="4"/>
      <c r="AJ105" s="5">
        <f t="shared" si="115"/>
        <v>0</v>
      </c>
    </row>
    <row r="106" ht="13.5" customHeight="1">
      <c r="A106" s="25" t="s">
        <v>133</v>
      </c>
      <c r="B106" s="5">
        <v>0.0</v>
      </c>
      <c r="C106" s="5">
        <v>0.0</v>
      </c>
      <c r="D106" s="5">
        <v>0.0</v>
      </c>
      <c r="E106" s="5">
        <v>0.0</v>
      </c>
      <c r="F106" s="5">
        <v>0.0</v>
      </c>
      <c r="G106" s="5">
        <v>0.0</v>
      </c>
      <c r="H106" s="5">
        <v>0.0</v>
      </c>
      <c r="I106" s="5">
        <v>0.0</v>
      </c>
      <c r="J106" s="27">
        <v>0.0</v>
      </c>
      <c r="K106" s="27">
        <v>0.0</v>
      </c>
      <c r="L106" s="27">
        <v>0.0</v>
      </c>
      <c r="M106" s="27">
        <v>0.0</v>
      </c>
      <c r="N106" s="5">
        <f t="shared" si="110"/>
        <v>0</v>
      </c>
      <c r="O106" s="28">
        <f t="shared" si="111"/>
        <v>0</v>
      </c>
      <c r="P106" s="5"/>
      <c r="Q106" s="5"/>
      <c r="R106" s="29" t="s">
        <v>34</v>
      </c>
      <c r="S106" s="30">
        <v>0.0</v>
      </c>
      <c r="T106" s="31">
        <v>0.05</v>
      </c>
      <c r="U106" s="26">
        <f t="shared" ref="U106:AF106" si="141">IF($R106="Manual","",IFERROR(IF($R106="YOY Growth",$N106*(1+$T106)/12,$S106/12),""))</f>
        <v>0</v>
      </c>
      <c r="V106" s="26">
        <f t="shared" si="141"/>
        <v>0</v>
      </c>
      <c r="W106" s="26">
        <f t="shared" si="141"/>
        <v>0</v>
      </c>
      <c r="X106" s="26">
        <f t="shared" si="141"/>
        <v>0</v>
      </c>
      <c r="Y106" s="26">
        <f t="shared" si="141"/>
        <v>0</v>
      </c>
      <c r="Z106" s="26">
        <f t="shared" si="141"/>
        <v>0</v>
      </c>
      <c r="AA106" s="26">
        <f t="shared" si="141"/>
        <v>0</v>
      </c>
      <c r="AB106" s="26">
        <f t="shared" si="141"/>
        <v>0</v>
      </c>
      <c r="AC106" s="26">
        <f t="shared" si="141"/>
        <v>0</v>
      </c>
      <c r="AD106" s="26">
        <f t="shared" si="141"/>
        <v>0</v>
      </c>
      <c r="AE106" s="26">
        <f t="shared" si="141"/>
        <v>0</v>
      </c>
      <c r="AF106" s="26">
        <f t="shared" si="141"/>
        <v>0</v>
      </c>
      <c r="AG106" s="5">
        <f t="shared" si="113"/>
        <v>0</v>
      </c>
      <c r="AH106" s="28" t="str">
        <f t="shared" si="114"/>
        <v/>
      </c>
      <c r="AI106" s="4"/>
      <c r="AJ106" s="5">
        <f t="shared" si="115"/>
        <v>0</v>
      </c>
    </row>
    <row r="107" ht="13.5" customHeight="1">
      <c r="A107" s="25" t="s">
        <v>135</v>
      </c>
      <c r="B107" s="5">
        <v>4830.25</v>
      </c>
      <c r="C107" s="5">
        <v>5363.35</v>
      </c>
      <c r="D107" s="5">
        <v>4304.45</v>
      </c>
      <c r="E107" s="5">
        <v>4118.95</v>
      </c>
      <c r="F107" s="5">
        <v>5555.2</v>
      </c>
      <c r="G107" s="5">
        <v>4469.11</v>
      </c>
      <c r="H107" s="5">
        <v>0.0</v>
      </c>
      <c r="I107" s="5">
        <v>7531.48</v>
      </c>
      <c r="J107" s="27">
        <v>4800.0</v>
      </c>
      <c r="K107" s="27">
        <v>4800.0</v>
      </c>
      <c r="L107" s="27">
        <v>4800.0</v>
      </c>
      <c r="M107" s="27">
        <v>4800.0</v>
      </c>
      <c r="N107" s="5">
        <f t="shared" si="110"/>
        <v>55372.79</v>
      </c>
      <c r="O107" s="28">
        <f t="shared" si="111"/>
        <v>0.007458680082</v>
      </c>
      <c r="P107" s="5"/>
      <c r="Q107" s="5"/>
      <c r="R107" s="29" t="s">
        <v>34</v>
      </c>
      <c r="S107" s="38">
        <v>60000.0</v>
      </c>
      <c r="T107" s="31">
        <v>0.05</v>
      </c>
      <c r="U107" s="26">
        <f t="shared" ref="U107:AF107" si="142">IF($R107="Manual","",IFERROR(IF($R107="YOY Growth",$N107*(1+$T107)/12,$S107/12),""))</f>
        <v>5000</v>
      </c>
      <c r="V107" s="26">
        <f t="shared" si="142"/>
        <v>5000</v>
      </c>
      <c r="W107" s="26">
        <f t="shared" si="142"/>
        <v>5000</v>
      </c>
      <c r="X107" s="26">
        <f t="shared" si="142"/>
        <v>5000</v>
      </c>
      <c r="Y107" s="26">
        <f t="shared" si="142"/>
        <v>5000</v>
      </c>
      <c r="Z107" s="26">
        <f t="shared" si="142"/>
        <v>5000</v>
      </c>
      <c r="AA107" s="26">
        <f t="shared" si="142"/>
        <v>5000</v>
      </c>
      <c r="AB107" s="26">
        <f t="shared" si="142"/>
        <v>5000</v>
      </c>
      <c r="AC107" s="26">
        <f t="shared" si="142"/>
        <v>5000</v>
      </c>
      <c r="AD107" s="26">
        <f t="shared" si="142"/>
        <v>5000</v>
      </c>
      <c r="AE107" s="26">
        <f t="shared" si="142"/>
        <v>5000</v>
      </c>
      <c r="AF107" s="26">
        <f t="shared" si="142"/>
        <v>5000</v>
      </c>
      <c r="AG107" s="5">
        <f t="shared" si="113"/>
        <v>60000</v>
      </c>
      <c r="AH107" s="28" t="str">
        <f t="shared" si="114"/>
        <v/>
      </c>
      <c r="AI107" s="20" t="s">
        <v>150</v>
      </c>
      <c r="AJ107" s="5">
        <f t="shared" si="115"/>
        <v>-4627.21</v>
      </c>
    </row>
    <row r="108" ht="13.5" customHeight="1">
      <c r="A108" s="25" t="s">
        <v>136</v>
      </c>
      <c r="B108" s="5">
        <v>0.0</v>
      </c>
      <c r="C108" s="5">
        <v>0.0</v>
      </c>
      <c r="D108" s="5">
        <v>0.0</v>
      </c>
      <c r="E108" s="5">
        <v>0.0</v>
      </c>
      <c r="F108" s="5">
        <v>0.0</v>
      </c>
      <c r="G108" s="5">
        <v>0.0</v>
      </c>
      <c r="H108" s="5">
        <v>0.0</v>
      </c>
      <c r="I108" s="5">
        <v>0.0</v>
      </c>
      <c r="J108" s="27">
        <v>0.0</v>
      </c>
      <c r="K108" s="27">
        <v>0.0</v>
      </c>
      <c r="L108" s="27">
        <v>0.0</v>
      </c>
      <c r="M108" s="27">
        <v>0.0</v>
      </c>
      <c r="N108" s="5">
        <f t="shared" si="110"/>
        <v>0</v>
      </c>
      <c r="O108" s="28">
        <f t="shared" si="111"/>
        <v>0</v>
      </c>
      <c r="P108" s="5"/>
      <c r="Q108" s="5"/>
      <c r="R108" s="29" t="s">
        <v>34</v>
      </c>
      <c r="S108" s="30">
        <v>0.0</v>
      </c>
      <c r="T108" s="31">
        <v>0.05</v>
      </c>
      <c r="U108" s="26">
        <f t="shared" ref="U108:AF108" si="143">IF($R108="Manual","",IFERROR(IF($R108="YOY Growth",$N108*(1+$T108)/12,$S108/12),""))</f>
        <v>0</v>
      </c>
      <c r="V108" s="26">
        <f t="shared" si="143"/>
        <v>0</v>
      </c>
      <c r="W108" s="26">
        <f t="shared" si="143"/>
        <v>0</v>
      </c>
      <c r="X108" s="26">
        <f t="shared" si="143"/>
        <v>0</v>
      </c>
      <c r="Y108" s="26">
        <f t="shared" si="143"/>
        <v>0</v>
      </c>
      <c r="Z108" s="26">
        <f t="shared" si="143"/>
        <v>0</v>
      </c>
      <c r="AA108" s="26">
        <f t="shared" si="143"/>
        <v>0</v>
      </c>
      <c r="AB108" s="26">
        <f t="shared" si="143"/>
        <v>0</v>
      </c>
      <c r="AC108" s="26">
        <f t="shared" si="143"/>
        <v>0</v>
      </c>
      <c r="AD108" s="26">
        <f t="shared" si="143"/>
        <v>0</v>
      </c>
      <c r="AE108" s="26">
        <f t="shared" si="143"/>
        <v>0</v>
      </c>
      <c r="AF108" s="26">
        <f t="shared" si="143"/>
        <v>0</v>
      </c>
      <c r="AG108" s="5">
        <f t="shared" si="113"/>
        <v>0</v>
      </c>
      <c r="AH108" s="28" t="str">
        <f t="shared" si="114"/>
        <v/>
      </c>
      <c r="AI108" s="4"/>
      <c r="AJ108" s="5">
        <f t="shared" si="115"/>
        <v>0</v>
      </c>
    </row>
    <row r="109" ht="13.5" customHeight="1">
      <c r="A109" s="25" t="s">
        <v>137</v>
      </c>
      <c r="B109" s="5">
        <v>0.0</v>
      </c>
      <c r="C109" s="5">
        <v>0.0</v>
      </c>
      <c r="D109" s="5">
        <v>0.0</v>
      </c>
      <c r="E109" s="5">
        <v>0.0</v>
      </c>
      <c r="F109" s="5">
        <v>0.0</v>
      </c>
      <c r="G109" s="5">
        <v>0.0</v>
      </c>
      <c r="H109" s="5">
        <v>0.0</v>
      </c>
      <c r="I109" s="5">
        <v>0.0</v>
      </c>
      <c r="J109" s="27">
        <v>0.0</v>
      </c>
      <c r="K109" s="27">
        <v>0.0</v>
      </c>
      <c r="L109" s="27">
        <v>0.0</v>
      </c>
      <c r="M109" s="27">
        <v>0.0</v>
      </c>
      <c r="N109" s="5">
        <f t="shared" si="110"/>
        <v>0</v>
      </c>
      <c r="O109" s="28">
        <f t="shared" si="111"/>
        <v>0</v>
      </c>
      <c r="P109" s="5"/>
      <c r="Q109" s="5"/>
      <c r="R109" s="29" t="s">
        <v>34</v>
      </c>
      <c r="S109" s="30">
        <v>0.0</v>
      </c>
      <c r="T109" s="31">
        <v>0.05</v>
      </c>
      <c r="U109" s="26">
        <f t="shared" ref="U109:AF109" si="144">IF($R109="Manual","",IFERROR(IF($R109="YOY Growth",$N109*(1+$T109)/12,$S109/12),""))</f>
        <v>0</v>
      </c>
      <c r="V109" s="26">
        <f t="shared" si="144"/>
        <v>0</v>
      </c>
      <c r="W109" s="26">
        <f t="shared" si="144"/>
        <v>0</v>
      </c>
      <c r="X109" s="26">
        <f t="shared" si="144"/>
        <v>0</v>
      </c>
      <c r="Y109" s="26">
        <f t="shared" si="144"/>
        <v>0</v>
      </c>
      <c r="Z109" s="26">
        <f t="shared" si="144"/>
        <v>0</v>
      </c>
      <c r="AA109" s="26">
        <f t="shared" si="144"/>
        <v>0</v>
      </c>
      <c r="AB109" s="26">
        <f t="shared" si="144"/>
        <v>0</v>
      </c>
      <c r="AC109" s="26">
        <f t="shared" si="144"/>
        <v>0</v>
      </c>
      <c r="AD109" s="26">
        <f t="shared" si="144"/>
        <v>0</v>
      </c>
      <c r="AE109" s="26">
        <f t="shared" si="144"/>
        <v>0</v>
      </c>
      <c r="AF109" s="26">
        <f t="shared" si="144"/>
        <v>0</v>
      </c>
      <c r="AG109" s="5">
        <f t="shared" si="113"/>
        <v>0</v>
      </c>
      <c r="AH109" s="28" t="str">
        <f t="shared" si="114"/>
        <v/>
      </c>
      <c r="AI109" s="4"/>
      <c r="AJ109" s="5">
        <f t="shared" si="115"/>
        <v>0</v>
      </c>
    </row>
    <row r="110" ht="13.5" customHeight="1">
      <c r="A110" s="25" t="s">
        <v>138</v>
      </c>
      <c r="B110" s="5">
        <v>0.0</v>
      </c>
      <c r="C110" s="5">
        <v>0.0</v>
      </c>
      <c r="D110" s="5">
        <v>0.0</v>
      </c>
      <c r="E110" s="5">
        <v>0.0</v>
      </c>
      <c r="F110" s="5">
        <v>0.0</v>
      </c>
      <c r="G110" s="5">
        <v>0.0</v>
      </c>
      <c r="H110" s="5">
        <v>0.0</v>
      </c>
      <c r="I110" s="5">
        <v>0.0</v>
      </c>
      <c r="J110" s="27">
        <v>0.0</v>
      </c>
      <c r="K110" s="27">
        <v>0.0</v>
      </c>
      <c r="L110" s="27">
        <v>0.0</v>
      </c>
      <c r="M110" s="27">
        <v>0.0</v>
      </c>
      <c r="N110" s="5">
        <f t="shared" si="110"/>
        <v>0</v>
      </c>
      <c r="O110" s="28">
        <f t="shared" si="111"/>
        <v>0</v>
      </c>
      <c r="P110" s="5"/>
      <c r="Q110" s="5"/>
      <c r="R110" s="29" t="s">
        <v>34</v>
      </c>
      <c r="S110" s="30">
        <v>0.0</v>
      </c>
      <c r="T110" s="31">
        <v>0.05</v>
      </c>
      <c r="U110" s="26">
        <f t="shared" ref="U110:AF110" si="145">IF($R110="Manual","",IFERROR(IF($R110="YOY Growth",$N110*(1+$T110)/12,$S110/12),""))</f>
        <v>0</v>
      </c>
      <c r="V110" s="26">
        <f t="shared" si="145"/>
        <v>0</v>
      </c>
      <c r="W110" s="26">
        <f t="shared" si="145"/>
        <v>0</v>
      </c>
      <c r="X110" s="26">
        <f t="shared" si="145"/>
        <v>0</v>
      </c>
      <c r="Y110" s="26">
        <f t="shared" si="145"/>
        <v>0</v>
      </c>
      <c r="Z110" s="26">
        <f t="shared" si="145"/>
        <v>0</v>
      </c>
      <c r="AA110" s="26">
        <f t="shared" si="145"/>
        <v>0</v>
      </c>
      <c r="AB110" s="26">
        <f t="shared" si="145"/>
        <v>0</v>
      </c>
      <c r="AC110" s="26">
        <f t="shared" si="145"/>
        <v>0</v>
      </c>
      <c r="AD110" s="26">
        <f t="shared" si="145"/>
        <v>0</v>
      </c>
      <c r="AE110" s="26">
        <f t="shared" si="145"/>
        <v>0</v>
      </c>
      <c r="AF110" s="26">
        <f t="shared" si="145"/>
        <v>0</v>
      </c>
      <c r="AG110" s="5">
        <f t="shared" si="113"/>
        <v>0</v>
      </c>
      <c r="AH110" s="28" t="str">
        <f t="shared" si="114"/>
        <v/>
      </c>
      <c r="AI110" s="4"/>
      <c r="AJ110" s="5">
        <f t="shared" si="115"/>
        <v>0</v>
      </c>
    </row>
    <row r="111" ht="13.5" customHeight="1">
      <c r="A111" s="25" t="s">
        <v>140</v>
      </c>
      <c r="B111" s="5">
        <v>0.0</v>
      </c>
      <c r="C111" s="5">
        <v>0.0</v>
      </c>
      <c r="D111" s="5">
        <v>0.0</v>
      </c>
      <c r="E111" s="5">
        <v>0.0</v>
      </c>
      <c r="F111" s="5">
        <v>0.0</v>
      </c>
      <c r="G111" s="5">
        <v>0.0</v>
      </c>
      <c r="H111" s="5">
        <v>0.0</v>
      </c>
      <c r="I111" s="5">
        <v>0.0</v>
      </c>
      <c r="J111" s="27">
        <v>0.0</v>
      </c>
      <c r="K111" s="27">
        <v>0.0</v>
      </c>
      <c r="L111" s="27">
        <v>0.0</v>
      </c>
      <c r="M111" s="27">
        <v>0.0</v>
      </c>
      <c r="N111" s="5">
        <f t="shared" si="110"/>
        <v>0</v>
      </c>
      <c r="O111" s="28">
        <f t="shared" si="111"/>
        <v>0</v>
      </c>
      <c r="P111" s="5"/>
      <c r="Q111" s="5"/>
      <c r="R111" s="29" t="s">
        <v>34</v>
      </c>
      <c r="S111" s="30">
        <v>0.0</v>
      </c>
      <c r="T111" s="31">
        <v>0.05</v>
      </c>
      <c r="U111" s="26">
        <f t="shared" ref="U111:AF111" si="146">IF($R111="Manual","",IFERROR(IF($R111="YOY Growth",$N111*(1+$T111)/12,$S111/12),""))</f>
        <v>0</v>
      </c>
      <c r="V111" s="26">
        <f t="shared" si="146"/>
        <v>0</v>
      </c>
      <c r="W111" s="26">
        <f t="shared" si="146"/>
        <v>0</v>
      </c>
      <c r="X111" s="26">
        <f t="shared" si="146"/>
        <v>0</v>
      </c>
      <c r="Y111" s="26">
        <f t="shared" si="146"/>
        <v>0</v>
      </c>
      <c r="Z111" s="26">
        <f t="shared" si="146"/>
        <v>0</v>
      </c>
      <c r="AA111" s="26">
        <f t="shared" si="146"/>
        <v>0</v>
      </c>
      <c r="AB111" s="26">
        <f t="shared" si="146"/>
        <v>0</v>
      </c>
      <c r="AC111" s="26">
        <f t="shared" si="146"/>
        <v>0</v>
      </c>
      <c r="AD111" s="26">
        <f t="shared" si="146"/>
        <v>0</v>
      </c>
      <c r="AE111" s="26">
        <f t="shared" si="146"/>
        <v>0</v>
      </c>
      <c r="AF111" s="26">
        <f t="shared" si="146"/>
        <v>0</v>
      </c>
      <c r="AG111" s="5">
        <f t="shared" si="113"/>
        <v>0</v>
      </c>
      <c r="AH111" s="28" t="str">
        <f t="shared" si="114"/>
        <v/>
      </c>
      <c r="AI111" s="4"/>
      <c r="AJ111" s="5">
        <f t="shared" si="115"/>
        <v>0</v>
      </c>
    </row>
    <row r="112" ht="13.5" customHeight="1">
      <c r="A112" s="25" t="s">
        <v>141</v>
      </c>
      <c r="B112" s="5">
        <v>0.0</v>
      </c>
      <c r="C112" s="5">
        <v>0.0</v>
      </c>
      <c r="D112" s="5">
        <v>0.0</v>
      </c>
      <c r="E112" s="5">
        <v>0.0</v>
      </c>
      <c r="F112" s="5">
        <v>0.0</v>
      </c>
      <c r="G112" s="5">
        <v>0.0</v>
      </c>
      <c r="H112" s="5">
        <v>0.0</v>
      </c>
      <c r="I112" s="5">
        <v>0.0</v>
      </c>
      <c r="J112" s="27">
        <v>0.0</v>
      </c>
      <c r="K112" s="27">
        <v>0.0</v>
      </c>
      <c r="L112" s="27">
        <v>0.0</v>
      </c>
      <c r="M112" s="27">
        <v>0.0</v>
      </c>
      <c r="N112" s="5">
        <f t="shared" si="110"/>
        <v>0</v>
      </c>
      <c r="O112" s="28">
        <f t="shared" si="111"/>
        <v>0</v>
      </c>
      <c r="P112" s="5"/>
      <c r="Q112" s="5"/>
      <c r="R112" s="29" t="s">
        <v>34</v>
      </c>
      <c r="S112" s="30">
        <v>0.0</v>
      </c>
      <c r="T112" s="31">
        <v>0.05</v>
      </c>
      <c r="U112" s="26">
        <f t="shared" ref="U112:AF112" si="147">IF($R112="Manual","",IFERROR(IF($R112="YOY Growth",$N112*(1+$T112)/12,$S112/12),""))</f>
        <v>0</v>
      </c>
      <c r="V112" s="26">
        <f t="shared" si="147"/>
        <v>0</v>
      </c>
      <c r="W112" s="26">
        <f t="shared" si="147"/>
        <v>0</v>
      </c>
      <c r="X112" s="26">
        <f t="shared" si="147"/>
        <v>0</v>
      </c>
      <c r="Y112" s="26">
        <f t="shared" si="147"/>
        <v>0</v>
      </c>
      <c r="Z112" s="26">
        <f t="shared" si="147"/>
        <v>0</v>
      </c>
      <c r="AA112" s="26">
        <f t="shared" si="147"/>
        <v>0</v>
      </c>
      <c r="AB112" s="26">
        <f t="shared" si="147"/>
        <v>0</v>
      </c>
      <c r="AC112" s="26">
        <f t="shared" si="147"/>
        <v>0</v>
      </c>
      <c r="AD112" s="26">
        <f t="shared" si="147"/>
        <v>0</v>
      </c>
      <c r="AE112" s="26">
        <f t="shared" si="147"/>
        <v>0</v>
      </c>
      <c r="AF112" s="26">
        <f t="shared" si="147"/>
        <v>0</v>
      </c>
      <c r="AG112" s="5">
        <f t="shared" si="113"/>
        <v>0</v>
      </c>
      <c r="AH112" s="28" t="str">
        <f t="shared" si="114"/>
        <v/>
      </c>
      <c r="AI112" s="4"/>
      <c r="AJ112" s="5">
        <f t="shared" si="115"/>
        <v>0</v>
      </c>
    </row>
    <row r="113" ht="13.5" customHeight="1">
      <c r="A113" s="25" t="s">
        <v>142</v>
      </c>
      <c r="B113" s="5">
        <v>0.0</v>
      </c>
      <c r="C113" s="5">
        <v>0.0</v>
      </c>
      <c r="D113" s="5">
        <v>0.0</v>
      </c>
      <c r="E113" s="5">
        <v>0.0</v>
      </c>
      <c r="F113" s="5">
        <v>0.0</v>
      </c>
      <c r="G113" s="5">
        <v>0.0</v>
      </c>
      <c r="H113" s="5">
        <v>0.0</v>
      </c>
      <c r="I113" s="5">
        <v>0.0</v>
      </c>
      <c r="J113" s="27">
        <v>0.0</v>
      </c>
      <c r="K113" s="27">
        <v>0.0</v>
      </c>
      <c r="L113" s="27">
        <v>0.0</v>
      </c>
      <c r="M113" s="27">
        <v>0.0</v>
      </c>
      <c r="N113" s="5">
        <f t="shared" si="110"/>
        <v>0</v>
      </c>
      <c r="O113" s="28">
        <f t="shared" si="111"/>
        <v>0</v>
      </c>
      <c r="P113" s="5"/>
      <c r="Q113" s="5"/>
      <c r="R113" s="29" t="s">
        <v>34</v>
      </c>
      <c r="S113" s="30">
        <v>0.0</v>
      </c>
      <c r="T113" s="31">
        <v>0.05</v>
      </c>
      <c r="U113" s="26">
        <f t="shared" ref="U113:AF113" si="148">IF($R113="Manual","",IFERROR(IF($R113="YOY Growth",$N113*(1+$T113)/12,$S113/12),""))</f>
        <v>0</v>
      </c>
      <c r="V113" s="26">
        <f t="shared" si="148"/>
        <v>0</v>
      </c>
      <c r="W113" s="26">
        <f t="shared" si="148"/>
        <v>0</v>
      </c>
      <c r="X113" s="26">
        <f t="shared" si="148"/>
        <v>0</v>
      </c>
      <c r="Y113" s="26">
        <f t="shared" si="148"/>
        <v>0</v>
      </c>
      <c r="Z113" s="26">
        <f t="shared" si="148"/>
        <v>0</v>
      </c>
      <c r="AA113" s="26">
        <f t="shared" si="148"/>
        <v>0</v>
      </c>
      <c r="AB113" s="26">
        <f t="shared" si="148"/>
        <v>0</v>
      </c>
      <c r="AC113" s="26">
        <f t="shared" si="148"/>
        <v>0</v>
      </c>
      <c r="AD113" s="26">
        <f t="shared" si="148"/>
        <v>0</v>
      </c>
      <c r="AE113" s="26">
        <f t="shared" si="148"/>
        <v>0</v>
      </c>
      <c r="AF113" s="26">
        <f t="shared" si="148"/>
        <v>0</v>
      </c>
      <c r="AG113" s="5">
        <f t="shared" si="113"/>
        <v>0</v>
      </c>
      <c r="AH113" s="28" t="str">
        <f t="shared" si="114"/>
        <v/>
      </c>
      <c r="AI113" s="4"/>
      <c r="AJ113" s="5">
        <f t="shared" si="115"/>
        <v>0</v>
      </c>
    </row>
    <row r="114" ht="13.5" customHeight="1">
      <c r="A114" s="25" t="s">
        <v>143</v>
      </c>
      <c r="B114" s="5">
        <v>0.0</v>
      </c>
      <c r="C114" s="5">
        <v>0.0</v>
      </c>
      <c r="D114" s="5">
        <v>0.0</v>
      </c>
      <c r="E114" s="5">
        <v>0.0</v>
      </c>
      <c r="F114" s="5">
        <v>0.0</v>
      </c>
      <c r="G114" s="5">
        <v>0.0</v>
      </c>
      <c r="H114" s="5">
        <v>0.0</v>
      </c>
      <c r="I114" s="5">
        <v>0.0</v>
      </c>
      <c r="J114" s="27">
        <v>0.0</v>
      </c>
      <c r="K114" s="27">
        <v>0.0</v>
      </c>
      <c r="L114" s="27">
        <v>0.0</v>
      </c>
      <c r="M114" s="27">
        <v>0.0</v>
      </c>
      <c r="N114" s="5">
        <f t="shared" si="110"/>
        <v>0</v>
      </c>
      <c r="O114" s="28">
        <f t="shared" si="111"/>
        <v>0</v>
      </c>
      <c r="P114" s="5"/>
      <c r="Q114" s="5"/>
      <c r="R114" s="29" t="s">
        <v>34</v>
      </c>
      <c r="S114" s="30">
        <v>0.0</v>
      </c>
      <c r="T114" s="31">
        <v>0.05</v>
      </c>
      <c r="U114" s="26">
        <f t="shared" ref="U114:AF114" si="149">IF($R114="Manual","",IFERROR(IF($R114="YOY Growth",$N114*(1+$T114)/12,$S114/12),""))</f>
        <v>0</v>
      </c>
      <c r="V114" s="26">
        <f t="shared" si="149"/>
        <v>0</v>
      </c>
      <c r="W114" s="26">
        <f t="shared" si="149"/>
        <v>0</v>
      </c>
      <c r="X114" s="26">
        <f t="shared" si="149"/>
        <v>0</v>
      </c>
      <c r="Y114" s="26">
        <f t="shared" si="149"/>
        <v>0</v>
      </c>
      <c r="Z114" s="26">
        <f t="shared" si="149"/>
        <v>0</v>
      </c>
      <c r="AA114" s="26">
        <f t="shared" si="149"/>
        <v>0</v>
      </c>
      <c r="AB114" s="26">
        <f t="shared" si="149"/>
        <v>0</v>
      </c>
      <c r="AC114" s="26">
        <f t="shared" si="149"/>
        <v>0</v>
      </c>
      <c r="AD114" s="26">
        <f t="shared" si="149"/>
        <v>0</v>
      </c>
      <c r="AE114" s="26">
        <f t="shared" si="149"/>
        <v>0</v>
      </c>
      <c r="AF114" s="26">
        <f t="shared" si="149"/>
        <v>0</v>
      </c>
      <c r="AG114" s="5">
        <f t="shared" si="113"/>
        <v>0</v>
      </c>
      <c r="AH114" s="28" t="str">
        <f t="shared" si="114"/>
        <v/>
      </c>
      <c r="AI114" s="4"/>
      <c r="AJ114" s="5">
        <f t="shared" si="115"/>
        <v>0</v>
      </c>
    </row>
    <row r="115" ht="13.5" customHeight="1">
      <c r="A115" s="25" t="s">
        <v>144</v>
      </c>
      <c r="B115" s="5">
        <v>0.0</v>
      </c>
      <c r="C115" s="5">
        <v>0.0</v>
      </c>
      <c r="D115" s="5">
        <v>0.0</v>
      </c>
      <c r="E115" s="5">
        <v>0.0</v>
      </c>
      <c r="F115" s="5">
        <v>0.0</v>
      </c>
      <c r="G115" s="5">
        <v>0.0</v>
      </c>
      <c r="H115" s="5">
        <v>0.0</v>
      </c>
      <c r="I115" s="5">
        <v>0.0</v>
      </c>
      <c r="J115" s="27">
        <v>0.0</v>
      </c>
      <c r="K115" s="27">
        <v>0.0</v>
      </c>
      <c r="L115" s="27">
        <v>0.0</v>
      </c>
      <c r="M115" s="27">
        <v>0.0</v>
      </c>
      <c r="N115" s="5">
        <f t="shared" si="110"/>
        <v>0</v>
      </c>
      <c r="O115" s="28">
        <f t="shared" si="111"/>
        <v>0</v>
      </c>
      <c r="P115" s="5"/>
      <c r="Q115" s="5"/>
      <c r="R115" s="29" t="s">
        <v>34</v>
      </c>
      <c r="S115" s="30">
        <v>0.0</v>
      </c>
      <c r="T115" s="31">
        <v>0.05</v>
      </c>
      <c r="U115" s="26">
        <f t="shared" ref="U115:AF115" si="150">IF($R115="Manual","",IFERROR(IF($R115="YOY Growth",$N115*(1+$T115)/12,$S115/12),""))</f>
        <v>0</v>
      </c>
      <c r="V115" s="26">
        <f t="shared" si="150"/>
        <v>0</v>
      </c>
      <c r="W115" s="26">
        <f t="shared" si="150"/>
        <v>0</v>
      </c>
      <c r="X115" s="26">
        <f t="shared" si="150"/>
        <v>0</v>
      </c>
      <c r="Y115" s="26">
        <f t="shared" si="150"/>
        <v>0</v>
      </c>
      <c r="Z115" s="26">
        <f t="shared" si="150"/>
        <v>0</v>
      </c>
      <c r="AA115" s="26">
        <f t="shared" si="150"/>
        <v>0</v>
      </c>
      <c r="AB115" s="26">
        <f t="shared" si="150"/>
        <v>0</v>
      </c>
      <c r="AC115" s="26">
        <f t="shared" si="150"/>
        <v>0</v>
      </c>
      <c r="AD115" s="26">
        <f t="shared" si="150"/>
        <v>0</v>
      </c>
      <c r="AE115" s="26">
        <f t="shared" si="150"/>
        <v>0</v>
      </c>
      <c r="AF115" s="26">
        <f t="shared" si="150"/>
        <v>0</v>
      </c>
      <c r="AG115" s="5">
        <f t="shared" si="113"/>
        <v>0</v>
      </c>
      <c r="AH115" s="28" t="str">
        <f t="shared" si="114"/>
        <v/>
      </c>
      <c r="AI115" s="4"/>
      <c r="AJ115" s="5">
        <f t="shared" si="115"/>
        <v>0</v>
      </c>
    </row>
    <row r="116" ht="13.5" customHeight="1">
      <c r="A116" s="33" t="s">
        <v>145</v>
      </c>
      <c r="B116" s="34">
        <f t="shared" ref="B116:M116" si="151">B73+SUM(B74:B80)+B87+SUM(B88:B115)</f>
        <v>-129450.9</v>
      </c>
      <c r="C116" s="34">
        <f t="shared" si="151"/>
        <v>-157034.36</v>
      </c>
      <c r="D116" s="34">
        <f t="shared" si="151"/>
        <v>10394.01</v>
      </c>
      <c r="E116" s="34">
        <f t="shared" si="151"/>
        <v>19096.17</v>
      </c>
      <c r="F116" s="34">
        <f t="shared" si="151"/>
        <v>18976.89</v>
      </c>
      <c r="G116" s="34">
        <f t="shared" si="151"/>
        <v>7147.53</v>
      </c>
      <c r="H116" s="34">
        <f t="shared" si="151"/>
        <v>3124.18</v>
      </c>
      <c r="I116" s="34">
        <f t="shared" si="151"/>
        <v>9049.46</v>
      </c>
      <c r="J116" s="34">
        <f t="shared" si="151"/>
        <v>641100</v>
      </c>
      <c r="K116" s="34">
        <f t="shared" si="151"/>
        <v>13100</v>
      </c>
      <c r="L116" s="34">
        <f t="shared" si="151"/>
        <v>13100</v>
      </c>
      <c r="M116" s="34">
        <f t="shared" si="151"/>
        <v>13100</v>
      </c>
      <c r="N116" s="34">
        <f t="shared" si="110"/>
        <v>461702.98</v>
      </c>
      <c r="O116" s="35">
        <f t="shared" si="111"/>
        <v>0.06219110181</v>
      </c>
      <c r="P116" s="5"/>
      <c r="Q116" s="5"/>
      <c r="R116" s="36"/>
      <c r="S116" s="36"/>
      <c r="T116" s="36"/>
      <c r="U116" s="34">
        <f t="shared" ref="U116:AF116" si="152">U73+SUM(U74:U80)+U87+SUM(U88:U115)</f>
        <v>13916.66667</v>
      </c>
      <c r="V116" s="34">
        <f t="shared" si="152"/>
        <v>13916.66667</v>
      </c>
      <c r="W116" s="34">
        <f t="shared" si="152"/>
        <v>13916.66667</v>
      </c>
      <c r="X116" s="34">
        <f t="shared" si="152"/>
        <v>13916.66667</v>
      </c>
      <c r="Y116" s="34">
        <f t="shared" si="152"/>
        <v>14045.83333</v>
      </c>
      <c r="Z116" s="34">
        <f t="shared" si="152"/>
        <v>14175</v>
      </c>
      <c r="AA116" s="34">
        <f t="shared" si="152"/>
        <v>14304.16667</v>
      </c>
      <c r="AB116" s="34">
        <f t="shared" si="152"/>
        <v>14433.33333</v>
      </c>
      <c r="AC116" s="34">
        <f t="shared" si="152"/>
        <v>14562.5</v>
      </c>
      <c r="AD116" s="34">
        <f t="shared" si="152"/>
        <v>14691.66667</v>
      </c>
      <c r="AE116" s="34">
        <f t="shared" si="152"/>
        <v>14820.83333</v>
      </c>
      <c r="AF116" s="34">
        <f t="shared" si="152"/>
        <v>14950</v>
      </c>
      <c r="AG116" s="34">
        <f t="shared" si="113"/>
        <v>171650</v>
      </c>
      <c r="AH116" s="35" t="str">
        <f t="shared" si="114"/>
        <v/>
      </c>
      <c r="AI116" s="4"/>
      <c r="AJ116" s="34">
        <f t="shared" si="115"/>
        <v>290052.98</v>
      </c>
    </row>
    <row r="117" ht="13.5" customHeight="1">
      <c r="A117" s="52" t="s">
        <v>146</v>
      </c>
      <c r="B117" s="34">
        <f t="shared" ref="B117:M117" si="153">B64-B116</f>
        <v>477751.37</v>
      </c>
      <c r="C117" s="34">
        <f t="shared" si="153"/>
        <v>470547.08</v>
      </c>
      <c r="D117" s="34">
        <f t="shared" si="153"/>
        <v>418698.66</v>
      </c>
      <c r="E117" s="34">
        <f t="shared" si="153"/>
        <v>524738.34</v>
      </c>
      <c r="F117" s="34">
        <f t="shared" si="153"/>
        <v>299402.82</v>
      </c>
      <c r="G117" s="34">
        <f t="shared" si="153"/>
        <v>263771.6</v>
      </c>
      <c r="H117" s="34">
        <f t="shared" si="153"/>
        <v>461452.17</v>
      </c>
      <c r="I117" s="34">
        <f t="shared" si="153"/>
        <v>172203.55</v>
      </c>
      <c r="J117" s="34">
        <f t="shared" si="153"/>
        <v>-179477.5771</v>
      </c>
      <c r="K117" s="34">
        <f t="shared" si="153"/>
        <v>539749.8038</v>
      </c>
      <c r="L117" s="34">
        <f t="shared" si="153"/>
        <v>565603.3752</v>
      </c>
      <c r="M117" s="34">
        <f t="shared" si="153"/>
        <v>586456.9467</v>
      </c>
      <c r="N117" s="34">
        <f t="shared" si="110"/>
        <v>4600898.139</v>
      </c>
      <c r="O117" s="35">
        <f t="shared" si="111"/>
        <v>0.6197380935</v>
      </c>
      <c r="P117" s="5"/>
      <c r="Q117" s="5"/>
      <c r="R117" s="36"/>
      <c r="S117" s="36"/>
      <c r="T117" s="36"/>
      <c r="U117" s="34">
        <f t="shared" ref="U117:AF117" si="154">U64-U116</f>
        <v>-134202.6485</v>
      </c>
      <c r="V117" s="34">
        <f t="shared" si="154"/>
        <v>-99202.64853</v>
      </c>
      <c r="W117" s="34">
        <f t="shared" si="154"/>
        <v>-99202.64853</v>
      </c>
      <c r="X117" s="34">
        <f t="shared" si="154"/>
        <v>-99202.64853</v>
      </c>
      <c r="Y117" s="34">
        <f t="shared" si="154"/>
        <v>-104769.3152</v>
      </c>
      <c r="Z117" s="34">
        <f t="shared" si="154"/>
        <v>-100877.6485</v>
      </c>
      <c r="AA117" s="34">
        <f t="shared" si="154"/>
        <v>-101715.1485</v>
      </c>
      <c r="AB117" s="34">
        <f t="shared" si="154"/>
        <v>-102552.6485</v>
      </c>
      <c r="AC117" s="34">
        <f t="shared" si="154"/>
        <v>-103390.1485</v>
      </c>
      <c r="AD117" s="34">
        <f t="shared" si="154"/>
        <v>-109222.5491</v>
      </c>
      <c r="AE117" s="34">
        <f t="shared" si="154"/>
        <v>-106685.0491</v>
      </c>
      <c r="AF117" s="34">
        <f t="shared" si="154"/>
        <v>-107522.5491</v>
      </c>
      <c r="AG117" s="34">
        <f t="shared" si="113"/>
        <v>-1268545.651</v>
      </c>
      <c r="AH117" s="35" t="str">
        <f t="shared" si="114"/>
        <v/>
      </c>
      <c r="AI117" s="4"/>
      <c r="AJ117" s="34">
        <f>AG117-N117</f>
        <v>-5869443.789</v>
      </c>
    </row>
    <row r="118" ht="13.5" customHeight="1">
      <c r="A118" s="23" t="s">
        <v>147</v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28"/>
      <c r="P118" s="5"/>
      <c r="Q118" s="5"/>
      <c r="R118" s="36"/>
      <c r="S118" s="36"/>
      <c r="T118" s="36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28"/>
      <c r="AI118" s="4"/>
      <c r="AJ118" s="5"/>
    </row>
    <row r="119" ht="13.5" customHeight="1">
      <c r="A119" s="24" t="s">
        <v>148</v>
      </c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28"/>
      <c r="P119" s="5"/>
      <c r="Q119" s="5"/>
      <c r="R119" s="36"/>
      <c r="S119" s="36"/>
      <c r="T119" s="36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28"/>
      <c r="AI119" s="4"/>
      <c r="AJ119" s="5"/>
    </row>
    <row r="120" ht="13.5" customHeight="1">
      <c r="A120" s="25" t="s">
        <v>149</v>
      </c>
      <c r="B120" s="5">
        <v>0.0</v>
      </c>
      <c r="C120" s="5">
        <v>0.0</v>
      </c>
      <c r="D120" s="5">
        <v>0.0</v>
      </c>
      <c r="E120" s="5">
        <v>0.0</v>
      </c>
      <c r="F120" s="5">
        <v>0.0</v>
      </c>
      <c r="G120" s="5">
        <v>0.0</v>
      </c>
      <c r="H120" s="5">
        <v>0.0</v>
      </c>
      <c r="I120" s="5">
        <v>0.0</v>
      </c>
      <c r="J120" s="27">
        <v>0.0</v>
      </c>
      <c r="K120" s="27">
        <v>0.0</v>
      </c>
      <c r="L120" s="27">
        <v>0.0</v>
      </c>
      <c r="M120" s="27">
        <v>0.0</v>
      </c>
      <c r="N120" s="5">
        <f t="shared" ref="N120:N122" si="156">SUM(B120:M120)</f>
        <v>0</v>
      </c>
      <c r="O120" s="28">
        <f t="shared" ref="O120:O122" si="157">IFERROR(N120/N$16,"")</f>
        <v>0</v>
      </c>
      <c r="P120" s="5"/>
      <c r="Q120" s="5"/>
      <c r="R120" s="29" t="s">
        <v>34</v>
      </c>
      <c r="S120" s="30">
        <v>0.0</v>
      </c>
      <c r="T120" s="31">
        <v>0.05</v>
      </c>
      <c r="U120" s="26">
        <f t="shared" ref="U120:AF120" si="155">IF($R120="Manual","",IFERROR(IF($R120="YOY Growth",$N120*(1+$T120)/12,$S120/12),""))</f>
        <v>0</v>
      </c>
      <c r="V120" s="26">
        <f t="shared" si="155"/>
        <v>0</v>
      </c>
      <c r="W120" s="26">
        <f t="shared" si="155"/>
        <v>0</v>
      </c>
      <c r="X120" s="26">
        <f t="shared" si="155"/>
        <v>0</v>
      </c>
      <c r="Y120" s="26">
        <f t="shared" si="155"/>
        <v>0</v>
      </c>
      <c r="Z120" s="26">
        <f t="shared" si="155"/>
        <v>0</v>
      </c>
      <c r="AA120" s="26">
        <f t="shared" si="155"/>
        <v>0</v>
      </c>
      <c r="AB120" s="26">
        <f t="shared" si="155"/>
        <v>0</v>
      </c>
      <c r="AC120" s="26">
        <f t="shared" si="155"/>
        <v>0</v>
      </c>
      <c r="AD120" s="26">
        <f t="shared" si="155"/>
        <v>0</v>
      </c>
      <c r="AE120" s="26">
        <f t="shared" si="155"/>
        <v>0</v>
      </c>
      <c r="AF120" s="26">
        <f t="shared" si="155"/>
        <v>0</v>
      </c>
      <c r="AG120" s="5">
        <f t="shared" ref="AG120:AG122" si="159">SUM(U120:AF120)</f>
        <v>0</v>
      </c>
      <c r="AH120" s="28" t="str">
        <f t="shared" ref="AH120:AH122" si="160">IFERROR(AG120/AG$16,"")</f>
        <v/>
      </c>
      <c r="AI120" s="4"/>
      <c r="AJ120" s="5">
        <f t="shared" ref="AJ120:AJ122" si="161">AG120-N120</f>
        <v>0</v>
      </c>
    </row>
    <row r="121" ht="13.5" customHeight="1">
      <c r="A121" s="25" t="s">
        <v>151</v>
      </c>
      <c r="B121" s="5">
        <v>0.0</v>
      </c>
      <c r="C121" s="5">
        <v>0.0</v>
      </c>
      <c r="D121" s="5">
        <v>0.0</v>
      </c>
      <c r="E121" s="5">
        <v>104811.32</v>
      </c>
      <c r="F121" s="5">
        <v>0.0</v>
      </c>
      <c r="G121" s="5">
        <v>0.0</v>
      </c>
      <c r="H121" s="5">
        <v>0.0</v>
      </c>
      <c r="I121" s="5">
        <v>0.0</v>
      </c>
      <c r="J121" s="27">
        <v>0.0</v>
      </c>
      <c r="K121" s="27">
        <v>0.0</v>
      </c>
      <c r="L121" s="27">
        <v>0.0</v>
      </c>
      <c r="M121" s="27">
        <v>0.0</v>
      </c>
      <c r="N121" s="5">
        <f t="shared" si="156"/>
        <v>104811.32</v>
      </c>
      <c r="O121" s="28">
        <f t="shared" si="157"/>
        <v>0.01411801906</v>
      </c>
      <c r="P121" s="5"/>
      <c r="Q121" s="5"/>
      <c r="R121" s="29" t="s">
        <v>34</v>
      </c>
      <c r="S121" s="30">
        <v>0.0</v>
      </c>
      <c r="T121" s="31">
        <v>0.05</v>
      </c>
      <c r="U121" s="26">
        <f t="shared" ref="U121:AF121" si="158">IF($R121="Manual","",IFERROR(IF($R121="YOY Growth",$N121*(1+$T121)/12,$S121/12),""))</f>
        <v>0</v>
      </c>
      <c r="V121" s="26">
        <f t="shared" si="158"/>
        <v>0</v>
      </c>
      <c r="W121" s="26">
        <f t="shared" si="158"/>
        <v>0</v>
      </c>
      <c r="X121" s="26">
        <f t="shared" si="158"/>
        <v>0</v>
      </c>
      <c r="Y121" s="26">
        <f t="shared" si="158"/>
        <v>0</v>
      </c>
      <c r="Z121" s="26">
        <f t="shared" si="158"/>
        <v>0</v>
      </c>
      <c r="AA121" s="26">
        <f t="shared" si="158"/>
        <v>0</v>
      </c>
      <c r="AB121" s="26">
        <f t="shared" si="158"/>
        <v>0</v>
      </c>
      <c r="AC121" s="26">
        <f t="shared" si="158"/>
        <v>0</v>
      </c>
      <c r="AD121" s="26">
        <f t="shared" si="158"/>
        <v>0</v>
      </c>
      <c r="AE121" s="26">
        <f t="shared" si="158"/>
        <v>0</v>
      </c>
      <c r="AF121" s="26">
        <f t="shared" si="158"/>
        <v>0</v>
      </c>
      <c r="AG121" s="5">
        <f t="shared" si="159"/>
        <v>0</v>
      </c>
      <c r="AH121" s="28" t="str">
        <f t="shared" si="160"/>
        <v/>
      </c>
      <c r="AI121" s="4"/>
      <c r="AJ121" s="5">
        <f t="shared" si="161"/>
        <v>-104811.32</v>
      </c>
    </row>
    <row r="122" ht="13.5" customHeight="1">
      <c r="A122" s="33" t="s">
        <v>152</v>
      </c>
      <c r="B122" s="34">
        <f t="shared" ref="B122:M122" si="162">SUM(B120:B121)</f>
        <v>0</v>
      </c>
      <c r="C122" s="34">
        <f t="shared" si="162"/>
        <v>0</v>
      </c>
      <c r="D122" s="34">
        <f t="shared" si="162"/>
        <v>0</v>
      </c>
      <c r="E122" s="34">
        <f t="shared" si="162"/>
        <v>104811.32</v>
      </c>
      <c r="F122" s="34">
        <f t="shared" si="162"/>
        <v>0</v>
      </c>
      <c r="G122" s="34">
        <f t="shared" si="162"/>
        <v>0</v>
      </c>
      <c r="H122" s="34">
        <f t="shared" si="162"/>
        <v>0</v>
      </c>
      <c r="I122" s="34">
        <f t="shared" si="162"/>
        <v>0</v>
      </c>
      <c r="J122" s="34">
        <f t="shared" si="162"/>
        <v>0</v>
      </c>
      <c r="K122" s="34">
        <f t="shared" si="162"/>
        <v>0</v>
      </c>
      <c r="L122" s="34">
        <f t="shared" si="162"/>
        <v>0</v>
      </c>
      <c r="M122" s="34">
        <f t="shared" si="162"/>
        <v>0</v>
      </c>
      <c r="N122" s="34">
        <f t="shared" si="156"/>
        <v>104811.32</v>
      </c>
      <c r="O122" s="35">
        <f t="shared" si="157"/>
        <v>0.01411801906</v>
      </c>
      <c r="P122" s="5"/>
      <c r="Q122" s="5"/>
      <c r="R122" s="36"/>
      <c r="S122" s="36"/>
      <c r="T122" s="36"/>
      <c r="U122" s="34">
        <f t="shared" ref="U122:AF122" si="163">SUM(U120:U121)</f>
        <v>0</v>
      </c>
      <c r="V122" s="34">
        <f t="shared" si="163"/>
        <v>0</v>
      </c>
      <c r="W122" s="34">
        <f t="shared" si="163"/>
        <v>0</v>
      </c>
      <c r="X122" s="34">
        <f t="shared" si="163"/>
        <v>0</v>
      </c>
      <c r="Y122" s="34">
        <f t="shared" si="163"/>
        <v>0</v>
      </c>
      <c r="Z122" s="34">
        <f t="shared" si="163"/>
        <v>0</v>
      </c>
      <c r="AA122" s="34">
        <f t="shared" si="163"/>
        <v>0</v>
      </c>
      <c r="AB122" s="34">
        <f t="shared" si="163"/>
        <v>0</v>
      </c>
      <c r="AC122" s="34">
        <f t="shared" si="163"/>
        <v>0</v>
      </c>
      <c r="AD122" s="34">
        <f t="shared" si="163"/>
        <v>0</v>
      </c>
      <c r="AE122" s="34">
        <f t="shared" si="163"/>
        <v>0</v>
      </c>
      <c r="AF122" s="34">
        <f t="shared" si="163"/>
        <v>0</v>
      </c>
      <c r="AG122" s="34">
        <f t="shared" si="159"/>
        <v>0</v>
      </c>
      <c r="AH122" s="35" t="str">
        <f t="shared" si="160"/>
        <v/>
      </c>
      <c r="AI122" s="4"/>
      <c r="AJ122" s="34">
        <f t="shared" si="161"/>
        <v>-104811.32</v>
      </c>
    </row>
    <row r="123" ht="13.5" customHeight="1">
      <c r="A123" s="24" t="s">
        <v>153</v>
      </c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28"/>
      <c r="P123" s="5"/>
      <c r="Q123" s="5"/>
      <c r="R123" s="36"/>
      <c r="S123" s="36"/>
      <c r="T123" s="36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28"/>
      <c r="AI123" s="4"/>
      <c r="AJ123" s="5"/>
    </row>
    <row r="124" ht="13.5" customHeight="1">
      <c r="A124" s="48" t="s">
        <v>154</v>
      </c>
      <c r="B124" s="5">
        <v>0.0</v>
      </c>
      <c r="C124" s="5">
        <v>0.0</v>
      </c>
      <c r="D124" s="5">
        <v>0.0</v>
      </c>
      <c r="E124" s="5">
        <v>0.0</v>
      </c>
      <c r="F124" s="5">
        <v>0.0</v>
      </c>
      <c r="G124" s="5">
        <v>0.0</v>
      </c>
      <c r="H124" s="5">
        <v>0.0</v>
      </c>
      <c r="I124" s="5">
        <v>0.0</v>
      </c>
      <c r="J124" s="27"/>
      <c r="K124" s="27"/>
      <c r="L124" s="27"/>
      <c r="M124" s="27"/>
      <c r="N124" s="5">
        <v>0.0</v>
      </c>
      <c r="O124" s="28">
        <f t="shared" ref="O124:O126" si="165">IFERROR(N124/N$16,"")</f>
        <v>0</v>
      </c>
      <c r="P124" s="5"/>
      <c r="Q124" s="5"/>
      <c r="R124" s="29" t="s">
        <v>34</v>
      </c>
      <c r="S124" s="30">
        <v>0.0</v>
      </c>
      <c r="T124" s="31">
        <v>0.05</v>
      </c>
      <c r="U124" s="26">
        <f t="shared" ref="U124:AF124" si="164">IF($R124="Manual","",IFERROR(IF($R124="YOY Growth",$N124*(1+$T124)/12,$S124/12),""))</f>
        <v>0</v>
      </c>
      <c r="V124" s="26">
        <f t="shared" si="164"/>
        <v>0</v>
      </c>
      <c r="W124" s="26">
        <f t="shared" si="164"/>
        <v>0</v>
      </c>
      <c r="X124" s="26">
        <f t="shared" si="164"/>
        <v>0</v>
      </c>
      <c r="Y124" s="26">
        <f t="shared" si="164"/>
        <v>0</v>
      </c>
      <c r="Z124" s="26">
        <f t="shared" si="164"/>
        <v>0</v>
      </c>
      <c r="AA124" s="26">
        <f t="shared" si="164"/>
        <v>0</v>
      </c>
      <c r="AB124" s="26">
        <f t="shared" si="164"/>
        <v>0</v>
      </c>
      <c r="AC124" s="26">
        <f t="shared" si="164"/>
        <v>0</v>
      </c>
      <c r="AD124" s="26">
        <f t="shared" si="164"/>
        <v>0</v>
      </c>
      <c r="AE124" s="26">
        <f t="shared" si="164"/>
        <v>0</v>
      </c>
      <c r="AF124" s="26">
        <f t="shared" si="164"/>
        <v>0</v>
      </c>
      <c r="AG124" s="5">
        <f t="shared" ref="AG124:AG126" si="167">SUM(U124:AF124)</f>
        <v>0</v>
      </c>
      <c r="AH124" s="28" t="str">
        <f t="shared" ref="AH124:AH126" si="168">IFERROR(AG124/AG$16,"")</f>
        <v/>
      </c>
      <c r="AI124" s="4"/>
      <c r="AJ124" s="5">
        <f t="shared" ref="AJ124:AJ126" si="169">N124-AG124</f>
        <v>0</v>
      </c>
    </row>
    <row r="125" ht="13.5" customHeight="1">
      <c r="A125" s="25" t="s">
        <v>155</v>
      </c>
      <c r="B125" s="5">
        <v>0.0</v>
      </c>
      <c r="C125" s="5">
        <v>0.0</v>
      </c>
      <c r="D125" s="5">
        <v>0.0</v>
      </c>
      <c r="E125" s="5">
        <v>0.0</v>
      </c>
      <c r="F125" s="5">
        <v>0.0</v>
      </c>
      <c r="G125" s="5">
        <v>0.0</v>
      </c>
      <c r="H125" s="5">
        <v>0.0</v>
      </c>
      <c r="I125" s="5">
        <v>0.0</v>
      </c>
      <c r="J125" s="27">
        <v>0.0</v>
      </c>
      <c r="K125" s="27">
        <v>0.0</v>
      </c>
      <c r="L125" s="27">
        <v>0.0</v>
      </c>
      <c r="M125" s="27">
        <v>0.0</v>
      </c>
      <c r="N125" s="5">
        <f t="shared" ref="N125:N126" si="170">SUM(B125:M125)</f>
        <v>0</v>
      </c>
      <c r="O125" s="28">
        <f t="shared" si="165"/>
        <v>0</v>
      </c>
      <c r="P125" s="5"/>
      <c r="Q125" s="5"/>
      <c r="R125" s="29" t="s">
        <v>34</v>
      </c>
      <c r="S125" s="30">
        <v>0.0</v>
      </c>
      <c r="T125" s="31">
        <v>0.05</v>
      </c>
      <c r="U125" s="26">
        <f t="shared" ref="U125:AF125" si="166">IF($R125="Manual","",IFERROR(IF($R125="YOY Growth",$N125*(1+$T125)/12,$S125/12),""))</f>
        <v>0</v>
      </c>
      <c r="V125" s="26">
        <f t="shared" si="166"/>
        <v>0</v>
      </c>
      <c r="W125" s="26">
        <f t="shared" si="166"/>
        <v>0</v>
      </c>
      <c r="X125" s="26">
        <f t="shared" si="166"/>
        <v>0</v>
      </c>
      <c r="Y125" s="26">
        <f t="shared" si="166"/>
        <v>0</v>
      </c>
      <c r="Z125" s="26">
        <f t="shared" si="166"/>
        <v>0</v>
      </c>
      <c r="AA125" s="26">
        <f t="shared" si="166"/>
        <v>0</v>
      </c>
      <c r="AB125" s="26">
        <f t="shared" si="166"/>
        <v>0</v>
      </c>
      <c r="AC125" s="26">
        <f t="shared" si="166"/>
        <v>0</v>
      </c>
      <c r="AD125" s="26">
        <f t="shared" si="166"/>
        <v>0</v>
      </c>
      <c r="AE125" s="26">
        <f t="shared" si="166"/>
        <v>0</v>
      </c>
      <c r="AF125" s="26">
        <f t="shared" si="166"/>
        <v>0</v>
      </c>
      <c r="AG125" s="5">
        <f t="shared" si="167"/>
        <v>0</v>
      </c>
      <c r="AH125" s="28" t="str">
        <f t="shared" si="168"/>
        <v/>
      </c>
      <c r="AI125" s="4"/>
      <c r="AJ125" s="5">
        <f t="shared" si="169"/>
        <v>0</v>
      </c>
    </row>
    <row r="126" ht="13.5" customHeight="1">
      <c r="A126" s="25" t="s">
        <v>156</v>
      </c>
      <c r="B126" s="5">
        <v>0.0</v>
      </c>
      <c r="C126" s="5">
        <v>0.0</v>
      </c>
      <c r="D126" s="5">
        <v>0.0</v>
      </c>
      <c r="E126" s="5">
        <v>0.0</v>
      </c>
      <c r="F126" s="5">
        <v>0.0</v>
      </c>
      <c r="G126" s="5">
        <v>0.0</v>
      </c>
      <c r="H126" s="5">
        <v>0.0</v>
      </c>
      <c r="I126" s="5">
        <v>0.0</v>
      </c>
      <c r="J126" s="27">
        <v>5000.0</v>
      </c>
      <c r="K126" s="27">
        <v>5000.0</v>
      </c>
      <c r="L126" s="27">
        <v>5000.0</v>
      </c>
      <c r="M126" s="27">
        <v>5000.0</v>
      </c>
      <c r="N126" s="5">
        <f t="shared" si="170"/>
        <v>20000</v>
      </c>
      <c r="O126" s="28">
        <f t="shared" si="165"/>
        <v>0.002693987455</v>
      </c>
      <c r="P126" s="5"/>
      <c r="Q126" s="5"/>
      <c r="R126" s="29" t="s">
        <v>34</v>
      </c>
      <c r="S126" s="30">
        <v>0.0</v>
      </c>
      <c r="T126" s="31">
        <v>0.05</v>
      </c>
      <c r="U126" s="26">
        <f t="shared" ref="U126:AF126" si="171">IF($R126="Manual","",IFERROR(IF($R126="YOY Growth",$N126*(1+$T126)/12,$S126/12),""))</f>
        <v>0</v>
      </c>
      <c r="V126" s="26">
        <f t="shared" si="171"/>
        <v>0</v>
      </c>
      <c r="W126" s="26">
        <f t="shared" si="171"/>
        <v>0</v>
      </c>
      <c r="X126" s="26">
        <f t="shared" si="171"/>
        <v>0</v>
      </c>
      <c r="Y126" s="26">
        <f t="shared" si="171"/>
        <v>0</v>
      </c>
      <c r="Z126" s="26">
        <f t="shared" si="171"/>
        <v>0</v>
      </c>
      <c r="AA126" s="26">
        <f t="shared" si="171"/>
        <v>0</v>
      </c>
      <c r="AB126" s="26">
        <f t="shared" si="171"/>
        <v>0</v>
      </c>
      <c r="AC126" s="26">
        <f t="shared" si="171"/>
        <v>0</v>
      </c>
      <c r="AD126" s="26">
        <f t="shared" si="171"/>
        <v>0</v>
      </c>
      <c r="AE126" s="26">
        <f t="shared" si="171"/>
        <v>0</v>
      </c>
      <c r="AF126" s="26">
        <f t="shared" si="171"/>
        <v>0</v>
      </c>
      <c r="AG126" s="5">
        <f t="shared" si="167"/>
        <v>0</v>
      </c>
      <c r="AH126" s="28" t="str">
        <f t="shared" si="168"/>
        <v/>
      </c>
      <c r="AI126" s="4"/>
      <c r="AJ126" s="5">
        <f t="shared" si="169"/>
        <v>20000</v>
      </c>
    </row>
    <row r="127" ht="13.5" customHeight="1">
      <c r="A127" s="25" t="s">
        <v>157</v>
      </c>
      <c r="B127" s="5">
        <v>0.0</v>
      </c>
      <c r="C127" s="5">
        <v>0.0</v>
      </c>
      <c r="D127" s="5">
        <v>0.0</v>
      </c>
      <c r="E127" s="5">
        <v>0.0</v>
      </c>
      <c r="F127" s="5">
        <v>0.0</v>
      </c>
      <c r="G127" s="5">
        <v>0.0</v>
      </c>
      <c r="H127" s="5">
        <v>0.0</v>
      </c>
      <c r="I127" s="5">
        <v>0.0</v>
      </c>
      <c r="J127" s="27">
        <v>0.0</v>
      </c>
      <c r="K127" s="27">
        <v>0.0</v>
      </c>
      <c r="L127" s="27">
        <v>0.0</v>
      </c>
      <c r="M127" s="27">
        <v>0.0</v>
      </c>
      <c r="N127" s="5"/>
      <c r="O127" s="28"/>
      <c r="P127" s="5"/>
      <c r="Q127" s="5"/>
      <c r="R127" s="29" t="s">
        <v>34</v>
      </c>
      <c r="S127" s="30">
        <v>0.0</v>
      </c>
      <c r="T127" s="31">
        <v>0.05</v>
      </c>
      <c r="U127" s="26">
        <f t="shared" ref="U127:AF127" si="172">IF($R127="Manual","",IFERROR(IF($R127="YOY Growth",$N127*(1+$T127)/12,$S127/12),""))</f>
        <v>0</v>
      </c>
      <c r="V127" s="26">
        <f t="shared" si="172"/>
        <v>0</v>
      </c>
      <c r="W127" s="26">
        <f t="shared" si="172"/>
        <v>0</v>
      </c>
      <c r="X127" s="26">
        <f t="shared" si="172"/>
        <v>0</v>
      </c>
      <c r="Y127" s="26">
        <f t="shared" si="172"/>
        <v>0</v>
      </c>
      <c r="Z127" s="26">
        <f t="shared" si="172"/>
        <v>0</v>
      </c>
      <c r="AA127" s="26">
        <f t="shared" si="172"/>
        <v>0</v>
      </c>
      <c r="AB127" s="26">
        <f t="shared" si="172"/>
        <v>0</v>
      </c>
      <c r="AC127" s="26">
        <f t="shared" si="172"/>
        <v>0</v>
      </c>
      <c r="AD127" s="26">
        <f t="shared" si="172"/>
        <v>0</v>
      </c>
      <c r="AE127" s="26">
        <f t="shared" si="172"/>
        <v>0</v>
      </c>
      <c r="AF127" s="26">
        <f t="shared" si="172"/>
        <v>0</v>
      </c>
      <c r="AG127" s="5"/>
      <c r="AH127" s="28"/>
      <c r="AI127" s="4"/>
      <c r="AJ127" s="5"/>
    </row>
    <row r="128" ht="13.5" customHeight="1">
      <c r="A128" s="25" t="s">
        <v>158</v>
      </c>
      <c r="B128" s="5">
        <v>0.0</v>
      </c>
      <c r="C128" s="5">
        <v>0.0</v>
      </c>
      <c r="D128" s="5">
        <v>0.0</v>
      </c>
      <c r="E128" s="5">
        <v>0.0</v>
      </c>
      <c r="F128" s="5">
        <v>0.0</v>
      </c>
      <c r="G128" s="5">
        <v>0.0</v>
      </c>
      <c r="H128" s="5">
        <v>0.0</v>
      </c>
      <c r="I128" s="5">
        <v>0.0</v>
      </c>
      <c r="J128" s="27">
        <v>0.0</v>
      </c>
      <c r="K128" s="27">
        <v>0.0</v>
      </c>
      <c r="L128" s="27">
        <v>0.0</v>
      </c>
      <c r="M128" s="27">
        <v>0.0</v>
      </c>
      <c r="N128" s="5">
        <f t="shared" ref="N128:N132" si="174">SUM(B128:M128)</f>
        <v>0</v>
      </c>
      <c r="O128" s="28">
        <f t="shared" ref="O128:O132" si="175">IFERROR(N128/N$16,"")</f>
        <v>0</v>
      </c>
      <c r="P128" s="5"/>
      <c r="Q128" s="5"/>
      <c r="R128" s="29" t="s">
        <v>34</v>
      </c>
      <c r="S128" s="30">
        <v>0.0</v>
      </c>
      <c r="T128" s="31">
        <v>0.05</v>
      </c>
      <c r="U128" s="26">
        <f t="shared" ref="U128:AF128" si="173">IF($R128="Manual","",IFERROR(IF($R128="YOY Growth",$N128*(1+$T128)/12,$S128/12),""))</f>
        <v>0</v>
      </c>
      <c r="V128" s="26">
        <f t="shared" si="173"/>
        <v>0</v>
      </c>
      <c r="W128" s="26">
        <f t="shared" si="173"/>
        <v>0</v>
      </c>
      <c r="X128" s="26">
        <f t="shared" si="173"/>
        <v>0</v>
      </c>
      <c r="Y128" s="26">
        <f t="shared" si="173"/>
        <v>0</v>
      </c>
      <c r="Z128" s="26">
        <f t="shared" si="173"/>
        <v>0</v>
      </c>
      <c r="AA128" s="26">
        <f t="shared" si="173"/>
        <v>0</v>
      </c>
      <c r="AB128" s="26">
        <f t="shared" si="173"/>
        <v>0</v>
      </c>
      <c r="AC128" s="26">
        <f t="shared" si="173"/>
        <v>0</v>
      </c>
      <c r="AD128" s="26">
        <f t="shared" si="173"/>
        <v>0</v>
      </c>
      <c r="AE128" s="26">
        <f t="shared" si="173"/>
        <v>0</v>
      </c>
      <c r="AF128" s="26">
        <f t="shared" si="173"/>
        <v>0</v>
      </c>
      <c r="AG128" s="5">
        <f t="shared" ref="AG128:AG132" si="177">SUM(U128:AF128)</f>
        <v>0</v>
      </c>
      <c r="AH128" s="28" t="str">
        <f t="shared" ref="AH128:AH132" si="178">IFERROR(AG128/AG$16,"")</f>
        <v/>
      </c>
      <c r="AI128" s="4"/>
      <c r="AJ128" s="5">
        <f t="shared" ref="AJ128:AJ130" si="179">N128-AG128</f>
        <v>0</v>
      </c>
    </row>
    <row r="129" ht="13.5" customHeight="1">
      <c r="A129" s="25" t="s">
        <v>159</v>
      </c>
      <c r="B129" s="5">
        <v>0.0</v>
      </c>
      <c r="C129" s="5">
        <v>0.0</v>
      </c>
      <c r="D129" s="5">
        <v>0.0</v>
      </c>
      <c r="E129" s="5">
        <v>0.0</v>
      </c>
      <c r="F129" s="5">
        <v>0.0</v>
      </c>
      <c r="G129" s="5">
        <v>0.0</v>
      </c>
      <c r="H129" s="5">
        <v>0.0</v>
      </c>
      <c r="I129" s="5">
        <v>0.0</v>
      </c>
      <c r="J129" s="27">
        <v>0.0</v>
      </c>
      <c r="K129" s="27">
        <v>0.0</v>
      </c>
      <c r="L129" s="27">
        <v>0.0</v>
      </c>
      <c r="M129" s="27">
        <v>0.0</v>
      </c>
      <c r="N129" s="5">
        <f t="shared" si="174"/>
        <v>0</v>
      </c>
      <c r="O129" s="28">
        <f t="shared" si="175"/>
        <v>0</v>
      </c>
      <c r="P129" s="5"/>
      <c r="Q129" s="5"/>
      <c r="R129" s="29" t="s">
        <v>34</v>
      </c>
      <c r="S129" s="30">
        <v>0.0</v>
      </c>
      <c r="T129" s="31">
        <v>0.05</v>
      </c>
      <c r="U129" s="26">
        <f t="shared" ref="U129:AF129" si="176">IF($R129="Manual","",IFERROR(IF($R129="YOY Growth",$N129*(1+$T129)/12,$S129/12),""))</f>
        <v>0</v>
      </c>
      <c r="V129" s="26">
        <f t="shared" si="176"/>
        <v>0</v>
      </c>
      <c r="W129" s="26">
        <f t="shared" si="176"/>
        <v>0</v>
      </c>
      <c r="X129" s="26">
        <f t="shared" si="176"/>
        <v>0</v>
      </c>
      <c r="Y129" s="26">
        <f t="shared" si="176"/>
        <v>0</v>
      </c>
      <c r="Z129" s="26">
        <f t="shared" si="176"/>
        <v>0</v>
      </c>
      <c r="AA129" s="26">
        <f t="shared" si="176"/>
        <v>0</v>
      </c>
      <c r="AB129" s="26">
        <f t="shared" si="176"/>
        <v>0</v>
      </c>
      <c r="AC129" s="26">
        <f t="shared" si="176"/>
        <v>0</v>
      </c>
      <c r="AD129" s="26">
        <f t="shared" si="176"/>
        <v>0</v>
      </c>
      <c r="AE129" s="26">
        <f t="shared" si="176"/>
        <v>0</v>
      </c>
      <c r="AF129" s="26">
        <f t="shared" si="176"/>
        <v>0</v>
      </c>
      <c r="AG129" s="5">
        <f t="shared" si="177"/>
        <v>0</v>
      </c>
      <c r="AH129" s="28" t="str">
        <f t="shared" si="178"/>
        <v/>
      </c>
      <c r="AI129" s="4"/>
      <c r="AJ129" s="5">
        <f t="shared" si="179"/>
        <v>0</v>
      </c>
    </row>
    <row r="130" ht="13.5" customHeight="1">
      <c r="A130" s="33" t="s">
        <v>160</v>
      </c>
      <c r="B130" s="34">
        <f t="shared" ref="B130:M130" si="180">SUM(B124:B129)</f>
        <v>0</v>
      </c>
      <c r="C130" s="34">
        <f t="shared" si="180"/>
        <v>0</v>
      </c>
      <c r="D130" s="34">
        <f t="shared" si="180"/>
        <v>0</v>
      </c>
      <c r="E130" s="34">
        <f t="shared" si="180"/>
        <v>0</v>
      </c>
      <c r="F130" s="34">
        <f t="shared" si="180"/>
        <v>0</v>
      </c>
      <c r="G130" s="34">
        <f t="shared" si="180"/>
        <v>0</v>
      </c>
      <c r="H130" s="34">
        <f t="shared" si="180"/>
        <v>0</v>
      </c>
      <c r="I130" s="34">
        <f t="shared" si="180"/>
        <v>0</v>
      </c>
      <c r="J130" s="34">
        <f t="shared" si="180"/>
        <v>5000</v>
      </c>
      <c r="K130" s="34">
        <f t="shared" si="180"/>
        <v>5000</v>
      </c>
      <c r="L130" s="34">
        <f t="shared" si="180"/>
        <v>5000</v>
      </c>
      <c r="M130" s="34">
        <f t="shared" si="180"/>
        <v>5000</v>
      </c>
      <c r="N130" s="34">
        <f t="shared" si="174"/>
        <v>20000</v>
      </c>
      <c r="O130" s="35">
        <f t="shared" si="175"/>
        <v>0.002693987455</v>
      </c>
      <c r="P130" s="5"/>
      <c r="Q130" s="5"/>
      <c r="R130" s="36"/>
      <c r="S130" s="36"/>
      <c r="T130" s="36"/>
      <c r="U130" s="34">
        <f t="shared" ref="U130:AF130" si="181">SUM(U124:U129)</f>
        <v>0</v>
      </c>
      <c r="V130" s="34">
        <f t="shared" si="181"/>
        <v>0</v>
      </c>
      <c r="W130" s="34">
        <f t="shared" si="181"/>
        <v>0</v>
      </c>
      <c r="X130" s="34">
        <f t="shared" si="181"/>
        <v>0</v>
      </c>
      <c r="Y130" s="34">
        <f t="shared" si="181"/>
        <v>0</v>
      </c>
      <c r="Z130" s="34">
        <f t="shared" si="181"/>
        <v>0</v>
      </c>
      <c r="AA130" s="34">
        <f t="shared" si="181"/>
        <v>0</v>
      </c>
      <c r="AB130" s="34">
        <f t="shared" si="181"/>
        <v>0</v>
      </c>
      <c r="AC130" s="34">
        <f t="shared" si="181"/>
        <v>0</v>
      </c>
      <c r="AD130" s="34">
        <f t="shared" si="181"/>
        <v>0</v>
      </c>
      <c r="AE130" s="34">
        <f t="shared" si="181"/>
        <v>0</v>
      </c>
      <c r="AF130" s="34">
        <f t="shared" si="181"/>
        <v>0</v>
      </c>
      <c r="AG130" s="34">
        <f t="shared" si="177"/>
        <v>0</v>
      </c>
      <c r="AH130" s="35" t="str">
        <f t="shared" si="178"/>
        <v/>
      </c>
      <c r="AI130" s="4"/>
      <c r="AJ130" s="34">
        <f t="shared" si="179"/>
        <v>20000</v>
      </c>
    </row>
    <row r="131" ht="13.5" customHeight="1">
      <c r="A131" s="52" t="s">
        <v>161</v>
      </c>
      <c r="B131" s="34">
        <f t="shared" ref="B131:M131" si="182">B122-B130</f>
        <v>0</v>
      </c>
      <c r="C131" s="34">
        <f t="shared" si="182"/>
        <v>0</v>
      </c>
      <c r="D131" s="34">
        <f t="shared" si="182"/>
        <v>0</v>
      </c>
      <c r="E131" s="34">
        <f t="shared" si="182"/>
        <v>104811.32</v>
      </c>
      <c r="F131" s="34">
        <f t="shared" si="182"/>
        <v>0</v>
      </c>
      <c r="G131" s="34">
        <f t="shared" si="182"/>
        <v>0</v>
      </c>
      <c r="H131" s="34">
        <f t="shared" si="182"/>
        <v>0</v>
      </c>
      <c r="I131" s="34">
        <f t="shared" si="182"/>
        <v>0</v>
      </c>
      <c r="J131" s="34">
        <f t="shared" si="182"/>
        <v>-5000</v>
      </c>
      <c r="K131" s="34">
        <f t="shared" si="182"/>
        <v>-5000</v>
      </c>
      <c r="L131" s="34">
        <f t="shared" si="182"/>
        <v>-5000</v>
      </c>
      <c r="M131" s="34">
        <f t="shared" si="182"/>
        <v>-5000</v>
      </c>
      <c r="N131" s="34">
        <f t="shared" si="174"/>
        <v>84811.32</v>
      </c>
      <c r="O131" s="35">
        <f t="shared" si="175"/>
        <v>0.01142403161</v>
      </c>
      <c r="P131" s="5"/>
      <c r="Q131" s="5"/>
      <c r="R131" s="36"/>
      <c r="S131" s="36"/>
      <c r="T131" s="36"/>
      <c r="U131" s="34">
        <f t="shared" ref="U131:AF131" si="183">U122-U130</f>
        <v>0</v>
      </c>
      <c r="V131" s="34">
        <f t="shared" si="183"/>
        <v>0</v>
      </c>
      <c r="W131" s="34">
        <f t="shared" si="183"/>
        <v>0</v>
      </c>
      <c r="X131" s="34">
        <f t="shared" si="183"/>
        <v>0</v>
      </c>
      <c r="Y131" s="34">
        <f t="shared" si="183"/>
        <v>0</v>
      </c>
      <c r="Z131" s="34">
        <f t="shared" si="183"/>
        <v>0</v>
      </c>
      <c r="AA131" s="34">
        <f t="shared" si="183"/>
        <v>0</v>
      </c>
      <c r="AB131" s="34">
        <f t="shared" si="183"/>
        <v>0</v>
      </c>
      <c r="AC131" s="34">
        <f t="shared" si="183"/>
        <v>0</v>
      </c>
      <c r="AD131" s="34">
        <f t="shared" si="183"/>
        <v>0</v>
      </c>
      <c r="AE131" s="34">
        <f t="shared" si="183"/>
        <v>0</v>
      </c>
      <c r="AF131" s="34">
        <f t="shared" si="183"/>
        <v>0</v>
      </c>
      <c r="AG131" s="34">
        <f t="shared" si="177"/>
        <v>0</v>
      </c>
      <c r="AH131" s="35" t="str">
        <f t="shared" si="178"/>
        <v/>
      </c>
      <c r="AI131" s="4"/>
      <c r="AJ131" s="34">
        <f t="shared" ref="AJ131:AJ132" si="186">AG131-N131</f>
        <v>-84811.32</v>
      </c>
    </row>
    <row r="132" ht="13.5" customHeight="1">
      <c r="A132" s="52" t="s">
        <v>162</v>
      </c>
      <c r="B132" s="53">
        <f t="shared" ref="B132:M132" si="184">B117+B131</f>
        <v>477751.37</v>
      </c>
      <c r="C132" s="53">
        <f t="shared" si="184"/>
        <v>470547.08</v>
      </c>
      <c r="D132" s="53">
        <f t="shared" si="184"/>
        <v>418698.66</v>
      </c>
      <c r="E132" s="53">
        <f t="shared" si="184"/>
        <v>629549.66</v>
      </c>
      <c r="F132" s="53">
        <f t="shared" si="184"/>
        <v>299402.82</v>
      </c>
      <c r="G132" s="53">
        <f t="shared" si="184"/>
        <v>263771.6</v>
      </c>
      <c r="H132" s="53">
        <f t="shared" si="184"/>
        <v>461452.17</v>
      </c>
      <c r="I132" s="53">
        <f t="shared" si="184"/>
        <v>172203.55</v>
      </c>
      <c r="J132" s="53">
        <f t="shared" si="184"/>
        <v>-184477.5771</v>
      </c>
      <c r="K132" s="53">
        <f t="shared" si="184"/>
        <v>534749.8038</v>
      </c>
      <c r="L132" s="53">
        <f t="shared" si="184"/>
        <v>560603.3752</v>
      </c>
      <c r="M132" s="53">
        <f t="shared" si="184"/>
        <v>581456.9467</v>
      </c>
      <c r="N132" s="53">
        <f t="shared" si="174"/>
        <v>4685709.459</v>
      </c>
      <c r="O132" s="54">
        <f t="shared" si="175"/>
        <v>0.6311621251</v>
      </c>
      <c r="P132" s="5"/>
      <c r="Q132" s="5"/>
      <c r="R132" s="36"/>
      <c r="S132" s="36"/>
      <c r="T132" s="36"/>
      <c r="U132" s="53">
        <f t="shared" ref="U132:AF132" si="185">U117+U131</f>
        <v>-134202.6485</v>
      </c>
      <c r="V132" s="53">
        <f t="shared" si="185"/>
        <v>-99202.64853</v>
      </c>
      <c r="W132" s="53">
        <f t="shared" si="185"/>
        <v>-99202.64853</v>
      </c>
      <c r="X132" s="53">
        <f t="shared" si="185"/>
        <v>-99202.64853</v>
      </c>
      <c r="Y132" s="53">
        <f t="shared" si="185"/>
        <v>-104769.3152</v>
      </c>
      <c r="Z132" s="53">
        <f t="shared" si="185"/>
        <v>-100877.6485</v>
      </c>
      <c r="AA132" s="53">
        <f t="shared" si="185"/>
        <v>-101715.1485</v>
      </c>
      <c r="AB132" s="53">
        <f t="shared" si="185"/>
        <v>-102552.6485</v>
      </c>
      <c r="AC132" s="53">
        <f t="shared" si="185"/>
        <v>-103390.1485</v>
      </c>
      <c r="AD132" s="53">
        <f t="shared" si="185"/>
        <v>-109222.5491</v>
      </c>
      <c r="AE132" s="53">
        <f t="shared" si="185"/>
        <v>-106685.0491</v>
      </c>
      <c r="AF132" s="53">
        <f t="shared" si="185"/>
        <v>-107522.5491</v>
      </c>
      <c r="AG132" s="53">
        <f t="shared" si="177"/>
        <v>-1268545.651</v>
      </c>
      <c r="AH132" s="54" t="str">
        <f t="shared" si="178"/>
        <v/>
      </c>
      <c r="AI132" s="4"/>
      <c r="AJ132" s="53">
        <f t="shared" si="186"/>
        <v>-5954255.109</v>
      </c>
    </row>
    <row r="133" ht="13.5" customHeight="1">
      <c r="A133" s="4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36"/>
      <c r="S133" s="36"/>
      <c r="T133" s="36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  <c r="AE133" s="55"/>
      <c r="AF133" s="55"/>
      <c r="AG133" s="28"/>
      <c r="AH133" s="5"/>
      <c r="AI133" s="4"/>
      <c r="AJ133" s="4"/>
    </row>
    <row r="134" ht="13.5" customHeight="1">
      <c r="A134" s="4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28"/>
      <c r="P134" s="5"/>
      <c r="Q134" s="5"/>
      <c r="R134" s="36"/>
      <c r="S134" s="36"/>
      <c r="T134" s="36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4"/>
      <c r="AJ134" s="4"/>
    </row>
    <row r="135" ht="13.5" customHeight="1">
      <c r="A135" s="4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28"/>
      <c r="P135" s="5"/>
      <c r="Q135" s="5"/>
      <c r="R135" s="36"/>
      <c r="S135" s="36"/>
      <c r="T135" s="36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4"/>
      <c r="AJ135" s="4"/>
    </row>
    <row r="136" ht="13.5" customHeight="1">
      <c r="A136" s="4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28"/>
      <c r="P136" s="5"/>
      <c r="Q136" s="5"/>
      <c r="R136" s="36"/>
      <c r="S136" s="36"/>
      <c r="T136" s="36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4"/>
      <c r="AJ136" s="4"/>
    </row>
    <row r="137" ht="13.5" customHeight="1">
      <c r="A137" s="25" t="s">
        <v>163</v>
      </c>
      <c r="B137" s="5">
        <f t="shared" ref="B137:N137" si="187">SUMIF($A$9:$A$132,"*"&amp;$A137&amp;"*",B$9:B$132)</f>
        <v>-142290.68</v>
      </c>
      <c r="C137" s="5">
        <f t="shared" si="187"/>
        <v>-125160.03</v>
      </c>
      <c r="D137" s="5">
        <f t="shared" si="187"/>
        <v>-53487.1</v>
      </c>
      <c r="E137" s="5">
        <f t="shared" si="187"/>
        <v>21646.72</v>
      </c>
      <c r="F137" s="5">
        <f t="shared" si="187"/>
        <v>17259.93</v>
      </c>
      <c r="G137" s="5">
        <f t="shared" si="187"/>
        <v>17454.2</v>
      </c>
      <c r="H137" s="5">
        <f t="shared" si="187"/>
        <v>20023.74</v>
      </c>
      <c r="I137" s="5">
        <f t="shared" si="187"/>
        <v>14849.42</v>
      </c>
      <c r="J137" s="5">
        <f t="shared" si="187"/>
        <v>17500</v>
      </c>
      <c r="K137" s="5">
        <f t="shared" si="187"/>
        <v>17500</v>
      </c>
      <c r="L137" s="5">
        <f t="shared" si="187"/>
        <v>17500</v>
      </c>
      <c r="M137" s="5">
        <f t="shared" si="187"/>
        <v>17500</v>
      </c>
      <c r="N137" s="5">
        <f t="shared" si="187"/>
        <v>-159703.8</v>
      </c>
      <c r="O137" s="28"/>
      <c r="P137" s="4"/>
      <c r="Q137" s="4"/>
      <c r="R137" s="36"/>
      <c r="S137" s="36"/>
      <c r="T137" s="36"/>
      <c r="U137" s="5">
        <f t="shared" ref="U137:AG137" si="188">SUMIF($A$9:$A$132,"*"&amp;$A137&amp;"*",U$9:U$132)</f>
        <v>43450</v>
      </c>
      <c r="V137" s="5">
        <f t="shared" si="188"/>
        <v>43450</v>
      </c>
      <c r="W137" s="5">
        <f t="shared" si="188"/>
        <v>43450</v>
      </c>
      <c r="X137" s="5">
        <f t="shared" si="188"/>
        <v>43450</v>
      </c>
      <c r="Y137" s="5">
        <f t="shared" si="188"/>
        <v>43450</v>
      </c>
      <c r="Z137" s="5">
        <f t="shared" si="188"/>
        <v>43450</v>
      </c>
      <c r="AA137" s="5">
        <f t="shared" si="188"/>
        <v>43450</v>
      </c>
      <c r="AB137" s="5">
        <f t="shared" si="188"/>
        <v>43450</v>
      </c>
      <c r="AC137" s="5">
        <f t="shared" si="188"/>
        <v>43450</v>
      </c>
      <c r="AD137" s="5">
        <f t="shared" si="188"/>
        <v>44753.5</v>
      </c>
      <c r="AE137" s="5">
        <f t="shared" si="188"/>
        <v>44753.5</v>
      </c>
      <c r="AF137" s="5">
        <f t="shared" si="188"/>
        <v>44753.5</v>
      </c>
      <c r="AG137" s="5">
        <f t="shared" si="188"/>
        <v>525310.5</v>
      </c>
      <c r="AH137" s="28"/>
      <c r="AI137" s="4"/>
      <c r="AJ137" s="5"/>
    </row>
    <row r="138" ht="13.5" customHeight="1">
      <c r="A138" s="25" t="s">
        <v>164</v>
      </c>
      <c r="B138" s="5">
        <f t="shared" ref="B138:N138" si="189">SUMIF($A$9:$A$132,"*"&amp;$A138&amp;"*",B$9:B$132)</f>
        <v>0</v>
      </c>
      <c r="C138" s="5">
        <f t="shared" si="189"/>
        <v>0</v>
      </c>
      <c r="D138" s="5">
        <f t="shared" si="189"/>
        <v>0</v>
      </c>
      <c r="E138" s="5">
        <f t="shared" si="189"/>
        <v>0</v>
      </c>
      <c r="F138" s="5">
        <f t="shared" si="189"/>
        <v>0</v>
      </c>
      <c r="G138" s="5">
        <f t="shared" si="189"/>
        <v>0</v>
      </c>
      <c r="H138" s="5">
        <f t="shared" si="189"/>
        <v>0</v>
      </c>
      <c r="I138" s="5">
        <f t="shared" si="189"/>
        <v>0</v>
      </c>
      <c r="J138" s="5">
        <f t="shared" si="189"/>
        <v>0</v>
      </c>
      <c r="K138" s="5">
        <f t="shared" si="189"/>
        <v>0</v>
      </c>
      <c r="L138" s="5">
        <f t="shared" si="189"/>
        <v>0</v>
      </c>
      <c r="M138" s="5">
        <f t="shared" si="189"/>
        <v>0</v>
      </c>
      <c r="N138" s="5">
        <f t="shared" si="189"/>
        <v>0</v>
      </c>
      <c r="O138" s="5"/>
      <c r="P138" s="5"/>
      <c r="Q138" s="5"/>
      <c r="R138" s="36"/>
      <c r="S138" s="36"/>
      <c r="T138" s="36"/>
      <c r="U138" s="5">
        <f t="shared" ref="U138:AG138" si="190">SUMIF($A$9:$A$132,"*"&amp;$A138&amp;"*",U$9:U$132)</f>
        <v>0</v>
      </c>
      <c r="V138" s="5">
        <f t="shared" si="190"/>
        <v>0</v>
      </c>
      <c r="W138" s="5">
        <f t="shared" si="190"/>
        <v>0</v>
      </c>
      <c r="X138" s="5">
        <f t="shared" si="190"/>
        <v>0</v>
      </c>
      <c r="Y138" s="5">
        <f t="shared" si="190"/>
        <v>0</v>
      </c>
      <c r="Z138" s="5">
        <f t="shared" si="190"/>
        <v>0</v>
      </c>
      <c r="AA138" s="5">
        <f t="shared" si="190"/>
        <v>0</v>
      </c>
      <c r="AB138" s="5">
        <f t="shared" si="190"/>
        <v>0</v>
      </c>
      <c r="AC138" s="5">
        <f t="shared" si="190"/>
        <v>0</v>
      </c>
      <c r="AD138" s="5">
        <f t="shared" si="190"/>
        <v>0</v>
      </c>
      <c r="AE138" s="5">
        <f t="shared" si="190"/>
        <v>0</v>
      </c>
      <c r="AF138" s="5">
        <f t="shared" si="190"/>
        <v>0</v>
      </c>
      <c r="AG138" s="5">
        <f t="shared" si="190"/>
        <v>0</v>
      </c>
      <c r="AH138" s="5"/>
      <c r="AI138" s="4"/>
      <c r="AJ138" s="4"/>
    </row>
    <row r="139" ht="13.5" customHeight="1">
      <c r="A139" s="25" t="s">
        <v>165</v>
      </c>
      <c r="B139" s="5">
        <f t="shared" ref="B139:N139" si="191">SUMIF($A$9:$A$132,"*"&amp;$A139&amp;"*",B$9:B$132)</f>
        <v>1615.95</v>
      </c>
      <c r="C139" s="5">
        <f t="shared" si="191"/>
        <v>1065.32</v>
      </c>
      <c r="D139" s="5">
        <f t="shared" si="191"/>
        <v>-1003.17</v>
      </c>
      <c r="E139" s="5">
        <f t="shared" si="191"/>
        <v>703.54</v>
      </c>
      <c r="F139" s="5">
        <f t="shared" si="191"/>
        <v>618.04</v>
      </c>
      <c r="G139" s="5">
        <f t="shared" si="191"/>
        <v>634.79</v>
      </c>
      <c r="H139" s="5">
        <f t="shared" si="191"/>
        <v>768.4</v>
      </c>
      <c r="I139" s="5">
        <f t="shared" si="191"/>
        <v>592.79</v>
      </c>
      <c r="J139" s="5">
        <f t="shared" si="191"/>
        <v>648</v>
      </c>
      <c r="K139" s="5">
        <f t="shared" si="191"/>
        <v>648</v>
      </c>
      <c r="L139" s="5">
        <f t="shared" si="191"/>
        <v>648</v>
      </c>
      <c r="M139" s="5">
        <f t="shared" si="191"/>
        <v>648</v>
      </c>
      <c r="N139" s="5">
        <f t="shared" si="191"/>
        <v>7587.66</v>
      </c>
      <c r="O139" s="5"/>
      <c r="P139" s="5"/>
      <c r="Q139" s="5"/>
      <c r="R139" s="36"/>
      <c r="S139" s="36"/>
      <c r="T139" s="36"/>
      <c r="U139" s="5">
        <f t="shared" ref="U139:AG139" si="192">SUMIF($A$9:$A$132,"*"&amp;$A139&amp;"*",U$9:U$132)</f>
        <v>1580.22857</v>
      </c>
      <c r="V139" s="5">
        <f t="shared" si="192"/>
        <v>1580.22857</v>
      </c>
      <c r="W139" s="5">
        <f t="shared" si="192"/>
        <v>1580.22857</v>
      </c>
      <c r="X139" s="5">
        <f t="shared" si="192"/>
        <v>1580.22857</v>
      </c>
      <c r="Y139" s="5">
        <f t="shared" si="192"/>
        <v>1580.22857</v>
      </c>
      <c r="Z139" s="5">
        <f t="shared" si="192"/>
        <v>1580.22857</v>
      </c>
      <c r="AA139" s="5">
        <f t="shared" si="192"/>
        <v>1580.22857</v>
      </c>
      <c r="AB139" s="5">
        <f t="shared" si="192"/>
        <v>1580.22857</v>
      </c>
      <c r="AC139" s="5">
        <f t="shared" si="192"/>
        <v>1580.22857</v>
      </c>
      <c r="AD139" s="5">
        <f t="shared" si="192"/>
        <v>1627.635427</v>
      </c>
      <c r="AE139" s="5">
        <f t="shared" si="192"/>
        <v>1627.635427</v>
      </c>
      <c r="AF139" s="5">
        <f t="shared" si="192"/>
        <v>1627.635427</v>
      </c>
      <c r="AG139" s="5">
        <f t="shared" si="192"/>
        <v>19104.96341</v>
      </c>
      <c r="AH139" s="5"/>
      <c r="AI139" s="4"/>
      <c r="AJ139" s="5"/>
    </row>
    <row r="140" ht="13.5" customHeight="1">
      <c r="A140" s="25" t="s">
        <v>166</v>
      </c>
      <c r="B140" s="5">
        <f t="shared" ref="B140:N140" si="193">SUMIF($A$9:$A$132,"*"&amp;$A140&amp;"*",B$9:B$132)</f>
        <v>32768.46</v>
      </c>
      <c r="C140" s="5">
        <f t="shared" si="193"/>
        <v>-7281.23</v>
      </c>
      <c r="D140" s="5">
        <f t="shared" si="193"/>
        <v>3057.92</v>
      </c>
      <c r="E140" s="5">
        <f t="shared" si="193"/>
        <v>2876.74</v>
      </c>
      <c r="F140" s="5">
        <f t="shared" si="193"/>
        <v>4138.12</v>
      </c>
      <c r="G140" s="5">
        <f t="shared" si="193"/>
        <v>3992.14</v>
      </c>
      <c r="H140" s="5">
        <f t="shared" si="193"/>
        <v>-6793.75</v>
      </c>
      <c r="I140" s="5">
        <f t="shared" si="193"/>
        <v>2732.36</v>
      </c>
      <c r="J140" s="5">
        <f t="shared" si="193"/>
        <v>4000</v>
      </c>
      <c r="K140" s="5">
        <f t="shared" si="193"/>
        <v>4000</v>
      </c>
      <c r="L140" s="5">
        <f t="shared" si="193"/>
        <v>4000</v>
      </c>
      <c r="M140" s="5">
        <f t="shared" si="193"/>
        <v>4000</v>
      </c>
      <c r="N140" s="5">
        <f t="shared" si="193"/>
        <v>51490.76</v>
      </c>
      <c r="O140" s="5"/>
      <c r="P140" s="5"/>
      <c r="Q140" s="5"/>
      <c r="R140" s="36"/>
      <c r="S140" s="36"/>
      <c r="T140" s="36"/>
      <c r="U140" s="5">
        <f t="shared" ref="U140:AG140" si="194">SUMIF($A$9:$A$132,"*"&amp;$A140&amp;"*",U$9:U$132)</f>
        <v>8966.458751</v>
      </c>
      <c r="V140" s="5">
        <f t="shared" si="194"/>
        <v>8966.458751</v>
      </c>
      <c r="W140" s="5">
        <f t="shared" si="194"/>
        <v>8966.458751</v>
      </c>
      <c r="X140" s="5">
        <f t="shared" si="194"/>
        <v>8966.458751</v>
      </c>
      <c r="Y140" s="5">
        <f t="shared" si="194"/>
        <v>8966.458751</v>
      </c>
      <c r="Z140" s="5">
        <f t="shared" si="194"/>
        <v>8966.458751</v>
      </c>
      <c r="AA140" s="5">
        <f t="shared" si="194"/>
        <v>8966.458751</v>
      </c>
      <c r="AB140" s="5">
        <f t="shared" si="194"/>
        <v>8966.458751</v>
      </c>
      <c r="AC140" s="5">
        <f t="shared" si="194"/>
        <v>8966.458751</v>
      </c>
      <c r="AD140" s="5">
        <f t="shared" si="194"/>
        <v>9235.452514</v>
      </c>
      <c r="AE140" s="5">
        <f t="shared" si="194"/>
        <v>9235.452514</v>
      </c>
      <c r="AF140" s="5">
        <f t="shared" si="194"/>
        <v>9235.452514</v>
      </c>
      <c r="AG140" s="5">
        <f t="shared" si="194"/>
        <v>108404.4863</v>
      </c>
      <c r="AH140" s="5"/>
      <c r="AI140" s="4"/>
      <c r="AJ140" s="5"/>
    </row>
    <row r="141" ht="13.5" customHeight="1">
      <c r="A141" s="4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36"/>
      <c r="S141" s="36"/>
      <c r="T141" s="36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4"/>
      <c r="AJ141" s="5"/>
    </row>
    <row r="142" ht="13.5" customHeight="1">
      <c r="A142" s="4" t="s">
        <v>167</v>
      </c>
      <c r="B142" s="28">
        <f t="shared" ref="B142:N142" si="195">IFERROR(SUM(B139:B140)/SUM(B137:B138),"")</f>
        <v>-0.2416490665</v>
      </c>
      <c r="C142" s="28">
        <f t="shared" si="195"/>
        <v>0.04966369855</v>
      </c>
      <c r="D142" s="28">
        <f t="shared" si="195"/>
        <v>-0.03841580493</v>
      </c>
      <c r="E142" s="28">
        <f t="shared" si="195"/>
        <v>0.1653959584</v>
      </c>
      <c r="F142" s="28">
        <f t="shared" si="195"/>
        <v>0.2755607931</v>
      </c>
      <c r="G142" s="28">
        <f t="shared" si="195"/>
        <v>0.2650897778</v>
      </c>
      <c r="H142" s="28">
        <f t="shared" si="195"/>
        <v>-0.3009103195</v>
      </c>
      <c r="I142" s="28">
        <f t="shared" si="195"/>
        <v>0.2239245708</v>
      </c>
      <c r="J142" s="28">
        <f t="shared" si="195"/>
        <v>0.2656</v>
      </c>
      <c r="K142" s="28">
        <f t="shared" si="195"/>
        <v>0.2656</v>
      </c>
      <c r="L142" s="28">
        <f t="shared" si="195"/>
        <v>0.2656</v>
      </c>
      <c r="M142" s="28">
        <f t="shared" si="195"/>
        <v>0.2656</v>
      </c>
      <c r="N142" s="28">
        <f t="shared" si="195"/>
        <v>-0.3699249486</v>
      </c>
      <c r="O142" s="28"/>
      <c r="P142" s="28"/>
      <c r="Q142" s="28"/>
      <c r="R142" s="36"/>
      <c r="S142" s="36"/>
      <c r="T142" s="36"/>
      <c r="U142" s="28">
        <f t="shared" ref="U142:AG142" si="196">IFERROR(SUM(U139:U140)/SUM(U137:U138),"")</f>
        <v>0.2427315839</v>
      </c>
      <c r="V142" s="28">
        <f t="shared" si="196"/>
        <v>0.2427315839</v>
      </c>
      <c r="W142" s="28">
        <f t="shared" si="196"/>
        <v>0.2427315839</v>
      </c>
      <c r="X142" s="28">
        <f t="shared" si="196"/>
        <v>0.2427315839</v>
      </c>
      <c r="Y142" s="28">
        <f t="shared" si="196"/>
        <v>0.2427315839</v>
      </c>
      <c r="Z142" s="28">
        <f t="shared" si="196"/>
        <v>0.2427315839</v>
      </c>
      <c r="AA142" s="28">
        <f t="shared" si="196"/>
        <v>0.2427315839</v>
      </c>
      <c r="AB142" s="28">
        <f t="shared" si="196"/>
        <v>0.2427315839</v>
      </c>
      <c r="AC142" s="28">
        <f t="shared" si="196"/>
        <v>0.2427315839</v>
      </c>
      <c r="AD142" s="28">
        <f t="shared" si="196"/>
        <v>0.2427315839</v>
      </c>
      <c r="AE142" s="28">
        <f t="shared" si="196"/>
        <v>0.2427315839</v>
      </c>
      <c r="AF142" s="28">
        <f t="shared" si="196"/>
        <v>0.2427315839</v>
      </c>
      <c r="AG142" s="28">
        <f t="shared" si="196"/>
        <v>0.2427315839</v>
      </c>
      <c r="AH142" s="28"/>
      <c r="AI142" s="28"/>
      <c r="AJ142" s="28"/>
    </row>
    <row r="143" ht="13.5" customHeight="1">
      <c r="A143" s="4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28"/>
      <c r="P143" s="5"/>
      <c r="Q143" s="5"/>
      <c r="R143" s="36"/>
      <c r="S143" s="36"/>
      <c r="T143" s="36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4"/>
    </row>
    <row r="144" ht="13.5" customHeight="1">
      <c r="A144" s="4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28"/>
      <c r="P144" s="5"/>
      <c r="Q144" s="5"/>
      <c r="R144" s="36"/>
      <c r="S144" s="36"/>
      <c r="T144" s="36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4"/>
      <c r="AJ144" s="4"/>
    </row>
    <row r="145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28"/>
      <c r="P145" s="4"/>
      <c r="Q145" s="4"/>
      <c r="R145" s="56"/>
      <c r="S145" s="56"/>
      <c r="T145" s="56"/>
      <c r="U145" s="4"/>
      <c r="V145" s="4"/>
      <c r="W145" s="4"/>
      <c r="X145" s="20" t="s">
        <v>168</v>
      </c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8"/>
      <c r="P146" s="4"/>
      <c r="Q146" s="4"/>
      <c r="R146" s="56"/>
      <c r="S146" s="56"/>
      <c r="T146" s="56"/>
      <c r="U146" s="4"/>
      <c r="V146" s="4"/>
      <c r="W146" s="4"/>
      <c r="X146" s="4"/>
      <c r="Y146" s="20">
        <v>1.05</v>
      </c>
      <c r="Z146" s="20">
        <v>1.1</v>
      </c>
      <c r="AA146" s="20">
        <v>1.15</v>
      </c>
      <c r="AB146" s="20">
        <v>1.2</v>
      </c>
      <c r="AC146" s="20">
        <v>1.25</v>
      </c>
      <c r="AD146" s="20">
        <v>1.3</v>
      </c>
      <c r="AE146" s="20">
        <v>1.35</v>
      </c>
      <c r="AF146" s="20">
        <v>1.4</v>
      </c>
      <c r="AG146" s="4"/>
      <c r="AH146" s="4"/>
      <c r="AI146" s="4"/>
      <c r="AJ146" s="4"/>
    </row>
    <row r="147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28"/>
      <c r="P147" s="4"/>
      <c r="Q147" s="4"/>
      <c r="R147" s="56"/>
      <c r="S147" s="56"/>
      <c r="T147" s="56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28"/>
      <c r="P148" s="4"/>
      <c r="Q148" s="4"/>
      <c r="R148" s="56"/>
      <c r="S148" s="56"/>
      <c r="T148" s="56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28"/>
      <c r="P149" s="4"/>
      <c r="Q149" s="4"/>
      <c r="R149" s="56"/>
      <c r="S149" s="56"/>
      <c r="T149" s="56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28"/>
      <c r="P150" s="4"/>
      <c r="Q150" s="4"/>
      <c r="R150" s="56"/>
      <c r="S150" s="56"/>
      <c r="T150" s="56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28"/>
      <c r="P151" s="4"/>
      <c r="Q151" s="4"/>
      <c r="R151" s="56"/>
      <c r="S151" s="56"/>
      <c r="T151" s="56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28"/>
      <c r="P152" s="4"/>
      <c r="Q152" s="4"/>
      <c r="R152" s="56"/>
      <c r="S152" s="56"/>
      <c r="T152" s="56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28"/>
      <c r="P153" s="4"/>
      <c r="Q153" s="4"/>
      <c r="R153" s="56"/>
      <c r="S153" s="56"/>
      <c r="T153" s="56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28"/>
      <c r="P154" s="4"/>
      <c r="Q154" s="4"/>
      <c r="R154" s="56"/>
      <c r="S154" s="56"/>
      <c r="T154" s="56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28"/>
      <c r="P155" s="4"/>
      <c r="Q155" s="4"/>
      <c r="R155" s="56"/>
      <c r="S155" s="56"/>
      <c r="T155" s="56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28"/>
      <c r="P156" s="4"/>
      <c r="Q156" s="4"/>
      <c r="R156" s="56"/>
      <c r="S156" s="56"/>
      <c r="T156" s="56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28"/>
      <c r="P157" s="4"/>
      <c r="Q157" s="4"/>
      <c r="R157" s="56"/>
      <c r="S157" s="56"/>
      <c r="T157" s="56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28"/>
      <c r="P158" s="4"/>
      <c r="Q158" s="4"/>
      <c r="R158" s="56"/>
      <c r="S158" s="56"/>
      <c r="T158" s="56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28"/>
      <c r="P159" s="4"/>
      <c r="Q159" s="4"/>
      <c r="R159" s="56"/>
      <c r="S159" s="56"/>
      <c r="T159" s="56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28"/>
      <c r="P160" s="4"/>
      <c r="Q160" s="4"/>
      <c r="R160" s="56"/>
      <c r="S160" s="56"/>
      <c r="T160" s="56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28"/>
      <c r="P161" s="4"/>
      <c r="Q161" s="4"/>
      <c r="R161" s="56"/>
      <c r="S161" s="56"/>
      <c r="T161" s="56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28"/>
      <c r="P162" s="4"/>
      <c r="Q162" s="4"/>
      <c r="R162" s="56"/>
      <c r="S162" s="56"/>
      <c r="T162" s="56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28"/>
      <c r="P163" s="4"/>
      <c r="Q163" s="4"/>
      <c r="R163" s="56"/>
      <c r="S163" s="56"/>
      <c r="T163" s="56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28"/>
      <c r="P164" s="4"/>
      <c r="Q164" s="4"/>
      <c r="R164" s="56"/>
      <c r="S164" s="56"/>
      <c r="T164" s="56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28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28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8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28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28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8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28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28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8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28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28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8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28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28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28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28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28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28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28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28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28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28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28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28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28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28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28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28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28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28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28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28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28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28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28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28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</row>
    <row r="293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</row>
    <row r="294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</row>
    <row r="295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</row>
    <row r="29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</row>
    <row r="297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</row>
    <row r="298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</row>
    <row r="299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</row>
    <row r="300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</row>
    <row r="301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</row>
    <row r="302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</row>
    <row r="303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</row>
    <row r="304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</row>
    <row r="305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</row>
    <row r="30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</row>
    <row r="307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</row>
    <row r="308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</row>
    <row r="309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</row>
    <row r="310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</row>
    <row r="311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</row>
    <row r="312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</row>
    <row r="313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</row>
    <row r="314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</row>
    <row r="315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</row>
    <row r="31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</row>
    <row r="317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</row>
    <row r="318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</row>
    <row r="319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</row>
    <row r="320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</row>
    <row r="321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</row>
    <row r="322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</row>
    <row r="323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</row>
    <row r="324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</row>
    <row r="325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</row>
    <row r="3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</row>
    <row r="327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</row>
    <row r="328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</row>
    <row r="329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</row>
    <row r="330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</row>
    <row r="331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</row>
    <row r="332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</row>
    <row r="333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</row>
    <row r="334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</row>
    <row r="335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</row>
    <row r="33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</row>
    <row r="337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</row>
    <row r="338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</row>
    <row r="339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</row>
    <row r="340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</row>
    <row r="341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</row>
    <row r="342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</row>
    <row r="343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</row>
    <row r="344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</row>
    <row r="345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</row>
    <row r="34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</row>
    <row r="347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</row>
    <row r="348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</row>
    <row r="349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</row>
    <row r="350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</row>
    <row r="351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</row>
    <row r="352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</row>
    <row r="353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</row>
    <row r="354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</row>
    <row r="355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</row>
    <row r="35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</row>
    <row r="357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</row>
    <row r="358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</row>
    <row r="359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</row>
    <row r="360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</row>
    <row r="361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</row>
    <row r="362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</row>
    <row r="363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</row>
    <row r="364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</row>
    <row r="365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</row>
    <row r="36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</row>
    <row r="367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</row>
    <row r="368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</row>
    <row r="369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</row>
    <row r="370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</row>
    <row r="371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</row>
    <row r="372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</row>
    <row r="373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</row>
    <row r="374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</row>
    <row r="375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</row>
    <row r="37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</row>
    <row r="377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</row>
    <row r="378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</row>
    <row r="379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</row>
    <row r="380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</row>
    <row r="381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</row>
    <row r="382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</row>
    <row r="383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</row>
    <row r="384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</row>
    <row r="385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</row>
    <row r="38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</row>
    <row r="387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</row>
    <row r="388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</row>
    <row r="389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</row>
    <row r="390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</row>
    <row r="391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</row>
    <row r="392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</row>
    <row r="393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</row>
    <row r="394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</row>
    <row r="395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</row>
    <row r="39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</row>
    <row r="397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</row>
    <row r="398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</row>
    <row r="399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</row>
    <row r="400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</row>
    <row r="401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</row>
    <row r="402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</row>
    <row r="403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</row>
    <row r="404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</row>
    <row r="405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</row>
    <row r="40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</row>
    <row r="407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</row>
    <row r="408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</row>
    <row r="409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</row>
    <row r="410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</row>
    <row r="411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</row>
    <row r="412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</row>
    <row r="413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</row>
    <row r="414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</row>
    <row r="415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</row>
    <row r="41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</row>
    <row r="417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</row>
    <row r="418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</row>
    <row r="419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</row>
    <row r="420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</row>
    <row r="421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</row>
    <row r="422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</row>
    <row r="423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</row>
    <row r="424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</row>
    <row r="425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</row>
    <row r="4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</row>
    <row r="427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</row>
    <row r="428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</row>
    <row r="429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</row>
    <row r="430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</row>
    <row r="431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</row>
    <row r="432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</row>
    <row r="433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</row>
    <row r="434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</row>
    <row r="435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</row>
    <row r="43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</row>
    <row r="437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</row>
    <row r="438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</row>
    <row r="439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</row>
    <row r="440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</row>
    <row r="441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</row>
    <row r="442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</row>
    <row r="443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</row>
    <row r="444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</row>
    <row r="445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</row>
    <row r="44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</row>
    <row r="447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</row>
    <row r="448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</row>
    <row r="449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</row>
    <row r="450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</row>
    <row r="451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</row>
    <row r="452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</row>
    <row r="453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</row>
    <row r="454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</row>
    <row r="455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</row>
    <row r="45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</row>
    <row r="457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</row>
    <row r="458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</row>
    <row r="459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</row>
    <row r="460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</row>
    <row r="461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</row>
    <row r="462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</row>
    <row r="463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</row>
    <row r="464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</row>
    <row r="465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</row>
    <row r="46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</row>
    <row r="467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</row>
    <row r="468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</row>
    <row r="469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</row>
    <row r="470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</row>
    <row r="471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</row>
    <row r="472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</row>
    <row r="473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</row>
    <row r="474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</row>
    <row r="475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</row>
    <row r="47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</row>
    <row r="477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</row>
    <row r="478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</row>
    <row r="479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</row>
    <row r="480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</row>
    <row r="481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</row>
    <row r="482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</row>
    <row r="483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</row>
    <row r="484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</row>
    <row r="485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</row>
    <row r="48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</row>
    <row r="487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</row>
    <row r="488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</row>
    <row r="489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</row>
    <row r="490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</row>
    <row r="491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</row>
    <row r="492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</row>
    <row r="493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</row>
    <row r="494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</row>
    <row r="495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</row>
    <row r="49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</row>
    <row r="497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</row>
    <row r="498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</row>
    <row r="499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</row>
    <row r="500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</row>
    <row r="501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</row>
    <row r="502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</row>
    <row r="503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</row>
    <row r="504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</row>
    <row r="505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</row>
    <row r="50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</row>
    <row r="507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</row>
    <row r="508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</row>
    <row r="509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</row>
    <row r="510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</row>
    <row r="511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</row>
    <row r="512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</row>
    <row r="513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</row>
    <row r="514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</row>
    <row r="515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</row>
    <row r="51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</row>
    <row r="517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</row>
    <row r="518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</row>
    <row r="519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</row>
    <row r="520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</row>
    <row r="521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</row>
    <row r="522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</row>
    <row r="523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</row>
    <row r="524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</row>
    <row r="525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</row>
    <row r="5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</row>
    <row r="527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</row>
    <row r="528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</row>
    <row r="529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</row>
    <row r="530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</row>
    <row r="531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</row>
    <row r="532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</row>
    <row r="533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</row>
    <row r="534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</row>
    <row r="535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</row>
    <row r="53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</row>
    <row r="537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</row>
    <row r="538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</row>
    <row r="539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</row>
    <row r="540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</row>
    <row r="541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</row>
    <row r="542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</row>
    <row r="543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</row>
    <row r="544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</row>
    <row r="545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</row>
    <row r="54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</row>
    <row r="547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</row>
    <row r="548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</row>
    <row r="549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</row>
    <row r="550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</row>
    <row r="551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</row>
    <row r="552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</row>
    <row r="553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</row>
    <row r="554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</row>
    <row r="555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</row>
    <row r="55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</row>
    <row r="557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</row>
    <row r="558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</row>
    <row r="559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</row>
    <row r="560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</row>
    <row r="561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</row>
    <row r="562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</row>
    <row r="563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</row>
    <row r="564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</row>
    <row r="565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</row>
    <row r="56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</row>
    <row r="567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</row>
    <row r="568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</row>
    <row r="569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</row>
    <row r="570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</row>
    <row r="571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</row>
    <row r="572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</row>
    <row r="573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</row>
    <row r="574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</row>
    <row r="575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</row>
    <row r="57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</row>
    <row r="577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</row>
    <row r="578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</row>
    <row r="579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</row>
    <row r="580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</row>
    <row r="581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</row>
    <row r="582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</row>
    <row r="583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</row>
    <row r="584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</row>
    <row r="585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</row>
    <row r="58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</row>
    <row r="587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</row>
    <row r="588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</row>
    <row r="589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</row>
    <row r="590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</row>
    <row r="591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</row>
    <row r="592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</row>
    <row r="593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</row>
    <row r="594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</row>
    <row r="595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</row>
    <row r="59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</row>
    <row r="597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</row>
    <row r="598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</row>
    <row r="599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</row>
    <row r="600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</row>
    <row r="601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</row>
    <row r="602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</row>
    <row r="603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</row>
    <row r="604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</row>
    <row r="605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</row>
    <row r="60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</row>
    <row r="607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</row>
    <row r="608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</row>
    <row r="609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</row>
    <row r="610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</row>
    <row r="611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</row>
    <row r="612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</row>
    <row r="613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</row>
    <row r="614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</row>
    <row r="615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</row>
    <row r="61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</row>
    <row r="617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</row>
    <row r="618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</row>
    <row r="619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</row>
    <row r="620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</row>
    <row r="621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</row>
    <row r="622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</row>
    <row r="623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</row>
    <row r="624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</row>
    <row r="625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</row>
    <row r="6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</row>
    <row r="627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</row>
    <row r="628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</row>
    <row r="629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</row>
    <row r="630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</row>
    <row r="631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</row>
    <row r="632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</row>
    <row r="633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</row>
    <row r="634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</row>
    <row r="635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</row>
    <row r="63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</row>
    <row r="637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</row>
    <row r="638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</row>
    <row r="639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</row>
    <row r="640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</row>
    <row r="641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</row>
    <row r="642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</row>
    <row r="643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</row>
    <row r="644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</row>
    <row r="645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</row>
    <row r="64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</row>
    <row r="647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</row>
    <row r="648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</row>
    <row r="649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</row>
    <row r="650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</row>
    <row r="651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</row>
    <row r="652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</row>
    <row r="653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</row>
    <row r="654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</row>
    <row r="655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</row>
    <row r="65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</row>
    <row r="657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</row>
    <row r="658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</row>
    <row r="659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</row>
    <row r="660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</row>
    <row r="661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</row>
    <row r="662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</row>
    <row r="663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</row>
    <row r="664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</row>
    <row r="665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</row>
    <row r="66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</row>
    <row r="667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</row>
    <row r="668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</row>
    <row r="669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</row>
    <row r="670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</row>
    <row r="671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</row>
    <row r="672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</row>
    <row r="673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</row>
    <row r="674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</row>
    <row r="675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</row>
    <row r="67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</row>
    <row r="677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</row>
    <row r="678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</row>
    <row r="679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</row>
    <row r="680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</row>
    <row r="681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</row>
    <row r="682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</row>
    <row r="683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</row>
    <row r="684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</row>
    <row r="685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</row>
    <row r="68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</row>
    <row r="687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</row>
    <row r="688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</row>
    <row r="689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</row>
    <row r="690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</row>
    <row r="691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</row>
    <row r="692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</row>
    <row r="693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</row>
    <row r="694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</row>
    <row r="695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</row>
    <row r="69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</row>
    <row r="697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</row>
    <row r="698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</row>
    <row r="699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</row>
    <row r="700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</row>
    <row r="701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</row>
    <row r="702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</row>
    <row r="703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</row>
    <row r="704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</row>
    <row r="705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</row>
    <row r="70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</row>
    <row r="707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</row>
    <row r="708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</row>
    <row r="709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</row>
    <row r="710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</row>
    <row r="711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</row>
    <row r="712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</row>
    <row r="713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</row>
    <row r="714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</row>
    <row r="715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</row>
    <row r="71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</row>
    <row r="717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</row>
    <row r="718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</row>
    <row r="719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</row>
    <row r="720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</row>
    <row r="721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</row>
    <row r="722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</row>
    <row r="723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</row>
    <row r="724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</row>
    <row r="725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</row>
    <row r="7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</row>
    <row r="727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</row>
    <row r="728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</row>
    <row r="729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</row>
    <row r="730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</row>
    <row r="731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</row>
    <row r="732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</row>
    <row r="733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</row>
    <row r="734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</row>
    <row r="735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</row>
    <row r="73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</row>
    <row r="737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</row>
    <row r="738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</row>
    <row r="739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</row>
    <row r="740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</row>
    <row r="741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</row>
    <row r="742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</row>
    <row r="743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</row>
    <row r="744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</row>
    <row r="745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</row>
    <row r="74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</row>
    <row r="747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</row>
    <row r="748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</row>
    <row r="749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</row>
    <row r="750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</row>
    <row r="751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</row>
    <row r="752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</row>
    <row r="753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</row>
    <row r="754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</row>
    <row r="755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</row>
    <row r="75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</row>
    <row r="757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</row>
    <row r="758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</row>
    <row r="759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</row>
    <row r="760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</row>
    <row r="761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</row>
    <row r="762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</row>
    <row r="763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</row>
    <row r="764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</row>
    <row r="765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</row>
    <row r="76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</row>
    <row r="767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</row>
    <row r="768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</row>
    <row r="769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</row>
    <row r="770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</row>
    <row r="771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</row>
    <row r="772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</row>
    <row r="773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</row>
    <row r="774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</row>
    <row r="775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</row>
    <row r="77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</row>
    <row r="777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</row>
    <row r="778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</row>
    <row r="779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</row>
    <row r="780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</row>
    <row r="781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</row>
    <row r="782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</row>
    <row r="783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</row>
    <row r="784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</row>
    <row r="785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</row>
    <row r="78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</row>
    <row r="787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</row>
    <row r="788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</row>
    <row r="789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</row>
    <row r="790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</row>
    <row r="791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</row>
    <row r="792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</row>
    <row r="793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</row>
    <row r="794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</row>
    <row r="795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</row>
    <row r="79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</row>
    <row r="797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</row>
    <row r="798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</row>
    <row r="799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</row>
    <row r="800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</row>
    <row r="801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</row>
    <row r="802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</row>
    <row r="803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</row>
    <row r="804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</row>
    <row r="805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</row>
    <row r="80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</row>
    <row r="807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</row>
    <row r="808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</row>
    <row r="809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</row>
    <row r="810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</row>
    <row r="811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</row>
    <row r="812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</row>
    <row r="813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</row>
    <row r="814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</row>
    <row r="815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</row>
    <row r="81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</row>
    <row r="817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</row>
    <row r="818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</row>
    <row r="819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</row>
    <row r="820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</row>
    <row r="821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</row>
    <row r="822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</row>
    <row r="823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</row>
    <row r="824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</row>
    <row r="825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</row>
    <row r="8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</row>
    <row r="827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</row>
    <row r="828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</row>
    <row r="829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</row>
    <row r="830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</row>
    <row r="831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</row>
    <row r="832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</row>
    <row r="833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</row>
    <row r="834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</row>
    <row r="835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</row>
    <row r="83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</row>
    <row r="837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</row>
    <row r="838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</row>
    <row r="839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</row>
    <row r="840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</row>
    <row r="841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</row>
    <row r="842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</row>
    <row r="843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</row>
    <row r="844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</row>
    <row r="845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</row>
    <row r="84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</row>
    <row r="847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</row>
    <row r="848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</row>
    <row r="849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</row>
    <row r="850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</row>
    <row r="851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</row>
    <row r="852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</row>
    <row r="853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</row>
    <row r="854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</row>
    <row r="855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</row>
    <row r="85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</row>
    <row r="857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</row>
    <row r="858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</row>
    <row r="859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</row>
    <row r="860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</row>
    <row r="861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</row>
    <row r="862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</row>
    <row r="863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</row>
    <row r="864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</row>
    <row r="865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</row>
    <row r="86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</row>
    <row r="867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</row>
    <row r="868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</row>
    <row r="869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</row>
    <row r="870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</row>
    <row r="871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</row>
    <row r="872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</row>
    <row r="873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</row>
    <row r="874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</row>
    <row r="875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</row>
    <row r="87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</row>
    <row r="877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</row>
    <row r="878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</row>
    <row r="879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</row>
    <row r="880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</row>
    <row r="881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</row>
    <row r="882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</row>
    <row r="883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</row>
    <row r="884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</row>
    <row r="885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</row>
    <row r="88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</row>
    <row r="887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</row>
    <row r="888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</row>
    <row r="889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</row>
    <row r="890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</row>
    <row r="891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</row>
    <row r="892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</row>
    <row r="893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</row>
    <row r="894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</row>
    <row r="895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</row>
    <row r="89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</row>
    <row r="897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</row>
    <row r="898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</row>
    <row r="899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</row>
    <row r="900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</row>
    <row r="901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</row>
    <row r="902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</row>
    <row r="903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</row>
    <row r="904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</row>
    <row r="905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</row>
    <row r="90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</row>
    <row r="907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</row>
    <row r="908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</row>
    <row r="909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</row>
    <row r="910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</row>
    <row r="911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</row>
    <row r="912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</row>
    <row r="913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</row>
    <row r="914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</row>
    <row r="915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</row>
    <row r="91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</row>
    <row r="917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</row>
    <row r="918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</row>
    <row r="919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</row>
    <row r="920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</row>
    <row r="921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</row>
    <row r="922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</row>
    <row r="923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</row>
    <row r="924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</row>
    <row r="925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</row>
    <row r="9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</row>
    <row r="927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</row>
    <row r="928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</row>
    <row r="929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</row>
    <row r="930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</row>
    <row r="931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</row>
    <row r="932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</row>
    <row r="933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</row>
    <row r="934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</row>
    <row r="935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</row>
    <row r="93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</row>
    <row r="937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</row>
    <row r="938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</row>
    <row r="939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</row>
    <row r="940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</row>
    <row r="941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</row>
    <row r="942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</row>
    <row r="943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</row>
    <row r="944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</row>
    <row r="945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</row>
    <row r="94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</row>
    <row r="947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</row>
    <row r="948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</row>
    <row r="949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</row>
    <row r="950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</row>
    <row r="951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</row>
    <row r="952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</row>
    <row r="953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</row>
    <row r="954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</row>
    <row r="955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</row>
    <row r="95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</row>
    <row r="957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</row>
    <row r="958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</row>
    <row r="959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</row>
    <row r="960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</row>
    <row r="961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</row>
    <row r="962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</row>
    <row r="963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</row>
    <row r="964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</row>
    <row r="965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</row>
    <row r="96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</row>
    <row r="967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</row>
    <row r="968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</row>
    <row r="969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</row>
    <row r="970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</row>
    <row r="971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</row>
    <row r="972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</row>
    <row r="973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</row>
    <row r="974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</row>
    <row r="975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</row>
    <row r="97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</row>
    <row r="977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</row>
    <row r="978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</row>
    <row r="979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</row>
    <row r="980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</row>
    <row r="981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</row>
    <row r="982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</row>
    <row r="983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</row>
    <row r="984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</row>
    <row r="985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</row>
    <row r="98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</row>
    <row r="987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</row>
    <row r="988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</row>
    <row r="989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</row>
    <row r="990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</row>
    <row r="991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</row>
    <row r="992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</row>
    <row r="993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</row>
    <row r="994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</row>
    <row r="995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</row>
    <row r="996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</row>
    <row r="997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</row>
    <row r="998" ht="13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</row>
    <row r="999" ht="13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</row>
    <row r="1000" ht="13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</row>
  </sheetData>
  <conditionalFormatting sqref="S12:S13">
    <cfRule type="expression" dxfId="0" priority="1">
      <formula>AND(NOT(ISFORMULA(S12)),ISNUMBER(S12))</formula>
    </cfRule>
  </conditionalFormatting>
  <conditionalFormatting sqref="S15">
    <cfRule type="expression" dxfId="0" priority="2">
      <formula>AND(NOT(ISFORMULA(S15)),ISNUMBER(S15))</formula>
    </cfRule>
  </conditionalFormatting>
  <conditionalFormatting sqref="S19:S22">
    <cfRule type="expression" dxfId="0" priority="3">
      <formula>AND(NOT(ISFORMULA(S19)),ISNUMBER(S19))</formula>
    </cfRule>
  </conditionalFormatting>
  <conditionalFormatting sqref="S24:S26">
    <cfRule type="expression" dxfId="0" priority="4">
      <formula>AND(NOT(ISFORMULA(S24)),ISNUMBER(S24))</formula>
    </cfRule>
  </conditionalFormatting>
  <conditionalFormatting sqref="S28:S31">
    <cfRule type="expression" dxfId="0" priority="5">
      <formula>AND(NOT(ISFORMULA(S28)),ISNUMBER(S28))</formula>
    </cfRule>
  </conditionalFormatting>
  <conditionalFormatting sqref="S38:S42">
    <cfRule type="expression" dxfId="0" priority="6">
      <formula>AND(NOT(ISFORMULA(S38)),ISNUMBER(S38))</formula>
    </cfRule>
  </conditionalFormatting>
  <conditionalFormatting sqref="S44:S50">
    <cfRule type="expression" dxfId="0" priority="7">
      <formula>AND(NOT(ISFORMULA(S44)),ISNUMBER(S44))</formula>
    </cfRule>
  </conditionalFormatting>
  <conditionalFormatting sqref="S58:S60">
    <cfRule type="expression" dxfId="0" priority="8">
      <formula>AND(NOT(ISFORMULA(S58)),ISNUMBER(S58))</formula>
    </cfRule>
  </conditionalFormatting>
  <conditionalFormatting sqref="S62">
    <cfRule type="expression" dxfId="0" priority="9">
      <formula>AND(NOT(ISFORMULA(S62)),ISNUMBER(S62))</formula>
    </cfRule>
  </conditionalFormatting>
  <conditionalFormatting sqref="S70:S72">
    <cfRule type="expression" dxfId="0" priority="10">
      <formula>AND(NOT(ISFORMULA(S70)),ISNUMBER(S70))</formula>
    </cfRule>
  </conditionalFormatting>
  <conditionalFormatting sqref="S74:S80">
    <cfRule type="expression" dxfId="0" priority="11">
      <formula>AND(NOT(ISFORMULA(S74)),ISNUMBER(S74))</formula>
    </cfRule>
  </conditionalFormatting>
  <conditionalFormatting sqref="S82:S86">
    <cfRule type="expression" dxfId="0" priority="12">
      <formula>AND(NOT(ISFORMULA(S82)),ISNUMBER(S82))</formula>
    </cfRule>
  </conditionalFormatting>
  <conditionalFormatting sqref="S88:S115">
    <cfRule type="expression" dxfId="0" priority="13">
      <formula>AND(NOT(ISFORMULA(S88)),ISNUMBER(S88))</formula>
    </cfRule>
  </conditionalFormatting>
  <conditionalFormatting sqref="S120:S121">
    <cfRule type="expression" dxfId="0" priority="14">
      <formula>AND(NOT(ISFORMULA(S120)),ISNUMBER(S120))</formula>
    </cfRule>
  </conditionalFormatting>
  <conditionalFormatting sqref="S124:S129">
    <cfRule type="expression" dxfId="0" priority="15">
      <formula>AND(NOT(ISFORMULA(S124)),ISNUMBER(S124))</formula>
    </cfRule>
  </conditionalFormatting>
  <dataValidations>
    <dataValidation type="decimal" allowBlank="1" showInputMessage="1" showErrorMessage="1" prompt="Numbers only - Please enter a number (no text)." sqref="S12:AF13 S15:AF15 S19:AF22 S24:AF26 S28:AF31 S38:AF42 S44:AF50 S58:AF60 S62:AF62 S70:AF72 S74:AF80 S82:AF86 S88:AF115 S120:AF121 S124:AF129">
      <formula1>-1.0E15</formula1>
      <formula2>1.0E15</formula2>
    </dataValidation>
    <dataValidation type="list" allowBlank="1" showErrorMessage="1" sqref="R12:R13 R15 R19:R22 R24:R26 R28:R31 R38:R42 R44:R50 R58:R60 R62 R70:R72 R74:R80 R82:R86 R88:R115 R120:R121 R124:R129">
      <formula1>"Even,YOY Growth,Manual"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3E5A1"/>
    <pageSetUpPr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 outlineLevelCol="1"/>
  <cols>
    <col customWidth="1" min="1" max="1" width="54.71"/>
    <col customWidth="1" min="2" max="13" width="11.29" outlineLevel="1"/>
    <col customWidth="1" min="14" max="14" width="14.29"/>
    <col customWidth="1" min="15" max="15" width="12.71"/>
    <col customWidth="1" min="16" max="17" width="7.57"/>
    <col customWidth="1" min="18" max="18" width="15.0"/>
    <col customWidth="1" min="19" max="19" width="13.71"/>
    <col customWidth="1" min="20" max="20" width="12.71"/>
    <col customWidth="1" min="21" max="32" width="11.29" outlineLevel="1"/>
    <col customWidth="1" min="33" max="33" width="14.29"/>
    <col customWidth="1" min="34" max="34" width="12.71"/>
    <col customWidth="1" min="35" max="35" width="7.43"/>
    <col customWidth="1" min="36" max="36" width="13.14"/>
  </cols>
  <sheetData>
    <row r="1" ht="13.5" customHeight="1">
      <c r="A1" s="2" t="s">
        <v>1</v>
      </c>
      <c r="B1" s="4"/>
      <c r="C1" s="4"/>
      <c r="D1" s="4"/>
      <c r="E1" s="4"/>
      <c r="F1" s="4"/>
      <c r="G1" s="4"/>
      <c r="H1" s="5"/>
      <c r="I1" s="5"/>
      <c r="J1" s="5"/>
      <c r="K1" s="5"/>
      <c r="L1" s="5"/>
      <c r="M1" s="5"/>
      <c r="N1" s="4"/>
      <c r="O1" s="4"/>
      <c r="P1" s="4"/>
      <c r="Q1" s="4"/>
      <c r="R1" s="4"/>
      <c r="S1" s="4"/>
      <c r="T1" s="4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4"/>
      <c r="AH1" s="4"/>
      <c r="AI1" s="4"/>
      <c r="AJ1" s="4"/>
    </row>
    <row r="2" ht="13.5" customHeight="1">
      <c r="A2" s="7" t="s">
        <v>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4"/>
      <c r="AH2" s="4"/>
      <c r="AI2" s="4"/>
      <c r="AJ2" s="4"/>
    </row>
    <row r="3" ht="13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ht="13.5" customHeight="1">
      <c r="A4" s="9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13.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4"/>
      <c r="AH5" s="4"/>
      <c r="AI5" s="4"/>
      <c r="AJ5" s="4"/>
    </row>
    <row r="6" ht="13.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13.5" customHeight="1">
      <c r="A7" s="11"/>
      <c r="B7" s="12" t="s">
        <v>5</v>
      </c>
      <c r="C7" s="12" t="s">
        <v>5</v>
      </c>
      <c r="D7" s="12" t="s">
        <v>5</v>
      </c>
      <c r="E7" s="12" t="s">
        <v>5</v>
      </c>
      <c r="F7" s="12" t="s">
        <v>5</v>
      </c>
      <c r="G7" s="12" t="s">
        <v>5</v>
      </c>
      <c r="H7" s="12" t="s">
        <v>5</v>
      </c>
      <c r="I7" s="12" t="s">
        <v>5</v>
      </c>
      <c r="J7" s="13" t="s">
        <v>6</v>
      </c>
      <c r="K7" s="13" t="s">
        <v>6</v>
      </c>
      <c r="L7" s="13" t="s">
        <v>6</v>
      </c>
      <c r="M7" s="13" t="s">
        <v>6</v>
      </c>
      <c r="N7" s="13" t="s">
        <v>6</v>
      </c>
      <c r="O7" s="13" t="s">
        <v>6</v>
      </c>
      <c r="P7" s="4"/>
      <c r="Q7" s="4"/>
      <c r="R7" s="15"/>
      <c r="S7" s="16" t="s">
        <v>8</v>
      </c>
      <c r="T7" s="16" t="s">
        <v>9</v>
      </c>
      <c r="U7" s="14" t="s">
        <v>7</v>
      </c>
      <c r="V7" s="14" t="s">
        <v>7</v>
      </c>
      <c r="W7" s="14" t="s">
        <v>7</v>
      </c>
      <c r="X7" s="14" t="s">
        <v>7</v>
      </c>
      <c r="Y7" s="14" t="s">
        <v>7</v>
      </c>
      <c r="Z7" s="14" t="s">
        <v>7</v>
      </c>
      <c r="AA7" s="14" t="s">
        <v>7</v>
      </c>
      <c r="AB7" s="14" t="s">
        <v>7</v>
      </c>
      <c r="AC7" s="14" t="s">
        <v>7</v>
      </c>
      <c r="AD7" s="14" t="s">
        <v>7</v>
      </c>
      <c r="AE7" s="14" t="s">
        <v>7</v>
      </c>
      <c r="AF7" s="14" t="s">
        <v>7</v>
      </c>
      <c r="AG7" s="14" t="s">
        <v>7</v>
      </c>
      <c r="AH7" s="14" t="s">
        <v>7</v>
      </c>
      <c r="AI7" s="4"/>
      <c r="AJ7" s="17" t="s">
        <v>9</v>
      </c>
    </row>
    <row r="8" ht="13.5" customHeight="1">
      <c r="A8" s="11" t="s">
        <v>10</v>
      </c>
      <c r="B8" s="18" t="s">
        <v>11</v>
      </c>
      <c r="C8" s="18" t="s">
        <v>12</v>
      </c>
      <c r="D8" s="18" t="s">
        <v>13</v>
      </c>
      <c r="E8" s="18" t="s">
        <v>14</v>
      </c>
      <c r="F8" s="18" t="s">
        <v>15</v>
      </c>
      <c r="G8" s="18" t="s">
        <v>16</v>
      </c>
      <c r="H8" s="18" t="s">
        <v>17</v>
      </c>
      <c r="I8" s="18" t="s">
        <v>18</v>
      </c>
      <c r="J8" s="18" t="s">
        <v>19</v>
      </c>
      <c r="K8" s="18" t="s">
        <v>20</v>
      </c>
      <c r="L8" s="18" t="s">
        <v>21</v>
      </c>
      <c r="M8" s="18" t="s">
        <v>22</v>
      </c>
      <c r="N8" s="12">
        <v>2026.0</v>
      </c>
      <c r="O8" s="12" t="s">
        <v>23</v>
      </c>
      <c r="P8" s="4"/>
      <c r="Q8" s="4"/>
      <c r="R8" s="15" t="s">
        <v>27</v>
      </c>
      <c r="S8" s="16" t="s">
        <v>28</v>
      </c>
      <c r="T8" s="16" t="s">
        <v>29</v>
      </c>
      <c r="U8" s="19" t="s">
        <v>11</v>
      </c>
      <c r="V8" s="19" t="s">
        <v>12</v>
      </c>
      <c r="W8" s="19" t="s">
        <v>13</v>
      </c>
      <c r="X8" s="19" t="s">
        <v>14</v>
      </c>
      <c r="Y8" s="19" t="s">
        <v>15</v>
      </c>
      <c r="Z8" s="19" t="s">
        <v>16</v>
      </c>
      <c r="AA8" s="19" t="s">
        <v>17</v>
      </c>
      <c r="AB8" s="19" t="s">
        <v>18</v>
      </c>
      <c r="AC8" s="19" t="s">
        <v>19</v>
      </c>
      <c r="AD8" s="19" t="s">
        <v>20</v>
      </c>
      <c r="AE8" s="19" t="s">
        <v>21</v>
      </c>
      <c r="AF8" s="19" t="s">
        <v>22</v>
      </c>
      <c r="AG8" s="21" t="s">
        <v>25</v>
      </c>
      <c r="AH8" s="14" t="s">
        <v>23</v>
      </c>
      <c r="AI8" s="4"/>
      <c r="AJ8" s="22" t="s">
        <v>26</v>
      </c>
    </row>
    <row r="9" ht="13.5" customHeight="1">
      <c r="A9" s="23" t="s">
        <v>30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4"/>
      <c r="AI9" s="4"/>
      <c r="AJ9" s="4"/>
    </row>
    <row r="10" ht="13.5" customHeight="1">
      <c r="A10" s="24" t="s">
        <v>31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4"/>
      <c r="AI10" s="4"/>
      <c r="AJ10" s="4"/>
    </row>
    <row r="11" ht="13.5" customHeight="1">
      <c r="A11" s="24" t="s">
        <v>32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4"/>
      <c r="AI11" s="4"/>
      <c r="AJ11" s="4"/>
    </row>
    <row r="12" ht="13.5" customHeight="1">
      <c r="A12" s="25" t="s">
        <v>33</v>
      </c>
      <c r="B12" s="5">
        <v>0.0</v>
      </c>
      <c r="C12" s="5">
        <v>0.0</v>
      </c>
      <c r="D12" s="5">
        <v>0.0</v>
      </c>
      <c r="E12" s="5">
        <v>0.0</v>
      </c>
      <c r="F12" s="5">
        <v>0.0</v>
      </c>
      <c r="G12" s="5">
        <v>0.0</v>
      </c>
      <c r="H12" s="5">
        <v>0.0</v>
      </c>
      <c r="I12" s="5">
        <v>0.0</v>
      </c>
      <c r="J12" s="26"/>
      <c r="K12" s="26"/>
      <c r="L12" s="26"/>
      <c r="M12" s="26"/>
      <c r="N12" s="5">
        <f t="shared" ref="N12:N16" si="2">SUM(B12:M12)</f>
        <v>0</v>
      </c>
      <c r="O12" s="28" t="str">
        <f t="shared" ref="O12:O13" si="3">IFERROR(N12/N$16,"")</f>
        <v/>
      </c>
      <c r="P12" s="5"/>
      <c r="Q12" s="5"/>
      <c r="R12" s="29" t="s">
        <v>34</v>
      </c>
      <c r="S12" s="30"/>
      <c r="T12" s="31">
        <v>0.05</v>
      </c>
      <c r="U12" s="26">
        <f t="shared" ref="U12:AF12" si="1">IF($R12="Manual","",IFERROR(IF($R12="YOY Growth",$N12*(1+$T12)/12,$S12/12),""))</f>
        <v>0</v>
      </c>
      <c r="V12" s="26">
        <f t="shared" si="1"/>
        <v>0</v>
      </c>
      <c r="W12" s="26">
        <f t="shared" si="1"/>
        <v>0</v>
      </c>
      <c r="X12" s="26">
        <f t="shared" si="1"/>
        <v>0</v>
      </c>
      <c r="Y12" s="26">
        <f t="shared" si="1"/>
        <v>0</v>
      </c>
      <c r="Z12" s="26">
        <f t="shared" si="1"/>
        <v>0</v>
      </c>
      <c r="AA12" s="26">
        <f t="shared" si="1"/>
        <v>0</v>
      </c>
      <c r="AB12" s="26">
        <f t="shared" si="1"/>
        <v>0</v>
      </c>
      <c r="AC12" s="26">
        <f t="shared" si="1"/>
        <v>0</v>
      </c>
      <c r="AD12" s="26">
        <f t="shared" si="1"/>
        <v>0</v>
      </c>
      <c r="AE12" s="26">
        <f t="shared" si="1"/>
        <v>0</v>
      </c>
      <c r="AF12" s="26">
        <f t="shared" si="1"/>
        <v>0</v>
      </c>
      <c r="AG12" s="5">
        <f t="shared" ref="AG12:AG16" si="5">SUM(U12:AF12)</f>
        <v>0</v>
      </c>
      <c r="AH12" s="28" t="str">
        <f t="shared" ref="AH12:AH13" si="6">IFERROR(AG12/AG$16,"")</f>
        <v/>
      </c>
      <c r="AI12" s="4"/>
      <c r="AJ12" s="5">
        <f t="shared" ref="AJ12:AJ16" si="7">AG12-N12</f>
        <v>0</v>
      </c>
    </row>
    <row r="13" ht="13.5" customHeight="1">
      <c r="A13" s="25" t="s">
        <v>35</v>
      </c>
      <c r="B13" s="5">
        <v>0.0</v>
      </c>
      <c r="C13" s="5">
        <v>0.0</v>
      </c>
      <c r="D13" s="5">
        <v>0.0</v>
      </c>
      <c r="E13" s="5">
        <v>0.0</v>
      </c>
      <c r="F13" s="5">
        <v>0.0</v>
      </c>
      <c r="G13" s="5">
        <v>0.0</v>
      </c>
      <c r="H13" s="5">
        <v>0.0</v>
      </c>
      <c r="I13" s="5">
        <v>0.0</v>
      </c>
      <c r="J13" s="26"/>
      <c r="K13" s="26"/>
      <c r="L13" s="26"/>
      <c r="M13" s="26"/>
      <c r="N13" s="5">
        <f t="shared" si="2"/>
        <v>0</v>
      </c>
      <c r="O13" s="28" t="str">
        <f t="shared" si="3"/>
        <v/>
      </c>
      <c r="P13" s="5"/>
      <c r="Q13" s="5"/>
      <c r="R13" s="29" t="s">
        <v>34</v>
      </c>
      <c r="S13" s="30">
        <v>0.0</v>
      </c>
      <c r="T13" s="31">
        <v>0.05</v>
      </c>
      <c r="U13" s="26">
        <f t="shared" ref="U13:AF13" si="4">IF($R13="Manual","",IFERROR(IF($R13="YOY Growth",$N13*(1+$T13)/12,$S13/12),""))</f>
        <v>0</v>
      </c>
      <c r="V13" s="26">
        <f t="shared" si="4"/>
        <v>0</v>
      </c>
      <c r="W13" s="26">
        <f t="shared" si="4"/>
        <v>0</v>
      </c>
      <c r="X13" s="26">
        <f t="shared" si="4"/>
        <v>0</v>
      </c>
      <c r="Y13" s="26">
        <f t="shared" si="4"/>
        <v>0</v>
      </c>
      <c r="Z13" s="26">
        <f t="shared" si="4"/>
        <v>0</v>
      </c>
      <c r="AA13" s="26">
        <f t="shared" si="4"/>
        <v>0</v>
      </c>
      <c r="AB13" s="26">
        <f t="shared" si="4"/>
        <v>0</v>
      </c>
      <c r="AC13" s="26">
        <f t="shared" si="4"/>
        <v>0</v>
      </c>
      <c r="AD13" s="26">
        <f t="shared" si="4"/>
        <v>0</v>
      </c>
      <c r="AE13" s="26">
        <f t="shared" si="4"/>
        <v>0</v>
      </c>
      <c r="AF13" s="26">
        <f t="shared" si="4"/>
        <v>0</v>
      </c>
      <c r="AG13" s="5">
        <f t="shared" si="5"/>
        <v>0</v>
      </c>
      <c r="AH13" s="28" t="str">
        <f t="shared" si="6"/>
        <v/>
      </c>
      <c r="AI13" s="4"/>
      <c r="AJ13" s="5">
        <f t="shared" si="7"/>
        <v>0</v>
      </c>
    </row>
    <row r="14" ht="13.5" customHeight="1">
      <c r="A14" s="33" t="s">
        <v>36</v>
      </c>
      <c r="B14" s="34">
        <f t="shared" ref="B14:M14" si="8">SUM(B12:B13)</f>
        <v>0</v>
      </c>
      <c r="C14" s="34">
        <f t="shared" si="8"/>
        <v>0</v>
      </c>
      <c r="D14" s="34">
        <f t="shared" si="8"/>
        <v>0</v>
      </c>
      <c r="E14" s="34">
        <f t="shared" si="8"/>
        <v>0</v>
      </c>
      <c r="F14" s="34">
        <f t="shared" si="8"/>
        <v>0</v>
      </c>
      <c r="G14" s="34">
        <f t="shared" si="8"/>
        <v>0</v>
      </c>
      <c r="H14" s="34">
        <f t="shared" si="8"/>
        <v>0</v>
      </c>
      <c r="I14" s="34">
        <f t="shared" si="8"/>
        <v>0</v>
      </c>
      <c r="J14" s="34">
        <f t="shared" si="8"/>
        <v>0</v>
      </c>
      <c r="K14" s="34">
        <f t="shared" si="8"/>
        <v>0</v>
      </c>
      <c r="L14" s="34">
        <f t="shared" si="8"/>
        <v>0</v>
      </c>
      <c r="M14" s="34">
        <f t="shared" si="8"/>
        <v>0</v>
      </c>
      <c r="N14" s="34">
        <f t="shared" si="2"/>
        <v>0</v>
      </c>
      <c r="O14" s="35">
        <f>SUM(O12:O13)</f>
        <v>0</v>
      </c>
      <c r="P14" s="5"/>
      <c r="Q14" s="5"/>
      <c r="R14" s="36"/>
      <c r="S14" s="36"/>
      <c r="T14" s="36"/>
      <c r="U14" s="34">
        <f t="shared" ref="U14:AF14" si="9">SUM(U12:U13)</f>
        <v>0</v>
      </c>
      <c r="V14" s="34">
        <f t="shared" si="9"/>
        <v>0</v>
      </c>
      <c r="W14" s="34">
        <f t="shared" si="9"/>
        <v>0</v>
      </c>
      <c r="X14" s="34">
        <f t="shared" si="9"/>
        <v>0</v>
      </c>
      <c r="Y14" s="34">
        <f t="shared" si="9"/>
        <v>0</v>
      </c>
      <c r="Z14" s="34">
        <f t="shared" si="9"/>
        <v>0</v>
      </c>
      <c r="AA14" s="34">
        <f t="shared" si="9"/>
        <v>0</v>
      </c>
      <c r="AB14" s="34">
        <f t="shared" si="9"/>
        <v>0</v>
      </c>
      <c r="AC14" s="34">
        <f t="shared" si="9"/>
        <v>0</v>
      </c>
      <c r="AD14" s="34">
        <f t="shared" si="9"/>
        <v>0</v>
      </c>
      <c r="AE14" s="34">
        <f t="shared" si="9"/>
        <v>0</v>
      </c>
      <c r="AF14" s="34">
        <f t="shared" si="9"/>
        <v>0</v>
      </c>
      <c r="AG14" s="34">
        <f t="shared" si="5"/>
        <v>0</v>
      </c>
      <c r="AH14" s="35">
        <f>SUM(AH12:AH13)</f>
        <v>0</v>
      </c>
      <c r="AI14" s="4"/>
      <c r="AJ14" s="34">
        <f t="shared" si="7"/>
        <v>0</v>
      </c>
    </row>
    <row r="15" ht="13.5" customHeight="1">
      <c r="A15" s="25" t="s">
        <v>37</v>
      </c>
      <c r="B15" s="5">
        <v>0.0</v>
      </c>
      <c r="C15" s="5">
        <v>0.0</v>
      </c>
      <c r="D15" s="5">
        <v>0.0</v>
      </c>
      <c r="E15" s="5">
        <v>0.0</v>
      </c>
      <c r="F15" s="5">
        <v>0.0</v>
      </c>
      <c r="G15" s="5">
        <v>0.0</v>
      </c>
      <c r="H15" s="5">
        <v>0.0</v>
      </c>
      <c r="I15" s="5">
        <v>0.0</v>
      </c>
      <c r="J15" s="26"/>
      <c r="K15" s="26"/>
      <c r="L15" s="26"/>
      <c r="M15" s="26"/>
      <c r="N15" s="5">
        <f t="shared" si="2"/>
        <v>0</v>
      </c>
      <c r="O15" s="28" t="str">
        <f>IFERROR(N15/N$16,"")</f>
        <v/>
      </c>
      <c r="P15" s="5"/>
      <c r="Q15" s="5"/>
      <c r="R15" s="29" t="s">
        <v>34</v>
      </c>
      <c r="S15" s="30">
        <v>0.0</v>
      </c>
      <c r="T15" s="31">
        <v>0.05</v>
      </c>
      <c r="U15" s="26">
        <f t="shared" ref="U15:AF15" si="10">IF($R15="Manual","",IFERROR(IF($R15="YOY Growth",$N15*(1+$T15)/12,$S15/12),""))</f>
        <v>0</v>
      </c>
      <c r="V15" s="26">
        <f t="shared" si="10"/>
        <v>0</v>
      </c>
      <c r="W15" s="26">
        <f t="shared" si="10"/>
        <v>0</v>
      </c>
      <c r="X15" s="26">
        <f t="shared" si="10"/>
        <v>0</v>
      </c>
      <c r="Y15" s="26">
        <f t="shared" si="10"/>
        <v>0</v>
      </c>
      <c r="Z15" s="26">
        <f t="shared" si="10"/>
        <v>0</v>
      </c>
      <c r="AA15" s="26">
        <f t="shared" si="10"/>
        <v>0</v>
      </c>
      <c r="AB15" s="26">
        <f t="shared" si="10"/>
        <v>0</v>
      </c>
      <c r="AC15" s="26">
        <f t="shared" si="10"/>
        <v>0</v>
      </c>
      <c r="AD15" s="26">
        <f t="shared" si="10"/>
        <v>0</v>
      </c>
      <c r="AE15" s="26">
        <f t="shared" si="10"/>
        <v>0</v>
      </c>
      <c r="AF15" s="26">
        <f t="shared" si="10"/>
        <v>0</v>
      </c>
      <c r="AG15" s="5">
        <f t="shared" si="5"/>
        <v>0</v>
      </c>
      <c r="AH15" s="28" t="str">
        <f>IFERROR(AG15/AG$16,"")</f>
        <v/>
      </c>
      <c r="AI15" s="4"/>
      <c r="AJ15" s="5">
        <f t="shared" si="7"/>
        <v>0</v>
      </c>
    </row>
    <row r="16" ht="13.5" customHeight="1">
      <c r="A16" s="33" t="s">
        <v>38</v>
      </c>
      <c r="B16" s="34">
        <f t="shared" ref="B16:M16" si="11">B14+B15</f>
        <v>0</v>
      </c>
      <c r="C16" s="34">
        <f t="shared" si="11"/>
        <v>0</v>
      </c>
      <c r="D16" s="34">
        <f t="shared" si="11"/>
        <v>0</v>
      </c>
      <c r="E16" s="34">
        <f t="shared" si="11"/>
        <v>0</v>
      </c>
      <c r="F16" s="34">
        <f t="shared" si="11"/>
        <v>0</v>
      </c>
      <c r="G16" s="34">
        <f t="shared" si="11"/>
        <v>0</v>
      </c>
      <c r="H16" s="34">
        <f t="shared" si="11"/>
        <v>0</v>
      </c>
      <c r="I16" s="34">
        <f t="shared" si="11"/>
        <v>0</v>
      </c>
      <c r="J16" s="34">
        <f t="shared" si="11"/>
        <v>0</v>
      </c>
      <c r="K16" s="34">
        <f t="shared" si="11"/>
        <v>0</v>
      </c>
      <c r="L16" s="34">
        <f t="shared" si="11"/>
        <v>0</v>
      </c>
      <c r="M16" s="34">
        <f t="shared" si="11"/>
        <v>0</v>
      </c>
      <c r="N16" s="34">
        <f t="shared" si="2"/>
        <v>0</v>
      </c>
      <c r="O16" s="35">
        <f>SUM(O14:O15)</f>
        <v>0</v>
      </c>
      <c r="P16" s="5"/>
      <c r="Q16" s="5"/>
      <c r="R16" s="36"/>
      <c r="S16" s="36"/>
      <c r="T16" s="36"/>
      <c r="U16" s="34">
        <f t="shared" ref="U16:AF16" si="12">U14+U15</f>
        <v>0</v>
      </c>
      <c r="V16" s="34">
        <f t="shared" si="12"/>
        <v>0</v>
      </c>
      <c r="W16" s="34">
        <f t="shared" si="12"/>
        <v>0</v>
      </c>
      <c r="X16" s="34">
        <f t="shared" si="12"/>
        <v>0</v>
      </c>
      <c r="Y16" s="34">
        <f t="shared" si="12"/>
        <v>0</v>
      </c>
      <c r="Z16" s="34">
        <f t="shared" si="12"/>
        <v>0</v>
      </c>
      <c r="AA16" s="34">
        <f t="shared" si="12"/>
        <v>0</v>
      </c>
      <c r="AB16" s="34">
        <f t="shared" si="12"/>
        <v>0</v>
      </c>
      <c r="AC16" s="34">
        <f t="shared" si="12"/>
        <v>0</v>
      </c>
      <c r="AD16" s="34">
        <f t="shared" si="12"/>
        <v>0</v>
      </c>
      <c r="AE16" s="34">
        <f t="shared" si="12"/>
        <v>0</v>
      </c>
      <c r="AF16" s="34">
        <f t="shared" si="12"/>
        <v>0</v>
      </c>
      <c r="AG16" s="34">
        <f t="shared" si="5"/>
        <v>0</v>
      </c>
      <c r="AH16" s="35">
        <f>SUM(AH14:AH15)</f>
        <v>0</v>
      </c>
      <c r="AI16" s="4"/>
      <c r="AJ16" s="34">
        <f t="shared" si="7"/>
        <v>0</v>
      </c>
    </row>
    <row r="17" ht="13.5" customHeight="1">
      <c r="A17" s="24" t="s">
        <v>39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28"/>
      <c r="P17" s="5"/>
      <c r="Q17" s="5"/>
      <c r="R17" s="36"/>
      <c r="S17" s="36"/>
      <c r="T17" s="36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28"/>
      <c r="AI17" s="4"/>
      <c r="AJ17" s="5"/>
    </row>
    <row r="18" ht="13.5" customHeight="1">
      <c r="A18" s="24" t="s">
        <v>40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28"/>
      <c r="P18" s="5"/>
      <c r="Q18" s="5"/>
      <c r="R18" s="36"/>
      <c r="S18" s="36"/>
      <c r="T18" s="36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28"/>
      <c r="AI18" s="4"/>
      <c r="AJ18" s="5"/>
    </row>
    <row r="19" ht="13.5" customHeight="1">
      <c r="A19" s="25" t="s">
        <v>41</v>
      </c>
      <c r="B19" s="5">
        <v>0.0</v>
      </c>
      <c r="C19" s="5">
        <v>0.0</v>
      </c>
      <c r="D19" s="5">
        <v>0.0</v>
      </c>
      <c r="E19" s="5">
        <v>0.0</v>
      </c>
      <c r="F19" s="5">
        <v>0.0</v>
      </c>
      <c r="G19" s="5">
        <v>0.0</v>
      </c>
      <c r="H19" s="5">
        <v>0.0</v>
      </c>
      <c r="I19" s="5">
        <v>0.0</v>
      </c>
      <c r="J19" s="26"/>
      <c r="K19" s="26"/>
      <c r="L19" s="26"/>
      <c r="M19" s="26"/>
      <c r="N19" s="5">
        <f t="shared" ref="N19:N22" si="14">SUM(B19:M19)</f>
        <v>0</v>
      </c>
      <c r="O19" s="28" t="str">
        <f t="shared" ref="O19:O22" si="15">IFERROR(N19/N$16,"")</f>
        <v/>
      </c>
      <c r="P19" s="5"/>
      <c r="Q19" s="5"/>
      <c r="R19" s="29" t="s">
        <v>34</v>
      </c>
      <c r="S19" s="30">
        <v>0.0</v>
      </c>
      <c r="T19" s="31">
        <v>0.05</v>
      </c>
      <c r="U19" s="26">
        <f t="shared" ref="U19:AF19" si="13">IF($R19="Manual","",IFERROR(IF($R19="YOY Growth",$N19*(1+$T19)/12,$S19/12),""))</f>
        <v>0</v>
      </c>
      <c r="V19" s="26">
        <f t="shared" si="13"/>
        <v>0</v>
      </c>
      <c r="W19" s="26">
        <f t="shared" si="13"/>
        <v>0</v>
      </c>
      <c r="X19" s="26">
        <f t="shared" si="13"/>
        <v>0</v>
      </c>
      <c r="Y19" s="26">
        <f t="shared" si="13"/>
        <v>0</v>
      </c>
      <c r="Z19" s="26">
        <f t="shared" si="13"/>
        <v>0</v>
      </c>
      <c r="AA19" s="26">
        <f t="shared" si="13"/>
        <v>0</v>
      </c>
      <c r="AB19" s="26">
        <f t="shared" si="13"/>
        <v>0</v>
      </c>
      <c r="AC19" s="26">
        <f t="shared" si="13"/>
        <v>0</v>
      </c>
      <c r="AD19" s="26">
        <f t="shared" si="13"/>
        <v>0</v>
      </c>
      <c r="AE19" s="26">
        <f t="shared" si="13"/>
        <v>0</v>
      </c>
      <c r="AF19" s="26">
        <f t="shared" si="13"/>
        <v>0</v>
      </c>
      <c r="AG19" s="5">
        <f t="shared" ref="AG19:AG22" si="17">SUM(U19:AF19)</f>
        <v>0</v>
      </c>
      <c r="AH19" s="28" t="str">
        <f t="shared" ref="AH19:AH22" si="18">IFERROR(AG19/AG$16,"")</f>
        <v/>
      </c>
      <c r="AI19" s="4"/>
      <c r="AJ19" s="5">
        <f t="shared" ref="AJ19:AJ22" si="19">N19-AG19</f>
        <v>0</v>
      </c>
    </row>
    <row r="20" ht="13.5" customHeight="1">
      <c r="A20" s="25" t="s">
        <v>42</v>
      </c>
      <c r="B20" s="5">
        <v>0.0</v>
      </c>
      <c r="C20" s="5">
        <v>0.0</v>
      </c>
      <c r="D20" s="5">
        <v>0.0</v>
      </c>
      <c r="E20" s="5">
        <v>0.0</v>
      </c>
      <c r="F20" s="5">
        <v>0.0</v>
      </c>
      <c r="G20" s="5">
        <v>0.0</v>
      </c>
      <c r="H20" s="5">
        <v>0.0</v>
      </c>
      <c r="I20" s="5">
        <v>0.0</v>
      </c>
      <c r="J20" s="26"/>
      <c r="K20" s="26"/>
      <c r="L20" s="26"/>
      <c r="M20" s="26"/>
      <c r="N20" s="5">
        <f t="shared" si="14"/>
        <v>0</v>
      </c>
      <c r="O20" s="28" t="str">
        <f t="shared" si="15"/>
        <v/>
      </c>
      <c r="P20" s="5"/>
      <c r="Q20" s="5"/>
      <c r="R20" s="29" t="s">
        <v>34</v>
      </c>
      <c r="S20" s="30">
        <v>0.0</v>
      </c>
      <c r="T20" s="31">
        <v>0.05</v>
      </c>
      <c r="U20" s="26">
        <f t="shared" ref="U20:AF20" si="16">IF($R20="Manual","",IFERROR(IF($R20="YOY Growth",$N20*(1+$T20)/12,$S20/12),""))</f>
        <v>0</v>
      </c>
      <c r="V20" s="26">
        <f t="shared" si="16"/>
        <v>0</v>
      </c>
      <c r="W20" s="26">
        <f t="shared" si="16"/>
        <v>0</v>
      </c>
      <c r="X20" s="26">
        <f t="shared" si="16"/>
        <v>0</v>
      </c>
      <c r="Y20" s="26">
        <f t="shared" si="16"/>
        <v>0</v>
      </c>
      <c r="Z20" s="26">
        <f t="shared" si="16"/>
        <v>0</v>
      </c>
      <c r="AA20" s="26">
        <f t="shared" si="16"/>
        <v>0</v>
      </c>
      <c r="AB20" s="26">
        <f t="shared" si="16"/>
        <v>0</v>
      </c>
      <c r="AC20" s="26">
        <f t="shared" si="16"/>
        <v>0</v>
      </c>
      <c r="AD20" s="26">
        <f t="shared" si="16"/>
        <v>0</v>
      </c>
      <c r="AE20" s="26">
        <f t="shared" si="16"/>
        <v>0</v>
      </c>
      <c r="AF20" s="26">
        <f t="shared" si="16"/>
        <v>0</v>
      </c>
      <c r="AG20" s="5">
        <f t="shared" si="17"/>
        <v>0</v>
      </c>
      <c r="AH20" s="28" t="str">
        <f t="shared" si="18"/>
        <v/>
      </c>
      <c r="AI20" s="4"/>
      <c r="AJ20" s="5">
        <f t="shared" si="19"/>
        <v>0</v>
      </c>
    </row>
    <row r="21" ht="13.5" customHeight="1">
      <c r="A21" s="25" t="s">
        <v>43</v>
      </c>
      <c r="B21" s="5">
        <v>0.0</v>
      </c>
      <c r="C21" s="5">
        <v>0.0</v>
      </c>
      <c r="D21" s="5">
        <v>0.0</v>
      </c>
      <c r="E21" s="5">
        <v>0.0</v>
      </c>
      <c r="F21" s="5">
        <v>0.0</v>
      </c>
      <c r="G21" s="5">
        <v>0.0</v>
      </c>
      <c r="H21" s="5">
        <v>0.0</v>
      </c>
      <c r="I21" s="5">
        <v>0.0</v>
      </c>
      <c r="J21" s="26"/>
      <c r="K21" s="26"/>
      <c r="L21" s="26"/>
      <c r="M21" s="26"/>
      <c r="N21" s="5">
        <f t="shared" si="14"/>
        <v>0</v>
      </c>
      <c r="O21" s="28" t="str">
        <f t="shared" si="15"/>
        <v/>
      </c>
      <c r="P21" s="5"/>
      <c r="Q21" s="5"/>
      <c r="R21" s="29" t="s">
        <v>34</v>
      </c>
      <c r="S21" s="30">
        <v>0.0</v>
      </c>
      <c r="T21" s="31">
        <v>0.05</v>
      </c>
      <c r="U21" s="26">
        <f t="shared" ref="U21:AF21" si="20">IF($R21="Manual","",IFERROR(IF($R21="YOY Growth",$N21*(1+$T21)/12,$S21/12),""))</f>
        <v>0</v>
      </c>
      <c r="V21" s="26">
        <f t="shared" si="20"/>
        <v>0</v>
      </c>
      <c r="W21" s="26">
        <f t="shared" si="20"/>
        <v>0</v>
      </c>
      <c r="X21" s="26">
        <f t="shared" si="20"/>
        <v>0</v>
      </c>
      <c r="Y21" s="26">
        <f t="shared" si="20"/>
        <v>0</v>
      </c>
      <c r="Z21" s="26">
        <f t="shared" si="20"/>
        <v>0</v>
      </c>
      <c r="AA21" s="26">
        <f t="shared" si="20"/>
        <v>0</v>
      </c>
      <c r="AB21" s="26">
        <f t="shared" si="20"/>
        <v>0</v>
      </c>
      <c r="AC21" s="26">
        <f t="shared" si="20"/>
        <v>0</v>
      </c>
      <c r="AD21" s="26">
        <f t="shared" si="20"/>
        <v>0</v>
      </c>
      <c r="AE21" s="26">
        <f t="shared" si="20"/>
        <v>0</v>
      </c>
      <c r="AF21" s="26">
        <f t="shared" si="20"/>
        <v>0</v>
      </c>
      <c r="AG21" s="5">
        <f t="shared" si="17"/>
        <v>0</v>
      </c>
      <c r="AH21" s="28" t="str">
        <f t="shared" si="18"/>
        <v/>
      </c>
      <c r="AI21" s="4"/>
      <c r="AJ21" s="5">
        <f t="shared" si="19"/>
        <v>0</v>
      </c>
    </row>
    <row r="22" ht="13.5" customHeight="1">
      <c r="A22" s="25" t="s">
        <v>44</v>
      </c>
      <c r="B22" s="5">
        <v>0.0</v>
      </c>
      <c r="C22" s="5">
        <v>0.0</v>
      </c>
      <c r="D22" s="5">
        <v>0.0</v>
      </c>
      <c r="E22" s="5">
        <v>0.0</v>
      </c>
      <c r="F22" s="5">
        <v>0.0</v>
      </c>
      <c r="G22" s="5">
        <v>0.0</v>
      </c>
      <c r="H22" s="5">
        <v>0.0</v>
      </c>
      <c r="I22" s="5">
        <v>0.0</v>
      </c>
      <c r="J22" s="26"/>
      <c r="K22" s="26"/>
      <c r="L22" s="26"/>
      <c r="M22" s="26"/>
      <c r="N22" s="5">
        <f t="shared" si="14"/>
        <v>0</v>
      </c>
      <c r="O22" s="28" t="str">
        <f t="shared" si="15"/>
        <v/>
      </c>
      <c r="P22" s="5"/>
      <c r="Q22" s="5"/>
      <c r="R22" s="29" t="s">
        <v>34</v>
      </c>
      <c r="S22" s="30">
        <v>0.0</v>
      </c>
      <c r="T22" s="31">
        <v>0.05</v>
      </c>
      <c r="U22" s="26">
        <f t="shared" ref="U22:AF22" si="21">IF($R22="Manual","",IFERROR(IF($R22="YOY Growth",$N22*(1+$T22)/12,$S22/12),""))</f>
        <v>0</v>
      </c>
      <c r="V22" s="26">
        <f t="shared" si="21"/>
        <v>0</v>
      </c>
      <c r="W22" s="26">
        <f t="shared" si="21"/>
        <v>0</v>
      </c>
      <c r="X22" s="26">
        <f t="shared" si="21"/>
        <v>0</v>
      </c>
      <c r="Y22" s="26">
        <f t="shared" si="21"/>
        <v>0</v>
      </c>
      <c r="Z22" s="26">
        <f t="shared" si="21"/>
        <v>0</v>
      </c>
      <c r="AA22" s="26">
        <f t="shared" si="21"/>
        <v>0</v>
      </c>
      <c r="AB22" s="26">
        <f t="shared" si="21"/>
        <v>0</v>
      </c>
      <c r="AC22" s="26">
        <f t="shared" si="21"/>
        <v>0</v>
      </c>
      <c r="AD22" s="26">
        <f t="shared" si="21"/>
        <v>0</v>
      </c>
      <c r="AE22" s="26">
        <f t="shared" si="21"/>
        <v>0</v>
      </c>
      <c r="AF22" s="26">
        <f t="shared" si="21"/>
        <v>0</v>
      </c>
      <c r="AG22" s="5">
        <f t="shared" si="17"/>
        <v>0</v>
      </c>
      <c r="AH22" s="28" t="str">
        <f t="shared" si="18"/>
        <v/>
      </c>
      <c r="AI22" s="4"/>
      <c r="AJ22" s="5">
        <f t="shared" si="19"/>
        <v>0</v>
      </c>
    </row>
    <row r="23" ht="13.5" customHeight="1">
      <c r="A23" s="24" t="s">
        <v>45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28"/>
      <c r="P23" s="5"/>
      <c r="Q23" s="5"/>
      <c r="R23" s="36"/>
      <c r="S23" s="36"/>
      <c r="T23" s="36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28"/>
      <c r="AI23" s="4"/>
      <c r="AJ23" s="5"/>
    </row>
    <row r="24" ht="13.5" customHeight="1">
      <c r="A24" s="25" t="s">
        <v>45</v>
      </c>
      <c r="B24" s="5">
        <v>0.0</v>
      </c>
      <c r="C24" s="5">
        <v>0.0</v>
      </c>
      <c r="D24" s="5">
        <v>0.0</v>
      </c>
      <c r="E24" s="5">
        <v>0.0</v>
      </c>
      <c r="F24" s="5">
        <v>0.0</v>
      </c>
      <c r="G24" s="5">
        <v>0.0</v>
      </c>
      <c r="H24" s="5">
        <v>0.0</v>
      </c>
      <c r="I24" s="5">
        <v>0.0</v>
      </c>
      <c r="J24" s="27">
        <v>0.0</v>
      </c>
      <c r="K24" s="27">
        <v>0.0</v>
      </c>
      <c r="L24" s="27">
        <v>0.0</v>
      </c>
      <c r="M24" s="27">
        <v>0.0</v>
      </c>
      <c r="N24" s="5">
        <f t="shared" ref="N24:N31" si="23">SUM(B24:M24)</f>
        <v>0</v>
      </c>
      <c r="O24" s="28" t="str">
        <f t="shared" ref="O24:O31" si="24">IFERROR(N24/N$16,"")</f>
        <v/>
      </c>
      <c r="P24" s="5"/>
      <c r="Q24" s="5"/>
      <c r="R24" s="29" t="s">
        <v>34</v>
      </c>
      <c r="S24" s="30">
        <v>0.0</v>
      </c>
      <c r="T24" s="31">
        <v>0.05</v>
      </c>
      <c r="U24" s="26">
        <f t="shared" ref="U24:AF24" si="22">IF($R24="Manual","",IFERROR(IF($R24="YOY Growth",$N24*(1+$T24)/12,$S24/12),""))</f>
        <v>0</v>
      </c>
      <c r="V24" s="26">
        <f t="shared" si="22"/>
        <v>0</v>
      </c>
      <c r="W24" s="26">
        <f t="shared" si="22"/>
        <v>0</v>
      </c>
      <c r="X24" s="26">
        <f t="shared" si="22"/>
        <v>0</v>
      </c>
      <c r="Y24" s="26">
        <f t="shared" si="22"/>
        <v>0</v>
      </c>
      <c r="Z24" s="26">
        <f t="shared" si="22"/>
        <v>0</v>
      </c>
      <c r="AA24" s="26">
        <f t="shared" si="22"/>
        <v>0</v>
      </c>
      <c r="AB24" s="26">
        <f t="shared" si="22"/>
        <v>0</v>
      </c>
      <c r="AC24" s="26">
        <f t="shared" si="22"/>
        <v>0</v>
      </c>
      <c r="AD24" s="26">
        <f t="shared" si="22"/>
        <v>0</v>
      </c>
      <c r="AE24" s="26">
        <f t="shared" si="22"/>
        <v>0</v>
      </c>
      <c r="AF24" s="26">
        <f t="shared" si="22"/>
        <v>0</v>
      </c>
      <c r="AG24" s="5">
        <f t="shared" ref="AG24:AG31" si="26">SUM(U24:AF24)</f>
        <v>0</v>
      </c>
      <c r="AH24" s="28" t="str">
        <f t="shared" ref="AH24:AH31" si="27">IFERROR(AG24/AG$16,"")</f>
        <v/>
      </c>
      <c r="AI24" s="4"/>
      <c r="AJ24" s="5">
        <f t="shared" ref="AJ24:AJ31" si="28">N24-AG24</f>
        <v>0</v>
      </c>
    </row>
    <row r="25" ht="13.5" customHeight="1">
      <c r="A25" s="25" t="s">
        <v>46</v>
      </c>
      <c r="B25" s="5">
        <v>0.0</v>
      </c>
      <c r="C25" s="5">
        <v>0.0</v>
      </c>
      <c r="D25" s="5">
        <v>0.0</v>
      </c>
      <c r="E25" s="5">
        <v>0.0</v>
      </c>
      <c r="F25" s="5">
        <v>0.0</v>
      </c>
      <c r="G25" s="5">
        <v>0.0</v>
      </c>
      <c r="H25" s="5">
        <v>0.0</v>
      </c>
      <c r="I25" s="5">
        <v>0.0</v>
      </c>
      <c r="J25" s="27">
        <v>0.0</v>
      </c>
      <c r="K25" s="27">
        <v>0.0</v>
      </c>
      <c r="L25" s="27">
        <v>0.0</v>
      </c>
      <c r="M25" s="27">
        <v>0.0</v>
      </c>
      <c r="N25" s="5">
        <f t="shared" si="23"/>
        <v>0</v>
      </c>
      <c r="O25" s="28" t="str">
        <f t="shared" si="24"/>
        <v/>
      </c>
      <c r="P25" s="5"/>
      <c r="Q25" s="5"/>
      <c r="R25" s="29" t="s">
        <v>34</v>
      </c>
      <c r="S25" s="30">
        <v>0.0</v>
      </c>
      <c r="T25" s="31">
        <v>0.05</v>
      </c>
      <c r="U25" s="26">
        <f t="shared" ref="U25:AF25" si="25">IF($R25="Manual","",IFERROR(IF($R25="YOY Growth",$N25*(1+$T25)/12,$S25/12),""))</f>
        <v>0</v>
      </c>
      <c r="V25" s="26">
        <f t="shared" si="25"/>
        <v>0</v>
      </c>
      <c r="W25" s="26">
        <f t="shared" si="25"/>
        <v>0</v>
      </c>
      <c r="X25" s="26">
        <f t="shared" si="25"/>
        <v>0</v>
      </c>
      <c r="Y25" s="26">
        <f t="shared" si="25"/>
        <v>0</v>
      </c>
      <c r="Z25" s="26">
        <f t="shared" si="25"/>
        <v>0</v>
      </c>
      <c r="AA25" s="26">
        <f t="shared" si="25"/>
        <v>0</v>
      </c>
      <c r="AB25" s="26">
        <f t="shared" si="25"/>
        <v>0</v>
      </c>
      <c r="AC25" s="26">
        <f t="shared" si="25"/>
        <v>0</v>
      </c>
      <c r="AD25" s="26">
        <f t="shared" si="25"/>
        <v>0</v>
      </c>
      <c r="AE25" s="26">
        <f t="shared" si="25"/>
        <v>0</v>
      </c>
      <c r="AF25" s="26">
        <f t="shared" si="25"/>
        <v>0</v>
      </c>
      <c r="AG25" s="5">
        <f t="shared" si="26"/>
        <v>0</v>
      </c>
      <c r="AH25" s="28" t="str">
        <f t="shared" si="27"/>
        <v/>
      </c>
      <c r="AI25" s="4"/>
      <c r="AJ25" s="5">
        <f t="shared" si="28"/>
        <v>0</v>
      </c>
    </row>
    <row r="26" ht="13.5" customHeight="1">
      <c r="A26" s="25" t="s">
        <v>47</v>
      </c>
      <c r="B26" s="5">
        <v>0.0</v>
      </c>
      <c r="C26" s="5">
        <v>0.0</v>
      </c>
      <c r="D26" s="5">
        <v>0.0</v>
      </c>
      <c r="E26" s="5">
        <v>0.0</v>
      </c>
      <c r="F26" s="5">
        <v>0.0</v>
      </c>
      <c r="G26" s="5">
        <v>0.0</v>
      </c>
      <c r="H26" s="5">
        <v>0.0</v>
      </c>
      <c r="I26" s="5">
        <v>0.0</v>
      </c>
      <c r="J26" s="27">
        <v>0.0</v>
      </c>
      <c r="K26" s="27">
        <v>0.0</v>
      </c>
      <c r="L26" s="27">
        <v>0.0</v>
      </c>
      <c r="M26" s="27">
        <v>0.0</v>
      </c>
      <c r="N26" s="5">
        <f t="shared" si="23"/>
        <v>0</v>
      </c>
      <c r="O26" s="28" t="str">
        <f t="shared" si="24"/>
        <v/>
      </c>
      <c r="P26" s="5"/>
      <c r="Q26" s="5"/>
      <c r="R26" s="29" t="s">
        <v>34</v>
      </c>
      <c r="S26" s="30">
        <v>0.0</v>
      </c>
      <c r="T26" s="31">
        <v>0.05</v>
      </c>
      <c r="U26" s="26">
        <f t="shared" ref="U26:AF26" si="29">IF($R26="Manual","",IFERROR(IF($R26="YOY Growth",$N26*(1+$T26)/12,$S26/12),""))</f>
        <v>0</v>
      </c>
      <c r="V26" s="26">
        <f t="shared" si="29"/>
        <v>0</v>
      </c>
      <c r="W26" s="26">
        <f t="shared" si="29"/>
        <v>0</v>
      </c>
      <c r="X26" s="26">
        <f t="shared" si="29"/>
        <v>0</v>
      </c>
      <c r="Y26" s="26">
        <f t="shared" si="29"/>
        <v>0</v>
      </c>
      <c r="Z26" s="26">
        <f t="shared" si="29"/>
        <v>0</v>
      </c>
      <c r="AA26" s="26">
        <f t="shared" si="29"/>
        <v>0</v>
      </c>
      <c r="AB26" s="26">
        <f t="shared" si="29"/>
        <v>0</v>
      </c>
      <c r="AC26" s="26">
        <f t="shared" si="29"/>
        <v>0</v>
      </c>
      <c r="AD26" s="26">
        <f t="shared" si="29"/>
        <v>0</v>
      </c>
      <c r="AE26" s="26">
        <f t="shared" si="29"/>
        <v>0</v>
      </c>
      <c r="AF26" s="26">
        <f t="shared" si="29"/>
        <v>0</v>
      </c>
      <c r="AG26" s="5">
        <f t="shared" si="26"/>
        <v>0</v>
      </c>
      <c r="AH26" s="28" t="str">
        <f t="shared" si="27"/>
        <v/>
      </c>
      <c r="AI26" s="4"/>
      <c r="AJ26" s="5">
        <f t="shared" si="28"/>
        <v>0</v>
      </c>
    </row>
    <row r="27" ht="13.5" customHeight="1">
      <c r="A27" s="33" t="s">
        <v>48</v>
      </c>
      <c r="B27" s="34">
        <f t="shared" ref="B27:M27" si="30">SUM(B24:B26)</f>
        <v>0</v>
      </c>
      <c r="C27" s="34">
        <f t="shared" si="30"/>
        <v>0</v>
      </c>
      <c r="D27" s="34">
        <f t="shared" si="30"/>
        <v>0</v>
      </c>
      <c r="E27" s="34">
        <f t="shared" si="30"/>
        <v>0</v>
      </c>
      <c r="F27" s="34">
        <f t="shared" si="30"/>
        <v>0</v>
      </c>
      <c r="G27" s="34">
        <f t="shared" si="30"/>
        <v>0</v>
      </c>
      <c r="H27" s="34">
        <f t="shared" si="30"/>
        <v>0</v>
      </c>
      <c r="I27" s="34">
        <f t="shared" si="30"/>
        <v>0</v>
      </c>
      <c r="J27" s="34">
        <f t="shared" si="30"/>
        <v>0</v>
      </c>
      <c r="K27" s="34">
        <f t="shared" si="30"/>
        <v>0</v>
      </c>
      <c r="L27" s="34">
        <f t="shared" si="30"/>
        <v>0</v>
      </c>
      <c r="M27" s="34">
        <f t="shared" si="30"/>
        <v>0</v>
      </c>
      <c r="N27" s="34">
        <f t="shared" si="23"/>
        <v>0</v>
      </c>
      <c r="O27" s="35" t="str">
        <f t="shared" si="24"/>
        <v/>
      </c>
      <c r="P27" s="5"/>
      <c r="Q27" s="5"/>
      <c r="R27" s="36"/>
      <c r="S27" s="36"/>
      <c r="T27" s="36"/>
      <c r="U27" s="34">
        <f t="shared" ref="U27:AF27" si="31">SUM(U24:U26)</f>
        <v>0</v>
      </c>
      <c r="V27" s="34">
        <f t="shared" si="31"/>
        <v>0</v>
      </c>
      <c r="W27" s="34">
        <f t="shared" si="31"/>
        <v>0</v>
      </c>
      <c r="X27" s="34">
        <f t="shared" si="31"/>
        <v>0</v>
      </c>
      <c r="Y27" s="34">
        <f t="shared" si="31"/>
        <v>0</v>
      </c>
      <c r="Z27" s="34">
        <f t="shared" si="31"/>
        <v>0</v>
      </c>
      <c r="AA27" s="34">
        <f t="shared" si="31"/>
        <v>0</v>
      </c>
      <c r="AB27" s="34">
        <f t="shared" si="31"/>
        <v>0</v>
      </c>
      <c r="AC27" s="34">
        <f t="shared" si="31"/>
        <v>0</v>
      </c>
      <c r="AD27" s="34">
        <f t="shared" si="31"/>
        <v>0</v>
      </c>
      <c r="AE27" s="34">
        <f t="shared" si="31"/>
        <v>0</v>
      </c>
      <c r="AF27" s="34">
        <f t="shared" si="31"/>
        <v>0</v>
      </c>
      <c r="AG27" s="34">
        <f t="shared" si="26"/>
        <v>0</v>
      </c>
      <c r="AH27" s="35" t="str">
        <f t="shared" si="27"/>
        <v/>
      </c>
      <c r="AI27" s="4"/>
      <c r="AJ27" s="34">
        <f t="shared" si="28"/>
        <v>0</v>
      </c>
    </row>
    <row r="28" ht="13.5" customHeight="1">
      <c r="A28" s="25" t="s">
        <v>49</v>
      </c>
      <c r="B28" s="5">
        <v>0.0</v>
      </c>
      <c r="C28" s="5">
        <v>0.0</v>
      </c>
      <c r="D28" s="5">
        <v>0.0</v>
      </c>
      <c r="E28" s="5">
        <v>0.0</v>
      </c>
      <c r="F28" s="5">
        <v>0.0</v>
      </c>
      <c r="G28" s="5">
        <v>0.0</v>
      </c>
      <c r="H28" s="5">
        <v>0.0</v>
      </c>
      <c r="I28" s="5">
        <v>0.0</v>
      </c>
      <c r="J28" s="27">
        <v>0.0</v>
      </c>
      <c r="K28" s="27">
        <v>0.0</v>
      </c>
      <c r="L28" s="27">
        <v>0.0</v>
      </c>
      <c r="M28" s="27">
        <v>0.0</v>
      </c>
      <c r="N28" s="5">
        <f t="shared" si="23"/>
        <v>0</v>
      </c>
      <c r="O28" s="28" t="str">
        <f t="shared" si="24"/>
        <v/>
      </c>
      <c r="P28" s="5"/>
      <c r="Q28" s="5"/>
      <c r="R28" s="29" t="s">
        <v>34</v>
      </c>
      <c r="S28" s="30">
        <v>0.0</v>
      </c>
      <c r="T28" s="31">
        <v>0.05</v>
      </c>
      <c r="U28" s="26">
        <f t="shared" ref="U28:AF28" si="32">IF($R28="Manual","",IFERROR(IF($R28="YOY Growth",$N28*(1+$T28)/12,$S28/12),""))</f>
        <v>0</v>
      </c>
      <c r="V28" s="26">
        <f t="shared" si="32"/>
        <v>0</v>
      </c>
      <c r="W28" s="26">
        <f t="shared" si="32"/>
        <v>0</v>
      </c>
      <c r="X28" s="26">
        <f t="shared" si="32"/>
        <v>0</v>
      </c>
      <c r="Y28" s="26">
        <f t="shared" si="32"/>
        <v>0</v>
      </c>
      <c r="Z28" s="26">
        <f t="shared" si="32"/>
        <v>0</v>
      </c>
      <c r="AA28" s="26">
        <f t="shared" si="32"/>
        <v>0</v>
      </c>
      <c r="AB28" s="26">
        <f t="shared" si="32"/>
        <v>0</v>
      </c>
      <c r="AC28" s="26">
        <f t="shared" si="32"/>
        <v>0</v>
      </c>
      <c r="AD28" s="26">
        <f t="shared" si="32"/>
        <v>0</v>
      </c>
      <c r="AE28" s="26">
        <f t="shared" si="32"/>
        <v>0</v>
      </c>
      <c r="AF28" s="26">
        <f t="shared" si="32"/>
        <v>0</v>
      </c>
      <c r="AG28" s="5">
        <f t="shared" si="26"/>
        <v>0</v>
      </c>
      <c r="AH28" s="28" t="str">
        <f t="shared" si="27"/>
        <v/>
      </c>
      <c r="AI28" s="4"/>
      <c r="AJ28" s="5">
        <f t="shared" si="28"/>
        <v>0</v>
      </c>
    </row>
    <row r="29" ht="13.5" customHeight="1">
      <c r="A29" s="25" t="s">
        <v>51</v>
      </c>
      <c r="B29" s="5">
        <v>0.0</v>
      </c>
      <c r="C29" s="5">
        <v>2542.81</v>
      </c>
      <c r="D29" s="5">
        <v>0.0</v>
      </c>
      <c r="E29" s="5">
        <v>0.0</v>
      </c>
      <c r="F29" s="5">
        <v>0.0</v>
      </c>
      <c r="G29" s="5">
        <v>0.0</v>
      </c>
      <c r="H29" s="5">
        <v>0.0</v>
      </c>
      <c r="I29" s="5">
        <v>0.0</v>
      </c>
      <c r="J29" s="27">
        <v>0.0</v>
      </c>
      <c r="K29" s="27">
        <v>0.0</v>
      </c>
      <c r="L29" s="27">
        <v>0.0</v>
      </c>
      <c r="M29" s="27">
        <v>0.0</v>
      </c>
      <c r="N29" s="5">
        <f t="shared" si="23"/>
        <v>2542.81</v>
      </c>
      <c r="O29" s="28" t="str">
        <f t="shared" si="24"/>
        <v/>
      </c>
      <c r="P29" s="5"/>
      <c r="Q29" s="5"/>
      <c r="R29" s="29" t="s">
        <v>34</v>
      </c>
      <c r="S29" s="30">
        <v>0.0</v>
      </c>
      <c r="T29" s="31">
        <v>0.05</v>
      </c>
      <c r="U29" s="26">
        <f t="shared" ref="U29:AF29" si="33">IF($R29="Manual","",IFERROR(IF($R29="YOY Growth",$N29*(1+$T29)/12,$S29/12),""))</f>
        <v>0</v>
      </c>
      <c r="V29" s="26">
        <f t="shared" si="33"/>
        <v>0</v>
      </c>
      <c r="W29" s="26">
        <f t="shared" si="33"/>
        <v>0</v>
      </c>
      <c r="X29" s="26">
        <f t="shared" si="33"/>
        <v>0</v>
      </c>
      <c r="Y29" s="26">
        <f t="shared" si="33"/>
        <v>0</v>
      </c>
      <c r="Z29" s="26">
        <f t="shared" si="33"/>
        <v>0</v>
      </c>
      <c r="AA29" s="26">
        <f t="shared" si="33"/>
        <v>0</v>
      </c>
      <c r="AB29" s="26">
        <f t="shared" si="33"/>
        <v>0</v>
      </c>
      <c r="AC29" s="26">
        <f t="shared" si="33"/>
        <v>0</v>
      </c>
      <c r="AD29" s="26">
        <f t="shared" si="33"/>
        <v>0</v>
      </c>
      <c r="AE29" s="26">
        <f t="shared" si="33"/>
        <v>0</v>
      </c>
      <c r="AF29" s="26">
        <f t="shared" si="33"/>
        <v>0</v>
      </c>
      <c r="AG29" s="5">
        <f t="shared" si="26"/>
        <v>0</v>
      </c>
      <c r="AH29" s="28" t="str">
        <f t="shared" si="27"/>
        <v/>
      </c>
      <c r="AI29" s="4"/>
      <c r="AJ29" s="5">
        <f t="shared" si="28"/>
        <v>2542.81</v>
      </c>
    </row>
    <row r="30" ht="13.5" customHeight="1">
      <c r="A30" s="25" t="s">
        <v>53</v>
      </c>
      <c r="B30" s="5">
        <v>290.38</v>
      </c>
      <c r="C30" s="5">
        <v>1333.96</v>
      </c>
      <c r="D30" s="5">
        <v>0.0</v>
      </c>
      <c r="E30" s="5">
        <v>0.0</v>
      </c>
      <c r="F30" s="5">
        <v>0.0</v>
      </c>
      <c r="G30" s="5">
        <v>1287.37</v>
      </c>
      <c r="H30" s="5">
        <v>928.46</v>
      </c>
      <c r="I30" s="5">
        <v>734.17</v>
      </c>
      <c r="J30" s="27">
        <v>0.0</v>
      </c>
      <c r="K30" s="27">
        <v>0.0</v>
      </c>
      <c r="L30" s="27">
        <v>0.0</v>
      </c>
      <c r="M30" s="27">
        <v>0.0</v>
      </c>
      <c r="N30" s="5">
        <f t="shared" si="23"/>
        <v>4574.34</v>
      </c>
      <c r="O30" s="28" t="str">
        <f t="shared" si="24"/>
        <v/>
      </c>
      <c r="P30" s="5"/>
      <c r="Q30" s="5"/>
      <c r="R30" s="29" t="s">
        <v>34</v>
      </c>
      <c r="S30" s="30">
        <v>0.0</v>
      </c>
      <c r="T30" s="31">
        <v>0.05</v>
      </c>
      <c r="U30" s="26">
        <f t="shared" ref="U30:AF30" si="34">IF($R30="Manual","",IFERROR(IF($R30="YOY Growth",$N30*(1+$T30)/12,$S30/12),""))</f>
        <v>0</v>
      </c>
      <c r="V30" s="26">
        <f t="shared" si="34"/>
        <v>0</v>
      </c>
      <c r="W30" s="26">
        <f t="shared" si="34"/>
        <v>0</v>
      </c>
      <c r="X30" s="26">
        <f t="shared" si="34"/>
        <v>0</v>
      </c>
      <c r="Y30" s="26">
        <f t="shared" si="34"/>
        <v>0</v>
      </c>
      <c r="Z30" s="26">
        <f t="shared" si="34"/>
        <v>0</v>
      </c>
      <c r="AA30" s="26">
        <f t="shared" si="34"/>
        <v>0</v>
      </c>
      <c r="AB30" s="26">
        <f t="shared" si="34"/>
        <v>0</v>
      </c>
      <c r="AC30" s="26">
        <f t="shared" si="34"/>
        <v>0</v>
      </c>
      <c r="AD30" s="26">
        <f t="shared" si="34"/>
        <v>0</v>
      </c>
      <c r="AE30" s="26">
        <f t="shared" si="34"/>
        <v>0</v>
      </c>
      <c r="AF30" s="26">
        <f t="shared" si="34"/>
        <v>0</v>
      </c>
      <c r="AG30" s="5">
        <f t="shared" si="26"/>
        <v>0</v>
      </c>
      <c r="AH30" s="28" t="str">
        <f t="shared" si="27"/>
        <v/>
      </c>
      <c r="AI30" s="4"/>
      <c r="AJ30" s="5">
        <f t="shared" si="28"/>
        <v>4574.34</v>
      </c>
    </row>
    <row r="31" ht="13.5" customHeight="1">
      <c r="A31" s="25" t="s">
        <v>54</v>
      </c>
      <c r="B31" s="5">
        <v>12.4</v>
      </c>
      <c r="C31" s="5">
        <v>232.07</v>
      </c>
      <c r="D31" s="5">
        <v>0.0</v>
      </c>
      <c r="E31" s="5">
        <v>0.0</v>
      </c>
      <c r="F31" s="5">
        <v>0.0</v>
      </c>
      <c r="G31" s="5">
        <v>0.0</v>
      </c>
      <c r="H31" s="5">
        <v>165.51</v>
      </c>
      <c r="I31" s="5">
        <v>118.67</v>
      </c>
      <c r="J31" s="27">
        <v>0.0</v>
      </c>
      <c r="K31" s="27">
        <v>0.0</v>
      </c>
      <c r="L31" s="27">
        <v>0.0</v>
      </c>
      <c r="M31" s="27">
        <v>0.0</v>
      </c>
      <c r="N31" s="5">
        <f t="shared" si="23"/>
        <v>528.65</v>
      </c>
      <c r="O31" s="28" t="str">
        <f t="shared" si="24"/>
        <v/>
      </c>
      <c r="P31" s="5"/>
      <c r="Q31" s="5"/>
      <c r="R31" s="29" t="s">
        <v>34</v>
      </c>
      <c r="S31" s="30">
        <v>0.0</v>
      </c>
      <c r="T31" s="31">
        <v>0.05</v>
      </c>
      <c r="U31" s="26">
        <f t="shared" ref="U31:AF31" si="35">IF($R31="Manual","",IFERROR(IF($R31="YOY Growth",$N31*(1+$T31)/12,$S31/12),""))</f>
        <v>0</v>
      </c>
      <c r="V31" s="26">
        <f t="shared" si="35"/>
        <v>0</v>
      </c>
      <c r="W31" s="26">
        <f t="shared" si="35"/>
        <v>0</v>
      </c>
      <c r="X31" s="26">
        <f t="shared" si="35"/>
        <v>0</v>
      </c>
      <c r="Y31" s="26">
        <f t="shared" si="35"/>
        <v>0</v>
      </c>
      <c r="Z31" s="26">
        <f t="shared" si="35"/>
        <v>0</v>
      </c>
      <c r="AA31" s="26">
        <f t="shared" si="35"/>
        <v>0</v>
      </c>
      <c r="AB31" s="26">
        <f t="shared" si="35"/>
        <v>0</v>
      </c>
      <c r="AC31" s="26">
        <f t="shared" si="35"/>
        <v>0</v>
      </c>
      <c r="AD31" s="26">
        <f t="shared" si="35"/>
        <v>0</v>
      </c>
      <c r="AE31" s="26">
        <f t="shared" si="35"/>
        <v>0</v>
      </c>
      <c r="AF31" s="26">
        <f t="shared" si="35"/>
        <v>0</v>
      </c>
      <c r="AG31" s="5">
        <f t="shared" si="26"/>
        <v>0</v>
      </c>
      <c r="AH31" s="28" t="str">
        <f t="shared" si="27"/>
        <v/>
      </c>
      <c r="AI31" s="4"/>
      <c r="AJ31" s="5">
        <f t="shared" si="28"/>
        <v>528.65</v>
      </c>
    </row>
    <row r="32" ht="13.5" customHeight="1">
      <c r="A32" s="24" t="s">
        <v>55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28"/>
      <c r="P32" s="5"/>
      <c r="Q32" s="5"/>
      <c r="R32" s="36"/>
      <c r="S32" s="36"/>
      <c r="T32" s="36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28"/>
      <c r="AI32" s="4"/>
      <c r="AJ32" s="5"/>
    </row>
    <row r="33" ht="13.5" customHeight="1">
      <c r="A33" s="25" t="s">
        <v>56</v>
      </c>
      <c r="B33" s="5">
        <v>0.0</v>
      </c>
      <c r="C33" s="5">
        <v>0.0</v>
      </c>
      <c r="D33" s="5">
        <v>0.0</v>
      </c>
      <c r="E33" s="5">
        <v>0.0</v>
      </c>
      <c r="F33" s="5">
        <v>0.0</v>
      </c>
      <c r="G33" s="5">
        <v>0.0</v>
      </c>
      <c r="H33" s="5">
        <v>0.0</v>
      </c>
      <c r="I33" s="5">
        <v>0.0</v>
      </c>
      <c r="J33" s="27">
        <v>0.0</v>
      </c>
      <c r="K33" s="27">
        <v>0.0</v>
      </c>
      <c r="L33" s="27">
        <v>0.0</v>
      </c>
      <c r="M33" s="27">
        <v>0.0</v>
      </c>
      <c r="N33" s="5">
        <f t="shared" ref="N33:N42" si="36">SUM(B33:M33)</f>
        <v>0</v>
      </c>
      <c r="O33" s="28" t="str">
        <f t="shared" ref="O33:O42" si="37">IFERROR(N33/N$16,"")</f>
        <v/>
      </c>
      <c r="P33" s="5"/>
      <c r="Q33" s="5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5">
        <f t="shared" ref="AG33:AG42" si="38">SUM(U33:AF33)</f>
        <v>0</v>
      </c>
      <c r="AH33" s="28" t="str">
        <f t="shared" ref="AH33:AH42" si="39">IFERROR(AG33/AG$16,"")</f>
        <v/>
      </c>
      <c r="AI33" s="4"/>
      <c r="AJ33" s="5">
        <f t="shared" ref="AJ33:AJ42" si="40">N33-AG33</f>
        <v>0</v>
      </c>
    </row>
    <row r="34" ht="13.5" customHeight="1">
      <c r="A34" s="25" t="s">
        <v>57</v>
      </c>
      <c r="B34" s="5">
        <v>0.0</v>
      </c>
      <c r="C34" s="5">
        <v>-222.48</v>
      </c>
      <c r="D34" s="5">
        <v>0.0</v>
      </c>
      <c r="E34" s="5">
        <v>0.0</v>
      </c>
      <c r="F34" s="5">
        <v>0.0</v>
      </c>
      <c r="G34" s="5">
        <v>0.0</v>
      </c>
      <c r="H34" s="5">
        <v>0.0</v>
      </c>
      <c r="I34" s="5">
        <v>0.0</v>
      </c>
      <c r="J34" s="27">
        <v>0.0</v>
      </c>
      <c r="K34" s="27">
        <v>0.0</v>
      </c>
      <c r="L34" s="27">
        <v>0.0</v>
      </c>
      <c r="M34" s="27">
        <v>0.0</v>
      </c>
      <c r="N34" s="5">
        <f t="shared" si="36"/>
        <v>-222.48</v>
      </c>
      <c r="O34" s="28" t="str">
        <f t="shared" si="37"/>
        <v/>
      </c>
      <c r="P34" s="5"/>
      <c r="Q34" s="5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5">
        <f t="shared" si="38"/>
        <v>0</v>
      </c>
      <c r="AH34" s="28" t="str">
        <f t="shared" si="39"/>
        <v/>
      </c>
      <c r="AI34" s="4"/>
      <c r="AJ34" s="5">
        <f t="shared" si="40"/>
        <v>-222.48</v>
      </c>
    </row>
    <row r="35" ht="13.5" customHeight="1">
      <c r="A35" s="25" t="s">
        <v>58</v>
      </c>
      <c r="B35" s="5">
        <v>0.0</v>
      </c>
      <c r="C35" s="5">
        <v>0.0</v>
      </c>
      <c r="D35" s="5">
        <v>0.0</v>
      </c>
      <c r="E35" s="5">
        <v>0.0</v>
      </c>
      <c r="F35" s="5">
        <v>0.0</v>
      </c>
      <c r="G35" s="5">
        <v>0.0</v>
      </c>
      <c r="H35" s="5">
        <v>0.0</v>
      </c>
      <c r="I35" s="5">
        <v>0.0</v>
      </c>
      <c r="J35" s="27">
        <v>0.0</v>
      </c>
      <c r="K35" s="27">
        <v>0.0</v>
      </c>
      <c r="L35" s="27">
        <v>0.0</v>
      </c>
      <c r="M35" s="27">
        <v>0.0</v>
      </c>
      <c r="N35" s="5">
        <f t="shared" si="36"/>
        <v>0</v>
      </c>
      <c r="O35" s="28" t="str">
        <f t="shared" si="37"/>
        <v/>
      </c>
      <c r="P35" s="5"/>
      <c r="Q35" s="5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5">
        <f t="shared" si="38"/>
        <v>0</v>
      </c>
      <c r="AH35" s="28" t="str">
        <f t="shared" si="39"/>
        <v/>
      </c>
      <c r="AI35" s="4"/>
      <c r="AJ35" s="5">
        <f t="shared" si="40"/>
        <v>0</v>
      </c>
    </row>
    <row r="36" ht="13.5" customHeight="1">
      <c r="A36" s="33" t="s">
        <v>59</v>
      </c>
      <c r="B36" s="34">
        <f t="shared" ref="B36:M36" si="41">SUM(B33:B35)</f>
        <v>0</v>
      </c>
      <c r="C36" s="34">
        <f t="shared" si="41"/>
        <v>-222.48</v>
      </c>
      <c r="D36" s="34">
        <f t="shared" si="41"/>
        <v>0</v>
      </c>
      <c r="E36" s="34">
        <f t="shared" si="41"/>
        <v>0</v>
      </c>
      <c r="F36" s="34">
        <f t="shared" si="41"/>
        <v>0</v>
      </c>
      <c r="G36" s="34">
        <f t="shared" si="41"/>
        <v>0</v>
      </c>
      <c r="H36" s="34">
        <f t="shared" si="41"/>
        <v>0</v>
      </c>
      <c r="I36" s="34">
        <f t="shared" si="41"/>
        <v>0</v>
      </c>
      <c r="J36" s="34">
        <f t="shared" si="41"/>
        <v>0</v>
      </c>
      <c r="K36" s="34">
        <f t="shared" si="41"/>
        <v>0</v>
      </c>
      <c r="L36" s="34">
        <f t="shared" si="41"/>
        <v>0</v>
      </c>
      <c r="M36" s="34">
        <f t="shared" si="41"/>
        <v>0</v>
      </c>
      <c r="N36" s="34">
        <f t="shared" si="36"/>
        <v>-222.48</v>
      </c>
      <c r="O36" s="35" t="str">
        <f t="shared" si="37"/>
        <v/>
      </c>
      <c r="P36" s="5"/>
      <c r="Q36" s="5"/>
      <c r="R36" s="36"/>
      <c r="S36" s="36"/>
      <c r="T36" s="36"/>
      <c r="U36" s="34">
        <f t="shared" ref="U36:AF36" si="42">SUM(U33:U35)</f>
        <v>0</v>
      </c>
      <c r="V36" s="34">
        <f t="shared" si="42"/>
        <v>0</v>
      </c>
      <c r="W36" s="34">
        <f t="shared" si="42"/>
        <v>0</v>
      </c>
      <c r="X36" s="34">
        <f t="shared" si="42"/>
        <v>0</v>
      </c>
      <c r="Y36" s="34">
        <f t="shared" si="42"/>
        <v>0</v>
      </c>
      <c r="Z36" s="34">
        <f t="shared" si="42"/>
        <v>0</v>
      </c>
      <c r="AA36" s="34">
        <f t="shared" si="42"/>
        <v>0</v>
      </c>
      <c r="AB36" s="34">
        <f t="shared" si="42"/>
        <v>0</v>
      </c>
      <c r="AC36" s="34">
        <f t="shared" si="42"/>
        <v>0</v>
      </c>
      <c r="AD36" s="34">
        <f t="shared" si="42"/>
        <v>0</v>
      </c>
      <c r="AE36" s="34">
        <f t="shared" si="42"/>
        <v>0</v>
      </c>
      <c r="AF36" s="34">
        <f t="shared" si="42"/>
        <v>0</v>
      </c>
      <c r="AG36" s="34">
        <f t="shared" si="38"/>
        <v>0</v>
      </c>
      <c r="AH36" s="35" t="str">
        <f t="shared" si="39"/>
        <v/>
      </c>
      <c r="AI36" s="4"/>
      <c r="AJ36" s="34">
        <f t="shared" si="40"/>
        <v>-222.48</v>
      </c>
    </row>
    <row r="37" ht="13.5" customHeight="1">
      <c r="A37" s="33" t="s">
        <v>60</v>
      </c>
      <c r="B37" s="34">
        <f t="shared" ref="B37:M37" si="43">B19+B22+B27+B28+B29+B30+B31+B36+B20+B21</f>
        <v>302.78</v>
      </c>
      <c r="C37" s="34">
        <f t="shared" si="43"/>
        <v>3886.36</v>
      </c>
      <c r="D37" s="34">
        <f t="shared" si="43"/>
        <v>0</v>
      </c>
      <c r="E37" s="34">
        <f t="shared" si="43"/>
        <v>0</v>
      </c>
      <c r="F37" s="34">
        <f t="shared" si="43"/>
        <v>0</v>
      </c>
      <c r="G37" s="34">
        <f t="shared" si="43"/>
        <v>1287.37</v>
      </c>
      <c r="H37" s="34">
        <f t="shared" si="43"/>
        <v>1093.97</v>
      </c>
      <c r="I37" s="34">
        <f t="shared" si="43"/>
        <v>852.84</v>
      </c>
      <c r="J37" s="34">
        <f t="shared" si="43"/>
        <v>0</v>
      </c>
      <c r="K37" s="34">
        <f t="shared" si="43"/>
        <v>0</v>
      </c>
      <c r="L37" s="34">
        <f t="shared" si="43"/>
        <v>0</v>
      </c>
      <c r="M37" s="34">
        <f t="shared" si="43"/>
        <v>0</v>
      </c>
      <c r="N37" s="34">
        <f t="shared" si="36"/>
        <v>7423.32</v>
      </c>
      <c r="O37" s="35" t="str">
        <f t="shared" si="37"/>
        <v/>
      </c>
      <c r="P37" s="5"/>
      <c r="Q37" s="5"/>
      <c r="R37" s="36"/>
      <c r="S37" s="36"/>
      <c r="T37" s="36"/>
      <c r="U37" s="34">
        <f t="shared" ref="U37:AF37" si="44">U19+U22+U27+U28+U29+U30+U31+U36+U20+U21</f>
        <v>0</v>
      </c>
      <c r="V37" s="34">
        <f t="shared" si="44"/>
        <v>0</v>
      </c>
      <c r="W37" s="34">
        <f t="shared" si="44"/>
        <v>0</v>
      </c>
      <c r="X37" s="34">
        <f t="shared" si="44"/>
        <v>0</v>
      </c>
      <c r="Y37" s="34">
        <f t="shared" si="44"/>
        <v>0</v>
      </c>
      <c r="Z37" s="34">
        <f t="shared" si="44"/>
        <v>0</v>
      </c>
      <c r="AA37" s="34">
        <f t="shared" si="44"/>
        <v>0</v>
      </c>
      <c r="AB37" s="34">
        <f t="shared" si="44"/>
        <v>0</v>
      </c>
      <c r="AC37" s="34">
        <f t="shared" si="44"/>
        <v>0</v>
      </c>
      <c r="AD37" s="34">
        <f t="shared" si="44"/>
        <v>0</v>
      </c>
      <c r="AE37" s="34">
        <f t="shared" si="44"/>
        <v>0</v>
      </c>
      <c r="AF37" s="34">
        <f t="shared" si="44"/>
        <v>0</v>
      </c>
      <c r="AG37" s="34">
        <f t="shared" si="38"/>
        <v>0</v>
      </c>
      <c r="AH37" s="35" t="str">
        <f t="shared" si="39"/>
        <v/>
      </c>
      <c r="AI37" s="4"/>
      <c r="AJ37" s="34">
        <f t="shared" si="40"/>
        <v>7423.32</v>
      </c>
    </row>
    <row r="38" ht="13.5" customHeight="1">
      <c r="A38" s="25" t="s">
        <v>61</v>
      </c>
      <c r="B38" s="5">
        <v>0.0</v>
      </c>
      <c r="C38" s="5">
        <v>0.0</v>
      </c>
      <c r="D38" s="5">
        <v>0.0</v>
      </c>
      <c r="E38" s="5">
        <v>0.0</v>
      </c>
      <c r="F38" s="5">
        <v>0.0</v>
      </c>
      <c r="G38" s="5">
        <v>0.0</v>
      </c>
      <c r="H38" s="5">
        <v>0.0</v>
      </c>
      <c r="I38" s="5">
        <v>0.0</v>
      </c>
      <c r="J38" s="27">
        <v>0.0</v>
      </c>
      <c r="K38" s="27">
        <v>0.0</v>
      </c>
      <c r="L38" s="27">
        <v>0.0</v>
      </c>
      <c r="M38" s="27">
        <v>0.0</v>
      </c>
      <c r="N38" s="5">
        <f t="shared" si="36"/>
        <v>0</v>
      </c>
      <c r="O38" s="28" t="str">
        <f t="shared" si="37"/>
        <v/>
      </c>
      <c r="P38" s="5"/>
      <c r="Q38" s="5"/>
      <c r="R38" s="29" t="s">
        <v>34</v>
      </c>
      <c r="S38" s="30">
        <v>0.0</v>
      </c>
      <c r="T38" s="31">
        <v>0.05</v>
      </c>
      <c r="U38" s="26">
        <f t="shared" ref="U38:AF38" si="45">IF($R38="Manual","",IFERROR(IF($R38="YOY Growth",$N38*(1+$T38)/12,$S38/12),""))</f>
        <v>0</v>
      </c>
      <c r="V38" s="26">
        <f t="shared" si="45"/>
        <v>0</v>
      </c>
      <c r="W38" s="26">
        <f t="shared" si="45"/>
        <v>0</v>
      </c>
      <c r="X38" s="26">
        <f t="shared" si="45"/>
        <v>0</v>
      </c>
      <c r="Y38" s="26">
        <f t="shared" si="45"/>
        <v>0</v>
      </c>
      <c r="Z38" s="26">
        <f t="shared" si="45"/>
        <v>0</v>
      </c>
      <c r="AA38" s="26">
        <f t="shared" si="45"/>
        <v>0</v>
      </c>
      <c r="AB38" s="26">
        <f t="shared" si="45"/>
        <v>0</v>
      </c>
      <c r="AC38" s="26">
        <f t="shared" si="45"/>
        <v>0</v>
      </c>
      <c r="AD38" s="26">
        <f t="shared" si="45"/>
        <v>0</v>
      </c>
      <c r="AE38" s="26">
        <f t="shared" si="45"/>
        <v>0</v>
      </c>
      <c r="AF38" s="26">
        <f t="shared" si="45"/>
        <v>0</v>
      </c>
      <c r="AG38" s="5">
        <f t="shared" si="38"/>
        <v>0</v>
      </c>
      <c r="AH38" s="28" t="str">
        <f t="shared" si="39"/>
        <v/>
      </c>
      <c r="AI38" s="4"/>
      <c r="AJ38" s="5">
        <f t="shared" si="40"/>
        <v>0</v>
      </c>
    </row>
    <row r="39" ht="13.5" customHeight="1">
      <c r="A39" s="25" t="s">
        <v>63</v>
      </c>
      <c r="B39" s="5">
        <v>0.0</v>
      </c>
      <c r="C39" s="5">
        <v>0.0</v>
      </c>
      <c r="D39" s="5">
        <v>0.0</v>
      </c>
      <c r="E39" s="5">
        <v>0.0</v>
      </c>
      <c r="F39" s="5">
        <v>0.0</v>
      </c>
      <c r="G39" s="5">
        <v>0.0</v>
      </c>
      <c r="H39" s="5">
        <v>0.0</v>
      </c>
      <c r="I39" s="5">
        <v>0.0</v>
      </c>
      <c r="J39" s="27">
        <v>0.0</v>
      </c>
      <c r="K39" s="27">
        <v>0.0</v>
      </c>
      <c r="L39" s="27">
        <v>0.0</v>
      </c>
      <c r="M39" s="27">
        <v>0.0</v>
      </c>
      <c r="N39" s="5">
        <f t="shared" si="36"/>
        <v>0</v>
      </c>
      <c r="O39" s="28" t="str">
        <f t="shared" si="37"/>
        <v/>
      </c>
      <c r="P39" s="5"/>
      <c r="Q39" s="5"/>
      <c r="R39" s="29" t="s">
        <v>34</v>
      </c>
      <c r="S39" s="30">
        <v>0.0</v>
      </c>
      <c r="T39" s="31">
        <v>0.05</v>
      </c>
      <c r="U39" s="26">
        <f t="shared" ref="U39:AF39" si="46">IF($R39="Manual","",IFERROR(IF($R39="YOY Growth",$N39*(1+$T39)/12,$S39/12),""))</f>
        <v>0</v>
      </c>
      <c r="V39" s="26">
        <f t="shared" si="46"/>
        <v>0</v>
      </c>
      <c r="W39" s="26">
        <f t="shared" si="46"/>
        <v>0</v>
      </c>
      <c r="X39" s="26">
        <f t="shared" si="46"/>
        <v>0</v>
      </c>
      <c r="Y39" s="26">
        <f t="shared" si="46"/>
        <v>0</v>
      </c>
      <c r="Z39" s="26">
        <f t="shared" si="46"/>
        <v>0</v>
      </c>
      <c r="AA39" s="26">
        <f t="shared" si="46"/>
        <v>0</v>
      </c>
      <c r="AB39" s="26">
        <f t="shared" si="46"/>
        <v>0</v>
      </c>
      <c r="AC39" s="26">
        <f t="shared" si="46"/>
        <v>0</v>
      </c>
      <c r="AD39" s="26">
        <f t="shared" si="46"/>
        <v>0</v>
      </c>
      <c r="AE39" s="26">
        <f t="shared" si="46"/>
        <v>0</v>
      </c>
      <c r="AF39" s="26">
        <f t="shared" si="46"/>
        <v>0</v>
      </c>
      <c r="AG39" s="5">
        <f t="shared" si="38"/>
        <v>0</v>
      </c>
      <c r="AH39" s="28" t="str">
        <f t="shared" si="39"/>
        <v/>
      </c>
      <c r="AI39" s="4"/>
      <c r="AJ39" s="5">
        <f t="shared" si="40"/>
        <v>0</v>
      </c>
    </row>
    <row r="40" ht="13.5" customHeight="1">
      <c r="A40" s="25" t="s">
        <v>65</v>
      </c>
      <c r="B40" s="5">
        <v>0.0</v>
      </c>
      <c r="C40" s="5">
        <v>0.0</v>
      </c>
      <c r="D40" s="5">
        <v>0.0</v>
      </c>
      <c r="E40" s="5">
        <v>0.0</v>
      </c>
      <c r="F40" s="5">
        <v>0.0</v>
      </c>
      <c r="G40" s="5">
        <v>0.0</v>
      </c>
      <c r="H40" s="5">
        <v>0.0</v>
      </c>
      <c r="I40" s="5">
        <v>0.0</v>
      </c>
      <c r="J40" s="27">
        <v>0.0</v>
      </c>
      <c r="K40" s="27">
        <v>0.0</v>
      </c>
      <c r="L40" s="27">
        <v>0.0</v>
      </c>
      <c r="M40" s="27">
        <v>0.0</v>
      </c>
      <c r="N40" s="5">
        <f t="shared" si="36"/>
        <v>0</v>
      </c>
      <c r="O40" s="28" t="str">
        <f t="shared" si="37"/>
        <v/>
      </c>
      <c r="P40" s="5"/>
      <c r="Q40" s="5"/>
      <c r="R40" s="29" t="s">
        <v>34</v>
      </c>
      <c r="S40" s="30">
        <v>0.0</v>
      </c>
      <c r="T40" s="31">
        <v>0.05</v>
      </c>
      <c r="U40" s="26">
        <f t="shared" ref="U40:AF40" si="47">IF($R40="Manual","",IFERROR(IF($R40="YOY Growth",$N40*(1+$T40)/12,$S40/12),""))</f>
        <v>0</v>
      </c>
      <c r="V40" s="26">
        <f t="shared" si="47"/>
        <v>0</v>
      </c>
      <c r="W40" s="26">
        <f t="shared" si="47"/>
        <v>0</v>
      </c>
      <c r="X40" s="26">
        <f t="shared" si="47"/>
        <v>0</v>
      </c>
      <c r="Y40" s="26">
        <f t="shared" si="47"/>
        <v>0</v>
      </c>
      <c r="Z40" s="26">
        <f t="shared" si="47"/>
        <v>0</v>
      </c>
      <c r="AA40" s="26">
        <f t="shared" si="47"/>
        <v>0</v>
      </c>
      <c r="AB40" s="26">
        <f t="shared" si="47"/>
        <v>0</v>
      </c>
      <c r="AC40" s="26">
        <f t="shared" si="47"/>
        <v>0</v>
      </c>
      <c r="AD40" s="26">
        <f t="shared" si="47"/>
        <v>0</v>
      </c>
      <c r="AE40" s="26">
        <f t="shared" si="47"/>
        <v>0</v>
      </c>
      <c r="AF40" s="26">
        <f t="shared" si="47"/>
        <v>0</v>
      </c>
      <c r="AG40" s="5">
        <f t="shared" si="38"/>
        <v>0</v>
      </c>
      <c r="AH40" s="28" t="str">
        <f t="shared" si="39"/>
        <v/>
      </c>
      <c r="AI40" s="4"/>
      <c r="AJ40" s="5">
        <f t="shared" si="40"/>
        <v>0</v>
      </c>
    </row>
    <row r="41" ht="13.5" customHeight="1">
      <c r="A41" s="25" t="s">
        <v>66</v>
      </c>
      <c r="B41" s="5">
        <v>0.0</v>
      </c>
      <c r="C41" s="5">
        <v>0.0</v>
      </c>
      <c r="D41" s="5">
        <v>0.0</v>
      </c>
      <c r="E41" s="5">
        <v>0.0</v>
      </c>
      <c r="F41" s="5">
        <v>0.0</v>
      </c>
      <c r="G41" s="5">
        <v>0.0</v>
      </c>
      <c r="H41" s="5">
        <v>0.0</v>
      </c>
      <c r="I41" s="5">
        <v>0.0</v>
      </c>
      <c r="J41" s="27"/>
      <c r="K41" s="27"/>
      <c r="L41" s="27"/>
      <c r="M41" s="27"/>
      <c r="N41" s="5">
        <f t="shared" si="36"/>
        <v>0</v>
      </c>
      <c r="O41" s="28" t="str">
        <f t="shared" si="37"/>
        <v/>
      </c>
      <c r="P41" s="5"/>
      <c r="Q41" s="5"/>
      <c r="R41" s="29" t="s">
        <v>34</v>
      </c>
      <c r="S41" s="30">
        <v>0.0</v>
      </c>
      <c r="T41" s="31">
        <v>0.05</v>
      </c>
      <c r="U41" s="26">
        <f t="shared" ref="U41:AF41" si="48">IF($R41="Manual","",IFERROR(IF($R41="YOY Growth",$N41*(1+$T41)/12,$S41/12),""))</f>
        <v>0</v>
      </c>
      <c r="V41" s="26">
        <f t="shared" si="48"/>
        <v>0</v>
      </c>
      <c r="W41" s="26">
        <f t="shared" si="48"/>
        <v>0</v>
      </c>
      <c r="X41" s="26">
        <f t="shared" si="48"/>
        <v>0</v>
      </c>
      <c r="Y41" s="26">
        <f t="shared" si="48"/>
        <v>0</v>
      </c>
      <c r="Z41" s="26">
        <f t="shared" si="48"/>
        <v>0</v>
      </c>
      <c r="AA41" s="26">
        <f t="shared" si="48"/>
        <v>0</v>
      </c>
      <c r="AB41" s="26">
        <f t="shared" si="48"/>
        <v>0</v>
      </c>
      <c r="AC41" s="26">
        <f t="shared" si="48"/>
        <v>0</v>
      </c>
      <c r="AD41" s="26">
        <f t="shared" si="48"/>
        <v>0</v>
      </c>
      <c r="AE41" s="26">
        <f t="shared" si="48"/>
        <v>0</v>
      </c>
      <c r="AF41" s="26">
        <f t="shared" si="48"/>
        <v>0</v>
      </c>
      <c r="AG41" s="5">
        <f t="shared" si="38"/>
        <v>0</v>
      </c>
      <c r="AH41" s="28" t="str">
        <f t="shared" si="39"/>
        <v/>
      </c>
      <c r="AI41" s="4"/>
      <c r="AJ41" s="5">
        <f t="shared" si="40"/>
        <v>0</v>
      </c>
    </row>
    <row r="42" ht="13.5" customHeight="1">
      <c r="A42" s="25" t="s">
        <v>67</v>
      </c>
      <c r="B42" s="5">
        <v>0.0</v>
      </c>
      <c r="C42" s="5">
        <v>0.0</v>
      </c>
      <c r="D42" s="5">
        <v>0.0</v>
      </c>
      <c r="E42" s="5">
        <v>0.0</v>
      </c>
      <c r="F42" s="5">
        <v>0.0</v>
      </c>
      <c r="G42" s="5">
        <v>0.0</v>
      </c>
      <c r="H42" s="5">
        <v>0.0</v>
      </c>
      <c r="I42" s="5">
        <v>0.0</v>
      </c>
      <c r="J42" s="27">
        <v>0.0</v>
      </c>
      <c r="K42" s="27">
        <v>0.0</v>
      </c>
      <c r="L42" s="27">
        <v>0.0</v>
      </c>
      <c r="M42" s="27">
        <v>0.0</v>
      </c>
      <c r="N42" s="5">
        <f t="shared" si="36"/>
        <v>0</v>
      </c>
      <c r="O42" s="28" t="str">
        <f t="shared" si="37"/>
        <v/>
      </c>
      <c r="P42" s="5"/>
      <c r="Q42" s="5"/>
      <c r="R42" s="29" t="s">
        <v>34</v>
      </c>
      <c r="S42" s="30">
        <v>0.0</v>
      </c>
      <c r="T42" s="31">
        <v>0.05</v>
      </c>
      <c r="U42" s="26">
        <f t="shared" ref="U42:AF42" si="49">IF($R42="Manual","",IFERROR(IF($R42="YOY Growth",$N42*(1+$T42)/12,$S42/12),""))</f>
        <v>0</v>
      </c>
      <c r="V42" s="26">
        <f t="shared" si="49"/>
        <v>0</v>
      </c>
      <c r="W42" s="26">
        <f t="shared" si="49"/>
        <v>0</v>
      </c>
      <c r="X42" s="26">
        <f t="shared" si="49"/>
        <v>0</v>
      </c>
      <c r="Y42" s="26">
        <f t="shared" si="49"/>
        <v>0</v>
      </c>
      <c r="Z42" s="26">
        <f t="shared" si="49"/>
        <v>0</v>
      </c>
      <c r="AA42" s="26">
        <f t="shared" si="49"/>
        <v>0</v>
      </c>
      <c r="AB42" s="26">
        <f t="shared" si="49"/>
        <v>0</v>
      </c>
      <c r="AC42" s="26">
        <f t="shared" si="49"/>
        <v>0</v>
      </c>
      <c r="AD42" s="26">
        <f t="shared" si="49"/>
        <v>0</v>
      </c>
      <c r="AE42" s="26">
        <f t="shared" si="49"/>
        <v>0</v>
      </c>
      <c r="AF42" s="26">
        <f t="shared" si="49"/>
        <v>0</v>
      </c>
      <c r="AG42" s="5">
        <f t="shared" si="38"/>
        <v>0</v>
      </c>
      <c r="AH42" s="28" t="str">
        <f t="shared" si="39"/>
        <v/>
      </c>
      <c r="AI42" s="4"/>
      <c r="AJ42" s="5">
        <f t="shared" si="40"/>
        <v>0</v>
      </c>
    </row>
    <row r="43" ht="13.5" customHeight="1">
      <c r="A43" s="24" t="s">
        <v>68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28"/>
      <c r="P43" s="5"/>
      <c r="Q43" s="5"/>
      <c r="R43" s="36"/>
      <c r="S43" s="36"/>
      <c r="T43" s="36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28"/>
      <c r="AI43" s="4"/>
      <c r="AJ43" s="5"/>
    </row>
    <row r="44" ht="13.5" customHeight="1">
      <c r="A44" s="25" t="s">
        <v>69</v>
      </c>
      <c r="B44" s="5">
        <v>0.0</v>
      </c>
      <c r="C44" s="5">
        <v>0.0</v>
      </c>
      <c r="D44" s="5">
        <v>0.0</v>
      </c>
      <c r="E44" s="5">
        <v>0.0</v>
      </c>
      <c r="F44" s="5">
        <v>0.0</v>
      </c>
      <c r="G44" s="5">
        <v>0.0</v>
      </c>
      <c r="H44" s="5">
        <v>0.0</v>
      </c>
      <c r="I44" s="5">
        <v>0.0</v>
      </c>
      <c r="J44" s="27">
        <v>0.0</v>
      </c>
      <c r="K44" s="27">
        <v>0.0</v>
      </c>
      <c r="L44" s="27">
        <v>0.0</v>
      </c>
      <c r="M44" s="27">
        <v>0.0</v>
      </c>
      <c r="N44" s="5">
        <f t="shared" ref="N44:N50" si="51">SUM(B44:M44)</f>
        <v>0</v>
      </c>
      <c r="O44" s="28" t="str">
        <f t="shared" ref="O44:O50" si="52">IFERROR(N44/N$16,"")</f>
        <v/>
      </c>
      <c r="P44" s="5"/>
      <c r="Q44" s="5"/>
      <c r="R44" s="29" t="s">
        <v>34</v>
      </c>
      <c r="S44" s="30">
        <v>0.0</v>
      </c>
      <c r="T44" s="31">
        <v>0.05</v>
      </c>
      <c r="U44" s="26">
        <f t="shared" ref="U44:AF44" si="50">IF($R44="Manual","",IFERROR(IF($R44="YOY Growth",$N44*(1+$T44)/12,$S44/12),""))</f>
        <v>0</v>
      </c>
      <c r="V44" s="26">
        <f t="shared" si="50"/>
        <v>0</v>
      </c>
      <c r="W44" s="26">
        <f t="shared" si="50"/>
        <v>0</v>
      </c>
      <c r="X44" s="26">
        <f t="shared" si="50"/>
        <v>0</v>
      </c>
      <c r="Y44" s="26">
        <f t="shared" si="50"/>
        <v>0</v>
      </c>
      <c r="Z44" s="26">
        <f t="shared" si="50"/>
        <v>0</v>
      </c>
      <c r="AA44" s="26">
        <f t="shared" si="50"/>
        <v>0</v>
      </c>
      <c r="AB44" s="26">
        <f t="shared" si="50"/>
        <v>0</v>
      </c>
      <c r="AC44" s="26">
        <f t="shared" si="50"/>
        <v>0</v>
      </c>
      <c r="AD44" s="26">
        <f t="shared" si="50"/>
        <v>0</v>
      </c>
      <c r="AE44" s="26">
        <f t="shared" si="50"/>
        <v>0</v>
      </c>
      <c r="AF44" s="26">
        <f t="shared" si="50"/>
        <v>0</v>
      </c>
      <c r="AG44" s="5">
        <f t="shared" ref="AG44:AG50" si="54">SUM(U44:AF44)</f>
        <v>0</v>
      </c>
      <c r="AH44" s="28" t="str">
        <f t="shared" ref="AH44:AH50" si="55">IFERROR(AG44/AG$16,"")</f>
        <v/>
      </c>
      <c r="AI44" s="4"/>
      <c r="AJ44" s="5">
        <f t="shared" ref="AJ44:AJ50" si="56">N44-AG44</f>
        <v>0</v>
      </c>
    </row>
    <row r="45" ht="13.5" customHeight="1">
      <c r="A45" s="25" t="s">
        <v>70</v>
      </c>
      <c r="B45" s="5">
        <v>416.9</v>
      </c>
      <c r="C45" s="5">
        <v>0.0</v>
      </c>
      <c r="D45" s="5">
        <v>0.0</v>
      </c>
      <c r="E45" s="5">
        <v>257.75</v>
      </c>
      <c r="F45" s="5">
        <v>0.0</v>
      </c>
      <c r="G45" s="5">
        <v>225.8</v>
      </c>
      <c r="H45" s="5">
        <v>0.0</v>
      </c>
      <c r="I45" s="5">
        <v>0.0</v>
      </c>
      <c r="J45" s="27">
        <v>0.0</v>
      </c>
      <c r="K45" s="27">
        <v>0.0</v>
      </c>
      <c r="L45" s="27">
        <v>0.0</v>
      </c>
      <c r="M45" s="27">
        <v>0.0</v>
      </c>
      <c r="N45" s="5">
        <f t="shared" si="51"/>
        <v>900.45</v>
      </c>
      <c r="O45" s="28" t="str">
        <f t="shared" si="52"/>
        <v/>
      </c>
      <c r="P45" s="5"/>
      <c r="Q45" s="5"/>
      <c r="R45" s="29" t="s">
        <v>34</v>
      </c>
      <c r="S45" s="30">
        <v>0.0</v>
      </c>
      <c r="T45" s="31">
        <v>0.05</v>
      </c>
      <c r="U45" s="26">
        <f t="shared" ref="U45:AF45" si="53">IF($R45="Manual","",IFERROR(IF($R45="YOY Growth",$N45*(1+$T45)/12,$S45/12),""))</f>
        <v>0</v>
      </c>
      <c r="V45" s="26">
        <f t="shared" si="53"/>
        <v>0</v>
      </c>
      <c r="W45" s="26">
        <f t="shared" si="53"/>
        <v>0</v>
      </c>
      <c r="X45" s="26">
        <f t="shared" si="53"/>
        <v>0</v>
      </c>
      <c r="Y45" s="26">
        <f t="shared" si="53"/>
        <v>0</v>
      </c>
      <c r="Z45" s="26">
        <f t="shared" si="53"/>
        <v>0</v>
      </c>
      <c r="AA45" s="26">
        <f t="shared" si="53"/>
        <v>0</v>
      </c>
      <c r="AB45" s="26">
        <f t="shared" si="53"/>
        <v>0</v>
      </c>
      <c r="AC45" s="26">
        <f t="shared" si="53"/>
        <v>0</v>
      </c>
      <c r="AD45" s="26">
        <f t="shared" si="53"/>
        <v>0</v>
      </c>
      <c r="AE45" s="26">
        <f t="shared" si="53"/>
        <v>0</v>
      </c>
      <c r="AF45" s="26">
        <f t="shared" si="53"/>
        <v>0</v>
      </c>
      <c r="AG45" s="5">
        <f t="shared" si="54"/>
        <v>0</v>
      </c>
      <c r="AH45" s="28" t="str">
        <f t="shared" si="55"/>
        <v/>
      </c>
      <c r="AI45" s="4"/>
      <c r="AJ45" s="5">
        <f t="shared" si="56"/>
        <v>900.45</v>
      </c>
    </row>
    <row r="46" ht="13.5" customHeight="1">
      <c r="A46" s="25" t="s">
        <v>71</v>
      </c>
      <c r="B46" s="5">
        <v>0.0</v>
      </c>
      <c r="C46" s="5">
        <v>0.0</v>
      </c>
      <c r="D46" s="5">
        <v>0.0</v>
      </c>
      <c r="E46" s="5">
        <v>0.0</v>
      </c>
      <c r="F46" s="5">
        <v>169.08</v>
      </c>
      <c r="G46" s="5">
        <v>0.0</v>
      </c>
      <c r="H46" s="5">
        <v>0.0</v>
      </c>
      <c r="I46" s="5">
        <v>44.48</v>
      </c>
      <c r="J46" s="27">
        <v>0.0</v>
      </c>
      <c r="K46" s="27">
        <v>0.0</v>
      </c>
      <c r="L46" s="27">
        <v>0.0</v>
      </c>
      <c r="M46" s="27">
        <v>0.0</v>
      </c>
      <c r="N46" s="5">
        <f t="shared" si="51"/>
        <v>213.56</v>
      </c>
      <c r="O46" s="28" t="str">
        <f t="shared" si="52"/>
        <v/>
      </c>
      <c r="P46" s="5"/>
      <c r="Q46" s="5"/>
      <c r="R46" s="29" t="s">
        <v>34</v>
      </c>
      <c r="S46" s="30">
        <v>0.0</v>
      </c>
      <c r="T46" s="31">
        <v>0.05</v>
      </c>
      <c r="U46" s="26">
        <f t="shared" ref="U46:AF46" si="57">IF($R46="Manual","",IFERROR(IF($R46="YOY Growth",$N46*(1+$T46)/12,$S46/12),""))</f>
        <v>0</v>
      </c>
      <c r="V46" s="26">
        <f t="shared" si="57"/>
        <v>0</v>
      </c>
      <c r="W46" s="26">
        <f t="shared" si="57"/>
        <v>0</v>
      </c>
      <c r="X46" s="26">
        <f t="shared" si="57"/>
        <v>0</v>
      </c>
      <c r="Y46" s="26">
        <f t="shared" si="57"/>
        <v>0</v>
      </c>
      <c r="Z46" s="26">
        <f t="shared" si="57"/>
        <v>0</v>
      </c>
      <c r="AA46" s="26">
        <f t="shared" si="57"/>
        <v>0</v>
      </c>
      <c r="AB46" s="26">
        <f t="shared" si="57"/>
        <v>0</v>
      </c>
      <c r="AC46" s="26">
        <f t="shared" si="57"/>
        <v>0</v>
      </c>
      <c r="AD46" s="26">
        <f t="shared" si="57"/>
        <v>0</v>
      </c>
      <c r="AE46" s="26">
        <f t="shared" si="57"/>
        <v>0</v>
      </c>
      <c r="AF46" s="26">
        <f t="shared" si="57"/>
        <v>0</v>
      </c>
      <c r="AG46" s="5">
        <f t="shared" si="54"/>
        <v>0</v>
      </c>
      <c r="AH46" s="28" t="str">
        <f t="shared" si="55"/>
        <v/>
      </c>
      <c r="AI46" s="4"/>
      <c r="AJ46" s="5">
        <f t="shared" si="56"/>
        <v>213.56</v>
      </c>
    </row>
    <row r="47" ht="13.5" customHeight="1">
      <c r="A47" s="25" t="s">
        <v>72</v>
      </c>
      <c r="B47" s="5">
        <v>0.0</v>
      </c>
      <c r="C47" s="5">
        <v>0.0</v>
      </c>
      <c r="D47" s="5">
        <v>0.0</v>
      </c>
      <c r="E47" s="5">
        <v>0.0</v>
      </c>
      <c r="F47" s="5">
        <v>0.0</v>
      </c>
      <c r="G47" s="5">
        <v>0.0</v>
      </c>
      <c r="H47" s="5">
        <v>0.0</v>
      </c>
      <c r="I47" s="5">
        <v>0.0</v>
      </c>
      <c r="J47" s="27">
        <v>0.0</v>
      </c>
      <c r="K47" s="27">
        <v>0.0</v>
      </c>
      <c r="L47" s="27">
        <v>0.0</v>
      </c>
      <c r="M47" s="27">
        <v>0.0</v>
      </c>
      <c r="N47" s="5">
        <f t="shared" si="51"/>
        <v>0</v>
      </c>
      <c r="O47" s="28" t="str">
        <f t="shared" si="52"/>
        <v/>
      </c>
      <c r="P47" s="5"/>
      <c r="Q47" s="5"/>
      <c r="R47" s="29" t="s">
        <v>34</v>
      </c>
      <c r="S47" s="30">
        <v>0.0</v>
      </c>
      <c r="T47" s="31">
        <v>0.05</v>
      </c>
      <c r="U47" s="26">
        <f t="shared" ref="U47:AF47" si="58">IF($R47="Manual","",IFERROR(IF($R47="YOY Growth",$N47*(1+$T47)/12,$S47/12),""))</f>
        <v>0</v>
      </c>
      <c r="V47" s="26">
        <f t="shared" si="58"/>
        <v>0</v>
      </c>
      <c r="W47" s="26">
        <f t="shared" si="58"/>
        <v>0</v>
      </c>
      <c r="X47" s="26">
        <f t="shared" si="58"/>
        <v>0</v>
      </c>
      <c r="Y47" s="26">
        <f t="shared" si="58"/>
        <v>0</v>
      </c>
      <c r="Z47" s="26">
        <f t="shared" si="58"/>
        <v>0</v>
      </c>
      <c r="AA47" s="26">
        <f t="shared" si="58"/>
        <v>0</v>
      </c>
      <c r="AB47" s="26">
        <f t="shared" si="58"/>
        <v>0</v>
      </c>
      <c r="AC47" s="26">
        <f t="shared" si="58"/>
        <v>0</v>
      </c>
      <c r="AD47" s="26">
        <f t="shared" si="58"/>
        <v>0</v>
      </c>
      <c r="AE47" s="26">
        <f t="shared" si="58"/>
        <v>0</v>
      </c>
      <c r="AF47" s="26">
        <f t="shared" si="58"/>
        <v>0</v>
      </c>
      <c r="AG47" s="5">
        <f t="shared" si="54"/>
        <v>0</v>
      </c>
      <c r="AH47" s="28" t="str">
        <f t="shared" si="55"/>
        <v/>
      </c>
      <c r="AI47" s="4"/>
      <c r="AJ47" s="5">
        <f t="shared" si="56"/>
        <v>0</v>
      </c>
    </row>
    <row r="48" ht="13.5" customHeight="1">
      <c r="A48" s="25" t="s">
        <v>73</v>
      </c>
      <c r="B48" s="5">
        <v>0.0</v>
      </c>
      <c r="C48" s="5">
        <v>0.0</v>
      </c>
      <c r="D48" s="5">
        <v>0.0</v>
      </c>
      <c r="E48" s="5">
        <v>0.0</v>
      </c>
      <c r="F48" s="5">
        <v>0.0</v>
      </c>
      <c r="G48" s="5">
        <v>0.0</v>
      </c>
      <c r="H48" s="5">
        <v>0.0</v>
      </c>
      <c r="I48" s="5">
        <v>0.0</v>
      </c>
      <c r="J48" s="27">
        <v>0.0</v>
      </c>
      <c r="K48" s="27">
        <v>0.0</v>
      </c>
      <c r="L48" s="27">
        <v>0.0</v>
      </c>
      <c r="M48" s="27">
        <v>0.0</v>
      </c>
      <c r="N48" s="5">
        <f t="shared" si="51"/>
        <v>0</v>
      </c>
      <c r="O48" s="28" t="str">
        <f t="shared" si="52"/>
        <v/>
      </c>
      <c r="P48" s="5"/>
      <c r="Q48" s="5"/>
      <c r="R48" s="29" t="s">
        <v>34</v>
      </c>
      <c r="S48" s="30">
        <v>0.0</v>
      </c>
      <c r="T48" s="31">
        <v>0.05</v>
      </c>
      <c r="U48" s="26">
        <f t="shared" ref="U48:AF48" si="59">IF($R48="Manual","",IFERROR(IF($R48="YOY Growth",$N48*(1+$T48)/12,$S48/12),""))</f>
        <v>0</v>
      </c>
      <c r="V48" s="26">
        <f t="shared" si="59"/>
        <v>0</v>
      </c>
      <c r="W48" s="26">
        <f t="shared" si="59"/>
        <v>0</v>
      </c>
      <c r="X48" s="26">
        <f t="shared" si="59"/>
        <v>0</v>
      </c>
      <c r="Y48" s="26">
        <f t="shared" si="59"/>
        <v>0</v>
      </c>
      <c r="Z48" s="26">
        <f t="shared" si="59"/>
        <v>0</v>
      </c>
      <c r="AA48" s="26">
        <f t="shared" si="59"/>
        <v>0</v>
      </c>
      <c r="AB48" s="26">
        <f t="shared" si="59"/>
        <v>0</v>
      </c>
      <c r="AC48" s="26">
        <f t="shared" si="59"/>
        <v>0</v>
      </c>
      <c r="AD48" s="26">
        <f t="shared" si="59"/>
        <v>0</v>
      </c>
      <c r="AE48" s="26">
        <f t="shared" si="59"/>
        <v>0</v>
      </c>
      <c r="AF48" s="26">
        <f t="shared" si="59"/>
        <v>0</v>
      </c>
      <c r="AG48" s="5">
        <f t="shared" si="54"/>
        <v>0</v>
      </c>
      <c r="AH48" s="28" t="str">
        <f t="shared" si="55"/>
        <v/>
      </c>
      <c r="AI48" s="4"/>
      <c r="AJ48" s="5">
        <f t="shared" si="56"/>
        <v>0</v>
      </c>
    </row>
    <row r="49" ht="13.5" customHeight="1">
      <c r="A49" s="25" t="s">
        <v>74</v>
      </c>
      <c r="B49" s="5">
        <v>0.0</v>
      </c>
      <c r="C49" s="5">
        <v>0.0</v>
      </c>
      <c r="D49" s="5">
        <v>0.0</v>
      </c>
      <c r="E49" s="5">
        <v>0.0</v>
      </c>
      <c r="F49" s="5">
        <v>0.0</v>
      </c>
      <c r="G49" s="5">
        <v>0.0</v>
      </c>
      <c r="H49" s="5">
        <v>0.0</v>
      </c>
      <c r="I49" s="5">
        <v>0.0</v>
      </c>
      <c r="J49" s="27">
        <v>0.0</v>
      </c>
      <c r="K49" s="27">
        <v>0.0</v>
      </c>
      <c r="L49" s="27">
        <v>0.0</v>
      </c>
      <c r="M49" s="27">
        <v>0.0</v>
      </c>
      <c r="N49" s="5">
        <f t="shared" si="51"/>
        <v>0</v>
      </c>
      <c r="O49" s="28" t="str">
        <f t="shared" si="52"/>
        <v/>
      </c>
      <c r="P49" s="5"/>
      <c r="Q49" s="5"/>
      <c r="R49" s="29" t="s">
        <v>34</v>
      </c>
      <c r="S49" s="30">
        <v>0.0</v>
      </c>
      <c r="T49" s="31">
        <v>0.05</v>
      </c>
      <c r="U49" s="26">
        <f t="shared" ref="U49:AF49" si="60">IF($R49="Manual","",IFERROR(IF($R49="YOY Growth",$N49*(1+$T49)/12,$S49/12),""))</f>
        <v>0</v>
      </c>
      <c r="V49" s="26">
        <f t="shared" si="60"/>
        <v>0</v>
      </c>
      <c r="W49" s="26">
        <f t="shared" si="60"/>
        <v>0</v>
      </c>
      <c r="X49" s="26">
        <f t="shared" si="60"/>
        <v>0</v>
      </c>
      <c r="Y49" s="26">
        <f t="shared" si="60"/>
        <v>0</v>
      </c>
      <c r="Z49" s="26">
        <f t="shared" si="60"/>
        <v>0</v>
      </c>
      <c r="AA49" s="26">
        <f t="shared" si="60"/>
        <v>0</v>
      </c>
      <c r="AB49" s="26">
        <f t="shared" si="60"/>
        <v>0</v>
      </c>
      <c r="AC49" s="26">
        <f t="shared" si="60"/>
        <v>0</v>
      </c>
      <c r="AD49" s="26">
        <f t="shared" si="60"/>
        <v>0</v>
      </c>
      <c r="AE49" s="26">
        <f t="shared" si="60"/>
        <v>0</v>
      </c>
      <c r="AF49" s="26">
        <f t="shared" si="60"/>
        <v>0</v>
      </c>
      <c r="AG49" s="5">
        <f t="shared" si="54"/>
        <v>0</v>
      </c>
      <c r="AH49" s="28" t="str">
        <f t="shared" si="55"/>
        <v/>
      </c>
      <c r="AI49" s="4"/>
      <c r="AJ49" s="5">
        <f t="shared" si="56"/>
        <v>0</v>
      </c>
    </row>
    <row r="50" ht="13.5" customHeight="1">
      <c r="A50" s="25" t="s">
        <v>75</v>
      </c>
      <c r="B50" s="5">
        <v>0.0</v>
      </c>
      <c r="C50" s="5">
        <v>0.0</v>
      </c>
      <c r="D50" s="5">
        <v>0.0</v>
      </c>
      <c r="E50" s="5">
        <v>0.0</v>
      </c>
      <c r="F50" s="5">
        <v>0.0</v>
      </c>
      <c r="G50" s="5">
        <v>0.0</v>
      </c>
      <c r="H50" s="5">
        <v>0.0</v>
      </c>
      <c r="I50" s="5">
        <v>175.0</v>
      </c>
      <c r="J50" s="27">
        <v>0.0</v>
      </c>
      <c r="K50" s="27">
        <v>0.0</v>
      </c>
      <c r="L50" s="27">
        <v>0.0</v>
      </c>
      <c r="M50" s="27">
        <v>0.0</v>
      </c>
      <c r="N50" s="5">
        <f t="shared" si="51"/>
        <v>175</v>
      </c>
      <c r="O50" s="28" t="str">
        <f t="shared" si="52"/>
        <v/>
      </c>
      <c r="P50" s="5"/>
      <c r="Q50" s="5"/>
      <c r="R50" s="29" t="s">
        <v>34</v>
      </c>
      <c r="S50" s="30">
        <v>0.0</v>
      </c>
      <c r="T50" s="31">
        <v>0.05</v>
      </c>
      <c r="U50" s="26">
        <f t="shared" ref="U50:AF50" si="61">IF($R50="Manual","",IFERROR(IF($R50="YOY Growth",$N50*(1+$T50)/12,$S50/12),""))</f>
        <v>0</v>
      </c>
      <c r="V50" s="26">
        <f t="shared" si="61"/>
        <v>0</v>
      </c>
      <c r="W50" s="26">
        <f t="shared" si="61"/>
        <v>0</v>
      </c>
      <c r="X50" s="26">
        <f t="shared" si="61"/>
        <v>0</v>
      </c>
      <c r="Y50" s="26">
        <f t="shared" si="61"/>
        <v>0</v>
      </c>
      <c r="Z50" s="26">
        <f t="shared" si="61"/>
        <v>0</v>
      </c>
      <c r="AA50" s="26">
        <f t="shared" si="61"/>
        <v>0</v>
      </c>
      <c r="AB50" s="26">
        <f t="shared" si="61"/>
        <v>0</v>
      </c>
      <c r="AC50" s="26">
        <f t="shared" si="61"/>
        <v>0</v>
      </c>
      <c r="AD50" s="26">
        <f t="shared" si="61"/>
        <v>0</v>
      </c>
      <c r="AE50" s="26">
        <f t="shared" si="61"/>
        <v>0</v>
      </c>
      <c r="AF50" s="26">
        <f t="shared" si="61"/>
        <v>0</v>
      </c>
      <c r="AG50" s="5">
        <f t="shared" si="54"/>
        <v>0</v>
      </c>
      <c r="AH50" s="28" t="str">
        <f t="shared" si="55"/>
        <v/>
      </c>
      <c r="AI50" s="4"/>
      <c r="AJ50" s="5">
        <f t="shared" si="56"/>
        <v>175</v>
      </c>
    </row>
    <row r="51" ht="13.5" customHeight="1">
      <c r="A51" s="24" t="s">
        <v>76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28"/>
      <c r="P51" s="5"/>
      <c r="Q51" s="5"/>
      <c r="R51" s="36"/>
      <c r="S51" s="36"/>
      <c r="T51" s="36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28"/>
      <c r="AI51" s="4"/>
      <c r="AJ51" s="5"/>
    </row>
    <row r="52" ht="13.5" customHeight="1">
      <c r="A52" s="25" t="s">
        <v>77</v>
      </c>
      <c r="B52" s="5">
        <v>0.0</v>
      </c>
      <c r="C52" s="5">
        <v>0.0</v>
      </c>
      <c r="D52" s="5">
        <v>0.0</v>
      </c>
      <c r="E52" s="5">
        <v>0.0</v>
      </c>
      <c r="F52" s="5">
        <v>0.0</v>
      </c>
      <c r="G52" s="5">
        <v>0.0</v>
      </c>
      <c r="H52" s="5">
        <v>0.0</v>
      </c>
      <c r="I52" s="5">
        <v>0.0</v>
      </c>
      <c r="J52" s="27">
        <v>0.0</v>
      </c>
      <c r="K52" s="27">
        <v>0.0</v>
      </c>
      <c r="L52" s="27">
        <v>0.0</v>
      </c>
      <c r="M52" s="27">
        <v>0.0</v>
      </c>
      <c r="N52" s="5">
        <f t="shared" ref="N52:N56" si="62">SUM(B52:M52)</f>
        <v>0</v>
      </c>
      <c r="O52" s="28" t="str">
        <f t="shared" ref="O52:O56" si="63">IFERROR(N52/N$16,"")</f>
        <v/>
      </c>
      <c r="P52" s="5"/>
      <c r="Q52" s="5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5">
        <f t="shared" ref="AG52:AG56" si="64">SUM(U52:AF52)</f>
        <v>0</v>
      </c>
      <c r="AH52" s="28" t="str">
        <f t="shared" ref="AH52:AH56" si="65">IFERROR(AG52/AG$16,"")</f>
        <v/>
      </c>
      <c r="AI52" s="4"/>
      <c r="AJ52" s="5">
        <f t="shared" ref="AJ52:AJ56" si="66">N52-AG52</f>
        <v>0</v>
      </c>
    </row>
    <row r="53" ht="13.5" customHeight="1">
      <c r="A53" s="25" t="s">
        <v>78</v>
      </c>
      <c r="B53" s="5">
        <v>0.0</v>
      </c>
      <c r="C53" s="5">
        <v>0.0</v>
      </c>
      <c r="D53" s="5">
        <v>0.0</v>
      </c>
      <c r="E53" s="5">
        <v>0.0</v>
      </c>
      <c r="F53" s="5">
        <v>0.0</v>
      </c>
      <c r="G53" s="5">
        <v>0.0</v>
      </c>
      <c r="H53" s="5">
        <v>0.0</v>
      </c>
      <c r="I53" s="5">
        <v>0.0</v>
      </c>
      <c r="J53" s="27">
        <v>0.0</v>
      </c>
      <c r="K53" s="27">
        <v>0.0</v>
      </c>
      <c r="L53" s="27">
        <v>0.0</v>
      </c>
      <c r="M53" s="27">
        <v>0.0</v>
      </c>
      <c r="N53" s="5">
        <f t="shared" si="62"/>
        <v>0</v>
      </c>
      <c r="O53" s="28" t="str">
        <f t="shared" si="63"/>
        <v/>
      </c>
      <c r="P53" s="5"/>
      <c r="Q53" s="5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5">
        <f t="shared" si="64"/>
        <v>0</v>
      </c>
      <c r="AH53" s="28" t="str">
        <f t="shared" si="65"/>
        <v/>
      </c>
      <c r="AI53" s="4"/>
      <c r="AJ53" s="5">
        <f t="shared" si="66"/>
        <v>0</v>
      </c>
    </row>
    <row r="54" ht="13.5" customHeight="1">
      <c r="A54" s="25" t="s">
        <v>79</v>
      </c>
      <c r="B54" s="5">
        <v>0.0</v>
      </c>
      <c r="C54" s="5">
        <v>0.0</v>
      </c>
      <c r="D54" s="5">
        <v>0.0</v>
      </c>
      <c r="E54" s="5">
        <v>0.0</v>
      </c>
      <c r="F54" s="5">
        <v>0.0</v>
      </c>
      <c r="G54" s="5">
        <v>0.0</v>
      </c>
      <c r="H54" s="5">
        <v>0.0</v>
      </c>
      <c r="I54" s="5">
        <v>0.0</v>
      </c>
      <c r="J54" s="27">
        <v>0.0</v>
      </c>
      <c r="K54" s="27">
        <v>0.0</v>
      </c>
      <c r="L54" s="27">
        <v>0.0</v>
      </c>
      <c r="M54" s="27">
        <v>0.0</v>
      </c>
      <c r="N54" s="5">
        <f t="shared" si="62"/>
        <v>0</v>
      </c>
      <c r="O54" s="28" t="str">
        <f t="shared" si="63"/>
        <v/>
      </c>
      <c r="P54" s="5"/>
      <c r="Q54" s="5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5">
        <f t="shared" si="64"/>
        <v>0</v>
      </c>
      <c r="AH54" s="28" t="str">
        <f t="shared" si="65"/>
        <v/>
      </c>
      <c r="AI54" s="4"/>
      <c r="AJ54" s="5">
        <f t="shared" si="66"/>
        <v>0</v>
      </c>
    </row>
    <row r="55" ht="13.5" customHeight="1">
      <c r="A55" s="33" t="s">
        <v>80</v>
      </c>
      <c r="B55" s="34">
        <f t="shared" ref="B55:M55" si="67">SUM(B52:B54)</f>
        <v>0</v>
      </c>
      <c r="C55" s="34">
        <f t="shared" si="67"/>
        <v>0</v>
      </c>
      <c r="D55" s="34">
        <f t="shared" si="67"/>
        <v>0</v>
      </c>
      <c r="E55" s="34">
        <f t="shared" si="67"/>
        <v>0</v>
      </c>
      <c r="F55" s="34">
        <f t="shared" si="67"/>
        <v>0</v>
      </c>
      <c r="G55" s="34">
        <f t="shared" si="67"/>
        <v>0</v>
      </c>
      <c r="H55" s="34">
        <f t="shared" si="67"/>
        <v>0</v>
      </c>
      <c r="I55" s="34">
        <f t="shared" si="67"/>
        <v>0</v>
      </c>
      <c r="J55" s="34">
        <f t="shared" si="67"/>
        <v>0</v>
      </c>
      <c r="K55" s="34">
        <f t="shared" si="67"/>
        <v>0</v>
      </c>
      <c r="L55" s="34">
        <f t="shared" si="67"/>
        <v>0</v>
      </c>
      <c r="M55" s="34">
        <f t="shared" si="67"/>
        <v>0</v>
      </c>
      <c r="N55" s="34">
        <f t="shared" si="62"/>
        <v>0</v>
      </c>
      <c r="O55" s="35" t="str">
        <f t="shared" si="63"/>
        <v/>
      </c>
      <c r="P55" s="5"/>
      <c r="Q55" s="5"/>
      <c r="R55" s="45"/>
      <c r="S55" s="45"/>
      <c r="T55" s="45"/>
      <c r="U55" s="34">
        <f t="shared" ref="U55:AF55" si="68">SUM(U52:U54)</f>
        <v>0</v>
      </c>
      <c r="V55" s="34">
        <f t="shared" si="68"/>
        <v>0</v>
      </c>
      <c r="W55" s="34">
        <f t="shared" si="68"/>
        <v>0</v>
      </c>
      <c r="X55" s="34">
        <f t="shared" si="68"/>
        <v>0</v>
      </c>
      <c r="Y55" s="34">
        <f t="shared" si="68"/>
        <v>0</v>
      </c>
      <c r="Z55" s="34">
        <f t="shared" si="68"/>
        <v>0</v>
      </c>
      <c r="AA55" s="34">
        <f t="shared" si="68"/>
        <v>0</v>
      </c>
      <c r="AB55" s="34">
        <f t="shared" si="68"/>
        <v>0</v>
      </c>
      <c r="AC55" s="34">
        <f t="shared" si="68"/>
        <v>0</v>
      </c>
      <c r="AD55" s="34">
        <f t="shared" si="68"/>
        <v>0</v>
      </c>
      <c r="AE55" s="34">
        <f t="shared" si="68"/>
        <v>0</v>
      </c>
      <c r="AF55" s="34">
        <f t="shared" si="68"/>
        <v>0</v>
      </c>
      <c r="AG55" s="34">
        <f t="shared" si="64"/>
        <v>0</v>
      </c>
      <c r="AH55" s="35" t="str">
        <f t="shared" si="65"/>
        <v/>
      </c>
      <c r="AI55" s="4"/>
      <c r="AJ55" s="34">
        <f t="shared" si="66"/>
        <v>0</v>
      </c>
    </row>
    <row r="56" ht="13.5" customHeight="1">
      <c r="A56" s="33" t="s">
        <v>81</v>
      </c>
      <c r="B56" s="34">
        <f t="shared" ref="B56:M56" si="69">B44+B45+B46+B47+B48+B49+B50+B55</f>
        <v>416.9</v>
      </c>
      <c r="C56" s="34">
        <f t="shared" si="69"/>
        <v>0</v>
      </c>
      <c r="D56" s="34">
        <f t="shared" si="69"/>
        <v>0</v>
      </c>
      <c r="E56" s="34">
        <f t="shared" si="69"/>
        <v>257.75</v>
      </c>
      <c r="F56" s="34">
        <f t="shared" si="69"/>
        <v>169.08</v>
      </c>
      <c r="G56" s="34">
        <f t="shared" si="69"/>
        <v>225.8</v>
      </c>
      <c r="H56" s="34">
        <f t="shared" si="69"/>
        <v>0</v>
      </c>
      <c r="I56" s="34">
        <f t="shared" si="69"/>
        <v>219.48</v>
      </c>
      <c r="J56" s="34">
        <f t="shared" si="69"/>
        <v>0</v>
      </c>
      <c r="K56" s="34">
        <f t="shared" si="69"/>
        <v>0</v>
      </c>
      <c r="L56" s="34">
        <f t="shared" si="69"/>
        <v>0</v>
      </c>
      <c r="M56" s="34">
        <f t="shared" si="69"/>
        <v>0</v>
      </c>
      <c r="N56" s="34">
        <f t="shared" si="62"/>
        <v>1289.01</v>
      </c>
      <c r="O56" s="35" t="str">
        <f t="shared" si="63"/>
        <v/>
      </c>
      <c r="P56" s="5"/>
      <c r="Q56" s="5"/>
      <c r="R56" s="36"/>
      <c r="S56" s="36"/>
      <c r="T56" s="36"/>
      <c r="U56" s="34">
        <f t="shared" ref="U56:AF56" si="70">U44+U45+U46+U47+U48+U49+U50+U55</f>
        <v>0</v>
      </c>
      <c r="V56" s="34">
        <f t="shared" si="70"/>
        <v>0</v>
      </c>
      <c r="W56" s="34">
        <f t="shared" si="70"/>
        <v>0</v>
      </c>
      <c r="X56" s="34">
        <f t="shared" si="70"/>
        <v>0</v>
      </c>
      <c r="Y56" s="34">
        <f t="shared" si="70"/>
        <v>0</v>
      </c>
      <c r="Z56" s="34">
        <f t="shared" si="70"/>
        <v>0</v>
      </c>
      <c r="AA56" s="34">
        <f t="shared" si="70"/>
        <v>0</v>
      </c>
      <c r="AB56" s="34">
        <f t="shared" si="70"/>
        <v>0</v>
      </c>
      <c r="AC56" s="34">
        <f t="shared" si="70"/>
        <v>0</v>
      </c>
      <c r="AD56" s="34">
        <f t="shared" si="70"/>
        <v>0</v>
      </c>
      <c r="AE56" s="34">
        <f t="shared" si="70"/>
        <v>0</v>
      </c>
      <c r="AF56" s="34">
        <f t="shared" si="70"/>
        <v>0</v>
      </c>
      <c r="AG56" s="34">
        <f t="shared" si="64"/>
        <v>0</v>
      </c>
      <c r="AH56" s="35" t="str">
        <f t="shared" si="65"/>
        <v/>
      </c>
      <c r="AI56" s="4"/>
      <c r="AJ56" s="34">
        <f t="shared" si="66"/>
        <v>1289.01</v>
      </c>
    </row>
    <row r="57" ht="13.5" customHeight="1">
      <c r="A57" s="24" t="s">
        <v>82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28"/>
      <c r="P57" s="5"/>
      <c r="Q57" s="5"/>
      <c r="R57" s="36"/>
      <c r="S57" s="36"/>
      <c r="T57" s="36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28"/>
      <c r="AI57" s="4"/>
      <c r="AJ57" s="5"/>
    </row>
    <row r="58" ht="13.5" customHeight="1">
      <c r="A58" s="25" t="s">
        <v>83</v>
      </c>
      <c r="B58" s="5">
        <v>0.0</v>
      </c>
      <c r="C58" s="5">
        <v>0.0</v>
      </c>
      <c r="D58" s="5">
        <v>0.0</v>
      </c>
      <c r="E58" s="5">
        <v>0.0</v>
      </c>
      <c r="F58" s="5">
        <v>0.0</v>
      </c>
      <c r="G58" s="5">
        <v>0.0</v>
      </c>
      <c r="H58" s="5">
        <v>0.0</v>
      </c>
      <c r="I58" s="5">
        <v>0.0</v>
      </c>
      <c r="J58" s="27">
        <v>0.0</v>
      </c>
      <c r="K58" s="27">
        <v>0.0</v>
      </c>
      <c r="L58" s="27">
        <v>0.0</v>
      </c>
      <c r="M58" s="27">
        <v>0.0</v>
      </c>
      <c r="N58" s="5">
        <f t="shared" ref="N58:N64" si="72">SUM(B58:M58)</f>
        <v>0</v>
      </c>
      <c r="O58" s="28" t="str">
        <f t="shared" ref="O58:O64" si="73">IFERROR(N58/N$16,"")</f>
        <v/>
      </c>
      <c r="P58" s="5"/>
      <c r="Q58" s="5"/>
      <c r="R58" s="29" t="s">
        <v>34</v>
      </c>
      <c r="S58" s="30">
        <v>0.0</v>
      </c>
      <c r="T58" s="31">
        <v>0.05</v>
      </c>
      <c r="U58" s="26">
        <f t="shared" ref="U58:AF58" si="71">IF($R58="Manual","",IFERROR(IF($R58="YOY Growth",$N58*(1+$T58)/12,$S58/12),""))</f>
        <v>0</v>
      </c>
      <c r="V58" s="26">
        <f t="shared" si="71"/>
        <v>0</v>
      </c>
      <c r="W58" s="26">
        <f t="shared" si="71"/>
        <v>0</v>
      </c>
      <c r="X58" s="26">
        <f t="shared" si="71"/>
        <v>0</v>
      </c>
      <c r="Y58" s="26">
        <f t="shared" si="71"/>
        <v>0</v>
      </c>
      <c r="Z58" s="26">
        <f t="shared" si="71"/>
        <v>0</v>
      </c>
      <c r="AA58" s="26">
        <f t="shared" si="71"/>
        <v>0</v>
      </c>
      <c r="AB58" s="26">
        <f t="shared" si="71"/>
        <v>0</v>
      </c>
      <c r="AC58" s="26">
        <f t="shared" si="71"/>
        <v>0</v>
      </c>
      <c r="AD58" s="26">
        <f t="shared" si="71"/>
        <v>0</v>
      </c>
      <c r="AE58" s="26">
        <f t="shared" si="71"/>
        <v>0</v>
      </c>
      <c r="AF58" s="26">
        <f t="shared" si="71"/>
        <v>0</v>
      </c>
      <c r="AG58" s="5">
        <f t="shared" ref="AG58:AG64" si="75">SUM(U58:AF58)</f>
        <v>0</v>
      </c>
      <c r="AH58" s="28" t="str">
        <f t="shared" ref="AH58:AH64" si="76">IFERROR(AG58/AG$16,"")</f>
        <v/>
      </c>
      <c r="AI58" s="4"/>
      <c r="AJ58" s="5">
        <f t="shared" ref="AJ58:AJ63" si="77">N58-AG58</f>
        <v>0</v>
      </c>
    </row>
    <row r="59" ht="13.5" customHeight="1">
      <c r="A59" s="25" t="s">
        <v>84</v>
      </c>
      <c r="B59" s="5">
        <v>0.0</v>
      </c>
      <c r="C59" s="5">
        <v>0.0</v>
      </c>
      <c r="D59" s="5">
        <v>0.0</v>
      </c>
      <c r="E59" s="5">
        <v>0.0</v>
      </c>
      <c r="F59" s="5">
        <v>0.0</v>
      </c>
      <c r="G59" s="5">
        <v>0.0</v>
      </c>
      <c r="H59" s="5">
        <v>0.0</v>
      </c>
      <c r="I59" s="5">
        <v>0.0</v>
      </c>
      <c r="J59" s="27">
        <v>0.0</v>
      </c>
      <c r="K59" s="27">
        <v>0.0</v>
      </c>
      <c r="L59" s="27">
        <v>0.0</v>
      </c>
      <c r="M59" s="27">
        <v>0.0</v>
      </c>
      <c r="N59" s="5">
        <f t="shared" si="72"/>
        <v>0</v>
      </c>
      <c r="O59" s="28" t="str">
        <f t="shared" si="73"/>
        <v/>
      </c>
      <c r="P59" s="5"/>
      <c r="Q59" s="5"/>
      <c r="R59" s="29" t="s">
        <v>34</v>
      </c>
      <c r="S59" s="30">
        <v>0.0</v>
      </c>
      <c r="T59" s="31">
        <v>0.05</v>
      </c>
      <c r="U59" s="26">
        <f t="shared" ref="U59:AF59" si="74">IF($R59="Manual","",IFERROR(IF($R59="YOY Growth",$N59*(1+$T59)/12,$S59/12),""))</f>
        <v>0</v>
      </c>
      <c r="V59" s="26">
        <f t="shared" si="74"/>
        <v>0</v>
      </c>
      <c r="W59" s="26">
        <f t="shared" si="74"/>
        <v>0</v>
      </c>
      <c r="X59" s="26">
        <f t="shared" si="74"/>
        <v>0</v>
      </c>
      <c r="Y59" s="26">
        <f t="shared" si="74"/>
        <v>0</v>
      </c>
      <c r="Z59" s="26">
        <f t="shared" si="74"/>
        <v>0</v>
      </c>
      <c r="AA59" s="26">
        <f t="shared" si="74"/>
        <v>0</v>
      </c>
      <c r="AB59" s="26">
        <f t="shared" si="74"/>
        <v>0</v>
      </c>
      <c r="AC59" s="26">
        <f t="shared" si="74"/>
        <v>0</v>
      </c>
      <c r="AD59" s="26">
        <f t="shared" si="74"/>
        <v>0</v>
      </c>
      <c r="AE59" s="26">
        <f t="shared" si="74"/>
        <v>0</v>
      </c>
      <c r="AF59" s="26">
        <f t="shared" si="74"/>
        <v>0</v>
      </c>
      <c r="AG59" s="5">
        <f t="shared" si="75"/>
        <v>0</v>
      </c>
      <c r="AH59" s="28" t="str">
        <f t="shared" si="76"/>
        <v/>
      </c>
      <c r="AI59" s="4"/>
      <c r="AJ59" s="5">
        <f t="shared" si="77"/>
        <v>0</v>
      </c>
    </row>
    <row r="60" ht="13.5" customHeight="1">
      <c r="A60" s="25" t="s">
        <v>85</v>
      </c>
      <c r="B60" s="5">
        <v>281.96</v>
      </c>
      <c r="C60" s="5">
        <v>0.0</v>
      </c>
      <c r="D60" s="5">
        <v>0.0</v>
      </c>
      <c r="E60" s="5">
        <v>0.0</v>
      </c>
      <c r="F60" s="5">
        <v>0.0</v>
      </c>
      <c r="G60" s="5">
        <v>0.0</v>
      </c>
      <c r="H60" s="5">
        <v>0.0</v>
      </c>
      <c r="I60" s="5">
        <v>0.0</v>
      </c>
      <c r="J60" s="27">
        <v>0.0</v>
      </c>
      <c r="K60" s="27">
        <v>0.0</v>
      </c>
      <c r="L60" s="27">
        <v>0.0</v>
      </c>
      <c r="M60" s="27">
        <v>0.0</v>
      </c>
      <c r="N60" s="5">
        <f t="shared" si="72"/>
        <v>281.96</v>
      </c>
      <c r="O60" s="28" t="str">
        <f t="shared" si="73"/>
        <v/>
      </c>
      <c r="P60" s="5"/>
      <c r="Q60" s="5"/>
      <c r="R60" s="29" t="s">
        <v>34</v>
      </c>
      <c r="S60" s="30">
        <v>0.0</v>
      </c>
      <c r="T60" s="31">
        <v>0.05</v>
      </c>
      <c r="U60" s="26">
        <f t="shared" ref="U60:AF60" si="78">IF($R60="Manual","",IFERROR(IF($R60="YOY Growth",$N60*(1+$T60)/12,$S60/12),""))</f>
        <v>0</v>
      </c>
      <c r="V60" s="26">
        <f t="shared" si="78"/>
        <v>0</v>
      </c>
      <c r="W60" s="26">
        <f t="shared" si="78"/>
        <v>0</v>
      </c>
      <c r="X60" s="26">
        <f t="shared" si="78"/>
        <v>0</v>
      </c>
      <c r="Y60" s="26">
        <f t="shared" si="78"/>
        <v>0</v>
      </c>
      <c r="Z60" s="26">
        <f t="shared" si="78"/>
        <v>0</v>
      </c>
      <c r="AA60" s="26">
        <f t="shared" si="78"/>
        <v>0</v>
      </c>
      <c r="AB60" s="26">
        <f t="shared" si="78"/>
        <v>0</v>
      </c>
      <c r="AC60" s="26">
        <f t="shared" si="78"/>
        <v>0</v>
      </c>
      <c r="AD60" s="26">
        <f t="shared" si="78"/>
        <v>0</v>
      </c>
      <c r="AE60" s="26">
        <f t="shared" si="78"/>
        <v>0</v>
      </c>
      <c r="AF60" s="26">
        <f t="shared" si="78"/>
        <v>0</v>
      </c>
      <c r="AG60" s="5">
        <f t="shared" si="75"/>
        <v>0</v>
      </c>
      <c r="AH60" s="28" t="str">
        <f t="shared" si="76"/>
        <v/>
      </c>
      <c r="AI60" s="4"/>
      <c r="AJ60" s="5">
        <f t="shared" si="77"/>
        <v>281.96</v>
      </c>
    </row>
    <row r="61" ht="13.5" customHeight="1">
      <c r="A61" s="33" t="s">
        <v>86</v>
      </c>
      <c r="B61" s="46">
        <f t="shared" ref="B61:M61" si="79">SUM(B58:B60)</f>
        <v>281.96</v>
      </c>
      <c r="C61" s="46">
        <f t="shared" si="79"/>
        <v>0</v>
      </c>
      <c r="D61" s="46">
        <f t="shared" si="79"/>
        <v>0</v>
      </c>
      <c r="E61" s="46">
        <f t="shared" si="79"/>
        <v>0</v>
      </c>
      <c r="F61" s="46">
        <f t="shared" si="79"/>
        <v>0</v>
      </c>
      <c r="G61" s="46">
        <f t="shared" si="79"/>
        <v>0</v>
      </c>
      <c r="H61" s="46">
        <f t="shared" si="79"/>
        <v>0</v>
      </c>
      <c r="I61" s="46">
        <f t="shared" si="79"/>
        <v>0</v>
      </c>
      <c r="J61" s="46">
        <f t="shared" si="79"/>
        <v>0</v>
      </c>
      <c r="K61" s="46">
        <f t="shared" si="79"/>
        <v>0</v>
      </c>
      <c r="L61" s="46">
        <f t="shared" si="79"/>
        <v>0</v>
      </c>
      <c r="M61" s="46">
        <f t="shared" si="79"/>
        <v>0</v>
      </c>
      <c r="N61" s="46">
        <f t="shared" si="72"/>
        <v>281.96</v>
      </c>
      <c r="O61" s="47" t="str">
        <f t="shared" si="73"/>
        <v/>
      </c>
      <c r="P61" s="5"/>
      <c r="Q61" s="5"/>
      <c r="R61" s="36"/>
      <c r="S61" s="36"/>
      <c r="T61" s="36"/>
      <c r="U61" s="46">
        <f t="shared" ref="U61:AF61" si="80">SUM(U58:U60)</f>
        <v>0</v>
      </c>
      <c r="V61" s="46">
        <f t="shared" si="80"/>
        <v>0</v>
      </c>
      <c r="W61" s="46">
        <f t="shared" si="80"/>
        <v>0</v>
      </c>
      <c r="X61" s="46">
        <f t="shared" si="80"/>
        <v>0</v>
      </c>
      <c r="Y61" s="46">
        <f t="shared" si="80"/>
        <v>0</v>
      </c>
      <c r="Z61" s="46">
        <f t="shared" si="80"/>
        <v>0</v>
      </c>
      <c r="AA61" s="46">
        <f t="shared" si="80"/>
        <v>0</v>
      </c>
      <c r="AB61" s="46">
        <f t="shared" si="80"/>
        <v>0</v>
      </c>
      <c r="AC61" s="46">
        <f t="shared" si="80"/>
        <v>0</v>
      </c>
      <c r="AD61" s="46">
        <f t="shared" si="80"/>
        <v>0</v>
      </c>
      <c r="AE61" s="46">
        <f t="shared" si="80"/>
        <v>0</v>
      </c>
      <c r="AF61" s="46">
        <f t="shared" si="80"/>
        <v>0</v>
      </c>
      <c r="AG61" s="46">
        <f t="shared" si="75"/>
        <v>0</v>
      </c>
      <c r="AH61" s="47" t="str">
        <f t="shared" si="76"/>
        <v/>
      </c>
      <c r="AI61" s="4"/>
      <c r="AJ61" s="34">
        <f t="shared" si="77"/>
        <v>281.96</v>
      </c>
    </row>
    <row r="62" ht="13.5" customHeight="1">
      <c r="A62" s="48" t="s">
        <v>87</v>
      </c>
      <c r="B62" s="5">
        <v>0.0</v>
      </c>
      <c r="C62" s="5">
        <v>0.0</v>
      </c>
      <c r="D62" s="5">
        <v>0.0</v>
      </c>
      <c r="E62" s="5">
        <v>0.0</v>
      </c>
      <c r="F62" s="5">
        <v>0.0</v>
      </c>
      <c r="G62" s="5">
        <v>0.0</v>
      </c>
      <c r="H62" s="5">
        <v>0.0</v>
      </c>
      <c r="I62" s="5">
        <v>0.0</v>
      </c>
      <c r="J62" s="27">
        <v>0.0</v>
      </c>
      <c r="K62" s="27">
        <v>0.0</v>
      </c>
      <c r="L62" s="27">
        <v>0.0</v>
      </c>
      <c r="M62" s="27">
        <v>0.0</v>
      </c>
      <c r="N62" s="5">
        <f t="shared" si="72"/>
        <v>0</v>
      </c>
      <c r="O62" s="28" t="str">
        <f t="shared" si="73"/>
        <v/>
      </c>
      <c r="P62" s="5"/>
      <c r="Q62" s="5"/>
      <c r="R62" s="29" t="s">
        <v>34</v>
      </c>
      <c r="S62" s="30">
        <v>0.0</v>
      </c>
      <c r="T62" s="31">
        <v>0.05</v>
      </c>
      <c r="U62" s="26">
        <f t="shared" ref="U62:AF62" si="81">IF($R62="Manual","",IFERROR(IF($R62="YOY Growth",$N62*(1+$T62)/12,$S62/12),""))</f>
        <v>0</v>
      </c>
      <c r="V62" s="26">
        <f t="shared" si="81"/>
        <v>0</v>
      </c>
      <c r="W62" s="26">
        <f t="shared" si="81"/>
        <v>0</v>
      </c>
      <c r="X62" s="26">
        <f t="shared" si="81"/>
        <v>0</v>
      </c>
      <c r="Y62" s="26">
        <f t="shared" si="81"/>
        <v>0</v>
      </c>
      <c r="Z62" s="26">
        <f t="shared" si="81"/>
        <v>0</v>
      </c>
      <c r="AA62" s="26">
        <f t="shared" si="81"/>
        <v>0</v>
      </c>
      <c r="AB62" s="26">
        <f t="shared" si="81"/>
        <v>0</v>
      </c>
      <c r="AC62" s="26">
        <f t="shared" si="81"/>
        <v>0</v>
      </c>
      <c r="AD62" s="26">
        <f t="shared" si="81"/>
        <v>0</v>
      </c>
      <c r="AE62" s="26">
        <f t="shared" si="81"/>
        <v>0</v>
      </c>
      <c r="AF62" s="26">
        <f t="shared" si="81"/>
        <v>0</v>
      </c>
      <c r="AG62" s="5">
        <f t="shared" si="75"/>
        <v>0</v>
      </c>
      <c r="AH62" s="28" t="str">
        <f t="shared" si="76"/>
        <v/>
      </c>
      <c r="AI62" s="4"/>
      <c r="AJ62" s="5">
        <f t="shared" si="77"/>
        <v>0</v>
      </c>
    </row>
    <row r="63" ht="13.5" customHeight="1">
      <c r="A63" s="33" t="s">
        <v>88</v>
      </c>
      <c r="B63" s="34">
        <f t="shared" ref="B63:M63" si="82">B37+B38+B39+B40+B41+B42+B56+B61+B62</f>
        <v>1001.64</v>
      </c>
      <c r="C63" s="34">
        <f t="shared" si="82"/>
        <v>3886.36</v>
      </c>
      <c r="D63" s="34">
        <f t="shared" si="82"/>
        <v>0</v>
      </c>
      <c r="E63" s="34">
        <f t="shared" si="82"/>
        <v>257.75</v>
      </c>
      <c r="F63" s="34">
        <f t="shared" si="82"/>
        <v>169.08</v>
      </c>
      <c r="G63" s="34">
        <f t="shared" si="82"/>
        <v>1513.17</v>
      </c>
      <c r="H63" s="34">
        <f t="shared" si="82"/>
        <v>1093.97</v>
      </c>
      <c r="I63" s="34">
        <f t="shared" si="82"/>
        <v>1072.32</v>
      </c>
      <c r="J63" s="34">
        <f t="shared" si="82"/>
        <v>0</v>
      </c>
      <c r="K63" s="34">
        <f t="shared" si="82"/>
        <v>0</v>
      </c>
      <c r="L63" s="34">
        <f t="shared" si="82"/>
        <v>0</v>
      </c>
      <c r="M63" s="34">
        <f t="shared" si="82"/>
        <v>0</v>
      </c>
      <c r="N63" s="34">
        <f t="shared" si="72"/>
        <v>8994.29</v>
      </c>
      <c r="O63" s="35" t="str">
        <f t="shared" si="73"/>
        <v/>
      </c>
      <c r="P63" s="5"/>
      <c r="Q63" s="5"/>
      <c r="R63" s="36"/>
      <c r="S63" s="36"/>
      <c r="T63" s="36"/>
      <c r="U63" s="34">
        <f t="shared" ref="U63:AF63" si="83">U37+U38+U39+U40+U41+U42+U56+U61+U62</f>
        <v>0</v>
      </c>
      <c r="V63" s="34">
        <f t="shared" si="83"/>
        <v>0</v>
      </c>
      <c r="W63" s="34">
        <f t="shared" si="83"/>
        <v>0</v>
      </c>
      <c r="X63" s="34">
        <f t="shared" si="83"/>
        <v>0</v>
      </c>
      <c r="Y63" s="34">
        <f t="shared" si="83"/>
        <v>0</v>
      </c>
      <c r="Z63" s="34">
        <f t="shared" si="83"/>
        <v>0</v>
      </c>
      <c r="AA63" s="34">
        <f t="shared" si="83"/>
        <v>0</v>
      </c>
      <c r="AB63" s="34">
        <f t="shared" si="83"/>
        <v>0</v>
      </c>
      <c r="AC63" s="34">
        <f t="shared" si="83"/>
        <v>0</v>
      </c>
      <c r="AD63" s="34">
        <f t="shared" si="83"/>
        <v>0</v>
      </c>
      <c r="AE63" s="34">
        <f t="shared" si="83"/>
        <v>0</v>
      </c>
      <c r="AF63" s="34">
        <f t="shared" si="83"/>
        <v>0</v>
      </c>
      <c r="AG63" s="34">
        <f t="shared" si="75"/>
        <v>0</v>
      </c>
      <c r="AH63" s="35" t="str">
        <f t="shared" si="76"/>
        <v/>
      </c>
      <c r="AI63" s="4"/>
      <c r="AJ63" s="34">
        <f t="shared" si="77"/>
        <v>8994.29</v>
      </c>
    </row>
    <row r="64" ht="13.5" customHeight="1">
      <c r="A64" s="49" t="s">
        <v>89</v>
      </c>
      <c r="B64" s="34">
        <f t="shared" ref="B64:M64" si="84">B16-B63</f>
        <v>-1001.64</v>
      </c>
      <c r="C64" s="34">
        <f t="shared" si="84"/>
        <v>-3886.36</v>
      </c>
      <c r="D64" s="34">
        <f t="shared" si="84"/>
        <v>0</v>
      </c>
      <c r="E64" s="34">
        <f t="shared" si="84"/>
        <v>-257.75</v>
      </c>
      <c r="F64" s="34">
        <f t="shared" si="84"/>
        <v>-169.08</v>
      </c>
      <c r="G64" s="34">
        <f t="shared" si="84"/>
        <v>-1513.17</v>
      </c>
      <c r="H64" s="34">
        <f t="shared" si="84"/>
        <v>-1093.97</v>
      </c>
      <c r="I64" s="34">
        <f t="shared" si="84"/>
        <v>-1072.32</v>
      </c>
      <c r="J64" s="34">
        <f t="shared" si="84"/>
        <v>0</v>
      </c>
      <c r="K64" s="34">
        <f t="shared" si="84"/>
        <v>0</v>
      </c>
      <c r="L64" s="34">
        <f t="shared" si="84"/>
        <v>0</v>
      </c>
      <c r="M64" s="34">
        <f t="shared" si="84"/>
        <v>0</v>
      </c>
      <c r="N64" s="34">
        <f t="shared" si="72"/>
        <v>-8994.29</v>
      </c>
      <c r="O64" s="35" t="str">
        <f t="shared" si="73"/>
        <v/>
      </c>
      <c r="P64" s="5"/>
      <c r="Q64" s="5"/>
      <c r="R64" s="36"/>
      <c r="S64" s="36"/>
      <c r="T64" s="36"/>
      <c r="U64" s="34">
        <f t="shared" ref="U64:AF64" si="85">U16-U63</f>
        <v>0</v>
      </c>
      <c r="V64" s="34">
        <f t="shared" si="85"/>
        <v>0</v>
      </c>
      <c r="W64" s="34">
        <f t="shared" si="85"/>
        <v>0</v>
      </c>
      <c r="X64" s="34">
        <f t="shared" si="85"/>
        <v>0</v>
      </c>
      <c r="Y64" s="34">
        <f t="shared" si="85"/>
        <v>0</v>
      </c>
      <c r="Z64" s="34">
        <f t="shared" si="85"/>
        <v>0</v>
      </c>
      <c r="AA64" s="34">
        <f t="shared" si="85"/>
        <v>0</v>
      </c>
      <c r="AB64" s="34">
        <f t="shared" si="85"/>
        <v>0</v>
      </c>
      <c r="AC64" s="34">
        <f t="shared" si="85"/>
        <v>0</v>
      </c>
      <c r="AD64" s="34">
        <f t="shared" si="85"/>
        <v>0</v>
      </c>
      <c r="AE64" s="34">
        <f t="shared" si="85"/>
        <v>0</v>
      </c>
      <c r="AF64" s="34">
        <f t="shared" si="85"/>
        <v>0</v>
      </c>
      <c r="AG64" s="34">
        <f t="shared" si="75"/>
        <v>0</v>
      </c>
      <c r="AH64" s="35" t="str">
        <f t="shared" si="76"/>
        <v/>
      </c>
      <c r="AI64" s="4"/>
      <c r="AJ64" s="34">
        <f>AG64-N64</f>
        <v>8994.29</v>
      </c>
    </row>
    <row r="65" ht="13.5" customHeight="1">
      <c r="A65" s="24" t="s">
        <v>90</v>
      </c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5"/>
      <c r="Q65" s="5"/>
      <c r="R65" s="36"/>
      <c r="S65" s="36"/>
      <c r="T65" s="36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4"/>
      <c r="AJ65" s="28"/>
    </row>
    <row r="66" ht="13.5" customHeight="1">
      <c r="A66" s="24" t="s">
        <v>91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28"/>
      <c r="P66" s="5"/>
      <c r="Q66" s="5"/>
      <c r="R66" s="36"/>
      <c r="S66" s="36"/>
      <c r="T66" s="36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28"/>
      <c r="AI66" s="4"/>
      <c r="AJ66" s="5"/>
    </row>
    <row r="67" ht="13.5" customHeight="1">
      <c r="A67" s="25" t="s">
        <v>92</v>
      </c>
      <c r="B67" s="5">
        <v>55695.15</v>
      </c>
      <c r="C67" s="5">
        <v>27654.39</v>
      </c>
      <c r="D67" s="5">
        <v>61502.28</v>
      </c>
      <c r="E67" s="5">
        <v>55315.58</v>
      </c>
      <c r="F67" s="5">
        <v>42282.65</v>
      </c>
      <c r="G67" s="5">
        <v>43025.7</v>
      </c>
      <c r="H67" s="5">
        <v>32866.88</v>
      </c>
      <c r="I67" s="5">
        <v>31543.74</v>
      </c>
      <c r="J67" s="27">
        <v>44900.0</v>
      </c>
      <c r="K67" s="27">
        <v>46100.0</v>
      </c>
      <c r="L67" s="27">
        <v>46100.0</v>
      </c>
      <c r="M67" s="27">
        <v>46100.0</v>
      </c>
      <c r="N67" s="5">
        <f t="shared" ref="N67:N80" si="86">SUM(B67:M67)</f>
        <v>533086.37</v>
      </c>
      <c r="O67" s="28" t="str">
        <f t="shared" ref="O67:O80" si="87">IFERROR(N67/N$16,"")</f>
        <v/>
      </c>
      <c r="P67" s="5"/>
      <c r="Q67" s="5"/>
      <c r="R67" s="50"/>
      <c r="S67" s="50"/>
      <c r="T67" s="50"/>
      <c r="U67" s="50">
        <v>43709.83333333333</v>
      </c>
      <c r="V67" s="50">
        <v>43709.83333333333</v>
      </c>
      <c r="W67" s="50">
        <v>43709.83333333333</v>
      </c>
      <c r="X67" s="50">
        <v>43709.83333333333</v>
      </c>
      <c r="Y67" s="50">
        <v>43709.83333333333</v>
      </c>
      <c r="Z67" s="50">
        <v>43709.83333333333</v>
      </c>
      <c r="AA67" s="50">
        <v>43709.83333333333</v>
      </c>
      <c r="AB67" s="50">
        <v>43709.83333333333</v>
      </c>
      <c r="AC67" s="50">
        <v>43709.83333333333</v>
      </c>
      <c r="AD67" s="50">
        <v>45021.128333333334</v>
      </c>
      <c r="AE67" s="50">
        <v>45021.128333333334</v>
      </c>
      <c r="AF67" s="50">
        <v>45021.128333333334</v>
      </c>
      <c r="AG67" s="5">
        <f t="shared" ref="AG67:AG80" si="88">SUM(U67:AF67)</f>
        <v>528451.885</v>
      </c>
      <c r="AH67" s="28" t="str">
        <f t="shared" ref="AH67:AH80" si="89">IFERROR(AG67/AG$16,"")</f>
        <v/>
      </c>
      <c r="AI67" s="4"/>
      <c r="AJ67" s="5">
        <f t="shared" ref="AJ67:AJ80" si="90">N67-AG67</f>
        <v>4634.485</v>
      </c>
    </row>
    <row r="68" ht="13.5" customHeight="1">
      <c r="A68" s="25" t="s">
        <v>93</v>
      </c>
      <c r="B68" s="5">
        <v>4847.17</v>
      </c>
      <c r="C68" s="5">
        <v>30724.64</v>
      </c>
      <c r="D68" s="5">
        <v>2634.91</v>
      </c>
      <c r="E68" s="5">
        <v>2624.16</v>
      </c>
      <c r="F68" s="5">
        <v>2207.77</v>
      </c>
      <c r="G68" s="5">
        <v>2215.29</v>
      </c>
      <c r="H68" s="5">
        <v>1907.84</v>
      </c>
      <c r="I68" s="5">
        <v>1885.04</v>
      </c>
      <c r="J68" s="27">
        <v>1796.0</v>
      </c>
      <c r="K68" s="27">
        <v>1844.0</v>
      </c>
      <c r="L68" s="27">
        <v>1844.0</v>
      </c>
      <c r="M68" s="27">
        <v>1844.0</v>
      </c>
      <c r="N68" s="5">
        <f t="shared" si="86"/>
        <v>56374.82</v>
      </c>
      <c r="O68" s="28" t="str">
        <f t="shared" si="87"/>
        <v/>
      </c>
      <c r="P68" s="5"/>
      <c r="Q68" s="5"/>
      <c r="R68" s="50"/>
      <c r="S68" s="50"/>
      <c r="T68" s="50"/>
      <c r="U68" s="50">
        <v>2282.289750957741</v>
      </c>
      <c r="V68" s="50">
        <v>2282.289750957741</v>
      </c>
      <c r="W68" s="50">
        <v>2282.289750957741</v>
      </c>
      <c r="X68" s="50">
        <v>2282.289750957741</v>
      </c>
      <c r="Y68" s="50">
        <v>2282.289750957741</v>
      </c>
      <c r="Z68" s="50">
        <v>2282.289750957741</v>
      </c>
      <c r="AA68" s="50">
        <v>2282.289750957741</v>
      </c>
      <c r="AB68" s="50">
        <v>2282.289750957741</v>
      </c>
      <c r="AC68" s="50">
        <v>2282.289750957741</v>
      </c>
      <c r="AD68" s="50">
        <v>2350.7584434864734</v>
      </c>
      <c r="AE68" s="50">
        <v>2350.7584434864734</v>
      </c>
      <c r="AF68" s="50">
        <v>2350.7584434864734</v>
      </c>
      <c r="AG68" s="5">
        <f t="shared" si="88"/>
        <v>27592.88309</v>
      </c>
      <c r="AH68" s="28" t="str">
        <f t="shared" si="89"/>
        <v/>
      </c>
      <c r="AI68" s="4"/>
      <c r="AJ68" s="5">
        <f t="shared" si="90"/>
        <v>28781.93691</v>
      </c>
    </row>
    <row r="69" ht="13.5" customHeight="1">
      <c r="A69" s="25" t="s">
        <v>94</v>
      </c>
      <c r="B69" s="5">
        <v>-3426.05</v>
      </c>
      <c r="C69" s="5">
        <v>1939.53</v>
      </c>
      <c r="D69" s="5">
        <v>6037.99</v>
      </c>
      <c r="E69" s="5">
        <v>6694.27</v>
      </c>
      <c r="F69" s="5">
        <v>5034.09</v>
      </c>
      <c r="G69" s="5">
        <v>5883.1</v>
      </c>
      <c r="H69" s="5">
        <v>1906.75</v>
      </c>
      <c r="I69" s="5">
        <v>5215.08</v>
      </c>
      <c r="J69" s="27">
        <v>4490.0</v>
      </c>
      <c r="K69" s="27">
        <v>4610.0</v>
      </c>
      <c r="L69" s="27">
        <v>4610.0</v>
      </c>
      <c r="M69" s="27">
        <v>4610.0</v>
      </c>
      <c r="N69" s="5">
        <f t="shared" si="86"/>
        <v>47604.76</v>
      </c>
      <c r="O69" s="28" t="str">
        <f t="shared" si="87"/>
        <v/>
      </c>
      <c r="P69" s="5"/>
      <c r="Q69" s="5"/>
      <c r="R69" s="50"/>
      <c r="S69" s="50"/>
      <c r="T69" s="50"/>
      <c r="U69" s="50">
        <v>5204.007669457803</v>
      </c>
      <c r="V69" s="50">
        <v>5204.007669457803</v>
      </c>
      <c r="W69" s="50">
        <v>5204.007669457803</v>
      </c>
      <c r="X69" s="50">
        <v>5204.007669457803</v>
      </c>
      <c r="Y69" s="50">
        <v>5204.007669457803</v>
      </c>
      <c r="Z69" s="50">
        <v>5204.007669457803</v>
      </c>
      <c r="AA69" s="50">
        <v>5204.007669457803</v>
      </c>
      <c r="AB69" s="50">
        <v>5204.007669457803</v>
      </c>
      <c r="AC69" s="50">
        <v>5204.007669457803</v>
      </c>
      <c r="AD69" s="50">
        <v>5360.127899541538</v>
      </c>
      <c r="AE69" s="50">
        <v>5360.127899541538</v>
      </c>
      <c r="AF69" s="50">
        <v>5360.127899541538</v>
      </c>
      <c r="AG69" s="5">
        <f t="shared" si="88"/>
        <v>62916.45272</v>
      </c>
      <c r="AH69" s="28" t="str">
        <f t="shared" si="89"/>
        <v/>
      </c>
      <c r="AI69" s="4"/>
      <c r="AJ69" s="5">
        <f t="shared" si="90"/>
        <v>-15311.69272</v>
      </c>
    </row>
    <row r="70" ht="13.5" customHeight="1">
      <c r="A70" s="25" t="s">
        <v>95</v>
      </c>
      <c r="B70" s="5">
        <v>0.0</v>
      </c>
      <c r="C70" s="5">
        <v>0.0</v>
      </c>
      <c r="D70" s="5">
        <v>0.0</v>
      </c>
      <c r="E70" s="5">
        <v>0.0</v>
      </c>
      <c r="F70" s="5">
        <v>0.0</v>
      </c>
      <c r="G70" s="5">
        <v>0.0</v>
      </c>
      <c r="H70" s="5">
        <v>0.0</v>
      </c>
      <c r="I70" s="5">
        <v>0.0</v>
      </c>
      <c r="J70" s="27">
        <v>0.0</v>
      </c>
      <c r="K70" s="27">
        <v>0.0</v>
      </c>
      <c r="L70" s="27">
        <v>0.0</v>
      </c>
      <c r="M70" s="27">
        <v>0.0</v>
      </c>
      <c r="N70" s="5">
        <f t="shared" si="86"/>
        <v>0</v>
      </c>
      <c r="O70" s="28" t="str">
        <f t="shared" si="87"/>
        <v/>
      </c>
      <c r="P70" s="5"/>
      <c r="Q70" s="5"/>
      <c r="R70" s="29" t="s">
        <v>34</v>
      </c>
      <c r="S70" s="30">
        <v>0.0</v>
      </c>
      <c r="T70" s="31">
        <v>0.05</v>
      </c>
      <c r="U70" s="26">
        <f t="shared" ref="U70:AF70" si="91">IF($R70="Manual","",IFERROR(IF($R70="YOY Growth",$N70*(1+$T70)/12,$S70/12),""))</f>
        <v>0</v>
      </c>
      <c r="V70" s="26">
        <f t="shared" si="91"/>
        <v>0</v>
      </c>
      <c r="W70" s="26">
        <f t="shared" si="91"/>
        <v>0</v>
      </c>
      <c r="X70" s="26">
        <f t="shared" si="91"/>
        <v>0</v>
      </c>
      <c r="Y70" s="26">
        <f t="shared" si="91"/>
        <v>0</v>
      </c>
      <c r="Z70" s="26">
        <f t="shared" si="91"/>
        <v>0</v>
      </c>
      <c r="AA70" s="26">
        <f t="shared" si="91"/>
        <v>0</v>
      </c>
      <c r="AB70" s="26">
        <f t="shared" si="91"/>
        <v>0</v>
      </c>
      <c r="AC70" s="26">
        <f t="shared" si="91"/>
        <v>0</v>
      </c>
      <c r="AD70" s="26">
        <f t="shared" si="91"/>
        <v>0</v>
      </c>
      <c r="AE70" s="26">
        <f t="shared" si="91"/>
        <v>0</v>
      </c>
      <c r="AF70" s="26">
        <f t="shared" si="91"/>
        <v>0</v>
      </c>
      <c r="AG70" s="5">
        <f t="shared" si="88"/>
        <v>0</v>
      </c>
      <c r="AH70" s="28" t="str">
        <f t="shared" si="89"/>
        <v/>
      </c>
      <c r="AI70" s="4"/>
      <c r="AJ70" s="5">
        <f t="shared" si="90"/>
        <v>0</v>
      </c>
    </row>
    <row r="71" ht="13.5" customHeight="1">
      <c r="A71" s="25" t="s">
        <v>96</v>
      </c>
      <c r="B71" s="5">
        <v>0.0</v>
      </c>
      <c r="C71" s="5">
        <v>0.0</v>
      </c>
      <c r="D71" s="5">
        <v>0.0</v>
      </c>
      <c r="E71" s="5">
        <v>0.0</v>
      </c>
      <c r="F71" s="5">
        <v>0.0</v>
      </c>
      <c r="G71" s="5">
        <v>0.0</v>
      </c>
      <c r="H71" s="5">
        <v>0.0</v>
      </c>
      <c r="I71" s="5">
        <v>0.0</v>
      </c>
      <c r="J71" s="27">
        <v>0.0</v>
      </c>
      <c r="K71" s="27">
        <v>0.0</v>
      </c>
      <c r="L71" s="27">
        <v>0.0</v>
      </c>
      <c r="M71" s="27">
        <v>0.0</v>
      </c>
      <c r="N71" s="5">
        <f t="shared" si="86"/>
        <v>0</v>
      </c>
      <c r="O71" s="28" t="str">
        <f t="shared" si="87"/>
        <v/>
      </c>
      <c r="P71" s="5"/>
      <c r="Q71" s="5"/>
      <c r="R71" s="29" t="s">
        <v>34</v>
      </c>
      <c r="S71" s="30">
        <v>0.0</v>
      </c>
      <c r="T71" s="31">
        <v>0.05</v>
      </c>
      <c r="U71" s="26">
        <f t="shared" ref="U71:AF71" si="92">IF($R71="Manual","",IFERROR(IF($R71="YOY Growth",$N71*(1+$T71)/12,$S71/12),""))</f>
        <v>0</v>
      </c>
      <c r="V71" s="26">
        <f t="shared" si="92"/>
        <v>0</v>
      </c>
      <c r="W71" s="26">
        <f t="shared" si="92"/>
        <v>0</v>
      </c>
      <c r="X71" s="26">
        <f t="shared" si="92"/>
        <v>0</v>
      </c>
      <c r="Y71" s="26">
        <f t="shared" si="92"/>
        <v>0</v>
      </c>
      <c r="Z71" s="26">
        <f t="shared" si="92"/>
        <v>0</v>
      </c>
      <c r="AA71" s="26">
        <f t="shared" si="92"/>
        <v>0</v>
      </c>
      <c r="AB71" s="26">
        <f t="shared" si="92"/>
        <v>0</v>
      </c>
      <c r="AC71" s="26">
        <f t="shared" si="92"/>
        <v>0</v>
      </c>
      <c r="AD71" s="26">
        <f t="shared" si="92"/>
        <v>0</v>
      </c>
      <c r="AE71" s="26">
        <f t="shared" si="92"/>
        <v>0</v>
      </c>
      <c r="AF71" s="26">
        <f t="shared" si="92"/>
        <v>0</v>
      </c>
      <c r="AG71" s="5">
        <f t="shared" si="88"/>
        <v>0</v>
      </c>
      <c r="AH71" s="28" t="str">
        <f t="shared" si="89"/>
        <v/>
      </c>
      <c r="AI71" s="4"/>
      <c r="AJ71" s="5">
        <f t="shared" si="90"/>
        <v>0</v>
      </c>
    </row>
    <row r="72" ht="13.5" customHeight="1">
      <c r="A72" s="25" t="s">
        <v>97</v>
      </c>
      <c r="B72" s="5">
        <v>0.0</v>
      </c>
      <c r="C72" s="5">
        <v>0.0</v>
      </c>
      <c r="D72" s="5">
        <v>0.0</v>
      </c>
      <c r="E72" s="5">
        <v>0.0</v>
      </c>
      <c r="F72" s="5">
        <v>0.0</v>
      </c>
      <c r="G72" s="5">
        <v>0.0</v>
      </c>
      <c r="H72" s="5">
        <v>0.0</v>
      </c>
      <c r="I72" s="5">
        <v>0.0</v>
      </c>
      <c r="J72" s="27">
        <v>0.0</v>
      </c>
      <c r="K72" s="27">
        <v>0.0</v>
      </c>
      <c r="L72" s="27">
        <v>0.0</v>
      </c>
      <c r="M72" s="27">
        <v>0.0</v>
      </c>
      <c r="N72" s="5">
        <f t="shared" si="86"/>
        <v>0</v>
      </c>
      <c r="O72" s="28" t="str">
        <f t="shared" si="87"/>
        <v/>
      </c>
      <c r="P72" s="5"/>
      <c r="Q72" s="5"/>
      <c r="R72" s="29" t="s">
        <v>34</v>
      </c>
      <c r="S72" s="30">
        <v>0.0</v>
      </c>
      <c r="T72" s="31">
        <v>0.05</v>
      </c>
      <c r="U72" s="26">
        <f t="shared" ref="U72:AF72" si="93">IF($R72="Manual","",IFERROR(IF($R72="YOY Growth",$N72*(1+$T72)/12,$S72/12),""))</f>
        <v>0</v>
      </c>
      <c r="V72" s="26">
        <f t="shared" si="93"/>
        <v>0</v>
      </c>
      <c r="W72" s="26">
        <f t="shared" si="93"/>
        <v>0</v>
      </c>
      <c r="X72" s="26">
        <f t="shared" si="93"/>
        <v>0</v>
      </c>
      <c r="Y72" s="26">
        <f t="shared" si="93"/>
        <v>0</v>
      </c>
      <c r="Z72" s="26">
        <f t="shared" si="93"/>
        <v>0</v>
      </c>
      <c r="AA72" s="26">
        <f t="shared" si="93"/>
        <v>0</v>
      </c>
      <c r="AB72" s="26">
        <f t="shared" si="93"/>
        <v>0</v>
      </c>
      <c r="AC72" s="26">
        <f t="shared" si="93"/>
        <v>0</v>
      </c>
      <c r="AD72" s="26">
        <f t="shared" si="93"/>
        <v>0</v>
      </c>
      <c r="AE72" s="26">
        <f t="shared" si="93"/>
        <v>0</v>
      </c>
      <c r="AF72" s="26">
        <f t="shared" si="93"/>
        <v>0</v>
      </c>
      <c r="AG72" s="5">
        <f t="shared" si="88"/>
        <v>0</v>
      </c>
      <c r="AH72" s="28" t="str">
        <f t="shared" si="89"/>
        <v/>
      </c>
      <c r="AI72" s="4"/>
      <c r="AJ72" s="5">
        <f t="shared" si="90"/>
        <v>0</v>
      </c>
    </row>
    <row r="73" ht="13.5" customHeight="1">
      <c r="A73" s="33" t="s">
        <v>98</v>
      </c>
      <c r="B73" s="34">
        <f t="shared" ref="B73:M73" si="94">SUM(B67:B72)</f>
        <v>57116.27</v>
      </c>
      <c r="C73" s="34">
        <f t="shared" si="94"/>
        <v>60318.56</v>
      </c>
      <c r="D73" s="34">
        <f t="shared" si="94"/>
        <v>70175.18</v>
      </c>
      <c r="E73" s="34">
        <f t="shared" si="94"/>
        <v>64634.01</v>
      </c>
      <c r="F73" s="34">
        <f t="shared" si="94"/>
        <v>49524.51</v>
      </c>
      <c r="G73" s="34">
        <f t="shared" si="94"/>
        <v>51124.09</v>
      </c>
      <c r="H73" s="34">
        <f t="shared" si="94"/>
        <v>36681.47</v>
      </c>
      <c r="I73" s="34">
        <f t="shared" si="94"/>
        <v>38643.86</v>
      </c>
      <c r="J73" s="34">
        <f t="shared" si="94"/>
        <v>51186</v>
      </c>
      <c r="K73" s="34">
        <f t="shared" si="94"/>
        <v>52554</v>
      </c>
      <c r="L73" s="34">
        <f t="shared" si="94"/>
        <v>52554</v>
      </c>
      <c r="M73" s="34">
        <f t="shared" si="94"/>
        <v>52554</v>
      </c>
      <c r="N73" s="34">
        <f t="shared" si="86"/>
        <v>637065.95</v>
      </c>
      <c r="O73" s="35" t="str">
        <f t="shared" si="87"/>
        <v/>
      </c>
      <c r="P73" s="5"/>
      <c r="Q73" s="5"/>
      <c r="R73" s="36"/>
      <c r="S73" s="36"/>
      <c r="T73" s="36"/>
      <c r="U73" s="34">
        <f t="shared" ref="U73:AF73" si="95">SUM(U67:U72)</f>
        <v>51196.13075</v>
      </c>
      <c r="V73" s="34">
        <f t="shared" si="95"/>
        <v>51196.13075</v>
      </c>
      <c r="W73" s="34">
        <f t="shared" si="95"/>
        <v>51196.13075</v>
      </c>
      <c r="X73" s="34">
        <f t="shared" si="95"/>
        <v>51196.13075</v>
      </c>
      <c r="Y73" s="34">
        <f t="shared" si="95"/>
        <v>51196.13075</v>
      </c>
      <c r="Z73" s="34">
        <f t="shared" si="95"/>
        <v>51196.13075</v>
      </c>
      <c r="AA73" s="34">
        <f t="shared" si="95"/>
        <v>51196.13075</v>
      </c>
      <c r="AB73" s="34">
        <f t="shared" si="95"/>
        <v>51196.13075</v>
      </c>
      <c r="AC73" s="34">
        <f t="shared" si="95"/>
        <v>51196.13075</v>
      </c>
      <c r="AD73" s="34">
        <f t="shared" si="95"/>
        <v>52732.01468</v>
      </c>
      <c r="AE73" s="34">
        <f t="shared" si="95"/>
        <v>52732.01468</v>
      </c>
      <c r="AF73" s="34">
        <f t="shared" si="95"/>
        <v>52732.01468</v>
      </c>
      <c r="AG73" s="34">
        <f t="shared" si="88"/>
        <v>618961.2208</v>
      </c>
      <c r="AH73" s="35" t="str">
        <f t="shared" si="89"/>
        <v/>
      </c>
      <c r="AI73" s="4"/>
      <c r="AJ73" s="34">
        <f t="shared" si="90"/>
        <v>18104.72919</v>
      </c>
    </row>
    <row r="74" ht="13.5" customHeight="1">
      <c r="A74" s="25" t="s">
        <v>99</v>
      </c>
      <c r="B74" s="5">
        <v>1863.53</v>
      </c>
      <c r="C74" s="5">
        <v>2554.72</v>
      </c>
      <c r="D74" s="5">
        <v>31.98</v>
      </c>
      <c r="E74" s="5">
        <v>0.0</v>
      </c>
      <c r="F74" s="5">
        <v>1310.87</v>
      </c>
      <c r="G74" s="5">
        <v>1236.79</v>
      </c>
      <c r="H74" s="5">
        <v>0.0</v>
      </c>
      <c r="I74" s="5">
        <v>630.22</v>
      </c>
      <c r="J74" s="27">
        <v>1500.0</v>
      </c>
      <c r="K74" s="27">
        <v>1500.0</v>
      </c>
      <c r="L74" s="27">
        <v>1500.0</v>
      </c>
      <c r="M74" s="27">
        <v>1500.0</v>
      </c>
      <c r="N74" s="5">
        <f t="shared" si="86"/>
        <v>13628.11</v>
      </c>
      <c r="O74" s="28" t="str">
        <f t="shared" si="87"/>
        <v/>
      </c>
      <c r="P74" s="5"/>
      <c r="Q74" s="5"/>
      <c r="R74" s="29" t="s">
        <v>34</v>
      </c>
      <c r="S74" s="30">
        <v>0.0</v>
      </c>
      <c r="T74" s="31">
        <v>0.05</v>
      </c>
      <c r="U74" s="26">
        <f t="shared" ref="U74:AF74" si="96">IF($R74="Manual","",IFERROR(IF($R74="YOY Growth",$N74*(1+$T74)/12,$S74/12),""))</f>
        <v>0</v>
      </c>
      <c r="V74" s="26">
        <f t="shared" si="96"/>
        <v>0</v>
      </c>
      <c r="W74" s="26">
        <f t="shared" si="96"/>
        <v>0</v>
      </c>
      <c r="X74" s="26">
        <f t="shared" si="96"/>
        <v>0</v>
      </c>
      <c r="Y74" s="26">
        <f t="shared" si="96"/>
        <v>0</v>
      </c>
      <c r="Z74" s="26">
        <f t="shared" si="96"/>
        <v>0</v>
      </c>
      <c r="AA74" s="26">
        <f t="shared" si="96"/>
        <v>0</v>
      </c>
      <c r="AB74" s="26">
        <f t="shared" si="96"/>
        <v>0</v>
      </c>
      <c r="AC74" s="26">
        <f t="shared" si="96"/>
        <v>0</v>
      </c>
      <c r="AD74" s="26">
        <f t="shared" si="96"/>
        <v>0</v>
      </c>
      <c r="AE74" s="26">
        <f t="shared" si="96"/>
        <v>0</v>
      </c>
      <c r="AF74" s="26">
        <f t="shared" si="96"/>
        <v>0</v>
      </c>
      <c r="AG74" s="5">
        <f t="shared" si="88"/>
        <v>0</v>
      </c>
      <c r="AH74" s="28" t="str">
        <f t="shared" si="89"/>
        <v/>
      </c>
      <c r="AI74" s="4"/>
      <c r="AJ74" s="5">
        <f t="shared" si="90"/>
        <v>13628.11</v>
      </c>
    </row>
    <row r="75" ht="13.5" customHeight="1">
      <c r="A75" s="25" t="s">
        <v>100</v>
      </c>
      <c r="B75" s="5">
        <v>387.38</v>
      </c>
      <c r="C75" s="5">
        <v>218.65</v>
      </c>
      <c r="D75" s="5">
        <v>0.0</v>
      </c>
      <c r="E75" s="5">
        <v>0.0</v>
      </c>
      <c r="F75" s="5">
        <v>0.0</v>
      </c>
      <c r="G75" s="5">
        <v>0.0</v>
      </c>
      <c r="H75" s="5">
        <v>0.0</v>
      </c>
      <c r="I75" s="5">
        <v>78.42</v>
      </c>
      <c r="J75" s="27">
        <v>300.0</v>
      </c>
      <c r="K75" s="27">
        <v>300.0</v>
      </c>
      <c r="L75" s="27">
        <v>300.0</v>
      </c>
      <c r="M75" s="27">
        <v>300.0</v>
      </c>
      <c r="N75" s="5">
        <f t="shared" si="86"/>
        <v>1884.45</v>
      </c>
      <c r="O75" s="28" t="str">
        <f t="shared" si="87"/>
        <v/>
      </c>
      <c r="P75" s="5"/>
      <c r="Q75" s="5"/>
      <c r="R75" s="29" t="s">
        <v>34</v>
      </c>
      <c r="S75" s="30">
        <v>0.0</v>
      </c>
      <c r="T75" s="31">
        <v>0.05</v>
      </c>
      <c r="U75" s="26">
        <f t="shared" ref="U75:AF75" si="97">IF($R75="Manual","",IFERROR(IF($R75="YOY Growth",$N75*(1+$T75)/12,$S75/12),""))</f>
        <v>0</v>
      </c>
      <c r="V75" s="26">
        <f t="shared" si="97"/>
        <v>0</v>
      </c>
      <c r="W75" s="26">
        <f t="shared" si="97"/>
        <v>0</v>
      </c>
      <c r="X75" s="26">
        <f t="shared" si="97"/>
        <v>0</v>
      </c>
      <c r="Y75" s="26">
        <f t="shared" si="97"/>
        <v>0</v>
      </c>
      <c r="Z75" s="26">
        <f t="shared" si="97"/>
        <v>0</v>
      </c>
      <c r="AA75" s="26">
        <f t="shared" si="97"/>
        <v>0</v>
      </c>
      <c r="AB75" s="26">
        <f t="shared" si="97"/>
        <v>0</v>
      </c>
      <c r="AC75" s="26">
        <f t="shared" si="97"/>
        <v>0</v>
      </c>
      <c r="AD75" s="26">
        <f t="shared" si="97"/>
        <v>0</v>
      </c>
      <c r="AE75" s="26">
        <f t="shared" si="97"/>
        <v>0</v>
      </c>
      <c r="AF75" s="26">
        <f t="shared" si="97"/>
        <v>0</v>
      </c>
      <c r="AG75" s="5">
        <f t="shared" si="88"/>
        <v>0</v>
      </c>
      <c r="AH75" s="28" t="str">
        <f t="shared" si="89"/>
        <v/>
      </c>
      <c r="AI75" s="4"/>
      <c r="AJ75" s="5">
        <f t="shared" si="90"/>
        <v>1884.45</v>
      </c>
    </row>
    <row r="76" ht="13.5" customHeight="1">
      <c r="A76" s="25" t="s">
        <v>101</v>
      </c>
      <c r="B76" s="5">
        <v>0.0</v>
      </c>
      <c r="C76" s="5">
        <v>0.0</v>
      </c>
      <c r="D76" s="5">
        <v>99.85</v>
      </c>
      <c r="E76" s="5">
        <v>0.0</v>
      </c>
      <c r="F76" s="5">
        <v>55.11</v>
      </c>
      <c r="G76" s="5">
        <v>0.0</v>
      </c>
      <c r="H76" s="5">
        <v>0.0</v>
      </c>
      <c r="I76" s="5">
        <v>0.0</v>
      </c>
      <c r="J76" s="27">
        <v>0.0</v>
      </c>
      <c r="K76" s="27">
        <v>0.0</v>
      </c>
      <c r="L76" s="27">
        <v>0.0</v>
      </c>
      <c r="M76" s="27">
        <v>0.0</v>
      </c>
      <c r="N76" s="5">
        <f t="shared" si="86"/>
        <v>154.96</v>
      </c>
      <c r="O76" s="28" t="str">
        <f t="shared" si="87"/>
        <v/>
      </c>
      <c r="P76" s="5"/>
      <c r="Q76" s="5"/>
      <c r="R76" s="29" t="s">
        <v>34</v>
      </c>
      <c r="S76" s="30">
        <v>0.0</v>
      </c>
      <c r="T76" s="31">
        <v>0.05</v>
      </c>
      <c r="U76" s="26">
        <f t="shared" ref="U76:AF76" si="98">IF($R76="Manual","",IFERROR(IF($R76="YOY Growth",$N76*(1+$T76)/12,$S76/12),""))</f>
        <v>0</v>
      </c>
      <c r="V76" s="26">
        <f t="shared" si="98"/>
        <v>0</v>
      </c>
      <c r="W76" s="26">
        <f t="shared" si="98"/>
        <v>0</v>
      </c>
      <c r="X76" s="26">
        <f t="shared" si="98"/>
        <v>0</v>
      </c>
      <c r="Y76" s="26">
        <f t="shared" si="98"/>
        <v>0</v>
      </c>
      <c r="Z76" s="26">
        <f t="shared" si="98"/>
        <v>0</v>
      </c>
      <c r="AA76" s="26">
        <f t="shared" si="98"/>
        <v>0</v>
      </c>
      <c r="AB76" s="26">
        <f t="shared" si="98"/>
        <v>0</v>
      </c>
      <c r="AC76" s="26">
        <f t="shared" si="98"/>
        <v>0</v>
      </c>
      <c r="AD76" s="26">
        <f t="shared" si="98"/>
        <v>0</v>
      </c>
      <c r="AE76" s="26">
        <f t="shared" si="98"/>
        <v>0</v>
      </c>
      <c r="AF76" s="26">
        <f t="shared" si="98"/>
        <v>0</v>
      </c>
      <c r="AG76" s="5">
        <f t="shared" si="88"/>
        <v>0</v>
      </c>
      <c r="AH76" s="28" t="str">
        <f t="shared" si="89"/>
        <v/>
      </c>
      <c r="AI76" s="4"/>
      <c r="AJ76" s="5">
        <f t="shared" si="90"/>
        <v>154.96</v>
      </c>
    </row>
    <row r="77" ht="13.5" customHeight="1">
      <c r="A77" s="25" t="s">
        <v>102</v>
      </c>
      <c r="B77" s="5">
        <v>0.0</v>
      </c>
      <c r="C77" s="5">
        <v>0.0</v>
      </c>
      <c r="D77" s="5">
        <v>0.0</v>
      </c>
      <c r="E77" s="5">
        <v>0.0</v>
      </c>
      <c r="F77" s="5">
        <v>0.0</v>
      </c>
      <c r="G77" s="5">
        <v>0.0</v>
      </c>
      <c r="H77" s="5">
        <v>0.0</v>
      </c>
      <c r="I77" s="5">
        <v>0.0</v>
      </c>
      <c r="J77" s="27">
        <v>0.0</v>
      </c>
      <c r="K77" s="27">
        <v>0.0</v>
      </c>
      <c r="L77" s="27">
        <v>0.0</v>
      </c>
      <c r="M77" s="27">
        <v>0.0</v>
      </c>
      <c r="N77" s="5">
        <f t="shared" si="86"/>
        <v>0</v>
      </c>
      <c r="O77" s="28" t="str">
        <f t="shared" si="87"/>
        <v/>
      </c>
      <c r="P77" s="5"/>
      <c r="Q77" s="5"/>
      <c r="R77" s="29" t="s">
        <v>34</v>
      </c>
      <c r="S77" s="30">
        <v>0.0</v>
      </c>
      <c r="T77" s="31">
        <v>0.05</v>
      </c>
      <c r="U77" s="26">
        <f t="shared" ref="U77:AF77" si="99">IF($R77="Manual","",IFERROR(IF($R77="YOY Growth",$N77*(1+$T77)/12,$S77/12),""))</f>
        <v>0</v>
      </c>
      <c r="V77" s="26">
        <f t="shared" si="99"/>
        <v>0</v>
      </c>
      <c r="W77" s="26">
        <f t="shared" si="99"/>
        <v>0</v>
      </c>
      <c r="X77" s="26">
        <f t="shared" si="99"/>
        <v>0</v>
      </c>
      <c r="Y77" s="26">
        <f t="shared" si="99"/>
        <v>0</v>
      </c>
      <c r="Z77" s="26">
        <f t="shared" si="99"/>
        <v>0</v>
      </c>
      <c r="AA77" s="26">
        <f t="shared" si="99"/>
        <v>0</v>
      </c>
      <c r="AB77" s="26">
        <f t="shared" si="99"/>
        <v>0</v>
      </c>
      <c r="AC77" s="26">
        <f t="shared" si="99"/>
        <v>0</v>
      </c>
      <c r="AD77" s="26">
        <f t="shared" si="99"/>
        <v>0</v>
      </c>
      <c r="AE77" s="26">
        <f t="shared" si="99"/>
        <v>0</v>
      </c>
      <c r="AF77" s="26">
        <f t="shared" si="99"/>
        <v>0</v>
      </c>
      <c r="AG77" s="5">
        <f t="shared" si="88"/>
        <v>0</v>
      </c>
      <c r="AH77" s="28" t="str">
        <f t="shared" si="89"/>
        <v/>
      </c>
      <c r="AI77" s="4"/>
      <c r="AJ77" s="5">
        <f t="shared" si="90"/>
        <v>0</v>
      </c>
    </row>
    <row r="78" ht="13.5" customHeight="1">
      <c r="A78" s="25" t="s">
        <v>103</v>
      </c>
      <c r="B78" s="5">
        <v>0.0</v>
      </c>
      <c r="C78" s="5">
        <v>0.0</v>
      </c>
      <c r="D78" s="5">
        <v>0.0</v>
      </c>
      <c r="E78" s="5">
        <v>0.0</v>
      </c>
      <c r="F78" s="5">
        <v>0.0</v>
      </c>
      <c r="G78" s="5">
        <v>0.0</v>
      </c>
      <c r="H78" s="5">
        <v>0.0</v>
      </c>
      <c r="I78" s="5">
        <v>0.0</v>
      </c>
      <c r="J78" s="27">
        <v>0.0</v>
      </c>
      <c r="K78" s="27">
        <v>0.0</v>
      </c>
      <c r="L78" s="27">
        <v>0.0</v>
      </c>
      <c r="M78" s="27">
        <v>0.0</v>
      </c>
      <c r="N78" s="5">
        <f t="shared" si="86"/>
        <v>0</v>
      </c>
      <c r="O78" s="28" t="str">
        <f t="shared" si="87"/>
        <v/>
      </c>
      <c r="P78" s="5"/>
      <c r="Q78" s="5"/>
      <c r="R78" s="29" t="s">
        <v>34</v>
      </c>
      <c r="S78" s="30">
        <v>0.0</v>
      </c>
      <c r="T78" s="31">
        <v>0.05</v>
      </c>
      <c r="U78" s="26">
        <f t="shared" ref="U78:AF78" si="100">IF($R78="Manual","",IFERROR(IF($R78="YOY Growth",$N78*(1+$T78)/12,$S78/12),""))</f>
        <v>0</v>
      </c>
      <c r="V78" s="26">
        <f t="shared" si="100"/>
        <v>0</v>
      </c>
      <c r="W78" s="26">
        <f t="shared" si="100"/>
        <v>0</v>
      </c>
      <c r="X78" s="26">
        <f t="shared" si="100"/>
        <v>0</v>
      </c>
      <c r="Y78" s="26">
        <f t="shared" si="100"/>
        <v>0</v>
      </c>
      <c r="Z78" s="26">
        <f t="shared" si="100"/>
        <v>0</v>
      </c>
      <c r="AA78" s="26">
        <f t="shared" si="100"/>
        <v>0</v>
      </c>
      <c r="AB78" s="26">
        <f t="shared" si="100"/>
        <v>0</v>
      </c>
      <c r="AC78" s="26">
        <f t="shared" si="100"/>
        <v>0</v>
      </c>
      <c r="AD78" s="26">
        <f t="shared" si="100"/>
        <v>0</v>
      </c>
      <c r="AE78" s="26">
        <f t="shared" si="100"/>
        <v>0</v>
      </c>
      <c r="AF78" s="26">
        <f t="shared" si="100"/>
        <v>0</v>
      </c>
      <c r="AG78" s="5">
        <f t="shared" si="88"/>
        <v>0</v>
      </c>
      <c r="AH78" s="28" t="str">
        <f t="shared" si="89"/>
        <v/>
      </c>
      <c r="AI78" s="4"/>
      <c r="AJ78" s="5">
        <f t="shared" si="90"/>
        <v>0</v>
      </c>
    </row>
    <row r="79" ht="13.5" customHeight="1">
      <c r="A79" s="25" t="s">
        <v>104</v>
      </c>
      <c r="B79" s="5">
        <v>0.0</v>
      </c>
      <c r="C79" s="5">
        <v>0.0</v>
      </c>
      <c r="D79" s="5">
        <v>871.4</v>
      </c>
      <c r="E79" s="5">
        <v>37.0</v>
      </c>
      <c r="F79" s="5">
        <v>0.0</v>
      </c>
      <c r="G79" s="5">
        <v>0.0</v>
      </c>
      <c r="H79" s="5">
        <v>0.0</v>
      </c>
      <c r="I79" s="5">
        <v>0.0</v>
      </c>
      <c r="J79" s="27">
        <v>0.0</v>
      </c>
      <c r="K79" s="27">
        <v>0.0</v>
      </c>
      <c r="L79" s="27">
        <v>0.0</v>
      </c>
      <c r="M79" s="27">
        <v>0.0</v>
      </c>
      <c r="N79" s="5">
        <f t="shared" si="86"/>
        <v>908.4</v>
      </c>
      <c r="O79" s="28" t="str">
        <f t="shared" si="87"/>
        <v/>
      </c>
      <c r="P79" s="5"/>
      <c r="Q79" s="5"/>
      <c r="R79" s="29" t="s">
        <v>34</v>
      </c>
      <c r="S79" s="30">
        <v>0.0</v>
      </c>
      <c r="T79" s="31">
        <v>0.05</v>
      </c>
      <c r="U79" s="26">
        <f t="shared" ref="U79:AF79" si="101">IF($R79="Manual","",IFERROR(IF($R79="YOY Growth",$N79*(1+$T79)/12,$S79/12),""))</f>
        <v>0</v>
      </c>
      <c r="V79" s="26">
        <f t="shared" si="101"/>
        <v>0</v>
      </c>
      <c r="W79" s="26">
        <f t="shared" si="101"/>
        <v>0</v>
      </c>
      <c r="X79" s="26">
        <f t="shared" si="101"/>
        <v>0</v>
      </c>
      <c r="Y79" s="26">
        <f t="shared" si="101"/>
        <v>0</v>
      </c>
      <c r="Z79" s="26">
        <f t="shared" si="101"/>
        <v>0</v>
      </c>
      <c r="AA79" s="26">
        <f t="shared" si="101"/>
        <v>0</v>
      </c>
      <c r="AB79" s="26">
        <f t="shared" si="101"/>
        <v>0</v>
      </c>
      <c r="AC79" s="26">
        <f t="shared" si="101"/>
        <v>0</v>
      </c>
      <c r="AD79" s="26">
        <f t="shared" si="101"/>
        <v>0</v>
      </c>
      <c r="AE79" s="26">
        <f t="shared" si="101"/>
        <v>0</v>
      </c>
      <c r="AF79" s="26">
        <f t="shared" si="101"/>
        <v>0</v>
      </c>
      <c r="AG79" s="5">
        <f t="shared" si="88"/>
        <v>0</v>
      </c>
      <c r="AH79" s="28" t="str">
        <f t="shared" si="89"/>
        <v/>
      </c>
      <c r="AI79" s="4"/>
      <c r="AJ79" s="5">
        <f t="shared" si="90"/>
        <v>908.4</v>
      </c>
    </row>
    <row r="80" ht="13.5" customHeight="1">
      <c r="A80" s="25" t="s">
        <v>105</v>
      </c>
      <c r="B80" s="5">
        <v>0.0</v>
      </c>
      <c r="C80" s="5">
        <v>145.88</v>
      </c>
      <c r="D80" s="5">
        <v>115.89</v>
      </c>
      <c r="E80" s="5">
        <v>15.89</v>
      </c>
      <c r="F80" s="5">
        <v>0.0</v>
      </c>
      <c r="G80" s="5">
        <v>0.0</v>
      </c>
      <c r="H80" s="5">
        <v>0.0</v>
      </c>
      <c r="I80" s="5">
        <v>0.0</v>
      </c>
      <c r="J80" s="27">
        <v>60.0</v>
      </c>
      <c r="K80" s="27">
        <v>60.0</v>
      </c>
      <c r="L80" s="27">
        <v>60.0</v>
      </c>
      <c r="M80" s="27">
        <v>60.0</v>
      </c>
      <c r="N80" s="5">
        <f t="shared" si="86"/>
        <v>517.66</v>
      </c>
      <c r="O80" s="28" t="str">
        <f t="shared" si="87"/>
        <v/>
      </c>
      <c r="P80" s="5"/>
      <c r="Q80" s="5"/>
      <c r="R80" s="29" t="s">
        <v>34</v>
      </c>
      <c r="S80" s="30">
        <v>0.0</v>
      </c>
      <c r="T80" s="31">
        <v>0.05</v>
      </c>
      <c r="U80" s="26">
        <f t="shared" ref="U80:AF80" si="102">IF($R80="Manual","",IFERROR(IF($R80="YOY Growth",$N80*(1+$T80)/12,$S80/12),""))</f>
        <v>0</v>
      </c>
      <c r="V80" s="26">
        <f t="shared" si="102"/>
        <v>0</v>
      </c>
      <c r="W80" s="26">
        <f t="shared" si="102"/>
        <v>0</v>
      </c>
      <c r="X80" s="26">
        <f t="shared" si="102"/>
        <v>0</v>
      </c>
      <c r="Y80" s="26">
        <f t="shared" si="102"/>
        <v>0</v>
      </c>
      <c r="Z80" s="26">
        <f t="shared" si="102"/>
        <v>0</v>
      </c>
      <c r="AA80" s="26">
        <f t="shared" si="102"/>
        <v>0</v>
      </c>
      <c r="AB80" s="26">
        <f t="shared" si="102"/>
        <v>0</v>
      </c>
      <c r="AC80" s="26">
        <f t="shared" si="102"/>
        <v>0</v>
      </c>
      <c r="AD80" s="26">
        <f t="shared" si="102"/>
        <v>0</v>
      </c>
      <c r="AE80" s="26">
        <f t="shared" si="102"/>
        <v>0</v>
      </c>
      <c r="AF80" s="26">
        <f t="shared" si="102"/>
        <v>0</v>
      </c>
      <c r="AG80" s="5">
        <f t="shared" si="88"/>
        <v>0</v>
      </c>
      <c r="AH80" s="28" t="str">
        <f t="shared" si="89"/>
        <v/>
      </c>
      <c r="AI80" s="4"/>
      <c r="AJ80" s="5">
        <f t="shared" si="90"/>
        <v>517.66</v>
      </c>
    </row>
    <row r="81" ht="13.5" customHeight="1">
      <c r="A81" s="24" t="s">
        <v>106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28"/>
      <c r="P81" s="5"/>
      <c r="Q81" s="5"/>
      <c r="R81" s="36"/>
      <c r="S81" s="36"/>
      <c r="T81" s="36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28"/>
      <c r="AI81" s="4"/>
      <c r="AJ81" s="5"/>
    </row>
    <row r="82" ht="13.5" customHeight="1">
      <c r="A82" s="25" t="s">
        <v>107</v>
      </c>
      <c r="B82" s="5">
        <v>0.0</v>
      </c>
      <c r="C82" s="5">
        <v>0.0</v>
      </c>
      <c r="D82" s="5">
        <v>0.0</v>
      </c>
      <c r="E82" s="5">
        <v>0.0</v>
      </c>
      <c r="F82" s="5">
        <v>0.0</v>
      </c>
      <c r="G82" s="5">
        <v>0.0</v>
      </c>
      <c r="H82" s="5">
        <v>0.0</v>
      </c>
      <c r="I82" s="5">
        <v>0.0</v>
      </c>
      <c r="J82" s="27">
        <v>0.0</v>
      </c>
      <c r="K82" s="27">
        <v>0.0</v>
      </c>
      <c r="L82" s="27">
        <v>0.0</v>
      </c>
      <c r="M82" s="27">
        <v>0.0</v>
      </c>
      <c r="N82" s="5">
        <f t="shared" ref="N82:N117" si="104">SUM(B82:M82)</f>
        <v>0</v>
      </c>
      <c r="O82" s="28" t="str">
        <f t="shared" ref="O82:O117" si="105">IFERROR(N82/N$16,"")</f>
        <v/>
      </c>
      <c r="P82" s="5"/>
      <c r="Q82" s="5"/>
      <c r="R82" s="29" t="s">
        <v>34</v>
      </c>
      <c r="S82" s="30">
        <v>0.0</v>
      </c>
      <c r="T82" s="31">
        <v>0.05</v>
      </c>
      <c r="U82" s="26">
        <f t="shared" ref="U82:AF82" si="103">IF($R82="Manual","",IFERROR(IF($R82="YOY Growth",$N82*(1+$T82)/12,$S82/12),""))</f>
        <v>0</v>
      </c>
      <c r="V82" s="26">
        <f t="shared" si="103"/>
        <v>0</v>
      </c>
      <c r="W82" s="26">
        <f t="shared" si="103"/>
        <v>0</v>
      </c>
      <c r="X82" s="26">
        <f t="shared" si="103"/>
        <v>0</v>
      </c>
      <c r="Y82" s="26">
        <f t="shared" si="103"/>
        <v>0</v>
      </c>
      <c r="Z82" s="26">
        <f t="shared" si="103"/>
        <v>0</v>
      </c>
      <c r="AA82" s="26">
        <f t="shared" si="103"/>
        <v>0</v>
      </c>
      <c r="AB82" s="26">
        <f t="shared" si="103"/>
        <v>0</v>
      </c>
      <c r="AC82" s="26">
        <f t="shared" si="103"/>
        <v>0</v>
      </c>
      <c r="AD82" s="26">
        <f t="shared" si="103"/>
        <v>0</v>
      </c>
      <c r="AE82" s="26">
        <f t="shared" si="103"/>
        <v>0</v>
      </c>
      <c r="AF82" s="26">
        <f t="shared" si="103"/>
        <v>0</v>
      </c>
      <c r="AG82" s="5">
        <f t="shared" ref="AG82:AG117" si="107">SUM(U82:AF82)</f>
        <v>0</v>
      </c>
      <c r="AH82" s="28" t="str">
        <f t="shared" ref="AH82:AH117" si="108">IFERROR(AG82/AG$16,"")</f>
        <v/>
      </c>
      <c r="AI82" s="4"/>
      <c r="AJ82" s="5">
        <f t="shared" ref="AJ82:AJ116" si="109">N82-AG82</f>
        <v>0</v>
      </c>
    </row>
    <row r="83" ht="13.5" customHeight="1">
      <c r="A83" s="25" t="s">
        <v>108</v>
      </c>
      <c r="B83" s="5">
        <v>1716.81</v>
      </c>
      <c r="C83" s="5">
        <v>1639.89</v>
      </c>
      <c r="D83" s="5">
        <v>654.95</v>
      </c>
      <c r="E83" s="5">
        <v>0.0</v>
      </c>
      <c r="F83" s="5">
        <v>596.5</v>
      </c>
      <c r="G83" s="5">
        <v>1755.52</v>
      </c>
      <c r="H83" s="5">
        <v>728.5</v>
      </c>
      <c r="I83" s="5">
        <v>0.0</v>
      </c>
      <c r="J83" s="27">
        <v>1500.0</v>
      </c>
      <c r="K83" s="27">
        <v>1500.0</v>
      </c>
      <c r="L83" s="27">
        <v>3000.0</v>
      </c>
      <c r="M83" s="27">
        <v>1500.0</v>
      </c>
      <c r="N83" s="5">
        <f t="shared" si="104"/>
        <v>14592.17</v>
      </c>
      <c r="O83" s="28" t="str">
        <f t="shared" si="105"/>
        <v/>
      </c>
      <c r="P83" s="5"/>
      <c r="Q83" s="5"/>
      <c r="R83" s="29" t="s">
        <v>34</v>
      </c>
      <c r="S83" s="30">
        <v>0.0</v>
      </c>
      <c r="T83" s="31">
        <v>0.05</v>
      </c>
      <c r="U83" s="26">
        <f t="shared" ref="U83:AF83" si="106">IF($R83="Manual","",IFERROR(IF($R83="YOY Growth",$N83*(1+$T83)/12,$S83/12),""))</f>
        <v>0</v>
      </c>
      <c r="V83" s="26">
        <f t="shared" si="106"/>
        <v>0</v>
      </c>
      <c r="W83" s="26">
        <f t="shared" si="106"/>
        <v>0</v>
      </c>
      <c r="X83" s="26">
        <f t="shared" si="106"/>
        <v>0</v>
      </c>
      <c r="Y83" s="26">
        <f t="shared" si="106"/>
        <v>0</v>
      </c>
      <c r="Z83" s="26">
        <f t="shared" si="106"/>
        <v>0</v>
      </c>
      <c r="AA83" s="26">
        <f t="shared" si="106"/>
        <v>0</v>
      </c>
      <c r="AB83" s="26">
        <f t="shared" si="106"/>
        <v>0</v>
      </c>
      <c r="AC83" s="26">
        <f t="shared" si="106"/>
        <v>0</v>
      </c>
      <c r="AD83" s="26">
        <f t="shared" si="106"/>
        <v>0</v>
      </c>
      <c r="AE83" s="26">
        <f t="shared" si="106"/>
        <v>0</v>
      </c>
      <c r="AF83" s="26">
        <f t="shared" si="106"/>
        <v>0</v>
      </c>
      <c r="AG83" s="5">
        <f t="shared" si="107"/>
        <v>0</v>
      </c>
      <c r="AH83" s="28" t="str">
        <f t="shared" si="108"/>
        <v/>
      </c>
      <c r="AI83" s="4"/>
      <c r="AJ83" s="5">
        <f t="shared" si="109"/>
        <v>14592.17</v>
      </c>
    </row>
    <row r="84" ht="13.5" customHeight="1">
      <c r="A84" s="25" t="s">
        <v>109</v>
      </c>
      <c r="B84" s="5">
        <v>153.63</v>
      </c>
      <c r="C84" s="5">
        <v>1867.65</v>
      </c>
      <c r="D84" s="5">
        <v>0.0</v>
      </c>
      <c r="E84" s="5">
        <v>0.0</v>
      </c>
      <c r="F84" s="5">
        <v>901.61</v>
      </c>
      <c r="G84" s="5">
        <v>0.0</v>
      </c>
      <c r="H84" s="5">
        <v>270.05</v>
      </c>
      <c r="I84" s="5">
        <v>0.0</v>
      </c>
      <c r="J84" s="27">
        <v>600.0</v>
      </c>
      <c r="K84" s="27">
        <v>600.0</v>
      </c>
      <c r="L84" s="27">
        <v>600.0</v>
      </c>
      <c r="M84" s="27">
        <v>600.0</v>
      </c>
      <c r="N84" s="5">
        <f t="shared" si="104"/>
        <v>5592.94</v>
      </c>
      <c r="O84" s="28" t="str">
        <f t="shared" si="105"/>
        <v/>
      </c>
      <c r="P84" s="5"/>
      <c r="Q84" s="5"/>
      <c r="R84" s="29" t="s">
        <v>34</v>
      </c>
      <c r="S84" s="30">
        <v>0.0</v>
      </c>
      <c r="T84" s="31">
        <v>0.05</v>
      </c>
      <c r="U84" s="26">
        <f t="shared" ref="U84:AF84" si="110">IF($R84="Manual","",IFERROR(IF($R84="YOY Growth",$N84*(1+$T84)/12,$S84/12),""))</f>
        <v>0</v>
      </c>
      <c r="V84" s="26">
        <f t="shared" si="110"/>
        <v>0</v>
      </c>
      <c r="W84" s="26">
        <f t="shared" si="110"/>
        <v>0</v>
      </c>
      <c r="X84" s="26">
        <f t="shared" si="110"/>
        <v>0</v>
      </c>
      <c r="Y84" s="26">
        <f t="shared" si="110"/>
        <v>0</v>
      </c>
      <c r="Z84" s="26">
        <f t="shared" si="110"/>
        <v>0</v>
      </c>
      <c r="AA84" s="26">
        <f t="shared" si="110"/>
        <v>0</v>
      </c>
      <c r="AB84" s="26">
        <f t="shared" si="110"/>
        <v>0</v>
      </c>
      <c r="AC84" s="26">
        <f t="shared" si="110"/>
        <v>0</v>
      </c>
      <c r="AD84" s="26">
        <f t="shared" si="110"/>
        <v>0</v>
      </c>
      <c r="AE84" s="26">
        <f t="shared" si="110"/>
        <v>0</v>
      </c>
      <c r="AF84" s="26">
        <f t="shared" si="110"/>
        <v>0</v>
      </c>
      <c r="AG84" s="5">
        <f t="shared" si="107"/>
        <v>0</v>
      </c>
      <c r="AH84" s="28" t="str">
        <f t="shared" si="108"/>
        <v/>
      </c>
      <c r="AI84" s="4"/>
      <c r="AJ84" s="5">
        <f t="shared" si="109"/>
        <v>5592.94</v>
      </c>
    </row>
    <row r="85" ht="13.5" customHeight="1">
      <c r="A85" s="25" t="s">
        <v>110</v>
      </c>
      <c r="B85" s="5">
        <v>1067.24</v>
      </c>
      <c r="C85" s="5">
        <v>1869.08</v>
      </c>
      <c r="D85" s="5">
        <v>325.9</v>
      </c>
      <c r="E85" s="5">
        <v>0.0</v>
      </c>
      <c r="F85" s="5">
        <v>549.11</v>
      </c>
      <c r="G85" s="5">
        <v>721.44</v>
      </c>
      <c r="H85" s="5">
        <v>1816.86</v>
      </c>
      <c r="I85" s="5">
        <v>0.0</v>
      </c>
      <c r="J85" s="27">
        <v>1000.0</v>
      </c>
      <c r="K85" s="27">
        <v>1000.0</v>
      </c>
      <c r="L85" s="27">
        <v>2500.0</v>
      </c>
      <c r="M85" s="27">
        <v>1000.0</v>
      </c>
      <c r="N85" s="5">
        <f t="shared" si="104"/>
        <v>11849.63</v>
      </c>
      <c r="O85" s="28" t="str">
        <f t="shared" si="105"/>
        <v/>
      </c>
      <c r="P85" s="5"/>
      <c r="Q85" s="5"/>
      <c r="R85" s="29" t="s">
        <v>34</v>
      </c>
      <c r="S85" s="30">
        <v>0.0</v>
      </c>
      <c r="T85" s="31">
        <v>0.05</v>
      </c>
      <c r="U85" s="26">
        <f t="shared" ref="U85:AF85" si="111">IF($R85="Manual","",IFERROR(IF($R85="YOY Growth",$N85*(1+$T85)/12,$S85/12),""))</f>
        <v>0</v>
      </c>
      <c r="V85" s="26">
        <f t="shared" si="111"/>
        <v>0</v>
      </c>
      <c r="W85" s="26">
        <f t="shared" si="111"/>
        <v>0</v>
      </c>
      <c r="X85" s="26">
        <f t="shared" si="111"/>
        <v>0</v>
      </c>
      <c r="Y85" s="26">
        <f t="shared" si="111"/>
        <v>0</v>
      </c>
      <c r="Z85" s="26">
        <f t="shared" si="111"/>
        <v>0</v>
      </c>
      <c r="AA85" s="26">
        <f t="shared" si="111"/>
        <v>0</v>
      </c>
      <c r="AB85" s="26">
        <f t="shared" si="111"/>
        <v>0</v>
      </c>
      <c r="AC85" s="26">
        <f t="shared" si="111"/>
        <v>0</v>
      </c>
      <c r="AD85" s="26">
        <f t="shared" si="111"/>
        <v>0</v>
      </c>
      <c r="AE85" s="26">
        <f t="shared" si="111"/>
        <v>0</v>
      </c>
      <c r="AF85" s="26">
        <f t="shared" si="111"/>
        <v>0</v>
      </c>
      <c r="AG85" s="5">
        <f t="shared" si="107"/>
        <v>0</v>
      </c>
      <c r="AH85" s="28" t="str">
        <f t="shared" si="108"/>
        <v/>
      </c>
      <c r="AI85" s="4"/>
      <c r="AJ85" s="5">
        <f t="shared" si="109"/>
        <v>11849.63</v>
      </c>
    </row>
    <row r="86" ht="13.5" customHeight="1">
      <c r="A86" s="25" t="s">
        <v>111</v>
      </c>
      <c r="B86" s="5">
        <v>143.34</v>
      </c>
      <c r="C86" s="5">
        <v>172.71</v>
      </c>
      <c r="D86" s="5">
        <v>160.18</v>
      </c>
      <c r="E86" s="5">
        <v>0.0</v>
      </c>
      <c r="F86" s="5">
        <v>235.48</v>
      </c>
      <c r="G86" s="5">
        <v>241.47</v>
      </c>
      <c r="H86" s="5">
        <v>169.9</v>
      </c>
      <c r="I86" s="5">
        <v>0.0</v>
      </c>
      <c r="J86" s="27">
        <v>200.0</v>
      </c>
      <c r="K86" s="27">
        <v>200.0</v>
      </c>
      <c r="L86" s="27">
        <v>500.0</v>
      </c>
      <c r="M86" s="27">
        <v>200.0</v>
      </c>
      <c r="N86" s="5">
        <f t="shared" si="104"/>
        <v>2223.08</v>
      </c>
      <c r="O86" s="28" t="str">
        <f t="shared" si="105"/>
        <v/>
      </c>
      <c r="P86" s="5"/>
      <c r="Q86" s="5"/>
      <c r="R86" s="29" t="s">
        <v>34</v>
      </c>
      <c r="S86" s="30">
        <v>0.0</v>
      </c>
      <c r="T86" s="31">
        <v>0.05</v>
      </c>
      <c r="U86" s="26">
        <f t="shared" ref="U86:AF86" si="112">IF($R86="Manual","",IFERROR(IF($R86="YOY Growth",$N86*(1+$T86)/12,$S86/12),""))</f>
        <v>0</v>
      </c>
      <c r="V86" s="26">
        <f t="shared" si="112"/>
        <v>0</v>
      </c>
      <c r="W86" s="26">
        <f t="shared" si="112"/>
        <v>0</v>
      </c>
      <c r="X86" s="26">
        <f t="shared" si="112"/>
        <v>0</v>
      </c>
      <c r="Y86" s="26">
        <f t="shared" si="112"/>
        <v>0</v>
      </c>
      <c r="Z86" s="26">
        <f t="shared" si="112"/>
        <v>0</v>
      </c>
      <c r="AA86" s="26">
        <f t="shared" si="112"/>
        <v>0</v>
      </c>
      <c r="AB86" s="26">
        <f t="shared" si="112"/>
        <v>0</v>
      </c>
      <c r="AC86" s="26">
        <f t="shared" si="112"/>
        <v>0</v>
      </c>
      <c r="AD86" s="26">
        <f t="shared" si="112"/>
        <v>0</v>
      </c>
      <c r="AE86" s="26">
        <f t="shared" si="112"/>
        <v>0</v>
      </c>
      <c r="AF86" s="26">
        <f t="shared" si="112"/>
        <v>0</v>
      </c>
      <c r="AG86" s="5">
        <f t="shared" si="107"/>
        <v>0</v>
      </c>
      <c r="AH86" s="28" t="str">
        <f t="shared" si="108"/>
        <v/>
      </c>
      <c r="AI86" s="4"/>
      <c r="AJ86" s="5">
        <f t="shared" si="109"/>
        <v>2223.08</v>
      </c>
    </row>
    <row r="87" ht="13.5" customHeight="1">
      <c r="A87" s="33" t="s">
        <v>112</v>
      </c>
      <c r="B87" s="34">
        <f t="shared" ref="B87:M87" si="113">SUM(B82:B86)</f>
        <v>3081.02</v>
      </c>
      <c r="C87" s="34">
        <f t="shared" si="113"/>
        <v>5549.33</v>
      </c>
      <c r="D87" s="34">
        <f t="shared" si="113"/>
        <v>1141.03</v>
      </c>
      <c r="E87" s="34">
        <f t="shared" si="113"/>
        <v>0</v>
      </c>
      <c r="F87" s="34">
        <f t="shared" si="113"/>
        <v>2282.7</v>
      </c>
      <c r="G87" s="34">
        <f t="shared" si="113"/>
        <v>2718.43</v>
      </c>
      <c r="H87" s="34">
        <f t="shared" si="113"/>
        <v>2985.31</v>
      </c>
      <c r="I87" s="34">
        <f t="shared" si="113"/>
        <v>0</v>
      </c>
      <c r="J87" s="34">
        <f t="shared" si="113"/>
        <v>3300</v>
      </c>
      <c r="K87" s="34">
        <f t="shared" si="113"/>
        <v>3300</v>
      </c>
      <c r="L87" s="34">
        <f t="shared" si="113"/>
        <v>6600</v>
      </c>
      <c r="M87" s="34">
        <f t="shared" si="113"/>
        <v>3300</v>
      </c>
      <c r="N87" s="34">
        <f t="shared" si="104"/>
        <v>34257.82</v>
      </c>
      <c r="O87" s="35" t="str">
        <f t="shared" si="105"/>
        <v/>
      </c>
      <c r="P87" s="5"/>
      <c r="Q87" s="5"/>
      <c r="R87" s="36"/>
      <c r="S87" s="36"/>
      <c r="T87" s="36"/>
      <c r="U87" s="34">
        <f t="shared" ref="U87:AF87" si="114">SUM(U82:U86)</f>
        <v>0</v>
      </c>
      <c r="V87" s="34">
        <f t="shared" si="114"/>
        <v>0</v>
      </c>
      <c r="W87" s="34">
        <f t="shared" si="114"/>
        <v>0</v>
      </c>
      <c r="X87" s="34">
        <f t="shared" si="114"/>
        <v>0</v>
      </c>
      <c r="Y87" s="34">
        <f t="shared" si="114"/>
        <v>0</v>
      </c>
      <c r="Z87" s="34">
        <f t="shared" si="114"/>
        <v>0</v>
      </c>
      <c r="AA87" s="34">
        <f t="shared" si="114"/>
        <v>0</v>
      </c>
      <c r="AB87" s="34">
        <f t="shared" si="114"/>
        <v>0</v>
      </c>
      <c r="AC87" s="34">
        <f t="shared" si="114"/>
        <v>0</v>
      </c>
      <c r="AD87" s="34">
        <f t="shared" si="114"/>
        <v>0</v>
      </c>
      <c r="AE87" s="34">
        <f t="shared" si="114"/>
        <v>0</v>
      </c>
      <c r="AF87" s="34">
        <f t="shared" si="114"/>
        <v>0</v>
      </c>
      <c r="AG87" s="34">
        <f t="shared" si="107"/>
        <v>0</v>
      </c>
      <c r="AH87" s="35" t="str">
        <f t="shared" si="108"/>
        <v/>
      </c>
      <c r="AI87" s="4"/>
      <c r="AJ87" s="34">
        <f t="shared" si="109"/>
        <v>34257.82</v>
      </c>
    </row>
    <row r="88" ht="13.5" customHeight="1">
      <c r="A88" s="25" t="s">
        <v>113</v>
      </c>
      <c r="B88" s="5">
        <v>0.0</v>
      </c>
      <c r="C88" s="5">
        <v>0.0</v>
      </c>
      <c r="D88" s="5">
        <v>0.0</v>
      </c>
      <c r="E88" s="5">
        <v>0.0</v>
      </c>
      <c r="F88" s="5">
        <v>0.0</v>
      </c>
      <c r="G88" s="5">
        <v>0.0</v>
      </c>
      <c r="H88" s="5">
        <v>0.0</v>
      </c>
      <c r="I88" s="5">
        <v>0.0</v>
      </c>
      <c r="J88" s="27">
        <v>0.0</v>
      </c>
      <c r="K88" s="27">
        <v>0.0</v>
      </c>
      <c r="L88" s="27">
        <v>0.0</v>
      </c>
      <c r="M88" s="27">
        <v>0.0</v>
      </c>
      <c r="N88" s="5">
        <f t="shared" si="104"/>
        <v>0</v>
      </c>
      <c r="O88" s="28" t="str">
        <f t="shared" si="105"/>
        <v/>
      </c>
      <c r="P88" s="5"/>
      <c r="Q88" s="5"/>
      <c r="R88" s="29" t="s">
        <v>34</v>
      </c>
      <c r="S88" s="30">
        <v>0.0</v>
      </c>
      <c r="T88" s="31">
        <v>0.05</v>
      </c>
      <c r="U88" s="26">
        <f t="shared" ref="U88:AF88" si="115">IF($R88="Manual","",IFERROR(IF($R88="YOY Growth",$N88*(1+$T88)/12,$S88/12),""))</f>
        <v>0</v>
      </c>
      <c r="V88" s="26">
        <f t="shared" si="115"/>
        <v>0</v>
      </c>
      <c r="W88" s="26">
        <f t="shared" si="115"/>
        <v>0</v>
      </c>
      <c r="X88" s="26">
        <f t="shared" si="115"/>
        <v>0</v>
      </c>
      <c r="Y88" s="26">
        <f t="shared" si="115"/>
        <v>0</v>
      </c>
      <c r="Z88" s="26">
        <f t="shared" si="115"/>
        <v>0</v>
      </c>
      <c r="AA88" s="26">
        <f t="shared" si="115"/>
        <v>0</v>
      </c>
      <c r="AB88" s="26">
        <f t="shared" si="115"/>
        <v>0</v>
      </c>
      <c r="AC88" s="26">
        <f t="shared" si="115"/>
        <v>0</v>
      </c>
      <c r="AD88" s="26">
        <f t="shared" si="115"/>
        <v>0</v>
      </c>
      <c r="AE88" s="26">
        <f t="shared" si="115"/>
        <v>0</v>
      </c>
      <c r="AF88" s="26">
        <f t="shared" si="115"/>
        <v>0</v>
      </c>
      <c r="AG88" s="5">
        <f t="shared" si="107"/>
        <v>0</v>
      </c>
      <c r="AH88" s="28" t="str">
        <f t="shared" si="108"/>
        <v/>
      </c>
      <c r="AI88" s="4"/>
      <c r="AJ88" s="5">
        <f t="shared" si="109"/>
        <v>0</v>
      </c>
    </row>
    <row r="89" ht="13.5" customHeight="1">
      <c r="A89" s="25" t="s">
        <v>114</v>
      </c>
      <c r="B89" s="5">
        <v>0.0</v>
      </c>
      <c r="C89" s="5">
        <v>0.0</v>
      </c>
      <c r="D89" s="5">
        <v>0.0</v>
      </c>
      <c r="E89" s="5">
        <v>0.0</v>
      </c>
      <c r="F89" s="5">
        <v>0.0</v>
      </c>
      <c r="G89" s="5">
        <v>0.0</v>
      </c>
      <c r="H89" s="5">
        <v>0.0</v>
      </c>
      <c r="I89" s="5">
        <v>0.0</v>
      </c>
      <c r="J89" s="27">
        <v>0.0</v>
      </c>
      <c r="K89" s="27">
        <v>0.0</v>
      </c>
      <c r="L89" s="27">
        <v>0.0</v>
      </c>
      <c r="M89" s="27">
        <v>0.0</v>
      </c>
      <c r="N89" s="5">
        <f t="shared" si="104"/>
        <v>0</v>
      </c>
      <c r="O89" s="28" t="str">
        <f t="shared" si="105"/>
        <v/>
      </c>
      <c r="P89" s="5"/>
      <c r="Q89" s="5"/>
      <c r="R89" s="29" t="s">
        <v>34</v>
      </c>
      <c r="S89" s="30">
        <v>0.0</v>
      </c>
      <c r="T89" s="31">
        <v>0.05</v>
      </c>
      <c r="U89" s="26">
        <f t="shared" ref="U89:AF89" si="116">IF($R89="Manual","",IFERROR(IF($R89="YOY Growth",$N89*(1+$T89)/12,$S89/12),""))</f>
        <v>0</v>
      </c>
      <c r="V89" s="26">
        <f t="shared" si="116"/>
        <v>0</v>
      </c>
      <c r="W89" s="26">
        <f t="shared" si="116"/>
        <v>0</v>
      </c>
      <c r="X89" s="26">
        <f t="shared" si="116"/>
        <v>0</v>
      </c>
      <c r="Y89" s="26">
        <f t="shared" si="116"/>
        <v>0</v>
      </c>
      <c r="Z89" s="26">
        <f t="shared" si="116"/>
        <v>0</v>
      </c>
      <c r="AA89" s="26">
        <f t="shared" si="116"/>
        <v>0</v>
      </c>
      <c r="AB89" s="26">
        <f t="shared" si="116"/>
        <v>0</v>
      </c>
      <c r="AC89" s="26">
        <f t="shared" si="116"/>
        <v>0</v>
      </c>
      <c r="AD89" s="26">
        <f t="shared" si="116"/>
        <v>0</v>
      </c>
      <c r="AE89" s="26">
        <f t="shared" si="116"/>
        <v>0</v>
      </c>
      <c r="AF89" s="26">
        <f t="shared" si="116"/>
        <v>0</v>
      </c>
      <c r="AG89" s="5">
        <f t="shared" si="107"/>
        <v>0</v>
      </c>
      <c r="AH89" s="28" t="str">
        <f t="shared" si="108"/>
        <v/>
      </c>
      <c r="AI89" s="4"/>
      <c r="AJ89" s="5">
        <f t="shared" si="109"/>
        <v>0</v>
      </c>
    </row>
    <row r="90" ht="13.5" customHeight="1">
      <c r="A90" s="25" t="s">
        <v>115</v>
      </c>
      <c r="B90" s="5">
        <v>0.0</v>
      </c>
      <c r="C90" s="5">
        <v>0.0</v>
      </c>
      <c r="D90" s="5">
        <v>0.0</v>
      </c>
      <c r="E90" s="5">
        <v>0.0</v>
      </c>
      <c r="F90" s="5">
        <v>0.0</v>
      </c>
      <c r="G90" s="5">
        <v>0.0</v>
      </c>
      <c r="H90" s="5">
        <v>0.0</v>
      </c>
      <c r="I90" s="5">
        <v>0.0</v>
      </c>
      <c r="J90" s="27">
        <v>0.0</v>
      </c>
      <c r="K90" s="27">
        <v>0.0</v>
      </c>
      <c r="L90" s="27">
        <v>0.0</v>
      </c>
      <c r="M90" s="27">
        <v>0.0</v>
      </c>
      <c r="N90" s="5">
        <f t="shared" si="104"/>
        <v>0</v>
      </c>
      <c r="O90" s="28" t="str">
        <f t="shared" si="105"/>
        <v/>
      </c>
      <c r="P90" s="5"/>
      <c r="Q90" s="5"/>
      <c r="R90" s="29" t="s">
        <v>34</v>
      </c>
      <c r="S90" s="30">
        <v>0.0</v>
      </c>
      <c r="T90" s="31">
        <v>0.05</v>
      </c>
      <c r="U90" s="26">
        <f t="shared" ref="U90:AF90" si="117">IF($R90="Manual","",IFERROR(IF($R90="YOY Growth",$N90*(1+$T90)/12,$S90/12),""))</f>
        <v>0</v>
      </c>
      <c r="V90" s="26">
        <f t="shared" si="117"/>
        <v>0</v>
      </c>
      <c r="W90" s="26">
        <f t="shared" si="117"/>
        <v>0</v>
      </c>
      <c r="X90" s="26">
        <f t="shared" si="117"/>
        <v>0</v>
      </c>
      <c r="Y90" s="26">
        <f t="shared" si="117"/>
        <v>0</v>
      </c>
      <c r="Z90" s="26">
        <f t="shared" si="117"/>
        <v>0</v>
      </c>
      <c r="AA90" s="26">
        <f t="shared" si="117"/>
        <v>0</v>
      </c>
      <c r="AB90" s="26">
        <f t="shared" si="117"/>
        <v>0</v>
      </c>
      <c r="AC90" s="26">
        <f t="shared" si="117"/>
        <v>0</v>
      </c>
      <c r="AD90" s="26">
        <f t="shared" si="117"/>
        <v>0</v>
      </c>
      <c r="AE90" s="26">
        <f t="shared" si="117"/>
        <v>0</v>
      </c>
      <c r="AF90" s="26">
        <f t="shared" si="117"/>
        <v>0</v>
      </c>
      <c r="AG90" s="5">
        <f t="shared" si="107"/>
        <v>0</v>
      </c>
      <c r="AH90" s="28" t="str">
        <f t="shared" si="108"/>
        <v/>
      </c>
      <c r="AI90" s="4"/>
      <c r="AJ90" s="5">
        <f t="shared" si="109"/>
        <v>0</v>
      </c>
    </row>
    <row r="91" ht="13.5" customHeight="1">
      <c r="A91" s="25" t="s">
        <v>116</v>
      </c>
      <c r="B91" s="5">
        <v>0.0</v>
      </c>
      <c r="C91" s="5">
        <v>0.0</v>
      </c>
      <c r="D91" s="5">
        <v>0.0</v>
      </c>
      <c r="E91" s="5">
        <v>0.0</v>
      </c>
      <c r="F91" s="5">
        <v>0.0</v>
      </c>
      <c r="G91" s="5">
        <v>0.0</v>
      </c>
      <c r="H91" s="5">
        <v>0.0</v>
      </c>
      <c r="I91" s="5">
        <v>0.0</v>
      </c>
      <c r="J91" s="27">
        <v>0.0</v>
      </c>
      <c r="K91" s="27">
        <v>0.0</v>
      </c>
      <c r="L91" s="27">
        <v>0.0</v>
      </c>
      <c r="M91" s="27">
        <v>0.0</v>
      </c>
      <c r="N91" s="5">
        <f t="shared" si="104"/>
        <v>0</v>
      </c>
      <c r="O91" s="28" t="str">
        <f t="shared" si="105"/>
        <v/>
      </c>
      <c r="P91" s="5"/>
      <c r="Q91" s="5"/>
      <c r="R91" s="29" t="s">
        <v>34</v>
      </c>
      <c r="S91" s="30">
        <v>0.0</v>
      </c>
      <c r="T91" s="31">
        <v>0.05</v>
      </c>
      <c r="U91" s="26">
        <f t="shared" ref="U91:AF91" si="118">IF($R91="Manual","",IFERROR(IF($R91="YOY Growth",$N91*(1+$T91)/12,$S91/12),""))</f>
        <v>0</v>
      </c>
      <c r="V91" s="26">
        <f t="shared" si="118"/>
        <v>0</v>
      </c>
      <c r="W91" s="26">
        <f t="shared" si="118"/>
        <v>0</v>
      </c>
      <c r="X91" s="26">
        <f t="shared" si="118"/>
        <v>0</v>
      </c>
      <c r="Y91" s="26">
        <f t="shared" si="118"/>
        <v>0</v>
      </c>
      <c r="Z91" s="26">
        <f t="shared" si="118"/>
        <v>0</v>
      </c>
      <c r="AA91" s="26">
        <f t="shared" si="118"/>
        <v>0</v>
      </c>
      <c r="AB91" s="26">
        <f t="shared" si="118"/>
        <v>0</v>
      </c>
      <c r="AC91" s="26">
        <f t="shared" si="118"/>
        <v>0</v>
      </c>
      <c r="AD91" s="26">
        <f t="shared" si="118"/>
        <v>0</v>
      </c>
      <c r="AE91" s="26">
        <f t="shared" si="118"/>
        <v>0</v>
      </c>
      <c r="AF91" s="26">
        <f t="shared" si="118"/>
        <v>0</v>
      </c>
      <c r="AG91" s="5">
        <f t="shared" si="107"/>
        <v>0</v>
      </c>
      <c r="AH91" s="28" t="str">
        <f t="shared" si="108"/>
        <v/>
      </c>
      <c r="AI91" s="4"/>
      <c r="AJ91" s="5">
        <f t="shared" si="109"/>
        <v>0</v>
      </c>
    </row>
    <row r="92" ht="13.5" customHeight="1">
      <c r="A92" s="25" t="s">
        <v>117</v>
      </c>
      <c r="B92" s="5">
        <v>0.0</v>
      </c>
      <c r="C92" s="5">
        <v>0.0</v>
      </c>
      <c r="D92" s="5">
        <v>1496.61</v>
      </c>
      <c r="E92" s="5">
        <v>2182.05</v>
      </c>
      <c r="F92" s="5">
        <v>0.0</v>
      </c>
      <c r="G92" s="5">
        <v>144.85</v>
      </c>
      <c r="H92" s="5">
        <v>0.0</v>
      </c>
      <c r="I92" s="5">
        <v>14.99</v>
      </c>
      <c r="J92" s="27">
        <v>0.0</v>
      </c>
      <c r="K92" s="27">
        <v>0.0</v>
      </c>
      <c r="L92" s="27">
        <v>0.0</v>
      </c>
      <c r="M92" s="27">
        <v>0.0</v>
      </c>
      <c r="N92" s="5">
        <f t="shared" si="104"/>
        <v>3838.5</v>
      </c>
      <c r="O92" s="28" t="str">
        <f t="shared" si="105"/>
        <v/>
      </c>
      <c r="P92" s="5"/>
      <c r="Q92" s="5"/>
      <c r="R92" s="29" t="s">
        <v>34</v>
      </c>
      <c r="S92" s="30">
        <v>0.0</v>
      </c>
      <c r="T92" s="31">
        <v>0.05</v>
      </c>
      <c r="U92" s="26">
        <f t="shared" ref="U92:AF92" si="119">IF($R92="Manual","",IFERROR(IF($R92="YOY Growth",$N92*(1+$T92)/12,$S92/12),""))</f>
        <v>0</v>
      </c>
      <c r="V92" s="26">
        <f t="shared" si="119"/>
        <v>0</v>
      </c>
      <c r="W92" s="26">
        <f t="shared" si="119"/>
        <v>0</v>
      </c>
      <c r="X92" s="26">
        <f t="shared" si="119"/>
        <v>0</v>
      </c>
      <c r="Y92" s="26">
        <f t="shared" si="119"/>
        <v>0</v>
      </c>
      <c r="Z92" s="26">
        <f t="shared" si="119"/>
        <v>0</v>
      </c>
      <c r="AA92" s="26">
        <f t="shared" si="119"/>
        <v>0</v>
      </c>
      <c r="AB92" s="26">
        <f t="shared" si="119"/>
        <v>0</v>
      </c>
      <c r="AC92" s="26">
        <f t="shared" si="119"/>
        <v>0</v>
      </c>
      <c r="AD92" s="26">
        <f t="shared" si="119"/>
        <v>0</v>
      </c>
      <c r="AE92" s="26">
        <f t="shared" si="119"/>
        <v>0</v>
      </c>
      <c r="AF92" s="26">
        <f t="shared" si="119"/>
        <v>0</v>
      </c>
      <c r="AG92" s="5">
        <f t="shared" si="107"/>
        <v>0</v>
      </c>
      <c r="AH92" s="28" t="str">
        <f t="shared" si="108"/>
        <v/>
      </c>
      <c r="AI92" s="4"/>
      <c r="AJ92" s="5">
        <f t="shared" si="109"/>
        <v>3838.5</v>
      </c>
    </row>
    <row r="93" ht="13.5" customHeight="1">
      <c r="A93" s="25" t="s">
        <v>118</v>
      </c>
      <c r="B93" s="5">
        <v>322.8</v>
      </c>
      <c r="C93" s="5">
        <v>870.98</v>
      </c>
      <c r="D93" s="5">
        <v>946.56</v>
      </c>
      <c r="E93" s="5">
        <v>2409.75</v>
      </c>
      <c r="F93" s="5">
        <v>5233.37</v>
      </c>
      <c r="G93" s="5">
        <v>0.0</v>
      </c>
      <c r="H93" s="5">
        <v>0.0</v>
      </c>
      <c r="I93" s="5">
        <v>0.0</v>
      </c>
      <c r="J93" s="27">
        <v>400.0</v>
      </c>
      <c r="K93" s="27">
        <v>4600.0</v>
      </c>
      <c r="L93" s="27">
        <v>4600.0</v>
      </c>
      <c r="M93" s="27">
        <v>4600.0</v>
      </c>
      <c r="N93" s="5">
        <f t="shared" si="104"/>
        <v>23983.46</v>
      </c>
      <c r="O93" s="28" t="str">
        <f t="shared" si="105"/>
        <v/>
      </c>
      <c r="P93" s="5"/>
      <c r="Q93" s="5"/>
      <c r="R93" s="29" t="s">
        <v>34</v>
      </c>
      <c r="S93" s="30">
        <v>0.0</v>
      </c>
      <c r="T93" s="31">
        <v>0.05</v>
      </c>
      <c r="U93" s="26">
        <f t="shared" ref="U93:AF93" si="120">IF($R93="Manual","",IFERROR(IF($R93="YOY Growth",$N93*(1+$T93)/12,$S93/12),""))</f>
        <v>0</v>
      </c>
      <c r="V93" s="26">
        <f t="shared" si="120"/>
        <v>0</v>
      </c>
      <c r="W93" s="26">
        <f t="shared" si="120"/>
        <v>0</v>
      </c>
      <c r="X93" s="26">
        <f t="shared" si="120"/>
        <v>0</v>
      </c>
      <c r="Y93" s="26">
        <f t="shared" si="120"/>
        <v>0</v>
      </c>
      <c r="Z93" s="26">
        <f t="shared" si="120"/>
        <v>0</v>
      </c>
      <c r="AA93" s="26">
        <f t="shared" si="120"/>
        <v>0</v>
      </c>
      <c r="AB93" s="26">
        <f t="shared" si="120"/>
        <v>0</v>
      </c>
      <c r="AC93" s="26">
        <f t="shared" si="120"/>
        <v>0</v>
      </c>
      <c r="AD93" s="26">
        <f t="shared" si="120"/>
        <v>0</v>
      </c>
      <c r="AE93" s="26">
        <f t="shared" si="120"/>
        <v>0</v>
      </c>
      <c r="AF93" s="26">
        <f t="shared" si="120"/>
        <v>0</v>
      </c>
      <c r="AG93" s="5">
        <f t="shared" si="107"/>
        <v>0</v>
      </c>
      <c r="AH93" s="28" t="str">
        <f t="shared" si="108"/>
        <v/>
      </c>
      <c r="AI93" s="4"/>
      <c r="AJ93" s="5">
        <f t="shared" si="109"/>
        <v>23983.46</v>
      </c>
    </row>
    <row r="94" ht="13.5" customHeight="1">
      <c r="A94" s="25" t="s">
        <v>119</v>
      </c>
      <c r="B94" s="5">
        <v>0.0</v>
      </c>
      <c r="C94" s="5">
        <v>0.0</v>
      </c>
      <c r="D94" s="5">
        <v>0.0</v>
      </c>
      <c r="E94" s="5">
        <v>0.0</v>
      </c>
      <c r="F94" s="5">
        <v>0.0</v>
      </c>
      <c r="G94" s="5">
        <v>0.0</v>
      </c>
      <c r="H94" s="5">
        <v>0.0</v>
      </c>
      <c r="I94" s="5">
        <v>0.0</v>
      </c>
      <c r="J94" s="27">
        <v>0.0</v>
      </c>
      <c r="K94" s="27">
        <v>0.0</v>
      </c>
      <c r="L94" s="27">
        <v>0.0</v>
      </c>
      <c r="M94" s="27">
        <v>0.0</v>
      </c>
      <c r="N94" s="5">
        <f t="shared" si="104"/>
        <v>0</v>
      </c>
      <c r="O94" s="28" t="str">
        <f t="shared" si="105"/>
        <v/>
      </c>
      <c r="P94" s="5"/>
      <c r="Q94" s="5"/>
      <c r="R94" s="29" t="s">
        <v>34</v>
      </c>
      <c r="S94" s="30">
        <v>0.0</v>
      </c>
      <c r="T94" s="31">
        <v>0.05</v>
      </c>
      <c r="U94" s="26">
        <f t="shared" ref="U94:AF94" si="121">IF($R94="Manual","",IFERROR(IF($R94="YOY Growth",$N94*(1+$T94)/12,$S94/12),""))</f>
        <v>0</v>
      </c>
      <c r="V94" s="26">
        <f t="shared" si="121"/>
        <v>0</v>
      </c>
      <c r="W94" s="26">
        <f t="shared" si="121"/>
        <v>0</v>
      </c>
      <c r="X94" s="26">
        <f t="shared" si="121"/>
        <v>0</v>
      </c>
      <c r="Y94" s="26">
        <f t="shared" si="121"/>
        <v>0</v>
      </c>
      <c r="Z94" s="26">
        <f t="shared" si="121"/>
        <v>0</v>
      </c>
      <c r="AA94" s="26">
        <f t="shared" si="121"/>
        <v>0</v>
      </c>
      <c r="AB94" s="26">
        <f t="shared" si="121"/>
        <v>0</v>
      </c>
      <c r="AC94" s="26">
        <f t="shared" si="121"/>
        <v>0</v>
      </c>
      <c r="AD94" s="26">
        <f t="shared" si="121"/>
        <v>0</v>
      </c>
      <c r="AE94" s="26">
        <f t="shared" si="121"/>
        <v>0</v>
      </c>
      <c r="AF94" s="26">
        <f t="shared" si="121"/>
        <v>0</v>
      </c>
      <c r="AG94" s="5">
        <f t="shared" si="107"/>
        <v>0</v>
      </c>
      <c r="AH94" s="28" t="str">
        <f t="shared" si="108"/>
        <v/>
      </c>
      <c r="AI94" s="4"/>
      <c r="AJ94" s="5">
        <f t="shared" si="109"/>
        <v>0</v>
      </c>
    </row>
    <row r="95" ht="13.5" customHeight="1">
      <c r="A95" s="25" t="s">
        <v>120</v>
      </c>
      <c r="B95" s="5">
        <v>1185.22</v>
      </c>
      <c r="C95" s="5">
        <v>2325.33</v>
      </c>
      <c r="D95" s="5">
        <v>2677.76</v>
      </c>
      <c r="E95" s="5">
        <v>2564.29</v>
      </c>
      <c r="F95" s="5">
        <v>174.86</v>
      </c>
      <c r="G95" s="5">
        <v>6.23</v>
      </c>
      <c r="H95" s="5">
        <v>0.0</v>
      </c>
      <c r="I95" s="5">
        <v>0.0</v>
      </c>
      <c r="J95" s="27">
        <v>1800.0</v>
      </c>
      <c r="K95" s="27">
        <v>1800.0</v>
      </c>
      <c r="L95" s="27">
        <v>1800.0</v>
      </c>
      <c r="M95" s="27">
        <v>1800.0</v>
      </c>
      <c r="N95" s="5">
        <f t="shared" si="104"/>
        <v>16133.69</v>
      </c>
      <c r="O95" s="28" t="str">
        <f t="shared" si="105"/>
        <v/>
      </c>
      <c r="P95" s="5"/>
      <c r="Q95" s="5"/>
      <c r="R95" s="29" t="s">
        <v>34</v>
      </c>
      <c r="S95" s="30">
        <v>0.0</v>
      </c>
      <c r="T95" s="31">
        <v>0.05</v>
      </c>
      <c r="U95" s="26">
        <f t="shared" ref="U95:AF95" si="122">IF($R95="Manual","",IFERROR(IF($R95="YOY Growth",$N95*(1+$T95)/12,$S95/12),""))</f>
        <v>0</v>
      </c>
      <c r="V95" s="26">
        <f t="shared" si="122"/>
        <v>0</v>
      </c>
      <c r="W95" s="26">
        <f t="shared" si="122"/>
        <v>0</v>
      </c>
      <c r="X95" s="26">
        <f t="shared" si="122"/>
        <v>0</v>
      </c>
      <c r="Y95" s="26">
        <f t="shared" si="122"/>
        <v>0</v>
      </c>
      <c r="Z95" s="26">
        <f t="shared" si="122"/>
        <v>0</v>
      </c>
      <c r="AA95" s="26">
        <f t="shared" si="122"/>
        <v>0</v>
      </c>
      <c r="AB95" s="26">
        <f t="shared" si="122"/>
        <v>0</v>
      </c>
      <c r="AC95" s="26">
        <f t="shared" si="122"/>
        <v>0</v>
      </c>
      <c r="AD95" s="26">
        <f t="shared" si="122"/>
        <v>0</v>
      </c>
      <c r="AE95" s="26">
        <f t="shared" si="122"/>
        <v>0</v>
      </c>
      <c r="AF95" s="26">
        <f t="shared" si="122"/>
        <v>0</v>
      </c>
      <c r="AG95" s="5">
        <f t="shared" si="107"/>
        <v>0</v>
      </c>
      <c r="AH95" s="28" t="str">
        <f t="shared" si="108"/>
        <v/>
      </c>
      <c r="AI95" s="4"/>
      <c r="AJ95" s="5">
        <f t="shared" si="109"/>
        <v>16133.69</v>
      </c>
    </row>
    <row r="96" ht="13.5" customHeight="1">
      <c r="A96" s="25" t="s">
        <v>121</v>
      </c>
      <c r="B96" s="5">
        <v>0.0</v>
      </c>
      <c r="C96" s="5">
        <v>0.0</v>
      </c>
      <c r="D96" s="5">
        <v>0.0</v>
      </c>
      <c r="E96" s="5">
        <v>0.0</v>
      </c>
      <c r="F96" s="5">
        <v>0.0</v>
      </c>
      <c r="G96" s="5">
        <v>0.0</v>
      </c>
      <c r="H96" s="5">
        <v>0.0</v>
      </c>
      <c r="I96" s="5">
        <v>0.0</v>
      </c>
      <c r="J96" s="27">
        <v>0.0</v>
      </c>
      <c r="K96" s="27">
        <v>0.0</v>
      </c>
      <c r="L96" s="27">
        <v>0.0</v>
      </c>
      <c r="M96" s="27">
        <v>0.0</v>
      </c>
      <c r="N96" s="5">
        <f t="shared" si="104"/>
        <v>0</v>
      </c>
      <c r="O96" s="28" t="str">
        <f t="shared" si="105"/>
        <v/>
      </c>
      <c r="P96" s="5"/>
      <c r="Q96" s="5"/>
      <c r="R96" s="29" t="s">
        <v>34</v>
      </c>
      <c r="S96" s="30">
        <v>0.0</v>
      </c>
      <c r="T96" s="31">
        <v>0.05</v>
      </c>
      <c r="U96" s="26">
        <f t="shared" ref="U96:AF96" si="123">IF($R96="Manual","",IFERROR(IF($R96="YOY Growth",$N96*(1+$T96)/12,$S96/12),""))</f>
        <v>0</v>
      </c>
      <c r="V96" s="26">
        <f t="shared" si="123"/>
        <v>0</v>
      </c>
      <c r="W96" s="26">
        <f t="shared" si="123"/>
        <v>0</v>
      </c>
      <c r="X96" s="26">
        <f t="shared" si="123"/>
        <v>0</v>
      </c>
      <c r="Y96" s="26">
        <f t="shared" si="123"/>
        <v>0</v>
      </c>
      <c r="Z96" s="26">
        <f t="shared" si="123"/>
        <v>0</v>
      </c>
      <c r="AA96" s="26">
        <f t="shared" si="123"/>
        <v>0</v>
      </c>
      <c r="AB96" s="26">
        <f t="shared" si="123"/>
        <v>0</v>
      </c>
      <c r="AC96" s="26">
        <f t="shared" si="123"/>
        <v>0</v>
      </c>
      <c r="AD96" s="26">
        <f t="shared" si="123"/>
        <v>0</v>
      </c>
      <c r="AE96" s="26">
        <f t="shared" si="123"/>
        <v>0</v>
      </c>
      <c r="AF96" s="26">
        <f t="shared" si="123"/>
        <v>0</v>
      </c>
      <c r="AG96" s="5">
        <f t="shared" si="107"/>
        <v>0</v>
      </c>
      <c r="AH96" s="28" t="str">
        <f t="shared" si="108"/>
        <v/>
      </c>
      <c r="AI96" s="4"/>
      <c r="AJ96" s="5">
        <f t="shared" si="109"/>
        <v>0</v>
      </c>
    </row>
    <row r="97" ht="13.5" customHeight="1">
      <c r="A97" s="25" t="s">
        <v>122</v>
      </c>
      <c r="B97" s="5">
        <v>0.0</v>
      </c>
      <c r="C97" s="5">
        <v>0.0</v>
      </c>
      <c r="D97" s="5">
        <v>0.0</v>
      </c>
      <c r="E97" s="5">
        <v>0.0</v>
      </c>
      <c r="F97" s="5">
        <v>0.0</v>
      </c>
      <c r="G97" s="5">
        <v>0.0</v>
      </c>
      <c r="H97" s="5">
        <v>0.0</v>
      </c>
      <c r="I97" s="5">
        <v>0.0</v>
      </c>
      <c r="J97" s="27">
        <v>0.0</v>
      </c>
      <c r="K97" s="27">
        <v>0.0</v>
      </c>
      <c r="L97" s="27">
        <v>0.0</v>
      </c>
      <c r="M97" s="27">
        <v>0.0</v>
      </c>
      <c r="N97" s="5">
        <f t="shared" si="104"/>
        <v>0</v>
      </c>
      <c r="O97" s="28" t="str">
        <f t="shared" si="105"/>
        <v/>
      </c>
      <c r="P97" s="5"/>
      <c r="Q97" s="5"/>
      <c r="R97" s="29" t="s">
        <v>34</v>
      </c>
      <c r="S97" s="30">
        <v>0.0</v>
      </c>
      <c r="T97" s="31">
        <v>0.05</v>
      </c>
      <c r="U97" s="26">
        <f t="shared" ref="U97:AF97" si="124">IF($R97="Manual","",IFERROR(IF($R97="YOY Growth",$N97*(1+$T97)/12,$S97/12),""))</f>
        <v>0</v>
      </c>
      <c r="V97" s="26">
        <f t="shared" si="124"/>
        <v>0</v>
      </c>
      <c r="W97" s="26">
        <f t="shared" si="124"/>
        <v>0</v>
      </c>
      <c r="X97" s="26">
        <f t="shared" si="124"/>
        <v>0</v>
      </c>
      <c r="Y97" s="26">
        <f t="shared" si="124"/>
        <v>0</v>
      </c>
      <c r="Z97" s="26">
        <f t="shared" si="124"/>
        <v>0</v>
      </c>
      <c r="AA97" s="26">
        <f t="shared" si="124"/>
        <v>0</v>
      </c>
      <c r="AB97" s="26">
        <f t="shared" si="124"/>
        <v>0</v>
      </c>
      <c r="AC97" s="26">
        <f t="shared" si="124"/>
        <v>0</v>
      </c>
      <c r="AD97" s="26">
        <f t="shared" si="124"/>
        <v>0</v>
      </c>
      <c r="AE97" s="26">
        <f t="shared" si="124"/>
        <v>0</v>
      </c>
      <c r="AF97" s="26">
        <f t="shared" si="124"/>
        <v>0</v>
      </c>
      <c r="AG97" s="5">
        <f t="shared" si="107"/>
        <v>0</v>
      </c>
      <c r="AH97" s="28" t="str">
        <f t="shared" si="108"/>
        <v/>
      </c>
      <c r="AI97" s="4"/>
      <c r="AJ97" s="5">
        <f t="shared" si="109"/>
        <v>0</v>
      </c>
    </row>
    <row r="98" ht="13.5" customHeight="1">
      <c r="A98" s="25" t="s">
        <v>123</v>
      </c>
      <c r="B98" s="5">
        <v>0.0</v>
      </c>
      <c r="C98" s="5">
        <v>0.0</v>
      </c>
      <c r="D98" s="5">
        <v>0.0</v>
      </c>
      <c r="E98" s="5">
        <v>0.0</v>
      </c>
      <c r="F98" s="5">
        <v>0.0</v>
      </c>
      <c r="G98" s="5">
        <v>0.0</v>
      </c>
      <c r="H98" s="5">
        <v>0.0</v>
      </c>
      <c r="I98" s="5">
        <v>0.0</v>
      </c>
      <c r="J98" s="27">
        <v>0.0</v>
      </c>
      <c r="K98" s="27">
        <v>0.0</v>
      </c>
      <c r="L98" s="27">
        <v>0.0</v>
      </c>
      <c r="M98" s="27">
        <v>0.0</v>
      </c>
      <c r="N98" s="5">
        <f t="shared" si="104"/>
        <v>0</v>
      </c>
      <c r="O98" s="28" t="str">
        <f t="shared" si="105"/>
        <v/>
      </c>
      <c r="P98" s="5"/>
      <c r="Q98" s="5"/>
      <c r="R98" s="29" t="s">
        <v>34</v>
      </c>
      <c r="S98" s="30">
        <v>0.0</v>
      </c>
      <c r="T98" s="31">
        <v>0.05</v>
      </c>
      <c r="U98" s="26">
        <f t="shared" ref="U98:AF98" si="125">IF($R98="Manual","",IFERROR(IF($R98="YOY Growth",$N98*(1+$T98)/12,$S98/12),""))</f>
        <v>0</v>
      </c>
      <c r="V98" s="26">
        <f t="shared" si="125"/>
        <v>0</v>
      </c>
      <c r="W98" s="26">
        <f t="shared" si="125"/>
        <v>0</v>
      </c>
      <c r="X98" s="26">
        <f t="shared" si="125"/>
        <v>0</v>
      </c>
      <c r="Y98" s="26">
        <f t="shared" si="125"/>
        <v>0</v>
      </c>
      <c r="Z98" s="26">
        <f t="shared" si="125"/>
        <v>0</v>
      </c>
      <c r="AA98" s="26">
        <f t="shared" si="125"/>
        <v>0</v>
      </c>
      <c r="AB98" s="26">
        <f t="shared" si="125"/>
        <v>0</v>
      </c>
      <c r="AC98" s="26">
        <f t="shared" si="125"/>
        <v>0</v>
      </c>
      <c r="AD98" s="26">
        <f t="shared" si="125"/>
        <v>0</v>
      </c>
      <c r="AE98" s="26">
        <f t="shared" si="125"/>
        <v>0</v>
      </c>
      <c r="AF98" s="26">
        <f t="shared" si="125"/>
        <v>0</v>
      </c>
      <c r="AG98" s="5">
        <f t="shared" si="107"/>
        <v>0</v>
      </c>
      <c r="AH98" s="28" t="str">
        <f t="shared" si="108"/>
        <v/>
      </c>
      <c r="AI98" s="4"/>
      <c r="AJ98" s="5">
        <f t="shared" si="109"/>
        <v>0</v>
      </c>
    </row>
    <row r="99" ht="13.5" customHeight="1">
      <c r="A99" s="25" t="s">
        <v>124</v>
      </c>
      <c r="B99" s="5">
        <v>0.0</v>
      </c>
      <c r="C99" s="5">
        <v>153.73</v>
      </c>
      <c r="D99" s="5">
        <v>40.0</v>
      </c>
      <c r="E99" s="5">
        <v>0.0</v>
      </c>
      <c r="F99" s="5">
        <v>0.0</v>
      </c>
      <c r="G99" s="5">
        <v>0.0</v>
      </c>
      <c r="H99" s="5">
        <v>0.0</v>
      </c>
      <c r="I99" s="5">
        <v>0.0</v>
      </c>
      <c r="J99" s="27">
        <v>60.0</v>
      </c>
      <c r="K99" s="27">
        <v>60.0</v>
      </c>
      <c r="L99" s="27">
        <v>60.0</v>
      </c>
      <c r="M99" s="27">
        <v>60.0</v>
      </c>
      <c r="N99" s="5">
        <f t="shared" si="104"/>
        <v>433.73</v>
      </c>
      <c r="O99" s="28" t="str">
        <f t="shared" si="105"/>
        <v/>
      </c>
      <c r="P99" s="5"/>
      <c r="Q99" s="5"/>
      <c r="R99" s="29" t="s">
        <v>34</v>
      </c>
      <c r="S99" s="30">
        <v>0.0</v>
      </c>
      <c r="T99" s="31">
        <v>0.05</v>
      </c>
      <c r="U99" s="26">
        <f t="shared" ref="U99:AF99" si="126">IF($R99="Manual","",IFERROR(IF($R99="YOY Growth",$N99*(1+$T99)/12,$S99/12),""))</f>
        <v>0</v>
      </c>
      <c r="V99" s="26">
        <f t="shared" si="126"/>
        <v>0</v>
      </c>
      <c r="W99" s="26">
        <f t="shared" si="126"/>
        <v>0</v>
      </c>
      <c r="X99" s="26">
        <f t="shared" si="126"/>
        <v>0</v>
      </c>
      <c r="Y99" s="26">
        <f t="shared" si="126"/>
        <v>0</v>
      </c>
      <c r="Z99" s="26">
        <f t="shared" si="126"/>
        <v>0</v>
      </c>
      <c r="AA99" s="26">
        <f t="shared" si="126"/>
        <v>0</v>
      </c>
      <c r="AB99" s="26">
        <f t="shared" si="126"/>
        <v>0</v>
      </c>
      <c r="AC99" s="26">
        <f t="shared" si="126"/>
        <v>0</v>
      </c>
      <c r="AD99" s="26">
        <f t="shared" si="126"/>
        <v>0</v>
      </c>
      <c r="AE99" s="26">
        <f t="shared" si="126"/>
        <v>0</v>
      </c>
      <c r="AF99" s="26">
        <f t="shared" si="126"/>
        <v>0</v>
      </c>
      <c r="AG99" s="5">
        <f t="shared" si="107"/>
        <v>0</v>
      </c>
      <c r="AH99" s="28" t="str">
        <f t="shared" si="108"/>
        <v/>
      </c>
      <c r="AI99" s="4"/>
      <c r="AJ99" s="5">
        <f t="shared" si="109"/>
        <v>433.73</v>
      </c>
    </row>
    <row r="100" ht="13.5" customHeight="1">
      <c r="A100" s="25" t="s">
        <v>126</v>
      </c>
      <c r="B100" s="5">
        <v>0.0</v>
      </c>
      <c r="C100" s="5">
        <v>0.0</v>
      </c>
      <c r="D100" s="5">
        <v>0.0</v>
      </c>
      <c r="E100" s="5">
        <v>0.0</v>
      </c>
      <c r="F100" s="5">
        <v>0.0</v>
      </c>
      <c r="G100" s="5">
        <v>0.0</v>
      </c>
      <c r="H100" s="5">
        <v>0.0</v>
      </c>
      <c r="I100" s="5">
        <v>0.0</v>
      </c>
      <c r="J100" s="27">
        <v>0.0</v>
      </c>
      <c r="K100" s="27">
        <v>0.0</v>
      </c>
      <c r="L100" s="27">
        <v>0.0</v>
      </c>
      <c r="M100" s="27">
        <v>0.0</v>
      </c>
      <c r="N100" s="5">
        <f t="shared" si="104"/>
        <v>0</v>
      </c>
      <c r="O100" s="28" t="str">
        <f t="shared" si="105"/>
        <v/>
      </c>
      <c r="P100" s="5"/>
      <c r="Q100" s="5"/>
      <c r="R100" s="29" t="s">
        <v>34</v>
      </c>
      <c r="S100" s="30">
        <v>0.0</v>
      </c>
      <c r="T100" s="31">
        <v>0.05</v>
      </c>
      <c r="U100" s="26">
        <f t="shared" ref="U100:AF100" si="127">IF($R100="Manual","",IFERROR(IF($R100="YOY Growth",$N100*(1+$T100)/12,$S100/12),""))</f>
        <v>0</v>
      </c>
      <c r="V100" s="26">
        <f t="shared" si="127"/>
        <v>0</v>
      </c>
      <c r="W100" s="26">
        <f t="shared" si="127"/>
        <v>0</v>
      </c>
      <c r="X100" s="26">
        <f t="shared" si="127"/>
        <v>0</v>
      </c>
      <c r="Y100" s="26">
        <f t="shared" si="127"/>
        <v>0</v>
      </c>
      <c r="Z100" s="26">
        <f t="shared" si="127"/>
        <v>0</v>
      </c>
      <c r="AA100" s="26">
        <f t="shared" si="127"/>
        <v>0</v>
      </c>
      <c r="AB100" s="26">
        <f t="shared" si="127"/>
        <v>0</v>
      </c>
      <c r="AC100" s="26">
        <f t="shared" si="127"/>
        <v>0</v>
      </c>
      <c r="AD100" s="26">
        <f t="shared" si="127"/>
        <v>0</v>
      </c>
      <c r="AE100" s="26">
        <f t="shared" si="127"/>
        <v>0</v>
      </c>
      <c r="AF100" s="26">
        <f t="shared" si="127"/>
        <v>0</v>
      </c>
      <c r="AG100" s="5">
        <f t="shared" si="107"/>
        <v>0</v>
      </c>
      <c r="AH100" s="28" t="str">
        <f t="shared" si="108"/>
        <v/>
      </c>
      <c r="AI100" s="4"/>
      <c r="AJ100" s="5">
        <f t="shared" si="109"/>
        <v>0</v>
      </c>
    </row>
    <row r="101" ht="13.5" customHeight="1">
      <c r="A101" s="25" t="s">
        <v>128</v>
      </c>
      <c r="B101" s="5">
        <v>0.0</v>
      </c>
      <c r="C101" s="5">
        <v>0.0</v>
      </c>
      <c r="D101" s="5">
        <v>0.0</v>
      </c>
      <c r="E101" s="5">
        <v>0.0</v>
      </c>
      <c r="F101" s="5">
        <v>0.0</v>
      </c>
      <c r="G101" s="5">
        <v>0.0</v>
      </c>
      <c r="H101" s="5">
        <v>0.0</v>
      </c>
      <c r="I101" s="5">
        <v>0.0</v>
      </c>
      <c r="J101" s="27">
        <v>0.0</v>
      </c>
      <c r="K101" s="27">
        <v>0.0</v>
      </c>
      <c r="L101" s="27">
        <v>0.0</v>
      </c>
      <c r="M101" s="27">
        <v>0.0</v>
      </c>
      <c r="N101" s="5">
        <f t="shared" si="104"/>
        <v>0</v>
      </c>
      <c r="O101" s="28" t="str">
        <f t="shared" si="105"/>
        <v/>
      </c>
      <c r="P101" s="5"/>
      <c r="Q101" s="5"/>
      <c r="R101" s="29" t="s">
        <v>34</v>
      </c>
      <c r="S101" s="30">
        <v>0.0</v>
      </c>
      <c r="T101" s="31">
        <v>0.05</v>
      </c>
      <c r="U101" s="26">
        <f t="shared" ref="U101:AF101" si="128">IF($R101="Manual","",IFERROR(IF($R101="YOY Growth",$N101*(1+$T101)/12,$S101/12),""))</f>
        <v>0</v>
      </c>
      <c r="V101" s="26">
        <f t="shared" si="128"/>
        <v>0</v>
      </c>
      <c r="W101" s="26">
        <f t="shared" si="128"/>
        <v>0</v>
      </c>
      <c r="X101" s="26">
        <f t="shared" si="128"/>
        <v>0</v>
      </c>
      <c r="Y101" s="26">
        <f t="shared" si="128"/>
        <v>0</v>
      </c>
      <c r="Z101" s="26">
        <f t="shared" si="128"/>
        <v>0</v>
      </c>
      <c r="AA101" s="26">
        <f t="shared" si="128"/>
        <v>0</v>
      </c>
      <c r="AB101" s="26">
        <f t="shared" si="128"/>
        <v>0</v>
      </c>
      <c r="AC101" s="26">
        <f t="shared" si="128"/>
        <v>0</v>
      </c>
      <c r="AD101" s="26">
        <f t="shared" si="128"/>
        <v>0</v>
      </c>
      <c r="AE101" s="26">
        <f t="shared" si="128"/>
        <v>0</v>
      </c>
      <c r="AF101" s="26">
        <f t="shared" si="128"/>
        <v>0</v>
      </c>
      <c r="AG101" s="5">
        <f t="shared" si="107"/>
        <v>0</v>
      </c>
      <c r="AH101" s="28" t="str">
        <f t="shared" si="108"/>
        <v/>
      </c>
      <c r="AI101" s="4"/>
      <c r="AJ101" s="5">
        <f t="shared" si="109"/>
        <v>0</v>
      </c>
    </row>
    <row r="102" ht="13.5" customHeight="1">
      <c r="A102" s="25" t="s">
        <v>129</v>
      </c>
      <c r="B102" s="5">
        <v>0.0</v>
      </c>
      <c r="C102" s="5">
        <v>0.0</v>
      </c>
      <c r="D102" s="5">
        <v>0.0</v>
      </c>
      <c r="E102" s="5">
        <v>36.2</v>
      </c>
      <c r="F102" s="5">
        <v>0.0</v>
      </c>
      <c r="G102" s="5">
        <v>0.0</v>
      </c>
      <c r="H102" s="5">
        <v>0.0</v>
      </c>
      <c r="I102" s="5">
        <v>0.0</v>
      </c>
      <c r="J102" s="27">
        <v>0.0</v>
      </c>
      <c r="K102" s="27">
        <v>0.0</v>
      </c>
      <c r="L102" s="27">
        <v>0.0</v>
      </c>
      <c r="M102" s="27">
        <v>0.0</v>
      </c>
      <c r="N102" s="5">
        <f t="shared" si="104"/>
        <v>36.2</v>
      </c>
      <c r="O102" s="28" t="str">
        <f t="shared" si="105"/>
        <v/>
      </c>
      <c r="P102" s="5"/>
      <c r="Q102" s="5"/>
      <c r="R102" s="29" t="s">
        <v>34</v>
      </c>
      <c r="S102" s="30">
        <v>0.0</v>
      </c>
      <c r="T102" s="31">
        <v>0.05</v>
      </c>
      <c r="U102" s="26">
        <f t="shared" ref="U102:AF102" si="129">IF($R102="Manual","",IFERROR(IF($R102="YOY Growth",$N102*(1+$T102)/12,$S102/12),""))</f>
        <v>0</v>
      </c>
      <c r="V102" s="26">
        <f t="shared" si="129"/>
        <v>0</v>
      </c>
      <c r="W102" s="26">
        <f t="shared" si="129"/>
        <v>0</v>
      </c>
      <c r="X102" s="26">
        <f t="shared" si="129"/>
        <v>0</v>
      </c>
      <c r="Y102" s="26">
        <f t="shared" si="129"/>
        <v>0</v>
      </c>
      <c r="Z102" s="26">
        <f t="shared" si="129"/>
        <v>0</v>
      </c>
      <c r="AA102" s="26">
        <f t="shared" si="129"/>
        <v>0</v>
      </c>
      <c r="AB102" s="26">
        <f t="shared" si="129"/>
        <v>0</v>
      </c>
      <c r="AC102" s="26">
        <f t="shared" si="129"/>
        <v>0</v>
      </c>
      <c r="AD102" s="26">
        <f t="shared" si="129"/>
        <v>0</v>
      </c>
      <c r="AE102" s="26">
        <f t="shared" si="129"/>
        <v>0</v>
      </c>
      <c r="AF102" s="26">
        <f t="shared" si="129"/>
        <v>0</v>
      </c>
      <c r="AG102" s="5">
        <f t="shared" si="107"/>
        <v>0</v>
      </c>
      <c r="AH102" s="28" t="str">
        <f t="shared" si="108"/>
        <v/>
      </c>
      <c r="AI102" s="4"/>
      <c r="AJ102" s="5">
        <f t="shared" si="109"/>
        <v>36.2</v>
      </c>
    </row>
    <row r="103" ht="13.5" customHeight="1">
      <c r="A103" s="25" t="s">
        <v>130</v>
      </c>
      <c r="B103" s="5">
        <v>0.0</v>
      </c>
      <c r="C103" s="5">
        <v>0.0</v>
      </c>
      <c r="D103" s="5">
        <v>0.0</v>
      </c>
      <c r="E103" s="5">
        <v>0.0</v>
      </c>
      <c r="F103" s="5">
        <v>0.0</v>
      </c>
      <c r="G103" s="5">
        <v>0.0</v>
      </c>
      <c r="H103" s="5">
        <v>0.0</v>
      </c>
      <c r="I103" s="5">
        <v>0.0</v>
      </c>
      <c r="J103" s="27">
        <v>0.0</v>
      </c>
      <c r="K103" s="27">
        <v>0.0</v>
      </c>
      <c r="L103" s="27">
        <v>0.0</v>
      </c>
      <c r="M103" s="27">
        <v>0.0</v>
      </c>
      <c r="N103" s="5">
        <f t="shared" si="104"/>
        <v>0</v>
      </c>
      <c r="O103" s="28" t="str">
        <f t="shared" si="105"/>
        <v/>
      </c>
      <c r="P103" s="5"/>
      <c r="Q103" s="5"/>
      <c r="R103" s="29" t="s">
        <v>34</v>
      </c>
      <c r="S103" s="30">
        <v>0.0</v>
      </c>
      <c r="T103" s="31">
        <v>0.05</v>
      </c>
      <c r="U103" s="26">
        <f t="shared" ref="U103:AF103" si="130">IF($R103="Manual","",IFERROR(IF($R103="YOY Growth",$N103*(1+$T103)/12,$S103/12),""))</f>
        <v>0</v>
      </c>
      <c r="V103" s="26">
        <f t="shared" si="130"/>
        <v>0</v>
      </c>
      <c r="W103" s="26">
        <f t="shared" si="130"/>
        <v>0</v>
      </c>
      <c r="X103" s="26">
        <f t="shared" si="130"/>
        <v>0</v>
      </c>
      <c r="Y103" s="26">
        <f t="shared" si="130"/>
        <v>0</v>
      </c>
      <c r="Z103" s="26">
        <f t="shared" si="130"/>
        <v>0</v>
      </c>
      <c r="AA103" s="26">
        <f t="shared" si="130"/>
        <v>0</v>
      </c>
      <c r="AB103" s="26">
        <f t="shared" si="130"/>
        <v>0</v>
      </c>
      <c r="AC103" s="26">
        <f t="shared" si="130"/>
        <v>0</v>
      </c>
      <c r="AD103" s="26">
        <f t="shared" si="130"/>
        <v>0</v>
      </c>
      <c r="AE103" s="26">
        <f t="shared" si="130"/>
        <v>0</v>
      </c>
      <c r="AF103" s="26">
        <f t="shared" si="130"/>
        <v>0</v>
      </c>
      <c r="AG103" s="5">
        <f t="shared" si="107"/>
        <v>0</v>
      </c>
      <c r="AH103" s="28" t="str">
        <f t="shared" si="108"/>
        <v/>
      </c>
      <c r="AI103" s="4"/>
      <c r="AJ103" s="5">
        <f t="shared" si="109"/>
        <v>0</v>
      </c>
    </row>
    <row r="104" ht="13.5" customHeight="1">
      <c r="A104" s="25" t="s">
        <v>131</v>
      </c>
      <c r="B104" s="5">
        <v>0.0</v>
      </c>
      <c r="C104" s="5">
        <v>0.0</v>
      </c>
      <c r="D104" s="5">
        <v>0.0</v>
      </c>
      <c r="E104" s="5">
        <v>0.0</v>
      </c>
      <c r="F104" s="5">
        <v>0.0</v>
      </c>
      <c r="G104" s="5">
        <v>297.52</v>
      </c>
      <c r="H104" s="5">
        <v>0.0</v>
      </c>
      <c r="I104" s="5">
        <v>0.0</v>
      </c>
      <c r="J104" s="27">
        <v>0.0</v>
      </c>
      <c r="K104" s="27">
        <v>0.0</v>
      </c>
      <c r="L104" s="27">
        <v>0.0</v>
      </c>
      <c r="M104" s="27">
        <v>0.0</v>
      </c>
      <c r="N104" s="5">
        <f t="shared" si="104"/>
        <v>297.52</v>
      </c>
      <c r="O104" s="28" t="str">
        <f t="shared" si="105"/>
        <v/>
      </c>
      <c r="P104" s="5"/>
      <c r="Q104" s="5"/>
      <c r="R104" s="29" t="s">
        <v>34</v>
      </c>
      <c r="S104" s="30">
        <v>0.0</v>
      </c>
      <c r="T104" s="31">
        <v>0.05</v>
      </c>
      <c r="U104" s="26">
        <f t="shared" ref="U104:AF104" si="131">IF($R104="Manual","",IFERROR(IF($R104="YOY Growth",$N104*(1+$T104)/12,$S104/12),""))</f>
        <v>0</v>
      </c>
      <c r="V104" s="26">
        <f t="shared" si="131"/>
        <v>0</v>
      </c>
      <c r="W104" s="26">
        <f t="shared" si="131"/>
        <v>0</v>
      </c>
      <c r="X104" s="26">
        <f t="shared" si="131"/>
        <v>0</v>
      </c>
      <c r="Y104" s="26">
        <f t="shared" si="131"/>
        <v>0</v>
      </c>
      <c r="Z104" s="26">
        <f t="shared" si="131"/>
        <v>0</v>
      </c>
      <c r="AA104" s="26">
        <f t="shared" si="131"/>
        <v>0</v>
      </c>
      <c r="AB104" s="26">
        <f t="shared" si="131"/>
        <v>0</v>
      </c>
      <c r="AC104" s="26">
        <f t="shared" si="131"/>
        <v>0</v>
      </c>
      <c r="AD104" s="26">
        <f t="shared" si="131"/>
        <v>0</v>
      </c>
      <c r="AE104" s="26">
        <f t="shared" si="131"/>
        <v>0</v>
      </c>
      <c r="AF104" s="26">
        <f t="shared" si="131"/>
        <v>0</v>
      </c>
      <c r="AG104" s="5">
        <f t="shared" si="107"/>
        <v>0</v>
      </c>
      <c r="AH104" s="28" t="str">
        <f t="shared" si="108"/>
        <v/>
      </c>
      <c r="AI104" s="4"/>
      <c r="AJ104" s="5">
        <f t="shared" si="109"/>
        <v>297.52</v>
      </c>
    </row>
    <row r="105" ht="13.5" customHeight="1">
      <c r="A105" s="25" t="s">
        <v>132</v>
      </c>
      <c r="B105" s="5">
        <v>0.0</v>
      </c>
      <c r="C105" s="5">
        <v>0.0</v>
      </c>
      <c r="D105" s="5">
        <v>0.0</v>
      </c>
      <c r="E105" s="5">
        <v>0.0</v>
      </c>
      <c r="F105" s="5">
        <v>0.0</v>
      </c>
      <c r="G105" s="5">
        <v>0.0</v>
      </c>
      <c r="H105" s="5">
        <v>0.0</v>
      </c>
      <c r="I105" s="5">
        <v>0.0</v>
      </c>
      <c r="J105" s="27">
        <v>0.0</v>
      </c>
      <c r="K105" s="27">
        <v>0.0</v>
      </c>
      <c r="L105" s="27">
        <v>0.0</v>
      </c>
      <c r="M105" s="27">
        <v>0.0</v>
      </c>
      <c r="N105" s="5">
        <f t="shared" si="104"/>
        <v>0</v>
      </c>
      <c r="O105" s="28" t="str">
        <f t="shared" si="105"/>
        <v/>
      </c>
      <c r="P105" s="5"/>
      <c r="Q105" s="5"/>
      <c r="R105" s="29" t="s">
        <v>34</v>
      </c>
      <c r="S105" s="30">
        <v>0.0</v>
      </c>
      <c r="T105" s="31">
        <v>0.05</v>
      </c>
      <c r="U105" s="26">
        <f t="shared" ref="U105:AF105" si="132">IF($R105="Manual","",IFERROR(IF($R105="YOY Growth",$N105*(1+$T105)/12,$S105/12),""))</f>
        <v>0</v>
      </c>
      <c r="V105" s="26">
        <f t="shared" si="132"/>
        <v>0</v>
      </c>
      <c r="W105" s="26">
        <f t="shared" si="132"/>
        <v>0</v>
      </c>
      <c r="X105" s="26">
        <f t="shared" si="132"/>
        <v>0</v>
      </c>
      <c r="Y105" s="26">
        <f t="shared" si="132"/>
        <v>0</v>
      </c>
      <c r="Z105" s="26">
        <f t="shared" si="132"/>
        <v>0</v>
      </c>
      <c r="AA105" s="26">
        <f t="shared" si="132"/>
        <v>0</v>
      </c>
      <c r="AB105" s="26">
        <f t="shared" si="132"/>
        <v>0</v>
      </c>
      <c r="AC105" s="26">
        <f t="shared" si="132"/>
        <v>0</v>
      </c>
      <c r="AD105" s="26">
        <f t="shared" si="132"/>
        <v>0</v>
      </c>
      <c r="AE105" s="26">
        <f t="shared" si="132"/>
        <v>0</v>
      </c>
      <c r="AF105" s="26">
        <f t="shared" si="132"/>
        <v>0</v>
      </c>
      <c r="AG105" s="5">
        <f t="shared" si="107"/>
        <v>0</v>
      </c>
      <c r="AH105" s="28" t="str">
        <f t="shared" si="108"/>
        <v/>
      </c>
      <c r="AI105" s="4"/>
      <c r="AJ105" s="5">
        <f t="shared" si="109"/>
        <v>0</v>
      </c>
    </row>
    <row r="106" ht="13.5" customHeight="1">
      <c r="A106" s="25" t="s">
        <v>133</v>
      </c>
      <c r="B106" s="5">
        <v>1353.84</v>
      </c>
      <c r="C106" s="5">
        <v>5023.49</v>
      </c>
      <c r="D106" s="5">
        <v>4997.13</v>
      </c>
      <c r="E106" s="5">
        <v>633.36</v>
      </c>
      <c r="F106" s="5">
        <v>526.42</v>
      </c>
      <c r="G106" s="5">
        <v>0.0</v>
      </c>
      <c r="H106" s="5">
        <v>150.0</v>
      </c>
      <c r="I106" s="5">
        <v>2590.92</v>
      </c>
      <c r="J106" s="27">
        <v>2000.0</v>
      </c>
      <c r="K106" s="27">
        <v>4500.0</v>
      </c>
      <c r="L106" s="27">
        <v>4500.0</v>
      </c>
      <c r="M106" s="27">
        <v>4500.0</v>
      </c>
      <c r="N106" s="5">
        <f t="shared" si="104"/>
        <v>30775.16</v>
      </c>
      <c r="O106" s="28" t="str">
        <f t="shared" si="105"/>
        <v/>
      </c>
      <c r="P106" s="5"/>
      <c r="Q106" s="5"/>
      <c r="R106" s="29" t="s">
        <v>34</v>
      </c>
      <c r="S106" s="30">
        <v>0.0</v>
      </c>
      <c r="T106" s="31">
        <v>0.05</v>
      </c>
      <c r="U106" s="26">
        <f t="shared" ref="U106:AF106" si="133">IF($R106="Manual","",IFERROR(IF($R106="YOY Growth",$N106*(1+$T106)/12,$S106/12),""))</f>
        <v>0</v>
      </c>
      <c r="V106" s="26">
        <f t="shared" si="133"/>
        <v>0</v>
      </c>
      <c r="W106" s="26">
        <f t="shared" si="133"/>
        <v>0</v>
      </c>
      <c r="X106" s="26">
        <f t="shared" si="133"/>
        <v>0</v>
      </c>
      <c r="Y106" s="26">
        <f t="shared" si="133"/>
        <v>0</v>
      </c>
      <c r="Z106" s="26">
        <f t="shared" si="133"/>
        <v>0</v>
      </c>
      <c r="AA106" s="26">
        <f t="shared" si="133"/>
        <v>0</v>
      </c>
      <c r="AB106" s="26">
        <f t="shared" si="133"/>
        <v>0</v>
      </c>
      <c r="AC106" s="26">
        <f t="shared" si="133"/>
        <v>0</v>
      </c>
      <c r="AD106" s="26">
        <f t="shared" si="133"/>
        <v>0</v>
      </c>
      <c r="AE106" s="26">
        <f t="shared" si="133"/>
        <v>0</v>
      </c>
      <c r="AF106" s="26">
        <f t="shared" si="133"/>
        <v>0</v>
      </c>
      <c r="AG106" s="5">
        <f t="shared" si="107"/>
        <v>0</v>
      </c>
      <c r="AH106" s="28" t="str">
        <f t="shared" si="108"/>
        <v/>
      </c>
      <c r="AI106" s="4"/>
      <c r="AJ106" s="5">
        <f t="shared" si="109"/>
        <v>30775.16</v>
      </c>
    </row>
    <row r="107" ht="13.5" customHeight="1">
      <c r="A107" s="25" t="s">
        <v>135</v>
      </c>
      <c r="B107" s="5">
        <v>0.0</v>
      </c>
      <c r="C107" s="5">
        <v>0.0</v>
      </c>
      <c r="D107" s="5">
        <v>0.0</v>
      </c>
      <c r="E107" s="5">
        <v>0.0</v>
      </c>
      <c r="F107" s="5">
        <v>0.0</v>
      </c>
      <c r="G107" s="5">
        <v>0.0</v>
      </c>
      <c r="H107" s="5">
        <v>0.0</v>
      </c>
      <c r="I107" s="5">
        <v>0.0</v>
      </c>
      <c r="J107" s="27">
        <v>0.0</v>
      </c>
      <c r="K107" s="27">
        <v>0.0</v>
      </c>
      <c r="L107" s="27">
        <v>0.0</v>
      </c>
      <c r="M107" s="27">
        <v>0.0</v>
      </c>
      <c r="N107" s="5">
        <f t="shared" si="104"/>
        <v>0</v>
      </c>
      <c r="O107" s="28" t="str">
        <f t="shared" si="105"/>
        <v/>
      </c>
      <c r="P107" s="5"/>
      <c r="Q107" s="5"/>
      <c r="R107" s="29" t="s">
        <v>34</v>
      </c>
      <c r="S107" s="30">
        <v>0.0</v>
      </c>
      <c r="T107" s="31">
        <v>0.05</v>
      </c>
      <c r="U107" s="26">
        <f t="shared" ref="U107:AF107" si="134">IF($R107="Manual","",IFERROR(IF($R107="YOY Growth",$N107*(1+$T107)/12,$S107/12),""))</f>
        <v>0</v>
      </c>
      <c r="V107" s="26">
        <f t="shared" si="134"/>
        <v>0</v>
      </c>
      <c r="W107" s="26">
        <f t="shared" si="134"/>
        <v>0</v>
      </c>
      <c r="X107" s="26">
        <f t="shared" si="134"/>
        <v>0</v>
      </c>
      <c r="Y107" s="26">
        <f t="shared" si="134"/>
        <v>0</v>
      </c>
      <c r="Z107" s="26">
        <f t="shared" si="134"/>
        <v>0</v>
      </c>
      <c r="AA107" s="26">
        <f t="shared" si="134"/>
        <v>0</v>
      </c>
      <c r="AB107" s="26">
        <f t="shared" si="134"/>
        <v>0</v>
      </c>
      <c r="AC107" s="26">
        <f t="shared" si="134"/>
        <v>0</v>
      </c>
      <c r="AD107" s="26">
        <f t="shared" si="134"/>
        <v>0</v>
      </c>
      <c r="AE107" s="26">
        <f t="shared" si="134"/>
        <v>0</v>
      </c>
      <c r="AF107" s="26">
        <f t="shared" si="134"/>
        <v>0</v>
      </c>
      <c r="AG107" s="5">
        <f t="shared" si="107"/>
        <v>0</v>
      </c>
      <c r="AH107" s="28" t="str">
        <f t="shared" si="108"/>
        <v/>
      </c>
      <c r="AI107" s="4"/>
      <c r="AJ107" s="5">
        <f t="shared" si="109"/>
        <v>0</v>
      </c>
    </row>
    <row r="108" ht="13.5" customHeight="1">
      <c r="A108" s="25" t="s">
        <v>136</v>
      </c>
      <c r="B108" s="5">
        <v>0.0</v>
      </c>
      <c r="C108" s="5">
        <v>0.0</v>
      </c>
      <c r="D108" s="5">
        <v>0.0</v>
      </c>
      <c r="E108" s="5">
        <v>0.0</v>
      </c>
      <c r="F108" s="5">
        <v>0.0</v>
      </c>
      <c r="G108" s="5">
        <v>0.0</v>
      </c>
      <c r="H108" s="5">
        <v>0.0</v>
      </c>
      <c r="I108" s="5">
        <v>0.0</v>
      </c>
      <c r="J108" s="27">
        <v>0.0</v>
      </c>
      <c r="K108" s="27">
        <v>0.0</v>
      </c>
      <c r="L108" s="27">
        <v>0.0</v>
      </c>
      <c r="M108" s="27">
        <v>0.0</v>
      </c>
      <c r="N108" s="5">
        <f t="shared" si="104"/>
        <v>0</v>
      </c>
      <c r="O108" s="28" t="str">
        <f t="shared" si="105"/>
        <v/>
      </c>
      <c r="P108" s="5"/>
      <c r="Q108" s="5"/>
      <c r="R108" s="29" t="s">
        <v>34</v>
      </c>
      <c r="S108" s="30">
        <v>0.0</v>
      </c>
      <c r="T108" s="31">
        <v>0.05</v>
      </c>
      <c r="U108" s="26">
        <f t="shared" ref="U108:AF108" si="135">IF($R108="Manual","",IFERROR(IF($R108="YOY Growth",$N108*(1+$T108)/12,$S108/12),""))</f>
        <v>0</v>
      </c>
      <c r="V108" s="26">
        <f t="shared" si="135"/>
        <v>0</v>
      </c>
      <c r="W108" s="26">
        <f t="shared" si="135"/>
        <v>0</v>
      </c>
      <c r="X108" s="26">
        <f t="shared" si="135"/>
        <v>0</v>
      </c>
      <c r="Y108" s="26">
        <f t="shared" si="135"/>
        <v>0</v>
      </c>
      <c r="Z108" s="26">
        <f t="shared" si="135"/>
        <v>0</v>
      </c>
      <c r="AA108" s="26">
        <f t="shared" si="135"/>
        <v>0</v>
      </c>
      <c r="AB108" s="26">
        <f t="shared" si="135"/>
        <v>0</v>
      </c>
      <c r="AC108" s="26">
        <f t="shared" si="135"/>
        <v>0</v>
      </c>
      <c r="AD108" s="26">
        <f t="shared" si="135"/>
        <v>0</v>
      </c>
      <c r="AE108" s="26">
        <f t="shared" si="135"/>
        <v>0</v>
      </c>
      <c r="AF108" s="26">
        <f t="shared" si="135"/>
        <v>0</v>
      </c>
      <c r="AG108" s="5">
        <f t="shared" si="107"/>
        <v>0</v>
      </c>
      <c r="AH108" s="28" t="str">
        <f t="shared" si="108"/>
        <v/>
      </c>
      <c r="AI108" s="4"/>
      <c r="AJ108" s="5">
        <f t="shared" si="109"/>
        <v>0</v>
      </c>
    </row>
    <row r="109" ht="13.5" customHeight="1">
      <c r="A109" s="25" t="s">
        <v>137</v>
      </c>
      <c r="B109" s="5">
        <v>0.0</v>
      </c>
      <c r="C109" s="5">
        <v>0.0</v>
      </c>
      <c r="D109" s="5">
        <v>0.0</v>
      </c>
      <c r="E109" s="5">
        <v>0.0</v>
      </c>
      <c r="F109" s="5">
        <v>0.0</v>
      </c>
      <c r="G109" s="5">
        <v>0.0</v>
      </c>
      <c r="H109" s="5">
        <v>0.0</v>
      </c>
      <c r="I109" s="5">
        <v>0.0</v>
      </c>
      <c r="J109" s="27">
        <v>0.0</v>
      </c>
      <c r="K109" s="27">
        <v>0.0</v>
      </c>
      <c r="L109" s="27">
        <v>0.0</v>
      </c>
      <c r="M109" s="27">
        <v>0.0</v>
      </c>
      <c r="N109" s="5">
        <f t="shared" si="104"/>
        <v>0</v>
      </c>
      <c r="O109" s="28" t="str">
        <f t="shared" si="105"/>
        <v/>
      </c>
      <c r="P109" s="5"/>
      <c r="Q109" s="5"/>
      <c r="R109" s="29" t="s">
        <v>34</v>
      </c>
      <c r="S109" s="30">
        <v>0.0</v>
      </c>
      <c r="T109" s="31">
        <v>0.05</v>
      </c>
      <c r="U109" s="26">
        <f t="shared" ref="U109:AF109" si="136">IF($R109="Manual","",IFERROR(IF($R109="YOY Growth",$N109*(1+$T109)/12,$S109/12),""))</f>
        <v>0</v>
      </c>
      <c r="V109" s="26">
        <f t="shared" si="136"/>
        <v>0</v>
      </c>
      <c r="W109" s="26">
        <f t="shared" si="136"/>
        <v>0</v>
      </c>
      <c r="X109" s="26">
        <f t="shared" si="136"/>
        <v>0</v>
      </c>
      <c r="Y109" s="26">
        <f t="shared" si="136"/>
        <v>0</v>
      </c>
      <c r="Z109" s="26">
        <f t="shared" si="136"/>
        <v>0</v>
      </c>
      <c r="AA109" s="26">
        <f t="shared" si="136"/>
        <v>0</v>
      </c>
      <c r="AB109" s="26">
        <f t="shared" si="136"/>
        <v>0</v>
      </c>
      <c r="AC109" s="26">
        <f t="shared" si="136"/>
        <v>0</v>
      </c>
      <c r="AD109" s="26">
        <f t="shared" si="136"/>
        <v>0</v>
      </c>
      <c r="AE109" s="26">
        <f t="shared" si="136"/>
        <v>0</v>
      </c>
      <c r="AF109" s="26">
        <f t="shared" si="136"/>
        <v>0</v>
      </c>
      <c r="AG109" s="5">
        <f t="shared" si="107"/>
        <v>0</v>
      </c>
      <c r="AH109" s="28" t="str">
        <f t="shared" si="108"/>
        <v/>
      </c>
      <c r="AI109" s="4"/>
      <c r="AJ109" s="5">
        <f t="shared" si="109"/>
        <v>0</v>
      </c>
    </row>
    <row r="110" ht="13.5" customHeight="1">
      <c r="A110" s="25" t="s">
        <v>138</v>
      </c>
      <c r="B110" s="5">
        <v>0.0</v>
      </c>
      <c r="C110" s="5">
        <v>0.0</v>
      </c>
      <c r="D110" s="5">
        <v>0.0</v>
      </c>
      <c r="E110" s="5">
        <v>0.0</v>
      </c>
      <c r="F110" s="5">
        <v>0.0</v>
      </c>
      <c r="G110" s="5">
        <v>0.0</v>
      </c>
      <c r="H110" s="5">
        <v>0.0</v>
      </c>
      <c r="I110" s="5">
        <v>0.0</v>
      </c>
      <c r="J110" s="27">
        <v>0.0</v>
      </c>
      <c r="K110" s="27">
        <v>0.0</v>
      </c>
      <c r="L110" s="27">
        <v>0.0</v>
      </c>
      <c r="M110" s="27">
        <v>0.0</v>
      </c>
      <c r="N110" s="5">
        <f t="shared" si="104"/>
        <v>0</v>
      </c>
      <c r="O110" s="28" t="str">
        <f t="shared" si="105"/>
        <v/>
      </c>
      <c r="P110" s="5"/>
      <c r="Q110" s="5"/>
      <c r="R110" s="29" t="s">
        <v>34</v>
      </c>
      <c r="S110" s="30">
        <v>0.0</v>
      </c>
      <c r="T110" s="31">
        <v>0.05</v>
      </c>
      <c r="U110" s="26">
        <f t="shared" ref="U110:AF110" si="137">IF($R110="Manual","",IFERROR(IF($R110="YOY Growth",$N110*(1+$T110)/12,$S110/12),""))</f>
        <v>0</v>
      </c>
      <c r="V110" s="26">
        <f t="shared" si="137"/>
        <v>0</v>
      </c>
      <c r="W110" s="26">
        <f t="shared" si="137"/>
        <v>0</v>
      </c>
      <c r="X110" s="26">
        <f t="shared" si="137"/>
        <v>0</v>
      </c>
      <c r="Y110" s="26">
        <f t="shared" si="137"/>
        <v>0</v>
      </c>
      <c r="Z110" s="26">
        <f t="shared" si="137"/>
        <v>0</v>
      </c>
      <c r="AA110" s="26">
        <f t="shared" si="137"/>
        <v>0</v>
      </c>
      <c r="AB110" s="26">
        <f t="shared" si="137"/>
        <v>0</v>
      </c>
      <c r="AC110" s="26">
        <f t="shared" si="137"/>
        <v>0</v>
      </c>
      <c r="AD110" s="26">
        <f t="shared" si="137"/>
        <v>0</v>
      </c>
      <c r="AE110" s="26">
        <f t="shared" si="137"/>
        <v>0</v>
      </c>
      <c r="AF110" s="26">
        <f t="shared" si="137"/>
        <v>0</v>
      </c>
      <c r="AG110" s="5">
        <f t="shared" si="107"/>
        <v>0</v>
      </c>
      <c r="AH110" s="28" t="str">
        <f t="shared" si="108"/>
        <v/>
      </c>
      <c r="AI110" s="4"/>
      <c r="AJ110" s="5">
        <f t="shared" si="109"/>
        <v>0</v>
      </c>
    </row>
    <row r="111" ht="13.5" customHeight="1">
      <c r="A111" s="25" t="s">
        <v>140</v>
      </c>
      <c r="B111" s="5">
        <v>0.0</v>
      </c>
      <c r="C111" s="5">
        <v>0.0</v>
      </c>
      <c r="D111" s="5">
        <v>0.0</v>
      </c>
      <c r="E111" s="5">
        <v>0.0</v>
      </c>
      <c r="F111" s="5">
        <v>0.0</v>
      </c>
      <c r="G111" s="5">
        <v>0.0</v>
      </c>
      <c r="H111" s="5">
        <v>0.0</v>
      </c>
      <c r="I111" s="5">
        <v>0.0</v>
      </c>
      <c r="J111" s="27">
        <v>0.0</v>
      </c>
      <c r="K111" s="27">
        <v>0.0</v>
      </c>
      <c r="L111" s="27">
        <v>0.0</v>
      </c>
      <c r="M111" s="27">
        <v>0.0</v>
      </c>
      <c r="N111" s="5">
        <f t="shared" si="104"/>
        <v>0</v>
      </c>
      <c r="O111" s="28" t="str">
        <f t="shared" si="105"/>
        <v/>
      </c>
      <c r="P111" s="5"/>
      <c r="Q111" s="5"/>
      <c r="R111" s="29" t="s">
        <v>34</v>
      </c>
      <c r="S111" s="30">
        <v>0.0</v>
      </c>
      <c r="T111" s="31">
        <v>0.05</v>
      </c>
      <c r="U111" s="26">
        <f t="shared" ref="U111:AF111" si="138">IF($R111="Manual","",IFERROR(IF($R111="YOY Growth",$N111*(1+$T111)/12,$S111/12),""))</f>
        <v>0</v>
      </c>
      <c r="V111" s="26">
        <f t="shared" si="138"/>
        <v>0</v>
      </c>
      <c r="W111" s="26">
        <f t="shared" si="138"/>
        <v>0</v>
      </c>
      <c r="X111" s="26">
        <f t="shared" si="138"/>
        <v>0</v>
      </c>
      <c r="Y111" s="26">
        <f t="shared" si="138"/>
        <v>0</v>
      </c>
      <c r="Z111" s="26">
        <f t="shared" si="138"/>
        <v>0</v>
      </c>
      <c r="AA111" s="26">
        <f t="shared" si="138"/>
        <v>0</v>
      </c>
      <c r="AB111" s="26">
        <f t="shared" si="138"/>
        <v>0</v>
      </c>
      <c r="AC111" s="26">
        <f t="shared" si="138"/>
        <v>0</v>
      </c>
      <c r="AD111" s="26">
        <f t="shared" si="138"/>
        <v>0</v>
      </c>
      <c r="AE111" s="26">
        <f t="shared" si="138"/>
        <v>0</v>
      </c>
      <c r="AF111" s="26">
        <f t="shared" si="138"/>
        <v>0</v>
      </c>
      <c r="AG111" s="5">
        <f t="shared" si="107"/>
        <v>0</v>
      </c>
      <c r="AH111" s="28" t="str">
        <f t="shared" si="108"/>
        <v/>
      </c>
      <c r="AI111" s="4"/>
      <c r="AJ111" s="5">
        <f t="shared" si="109"/>
        <v>0</v>
      </c>
    </row>
    <row r="112" ht="13.5" customHeight="1">
      <c r="A112" s="25" t="s">
        <v>141</v>
      </c>
      <c r="B112" s="5">
        <v>0.0</v>
      </c>
      <c r="C112" s="5">
        <v>0.0</v>
      </c>
      <c r="D112" s="5">
        <v>0.0</v>
      </c>
      <c r="E112" s="5">
        <v>0.0</v>
      </c>
      <c r="F112" s="5">
        <v>0.0</v>
      </c>
      <c r="G112" s="5">
        <v>0.0</v>
      </c>
      <c r="H112" s="5">
        <v>0.0</v>
      </c>
      <c r="I112" s="5">
        <v>0.0</v>
      </c>
      <c r="J112" s="27">
        <v>0.0</v>
      </c>
      <c r="K112" s="27">
        <v>0.0</v>
      </c>
      <c r="L112" s="27">
        <v>0.0</v>
      </c>
      <c r="M112" s="27">
        <v>0.0</v>
      </c>
      <c r="N112" s="5">
        <f t="shared" si="104"/>
        <v>0</v>
      </c>
      <c r="O112" s="28" t="str">
        <f t="shared" si="105"/>
        <v/>
      </c>
      <c r="P112" s="5"/>
      <c r="Q112" s="5"/>
      <c r="R112" s="29" t="s">
        <v>34</v>
      </c>
      <c r="S112" s="30">
        <v>0.0</v>
      </c>
      <c r="T112" s="31">
        <v>0.05</v>
      </c>
      <c r="U112" s="26">
        <f t="shared" ref="U112:AF112" si="139">IF($R112="Manual","",IFERROR(IF($R112="YOY Growth",$N112*(1+$T112)/12,$S112/12),""))</f>
        <v>0</v>
      </c>
      <c r="V112" s="26">
        <f t="shared" si="139"/>
        <v>0</v>
      </c>
      <c r="W112" s="26">
        <f t="shared" si="139"/>
        <v>0</v>
      </c>
      <c r="X112" s="26">
        <f t="shared" si="139"/>
        <v>0</v>
      </c>
      <c r="Y112" s="26">
        <f t="shared" si="139"/>
        <v>0</v>
      </c>
      <c r="Z112" s="26">
        <f t="shared" si="139"/>
        <v>0</v>
      </c>
      <c r="AA112" s="26">
        <f t="shared" si="139"/>
        <v>0</v>
      </c>
      <c r="AB112" s="26">
        <f t="shared" si="139"/>
        <v>0</v>
      </c>
      <c r="AC112" s="26">
        <f t="shared" si="139"/>
        <v>0</v>
      </c>
      <c r="AD112" s="26">
        <f t="shared" si="139"/>
        <v>0</v>
      </c>
      <c r="AE112" s="26">
        <f t="shared" si="139"/>
        <v>0</v>
      </c>
      <c r="AF112" s="26">
        <f t="shared" si="139"/>
        <v>0</v>
      </c>
      <c r="AG112" s="5">
        <f t="shared" si="107"/>
        <v>0</v>
      </c>
      <c r="AH112" s="28" t="str">
        <f t="shared" si="108"/>
        <v/>
      </c>
      <c r="AI112" s="4"/>
      <c r="AJ112" s="5">
        <f t="shared" si="109"/>
        <v>0</v>
      </c>
    </row>
    <row r="113" ht="13.5" customHeight="1">
      <c r="A113" s="25" t="s">
        <v>142</v>
      </c>
      <c r="B113" s="5">
        <v>0.0</v>
      </c>
      <c r="C113" s="5">
        <v>0.0</v>
      </c>
      <c r="D113" s="5">
        <v>0.0</v>
      </c>
      <c r="E113" s="5">
        <v>0.0</v>
      </c>
      <c r="F113" s="5">
        <v>0.0</v>
      </c>
      <c r="G113" s="5">
        <v>0.0</v>
      </c>
      <c r="H113" s="5">
        <v>0.0</v>
      </c>
      <c r="I113" s="5">
        <v>0.0</v>
      </c>
      <c r="J113" s="27">
        <v>0.0</v>
      </c>
      <c r="K113" s="27">
        <v>0.0</v>
      </c>
      <c r="L113" s="27">
        <v>0.0</v>
      </c>
      <c r="M113" s="27">
        <v>0.0</v>
      </c>
      <c r="N113" s="5">
        <f t="shared" si="104"/>
        <v>0</v>
      </c>
      <c r="O113" s="28" t="str">
        <f t="shared" si="105"/>
        <v/>
      </c>
      <c r="P113" s="5"/>
      <c r="Q113" s="5"/>
      <c r="R113" s="29" t="s">
        <v>34</v>
      </c>
      <c r="S113" s="30">
        <v>0.0</v>
      </c>
      <c r="T113" s="31">
        <v>0.05</v>
      </c>
      <c r="U113" s="26">
        <f t="shared" ref="U113:AF113" si="140">IF($R113="Manual","",IFERROR(IF($R113="YOY Growth",$N113*(1+$T113)/12,$S113/12),""))</f>
        <v>0</v>
      </c>
      <c r="V113" s="26">
        <f t="shared" si="140"/>
        <v>0</v>
      </c>
      <c r="W113" s="26">
        <f t="shared" si="140"/>
        <v>0</v>
      </c>
      <c r="X113" s="26">
        <f t="shared" si="140"/>
        <v>0</v>
      </c>
      <c r="Y113" s="26">
        <f t="shared" si="140"/>
        <v>0</v>
      </c>
      <c r="Z113" s="26">
        <f t="shared" si="140"/>
        <v>0</v>
      </c>
      <c r="AA113" s="26">
        <f t="shared" si="140"/>
        <v>0</v>
      </c>
      <c r="AB113" s="26">
        <f t="shared" si="140"/>
        <v>0</v>
      </c>
      <c r="AC113" s="26">
        <f t="shared" si="140"/>
        <v>0</v>
      </c>
      <c r="AD113" s="26">
        <f t="shared" si="140"/>
        <v>0</v>
      </c>
      <c r="AE113" s="26">
        <f t="shared" si="140"/>
        <v>0</v>
      </c>
      <c r="AF113" s="26">
        <f t="shared" si="140"/>
        <v>0</v>
      </c>
      <c r="AG113" s="5">
        <f t="shared" si="107"/>
        <v>0</v>
      </c>
      <c r="AH113" s="28" t="str">
        <f t="shared" si="108"/>
        <v/>
      </c>
      <c r="AI113" s="4"/>
      <c r="AJ113" s="5">
        <f t="shared" si="109"/>
        <v>0</v>
      </c>
    </row>
    <row r="114" ht="13.5" customHeight="1">
      <c r="A114" s="25" t="s">
        <v>143</v>
      </c>
      <c r="B114" s="5">
        <v>0.0</v>
      </c>
      <c r="C114" s="5">
        <v>0.0</v>
      </c>
      <c r="D114" s="5">
        <v>0.0</v>
      </c>
      <c r="E114" s="5">
        <v>0.0</v>
      </c>
      <c r="F114" s="5">
        <v>0.0</v>
      </c>
      <c r="G114" s="5">
        <v>30.03</v>
      </c>
      <c r="H114" s="5">
        <v>0.0</v>
      </c>
      <c r="I114" s="5">
        <v>0.0</v>
      </c>
      <c r="J114" s="27">
        <v>0.0</v>
      </c>
      <c r="K114" s="27">
        <v>0.0</v>
      </c>
      <c r="L114" s="27">
        <v>0.0</v>
      </c>
      <c r="M114" s="27">
        <v>0.0</v>
      </c>
      <c r="N114" s="5">
        <f t="shared" si="104"/>
        <v>30.03</v>
      </c>
      <c r="O114" s="28" t="str">
        <f t="shared" si="105"/>
        <v/>
      </c>
      <c r="P114" s="5"/>
      <c r="Q114" s="5"/>
      <c r="R114" s="29" t="s">
        <v>34</v>
      </c>
      <c r="S114" s="30">
        <v>0.0</v>
      </c>
      <c r="T114" s="31">
        <v>0.05</v>
      </c>
      <c r="U114" s="26">
        <f t="shared" ref="U114:AF114" si="141">IF($R114="Manual","",IFERROR(IF($R114="YOY Growth",$N114*(1+$T114)/12,$S114/12),""))</f>
        <v>0</v>
      </c>
      <c r="V114" s="26">
        <f t="shared" si="141"/>
        <v>0</v>
      </c>
      <c r="W114" s="26">
        <f t="shared" si="141"/>
        <v>0</v>
      </c>
      <c r="X114" s="26">
        <f t="shared" si="141"/>
        <v>0</v>
      </c>
      <c r="Y114" s="26">
        <f t="shared" si="141"/>
        <v>0</v>
      </c>
      <c r="Z114" s="26">
        <f t="shared" si="141"/>
        <v>0</v>
      </c>
      <c r="AA114" s="26">
        <f t="shared" si="141"/>
        <v>0</v>
      </c>
      <c r="AB114" s="26">
        <f t="shared" si="141"/>
        <v>0</v>
      </c>
      <c r="AC114" s="26">
        <f t="shared" si="141"/>
        <v>0</v>
      </c>
      <c r="AD114" s="26">
        <f t="shared" si="141"/>
        <v>0</v>
      </c>
      <c r="AE114" s="26">
        <f t="shared" si="141"/>
        <v>0</v>
      </c>
      <c r="AF114" s="26">
        <f t="shared" si="141"/>
        <v>0</v>
      </c>
      <c r="AG114" s="5">
        <f t="shared" si="107"/>
        <v>0</v>
      </c>
      <c r="AH114" s="28" t="str">
        <f t="shared" si="108"/>
        <v/>
      </c>
      <c r="AI114" s="4"/>
      <c r="AJ114" s="5">
        <f t="shared" si="109"/>
        <v>30.03</v>
      </c>
    </row>
    <row r="115" ht="13.5" customHeight="1">
      <c r="A115" s="25" t="s">
        <v>144</v>
      </c>
      <c r="B115" s="5">
        <v>0.0</v>
      </c>
      <c r="C115" s="5">
        <v>0.0</v>
      </c>
      <c r="D115" s="5">
        <v>0.0</v>
      </c>
      <c r="E115" s="5">
        <v>0.0</v>
      </c>
      <c r="F115" s="5">
        <v>0.0</v>
      </c>
      <c r="G115" s="5">
        <v>0.0</v>
      </c>
      <c r="H115" s="5">
        <v>0.0</v>
      </c>
      <c r="I115" s="5">
        <v>0.0</v>
      </c>
      <c r="J115" s="27">
        <v>0.0</v>
      </c>
      <c r="K115" s="27">
        <v>0.0</v>
      </c>
      <c r="L115" s="27">
        <v>0.0</v>
      </c>
      <c r="M115" s="27">
        <v>0.0</v>
      </c>
      <c r="N115" s="5">
        <f t="shared" si="104"/>
        <v>0</v>
      </c>
      <c r="O115" s="28" t="str">
        <f t="shared" si="105"/>
        <v/>
      </c>
      <c r="P115" s="5"/>
      <c r="Q115" s="5"/>
      <c r="R115" s="29" t="s">
        <v>34</v>
      </c>
      <c r="S115" s="30">
        <v>0.0</v>
      </c>
      <c r="T115" s="31">
        <v>0.05</v>
      </c>
      <c r="U115" s="26">
        <f t="shared" ref="U115:AF115" si="142">IF($R115="Manual","",IFERROR(IF($R115="YOY Growth",$N115*(1+$T115)/12,$S115/12),""))</f>
        <v>0</v>
      </c>
      <c r="V115" s="26">
        <f t="shared" si="142"/>
        <v>0</v>
      </c>
      <c r="W115" s="26">
        <f t="shared" si="142"/>
        <v>0</v>
      </c>
      <c r="X115" s="26">
        <f t="shared" si="142"/>
        <v>0</v>
      </c>
      <c r="Y115" s="26">
        <f t="shared" si="142"/>
        <v>0</v>
      </c>
      <c r="Z115" s="26">
        <f t="shared" si="142"/>
        <v>0</v>
      </c>
      <c r="AA115" s="26">
        <f t="shared" si="142"/>
        <v>0</v>
      </c>
      <c r="AB115" s="26">
        <f t="shared" si="142"/>
        <v>0</v>
      </c>
      <c r="AC115" s="26">
        <f t="shared" si="142"/>
        <v>0</v>
      </c>
      <c r="AD115" s="26">
        <f t="shared" si="142"/>
        <v>0</v>
      </c>
      <c r="AE115" s="26">
        <f t="shared" si="142"/>
        <v>0</v>
      </c>
      <c r="AF115" s="26">
        <f t="shared" si="142"/>
        <v>0</v>
      </c>
      <c r="AG115" s="5">
        <f t="shared" si="107"/>
        <v>0</v>
      </c>
      <c r="AH115" s="28" t="str">
        <f t="shared" si="108"/>
        <v/>
      </c>
      <c r="AI115" s="4"/>
      <c r="AJ115" s="5">
        <f t="shared" si="109"/>
        <v>0</v>
      </c>
    </row>
    <row r="116" ht="13.5" customHeight="1">
      <c r="A116" s="33" t="s">
        <v>145</v>
      </c>
      <c r="B116" s="34">
        <f t="shared" ref="B116:M116" si="143">B73+SUM(B74:B80)+B87+SUM(B88:B115)</f>
        <v>65310.06</v>
      </c>
      <c r="C116" s="34">
        <f t="shared" si="143"/>
        <v>77160.67</v>
      </c>
      <c r="D116" s="34">
        <f t="shared" si="143"/>
        <v>82593.39</v>
      </c>
      <c r="E116" s="34">
        <f t="shared" si="143"/>
        <v>72512.55</v>
      </c>
      <c r="F116" s="34">
        <f t="shared" si="143"/>
        <v>59107.84</v>
      </c>
      <c r="G116" s="34">
        <f t="shared" si="143"/>
        <v>55557.94</v>
      </c>
      <c r="H116" s="34">
        <f t="shared" si="143"/>
        <v>39816.78</v>
      </c>
      <c r="I116" s="34">
        <f t="shared" si="143"/>
        <v>41958.41</v>
      </c>
      <c r="J116" s="34">
        <f t="shared" si="143"/>
        <v>60606</v>
      </c>
      <c r="K116" s="34">
        <f t="shared" si="143"/>
        <v>68674</v>
      </c>
      <c r="L116" s="34">
        <f t="shared" si="143"/>
        <v>71974</v>
      </c>
      <c r="M116" s="34">
        <f t="shared" si="143"/>
        <v>68674</v>
      </c>
      <c r="N116" s="34">
        <f t="shared" si="104"/>
        <v>763945.64</v>
      </c>
      <c r="O116" s="35" t="str">
        <f t="shared" si="105"/>
        <v/>
      </c>
      <c r="P116" s="5"/>
      <c r="Q116" s="5"/>
      <c r="R116" s="36"/>
      <c r="S116" s="36"/>
      <c r="T116" s="36"/>
      <c r="U116" s="34">
        <f t="shared" ref="U116:AF116" si="144">U73+SUM(U74:U80)+U87+SUM(U88:U115)</f>
        <v>51196.13075</v>
      </c>
      <c r="V116" s="34">
        <f t="shared" si="144"/>
        <v>51196.13075</v>
      </c>
      <c r="W116" s="34">
        <f t="shared" si="144"/>
        <v>51196.13075</v>
      </c>
      <c r="X116" s="34">
        <f t="shared" si="144"/>
        <v>51196.13075</v>
      </c>
      <c r="Y116" s="34">
        <f t="shared" si="144"/>
        <v>51196.13075</v>
      </c>
      <c r="Z116" s="34">
        <f t="shared" si="144"/>
        <v>51196.13075</v>
      </c>
      <c r="AA116" s="34">
        <f t="shared" si="144"/>
        <v>51196.13075</v>
      </c>
      <c r="AB116" s="34">
        <f t="shared" si="144"/>
        <v>51196.13075</v>
      </c>
      <c r="AC116" s="34">
        <f t="shared" si="144"/>
        <v>51196.13075</v>
      </c>
      <c r="AD116" s="34">
        <f t="shared" si="144"/>
        <v>52732.01468</v>
      </c>
      <c r="AE116" s="34">
        <f t="shared" si="144"/>
        <v>52732.01468</v>
      </c>
      <c r="AF116" s="34">
        <f t="shared" si="144"/>
        <v>52732.01468</v>
      </c>
      <c r="AG116" s="34">
        <f t="shared" si="107"/>
        <v>618961.2208</v>
      </c>
      <c r="AH116" s="35" t="str">
        <f t="shared" si="108"/>
        <v/>
      </c>
      <c r="AI116" s="4"/>
      <c r="AJ116" s="34">
        <f t="shared" si="109"/>
        <v>144984.4192</v>
      </c>
    </row>
    <row r="117" ht="13.5" customHeight="1">
      <c r="A117" s="52" t="s">
        <v>146</v>
      </c>
      <c r="B117" s="34">
        <f t="shared" ref="B117:M117" si="145">B64-B116</f>
        <v>-66311.7</v>
      </c>
      <c r="C117" s="34">
        <f t="shared" si="145"/>
        <v>-81047.03</v>
      </c>
      <c r="D117" s="34">
        <f t="shared" si="145"/>
        <v>-82593.39</v>
      </c>
      <c r="E117" s="34">
        <f t="shared" si="145"/>
        <v>-72770.3</v>
      </c>
      <c r="F117" s="34">
        <f t="shared" si="145"/>
        <v>-59276.92</v>
      </c>
      <c r="G117" s="34">
        <f t="shared" si="145"/>
        <v>-57071.11</v>
      </c>
      <c r="H117" s="34">
        <f t="shared" si="145"/>
        <v>-40910.75</v>
      </c>
      <c r="I117" s="34">
        <f t="shared" si="145"/>
        <v>-43030.73</v>
      </c>
      <c r="J117" s="34">
        <f t="shared" si="145"/>
        <v>-60606</v>
      </c>
      <c r="K117" s="34">
        <f t="shared" si="145"/>
        <v>-68674</v>
      </c>
      <c r="L117" s="34">
        <f t="shared" si="145"/>
        <v>-71974</v>
      </c>
      <c r="M117" s="34">
        <f t="shared" si="145"/>
        <v>-68674</v>
      </c>
      <c r="N117" s="34">
        <f t="shared" si="104"/>
        <v>-772939.93</v>
      </c>
      <c r="O117" s="35" t="str">
        <f t="shared" si="105"/>
        <v/>
      </c>
      <c r="P117" s="5"/>
      <c r="Q117" s="5"/>
      <c r="R117" s="36"/>
      <c r="S117" s="36"/>
      <c r="T117" s="36"/>
      <c r="U117" s="34">
        <f t="shared" ref="U117:AF117" si="146">U64-U116</f>
        <v>-51196.13075</v>
      </c>
      <c r="V117" s="34">
        <f t="shared" si="146"/>
        <v>-51196.13075</v>
      </c>
      <c r="W117" s="34">
        <f t="shared" si="146"/>
        <v>-51196.13075</v>
      </c>
      <c r="X117" s="34">
        <f t="shared" si="146"/>
        <v>-51196.13075</v>
      </c>
      <c r="Y117" s="34">
        <f t="shared" si="146"/>
        <v>-51196.13075</v>
      </c>
      <c r="Z117" s="34">
        <f t="shared" si="146"/>
        <v>-51196.13075</v>
      </c>
      <c r="AA117" s="34">
        <f t="shared" si="146"/>
        <v>-51196.13075</v>
      </c>
      <c r="AB117" s="34">
        <f t="shared" si="146"/>
        <v>-51196.13075</v>
      </c>
      <c r="AC117" s="34">
        <f t="shared" si="146"/>
        <v>-51196.13075</v>
      </c>
      <c r="AD117" s="34">
        <f t="shared" si="146"/>
        <v>-52732.01468</v>
      </c>
      <c r="AE117" s="34">
        <f t="shared" si="146"/>
        <v>-52732.01468</v>
      </c>
      <c r="AF117" s="34">
        <f t="shared" si="146"/>
        <v>-52732.01468</v>
      </c>
      <c r="AG117" s="34">
        <f t="shared" si="107"/>
        <v>-618961.2208</v>
      </c>
      <c r="AH117" s="35" t="str">
        <f t="shared" si="108"/>
        <v/>
      </c>
      <c r="AI117" s="4"/>
      <c r="AJ117" s="34">
        <f>AG117-N117</f>
        <v>153978.7092</v>
      </c>
    </row>
    <row r="118" ht="13.5" customHeight="1">
      <c r="A118" s="23" t="s">
        <v>147</v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28"/>
      <c r="P118" s="5"/>
      <c r="Q118" s="5"/>
      <c r="R118" s="36"/>
      <c r="S118" s="36"/>
      <c r="T118" s="36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28"/>
      <c r="AI118" s="4"/>
      <c r="AJ118" s="5"/>
    </row>
    <row r="119" ht="13.5" customHeight="1">
      <c r="A119" s="24" t="s">
        <v>148</v>
      </c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28"/>
      <c r="P119" s="5"/>
      <c r="Q119" s="5"/>
      <c r="R119" s="36"/>
      <c r="S119" s="36"/>
      <c r="T119" s="36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28"/>
      <c r="AI119" s="4"/>
      <c r="AJ119" s="5"/>
    </row>
    <row r="120" ht="13.5" customHeight="1">
      <c r="A120" s="25" t="s">
        <v>149</v>
      </c>
      <c r="B120" s="5">
        <v>0.0</v>
      </c>
      <c r="C120" s="5">
        <v>0.0</v>
      </c>
      <c r="D120" s="5">
        <v>0.0</v>
      </c>
      <c r="E120" s="5">
        <v>0.0</v>
      </c>
      <c r="F120" s="5">
        <v>0.0</v>
      </c>
      <c r="G120" s="5">
        <v>0.0</v>
      </c>
      <c r="H120" s="5">
        <v>0.0</v>
      </c>
      <c r="I120" s="5">
        <v>0.0</v>
      </c>
      <c r="J120" s="27">
        <v>0.0</v>
      </c>
      <c r="K120" s="27">
        <v>0.0</v>
      </c>
      <c r="L120" s="27">
        <v>0.0</v>
      </c>
      <c r="M120" s="27">
        <v>0.0</v>
      </c>
      <c r="N120" s="5">
        <f t="shared" ref="N120:N122" si="148">SUM(B120:M120)</f>
        <v>0</v>
      </c>
      <c r="O120" s="28" t="str">
        <f t="shared" ref="O120:O122" si="149">IFERROR(N120/N$16,"")</f>
        <v/>
      </c>
      <c r="P120" s="5"/>
      <c r="Q120" s="5"/>
      <c r="R120" s="29" t="s">
        <v>34</v>
      </c>
      <c r="S120" s="30">
        <v>0.0</v>
      </c>
      <c r="T120" s="31">
        <v>0.05</v>
      </c>
      <c r="U120" s="26">
        <f t="shared" ref="U120:AF120" si="147">IF($R120="Manual","",IFERROR(IF($R120="YOY Growth",$N120*(1+$T120)/12,$S120/12),""))</f>
        <v>0</v>
      </c>
      <c r="V120" s="26">
        <f t="shared" si="147"/>
        <v>0</v>
      </c>
      <c r="W120" s="26">
        <f t="shared" si="147"/>
        <v>0</v>
      </c>
      <c r="X120" s="26">
        <f t="shared" si="147"/>
        <v>0</v>
      </c>
      <c r="Y120" s="26">
        <f t="shared" si="147"/>
        <v>0</v>
      </c>
      <c r="Z120" s="26">
        <f t="shared" si="147"/>
        <v>0</v>
      </c>
      <c r="AA120" s="26">
        <f t="shared" si="147"/>
        <v>0</v>
      </c>
      <c r="AB120" s="26">
        <f t="shared" si="147"/>
        <v>0</v>
      </c>
      <c r="AC120" s="26">
        <f t="shared" si="147"/>
        <v>0</v>
      </c>
      <c r="AD120" s="26">
        <f t="shared" si="147"/>
        <v>0</v>
      </c>
      <c r="AE120" s="26">
        <f t="shared" si="147"/>
        <v>0</v>
      </c>
      <c r="AF120" s="26">
        <f t="shared" si="147"/>
        <v>0</v>
      </c>
      <c r="AG120" s="5">
        <f t="shared" ref="AG120:AG122" si="151">SUM(U120:AF120)</f>
        <v>0</v>
      </c>
      <c r="AH120" s="28" t="str">
        <f t="shared" ref="AH120:AH122" si="152">IFERROR(AG120/AG$16,"")</f>
        <v/>
      </c>
      <c r="AI120" s="4"/>
      <c r="AJ120" s="5">
        <f t="shared" ref="AJ120:AJ122" si="153">AG120-N120</f>
        <v>0</v>
      </c>
    </row>
    <row r="121" ht="13.5" customHeight="1">
      <c r="A121" s="25" t="s">
        <v>151</v>
      </c>
      <c r="B121" s="5">
        <v>0.0</v>
      </c>
      <c r="C121" s="5">
        <v>0.0</v>
      </c>
      <c r="D121" s="5">
        <v>0.0</v>
      </c>
      <c r="E121" s="5">
        <v>0.0</v>
      </c>
      <c r="F121" s="5">
        <v>0.0</v>
      </c>
      <c r="G121" s="5">
        <v>0.0</v>
      </c>
      <c r="H121" s="5">
        <v>0.0</v>
      </c>
      <c r="I121" s="5">
        <v>0.0</v>
      </c>
      <c r="J121" s="27">
        <v>0.0</v>
      </c>
      <c r="K121" s="27">
        <v>0.0</v>
      </c>
      <c r="L121" s="27">
        <v>0.0</v>
      </c>
      <c r="M121" s="27">
        <v>0.0</v>
      </c>
      <c r="N121" s="5">
        <f t="shared" si="148"/>
        <v>0</v>
      </c>
      <c r="O121" s="28" t="str">
        <f t="shared" si="149"/>
        <v/>
      </c>
      <c r="P121" s="5"/>
      <c r="Q121" s="5"/>
      <c r="R121" s="29" t="s">
        <v>34</v>
      </c>
      <c r="S121" s="30">
        <v>0.0</v>
      </c>
      <c r="T121" s="31">
        <v>0.05</v>
      </c>
      <c r="U121" s="26">
        <f t="shared" ref="U121:AF121" si="150">IF($R121="Manual","",IFERROR(IF($R121="YOY Growth",$N121*(1+$T121)/12,$S121/12),""))</f>
        <v>0</v>
      </c>
      <c r="V121" s="26">
        <f t="shared" si="150"/>
        <v>0</v>
      </c>
      <c r="W121" s="26">
        <f t="shared" si="150"/>
        <v>0</v>
      </c>
      <c r="X121" s="26">
        <f t="shared" si="150"/>
        <v>0</v>
      </c>
      <c r="Y121" s="26">
        <f t="shared" si="150"/>
        <v>0</v>
      </c>
      <c r="Z121" s="26">
        <f t="shared" si="150"/>
        <v>0</v>
      </c>
      <c r="AA121" s="26">
        <f t="shared" si="150"/>
        <v>0</v>
      </c>
      <c r="AB121" s="26">
        <f t="shared" si="150"/>
        <v>0</v>
      </c>
      <c r="AC121" s="26">
        <f t="shared" si="150"/>
        <v>0</v>
      </c>
      <c r="AD121" s="26">
        <f t="shared" si="150"/>
        <v>0</v>
      </c>
      <c r="AE121" s="26">
        <f t="shared" si="150"/>
        <v>0</v>
      </c>
      <c r="AF121" s="26">
        <f t="shared" si="150"/>
        <v>0</v>
      </c>
      <c r="AG121" s="5">
        <f t="shared" si="151"/>
        <v>0</v>
      </c>
      <c r="AH121" s="28" t="str">
        <f t="shared" si="152"/>
        <v/>
      </c>
      <c r="AI121" s="4"/>
      <c r="AJ121" s="5">
        <f t="shared" si="153"/>
        <v>0</v>
      </c>
    </row>
    <row r="122" ht="13.5" customHeight="1">
      <c r="A122" s="33" t="s">
        <v>152</v>
      </c>
      <c r="B122" s="34">
        <f t="shared" ref="B122:M122" si="154">SUM(B120:B121)</f>
        <v>0</v>
      </c>
      <c r="C122" s="34">
        <f t="shared" si="154"/>
        <v>0</v>
      </c>
      <c r="D122" s="34">
        <f t="shared" si="154"/>
        <v>0</v>
      </c>
      <c r="E122" s="34">
        <f t="shared" si="154"/>
        <v>0</v>
      </c>
      <c r="F122" s="34">
        <f t="shared" si="154"/>
        <v>0</v>
      </c>
      <c r="G122" s="34">
        <f t="shared" si="154"/>
        <v>0</v>
      </c>
      <c r="H122" s="34">
        <f t="shared" si="154"/>
        <v>0</v>
      </c>
      <c r="I122" s="34">
        <f t="shared" si="154"/>
        <v>0</v>
      </c>
      <c r="J122" s="34">
        <f t="shared" si="154"/>
        <v>0</v>
      </c>
      <c r="K122" s="34">
        <f t="shared" si="154"/>
        <v>0</v>
      </c>
      <c r="L122" s="34">
        <f t="shared" si="154"/>
        <v>0</v>
      </c>
      <c r="M122" s="34">
        <f t="shared" si="154"/>
        <v>0</v>
      </c>
      <c r="N122" s="34">
        <f t="shared" si="148"/>
        <v>0</v>
      </c>
      <c r="O122" s="35" t="str">
        <f t="shared" si="149"/>
        <v/>
      </c>
      <c r="P122" s="5"/>
      <c r="Q122" s="5"/>
      <c r="R122" s="36"/>
      <c r="S122" s="36"/>
      <c r="T122" s="36"/>
      <c r="U122" s="34">
        <f t="shared" ref="U122:AF122" si="155">SUM(U120:U121)</f>
        <v>0</v>
      </c>
      <c r="V122" s="34">
        <f t="shared" si="155"/>
        <v>0</v>
      </c>
      <c r="W122" s="34">
        <f t="shared" si="155"/>
        <v>0</v>
      </c>
      <c r="X122" s="34">
        <f t="shared" si="155"/>
        <v>0</v>
      </c>
      <c r="Y122" s="34">
        <f t="shared" si="155"/>
        <v>0</v>
      </c>
      <c r="Z122" s="34">
        <f t="shared" si="155"/>
        <v>0</v>
      </c>
      <c r="AA122" s="34">
        <f t="shared" si="155"/>
        <v>0</v>
      </c>
      <c r="AB122" s="34">
        <f t="shared" si="155"/>
        <v>0</v>
      </c>
      <c r="AC122" s="34">
        <f t="shared" si="155"/>
        <v>0</v>
      </c>
      <c r="AD122" s="34">
        <f t="shared" si="155"/>
        <v>0</v>
      </c>
      <c r="AE122" s="34">
        <f t="shared" si="155"/>
        <v>0</v>
      </c>
      <c r="AF122" s="34">
        <f t="shared" si="155"/>
        <v>0</v>
      </c>
      <c r="AG122" s="34">
        <f t="shared" si="151"/>
        <v>0</v>
      </c>
      <c r="AH122" s="35" t="str">
        <f t="shared" si="152"/>
        <v/>
      </c>
      <c r="AI122" s="4"/>
      <c r="AJ122" s="34">
        <f t="shared" si="153"/>
        <v>0</v>
      </c>
    </row>
    <row r="123" ht="13.5" customHeight="1">
      <c r="A123" s="24" t="s">
        <v>153</v>
      </c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28"/>
      <c r="P123" s="5"/>
      <c r="Q123" s="5"/>
      <c r="R123" s="36"/>
      <c r="S123" s="36"/>
      <c r="T123" s="36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28"/>
      <c r="AI123" s="4"/>
      <c r="AJ123" s="5"/>
    </row>
    <row r="124" ht="13.5" customHeight="1">
      <c r="A124" s="48" t="s">
        <v>154</v>
      </c>
      <c r="B124" s="5">
        <v>0.0</v>
      </c>
      <c r="C124" s="5">
        <v>0.0</v>
      </c>
      <c r="D124" s="5">
        <v>0.0</v>
      </c>
      <c r="E124" s="5">
        <v>0.0</v>
      </c>
      <c r="F124" s="5">
        <v>0.0</v>
      </c>
      <c r="G124" s="5">
        <v>0.0</v>
      </c>
      <c r="H124" s="5">
        <v>0.0</v>
      </c>
      <c r="I124" s="5">
        <v>0.0</v>
      </c>
      <c r="J124" s="27"/>
      <c r="K124" s="27"/>
      <c r="L124" s="27"/>
      <c r="M124" s="27"/>
      <c r="N124" s="5">
        <v>0.0</v>
      </c>
      <c r="O124" s="28" t="str">
        <f t="shared" ref="O124:O126" si="157">IFERROR(N124/N$16,"")</f>
        <v/>
      </c>
      <c r="P124" s="5"/>
      <c r="Q124" s="5"/>
      <c r="R124" s="29" t="s">
        <v>34</v>
      </c>
      <c r="S124" s="30">
        <v>0.0</v>
      </c>
      <c r="T124" s="31">
        <v>0.05</v>
      </c>
      <c r="U124" s="26">
        <f t="shared" ref="U124:AF124" si="156">IF($R124="Manual","",IFERROR(IF($R124="YOY Growth",$N124*(1+$T124)/12,$S124/12),""))</f>
        <v>0</v>
      </c>
      <c r="V124" s="26">
        <f t="shared" si="156"/>
        <v>0</v>
      </c>
      <c r="W124" s="26">
        <f t="shared" si="156"/>
        <v>0</v>
      </c>
      <c r="X124" s="26">
        <f t="shared" si="156"/>
        <v>0</v>
      </c>
      <c r="Y124" s="26">
        <f t="shared" si="156"/>
        <v>0</v>
      </c>
      <c r="Z124" s="26">
        <f t="shared" si="156"/>
        <v>0</v>
      </c>
      <c r="AA124" s="26">
        <f t="shared" si="156"/>
        <v>0</v>
      </c>
      <c r="AB124" s="26">
        <f t="shared" si="156"/>
        <v>0</v>
      </c>
      <c r="AC124" s="26">
        <f t="shared" si="156"/>
        <v>0</v>
      </c>
      <c r="AD124" s="26">
        <f t="shared" si="156"/>
        <v>0</v>
      </c>
      <c r="AE124" s="26">
        <f t="shared" si="156"/>
        <v>0</v>
      </c>
      <c r="AF124" s="26">
        <f t="shared" si="156"/>
        <v>0</v>
      </c>
      <c r="AG124" s="5">
        <f t="shared" ref="AG124:AG126" si="159">SUM(U124:AF124)</f>
        <v>0</v>
      </c>
      <c r="AH124" s="28" t="str">
        <f t="shared" ref="AH124:AH126" si="160">IFERROR(AG124/AG$16,"")</f>
        <v/>
      </c>
      <c r="AI124" s="4"/>
      <c r="AJ124" s="5">
        <f t="shared" ref="AJ124:AJ126" si="161">N124-AG124</f>
        <v>0</v>
      </c>
    </row>
    <row r="125" ht="13.5" customHeight="1">
      <c r="A125" s="25" t="s">
        <v>155</v>
      </c>
      <c r="B125" s="5">
        <v>0.0</v>
      </c>
      <c r="C125" s="5">
        <v>0.0</v>
      </c>
      <c r="D125" s="5">
        <v>0.0</v>
      </c>
      <c r="E125" s="5">
        <v>0.0</v>
      </c>
      <c r="F125" s="5">
        <v>0.0</v>
      </c>
      <c r="G125" s="5">
        <v>0.0</v>
      </c>
      <c r="H125" s="5">
        <v>0.0</v>
      </c>
      <c r="I125" s="5">
        <v>0.0</v>
      </c>
      <c r="J125" s="27">
        <v>0.0</v>
      </c>
      <c r="K125" s="27">
        <v>0.0</v>
      </c>
      <c r="L125" s="27">
        <v>0.0</v>
      </c>
      <c r="M125" s="27">
        <v>0.0</v>
      </c>
      <c r="N125" s="5">
        <f t="shared" ref="N125:N126" si="162">SUM(B125:M125)</f>
        <v>0</v>
      </c>
      <c r="O125" s="28" t="str">
        <f t="shared" si="157"/>
        <v/>
      </c>
      <c r="P125" s="5"/>
      <c r="Q125" s="5"/>
      <c r="R125" s="29" t="s">
        <v>34</v>
      </c>
      <c r="S125" s="30">
        <v>0.0</v>
      </c>
      <c r="T125" s="31">
        <v>0.05</v>
      </c>
      <c r="U125" s="26">
        <f t="shared" ref="U125:AF125" si="158">IF($R125="Manual","",IFERROR(IF($R125="YOY Growth",$N125*(1+$T125)/12,$S125/12),""))</f>
        <v>0</v>
      </c>
      <c r="V125" s="26">
        <f t="shared" si="158"/>
        <v>0</v>
      </c>
      <c r="W125" s="26">
        <f t="shared" si="158"/>
        <v>0</v>
      </c>
      <c r="X125" s="26">
        <f t="shared" si="158"/>
        <v>0</v>
      </c>
      <c r="Y125" s="26">
        <f t="shared" si="158"/>
        <v>0</v>
      </c>
      <c r="Z125" s="26">
        <f t="shared" si="158"/>
        <v>0</v>
      </c>
      <c r="AA125" s="26">
        <f t="shared" si="158"/>
        <v>0</v>
      </c>
      <c r="AB125" s="26">
        <f t="shared" si="158"/>
        <v>0</v>
      </c>
      <c r="AC125" s="26">
        <f t="shared" si="158"/>
        <v>0</v>
      </c>
      <c r="AD125" s="26">
        <f t="shared" si="158"/>
        <v>0</v>
      </c>
      <c r="AE125" s="26">
        <f t="shared" si="158"/>
        <v>0</v>
      </c>
      <c r="AF125" s="26">
        <f t="shared" si="158"/>
        <v>0</v>
      </c>
      <c r="AG125" s="5">
        <f t="shared" si="159"/>
        <v>0</v>
      </c>
      <c r="AH125" s="28" t="str">
        <f t="shared" si="160"/>
        <v/>
      </c>
      <c r="AI125" s="4"/>
      <c r="AJ125" s="5">
        <f t="shared" si="161"/>
        <v>0</v>
      </c>
    </row>
    <row r="126" ht="13.5" customHeight="1">
      <c r="A126" s="25" t="s">
        <v>156</v>
      </c>
      <c r="B126" s="5">
        <v>0.0</v>
      </c>
      <c r="C126" s="5">
        <v>0.0</v>
      </c>
      <c r="D126" s="5">
        <v>0.0</v>
      </c>
      <c r="E126" s="5">
        <v>0.0</v>
      </c>
      <c r="F126" s="5">
        <v>0.0</v>
      </c>
      <c r="G126" s="5">
        <v>0.0</v>
      </c>
      <c r="H126" s="5">
        <v>0.0</v>
      </c>
      <c r="I126" s="5">
        <v>0.0</v>
      </c>
      <c r="J126" s="27">
        <v>0.0</v>
      </c>
      <c r="K126" s="27">
        <v>0.0</v>
      </c>
      <c r="L126" s="27">
        <v>0.0</v>
      </c>
      <c r="M126" s="27">
        <v>0.0</v>
      </c>
      <c r="N126" s="5">
        <f t="shared" si="162"/>
        <v>0</v>
      </c>
      <c r="O126" s="28" t="str">
        <f t="shared" si="157"/>
        <v/>
      </c>
      <c r="P126" s="5"/>
      <c r="Q126" s="5"/>
      <c r="R126" s="29" t="s">
        <v>34</v>
      </c>
      <c r="S126" s="30">
        <v>0.0</v>
      </c>
      <c r="T126" s="31">
        <v>0.05</v>
      </c>
      <c r="U126" s="26">
        <f t="shared" ref="U126:AF126" si="163">IF($R126="Manual","",IFERROR(IF($R126="YOY Growth",$N126*(1+$T126)/12,$S126/12),""))</f>
        <v>0</v>
      </c>
      <c r="V126" s="26">
        <f t="shared" si="163"/>
        <v>0</v>
      </c>
      <c r="W126" s="26">
        <f t="shared" si="163"/>
        <v>0</v>
      </c>
      <c r="X126" s="26">
        <f t="shared" si="163"/>
        <v>0</v>
      </c>
      <c r="Y126" s="26">
        <f t="shared" si="163"/>
        <v>0</v>
      </c>
      <c r="Z126" s="26">
        <f t="shared" si="163"/>
        <v>0</v>
      </c>
      <c r="AA126" s="26">
        <f t="shared" si="163"/>
        <v>0</v>
      </c>
      <c r="AB126" s="26">
        <f t="shared" si="163"/>
        <v>0</v>
      </c>
      <c r="AC126" s="26">
        <f t="shared" si="163"/>
        <v>0</v>
      </c>
      <c r="AD126" s="26">
        <f t="shared" si="163"/>
        <v>0</v>
      </c>
      <c r="AE126" s="26">
        <f t="shared" si="163"/>
        <v>0</v>
      </c>
      <c r="AF126" s="26">
        <f t="shared" si="163"/>
        <v>0</v>
      </c>
      <c r="AG126" s="5">
        <f t="shared" si="159"/>
        <v>0</v>
      </c>
      <c r="AH126" s="28" t="str">
        <f t="shared" si="160"/>
        <v/>
      </c>
      <c r="AI126" s="4"/>
      <c r="AJ126" s="5">
        <f t="shared" si="161"/>
        <v>0</v>
      </c>
    </row>
    <row r="127" ht="13.5" customHeight="1">
      <c r="A127" s="25" t="s">
        <v>157</v>
      </c>
      <c r="B127" s="5">
        <v>0.0</v>
      </c>
      <c r="C127" s="5">
        <v>0.0</v>
      </c>
      <c r="D127" s="5">
        <v>0.0</v>
      </c>
      <c r="E127" s="5">
        <v>0.0</v>
      </c>
      <c r="F127" s="5">
        <v>0.0</v>
      </c>
      <c r="G127" s="5">
        <v>0.0</v>
      </c>
      <c r="H127" s="5">
        <v>0.0</v>
      </c>
      <c r="I127" s="5">
        <v>0.0</v>
      </c>
      <c r="J127" s="27"/>
      <c r="K127" s="27"/>
      <c r="L127" s="27"/>
      <c r="M127" s="27"/>
      <c r="N127" s="5"/>
      <c r="O127" s="28"/>
      <c r="P127" s="5"/>
      <c r="Q127" s="5"/>
      <c r="R127" s="29" t="s">
        <v>34</v>
      </c>
      <c r="S127" s="30">
        <v>0.0</v>
      </c>
      <c r="T127" s="31">
        <v>0.05</v>
      </c>
      <c r="U127" s="26">
        <f t="shared" ref="U127:AF127" si="164">IF($R127="Manual","",IFERROR(IF($R127="YOY Growth",$N127*(1+$T127)/12,$S127/12),""))</f>
        <v>0</v>
      </c>
      <c r="V127" s="26">
        <f t="shared" si="164"/>
        <v>0</v>
      </c>
      <c r="W127" s="26">
        <f t="shared" si="164"/>
        <v>0</v>
      </c>
      <c r="X127" s="26">
        <f t="shared" si="164"/>
        <v>0</v>
      </c>
      <c r="Y127" s="26">
        <f t="shared" si="164"/>
        <v>0</v>
      </c>
      <c r="Z127" s="26">
        <f t="shared" si="164"/>
        <v>0</v>
      </c>
      <c r="AA127" s="26">
        <f t="shared" si="164"/>
        <v>0</v>
      </c>
      <c r="AB127" s="26">
        <f t="shared" si="164"/>
        <v>0</v>
      </c>
      <c r="AC127" s="26">
        <f t="shared" si="164"/>
        <v>0</v>
      </c>
      <c r="AD127" s="26">
        <f t="shared" si="164"/>
        <v>0</v>
      </c>
      <c r="AE127" s="26">
        <f t="shared" si="164"/>
        <v>0</v>
      </c>
      <c r="AF127" s="26">
        <f t="shared" si="164"/>
        <v>0</v>
      </c>
      <c r="AG127" s="5"/>
      <c r="AH127" s="28"/>
      <c r="AI127" s="4"/>
      <c r="AJ127" s="5"/>
    </row>
    <row r="128" ht="13.5" customHeight="1">
      <c r="A128" s="25" t="s">
        <v>158</v>
      </c>
      <c r="B128" s="5">
        <v>0.0</v>
      </c>
      <c r="C128" s="5">
        <v>0.0</v>
      </c>
      <c r="D128" s="5">
        <v>0.0</v>
      </c>
      <c r="E128" s="5">
        <v>0.0</v>
      </c>
      <c r="F128" s="5">
        <v>0.0</v>
      </c>
      <c r="G128" s="5">
        <v>0.0</v>
      </c>
      <c r="H128" s="5">
        <v>0.0</v>
      </c>
      <c r="I128" s="5">
        <v>0.0</v>
      </c>
      <c r="J128" s="27">
        <v>0.0</v>
      </c>
      <c r="K128" s="27">
        <v>0.0</v>
      </c>
      <c r="L128" s="27">
        <v>0.0</v>
      </c>
      <c r="M128" s="27">
        <v>0.0</v>
      </c>
      <c r="N128" s="5">
        <f t="shared" ref="N128:N132" si="166">SUM(B128:M128)</f>
        <v>0</v>
      </c>
      <c r="O128" s="28" t="str">
        <f t="shared" ref="O128:O132" si="167">IFERROR(N128/N$16,"")</f>
        <v/>
      </c>
      <c r="P128" s="5"/>
      <c r="Q128" s="5"/>
      <c r="R128" s="29" t="s">
        <v>34</v>
      </c>
      <c r="S128" s="30">
        <v>0.0</v>
      </c>
      <c r="T128" s="31">
        <v>0.05</v>
      </c>
      <c r="U128" s="26">
        <f t="shared" ref="U128:AF128" si="165">IF($R128="Manual","",IFERROR(IF($R128="YOY Growth",$N128*(1+$T128)/12,$S128/12),""))</f>
        <v>0</v>
      </c>
      <c r="V128" s="26">
        <f t="shared" si="165"/>
        <v>0</v>
      </c>
      <c r="W128" s="26">
        <f t="shared" si="165"/>
        <v>0</v>
      </c>
      <c r="X128" s="26">
        <f t="shared" si="165"/>
        <v>0</v>
      </c>
      <c r="Y128" s="26">
        <f t="shared" si="165"/>
        <v>0</v>
      </c>
      <c r="Z128" s="26">
        <f t="shared" si="165"/>
        <v>0</v>
      </c>
      <c r="AA128" s="26">
        <f t="shared" si="165"/>
        <v>0</v>
      </c>
      <c r="AB128" s="26">
        <f t="shared" si="165"/>
        <v>0</v>
      </c>
      <c r="AC128" s="26">
        <f t="shared" si="165"/>
        <v>0</v>
      </c>
      <c r="AD128" s="26">
        <f t="shared" si="165"/>
        <v>0</v>
      </c>
      <c r="AE128" s="26">
        <f t="shared" si="165"/>
        <v>0</v>
      </c>
      <c r="AF128" s="26">
        <f t="shared" si="165"/>
        <v>0</v>
      </c>
      <c r="AG128" s="5">
        <f t="shared" ref="AG128:AG132" si="169">SUM(U128:AF128)</f>
        <v>0</v>
      </c>
      <c r="AH128" s="28" t="str">
        <f t="shared" ref="AH128:AH132" si="170">IFERROR(AG128/AG$16,"")</f>
        <v/>
      </c>
      <c r="AI128" s="4"/>
      <c r="AJ128" s="5">
        <f t="shared" ref="AJ128:AJ130" si="171">N128-AG128</f>
        <v>0</v>
      </c>
    </row>
    <row r="129" ht="13.5" customHeight="1">
      <c r="A129" s="25" t="s">
        <v>159</v>
      </c>
      <c r="B129" s="5">
        <v>0.0</v>
      </c>
      <c r="C129" s="5">
        <v>0.0</v>
      </c>
      <c r="D129" s="5">
        <v>0.0</v>
      </c>
      <c r="E129" s="5">
        <v>0.0</v>
      </c>
      <c r="F129" s="5">
        <v>0.0</v>
      </c>
      <c r="G129" s="5">
        <v>0.0</v>
      </c>
      <c r="H129" s="5">
        <v>0.0</v>
      </c>
      <c r="I129" s="5">
        <v>0.0</v>
      </c>
      <c r="J129" s="27">
        <v>0.0</v>
      </c>
      <c r="K129" s="27">
        <v>0.0</v>
      </c>
      <c r="L129" s="27">
        <v>0.0</v>
      </c>
      <c r="M129" s="27">
        <v>0.0</v>
      </c>
      <c r="N129" s="5">
        <f t="shared" si="166"/>
        <v>0</v>
      </c>
      <c r="O129" s="28" t="str">
        <f t="shared" si="167"/>
        <v/>
      </c>
      <c r="P129" s="5"/>
      <c r="Q129" s="5"/>
      <c r="R129" s="29" t="s">
        <v>34</v>
      </c>
      <c r="S129" s="30">
        <v>0.0</v>
      </c>
      <c r="T129" s="31">
        <v>0.05</v>
      </c>
      <c r="U129" s="26">
        <f t="shared" ref="U129:AF129" si="168">IF($R129="Manual","",IFERROR(IF($R129="YOY Growth",$N129*(1+$T129)/12,$S129/12),""))</f>
        <v>0</v>
      </c>
      <c r="V129" s="26">
        <f t="shared" si="168"/>
        <v>0</v>
      </c>
      <c r="W129" s="26">
        <f t="shared" si="168"/>
        <v>0</v>
      </c>
      <c r="X129" s="26">
        <f t="shared" si="168"/>
        <v>0</v>
      </c>
      <c r="Y129" s="26">
        <f t="shared" si="168"/>
        <v>0</v>
      </c>
      <c r="Z129" s="26">
        <f t="shared" si="168"/>
        <v>0</v>
      </c>
      <c r="AA129" s="26">
        <f t="shared" si="168"/>
        <v>0</v>
      </c>
      <c r="AB129" s="26">
        <f t="shared" si="168"/>
        <v>0</v>
      </c>
      <c r="AC129" s="26">
        <f t="shared" si="168"/>
        <v>0</v>
      </c>
      <c r="AD129" s="26">
        <f t="shared" si="168"/>
        <v>0</v>
      </c>
      <c r="AE129" s="26">
        <f t="shared" si="168"/>
        <v>0</v>
      </c>
      <c r="AF129" s="26">
        <f t="shared" si="168"/>
        <v>0</v>
      </c>
      <c r="AG129" s="5">
        <f t="shared" si="169"/>
        <v>0</v>
      </c>
      <c r="AH129" s="28" t="str">
        <f t="shared" si="170"/>
        <v/>
      </c>
      <c r="AI129" s="4"/>
      <c r="AJ129" s="5">
        <f t="shared" si="171"/>
        <v>0</v>
      </c>
    </row>
    <row r="130" ht="13.5" customHeight="1">
      <c r="A130" s="33" t="s">
        <v>160</v>
      </c>
      <c r="B130" s="34">
        <f t="shared" ref="B130:M130" si="172">SUM(B124:B129)</f>
        <v>0</v>
      </c>
      <c r="C130" s="34">
        <f t="shared" si="172"/>
        <v>0</v>
      </c>
      <c r="D130" s="34">
        <f t="shared" si="172"/>
        <v>0</v>
      </c>
      <c r="E130" s="34">
        <f t="shared" si="172"/>
        <v>0</v>
      </c>
      <c r="F130" s="34">
        <f t="shared" si="172"/>
        <v>0</v>
      </c>
      <c r="G130" s="34">
        <f t="shared" si="172"/>
        <v>0</v>
      </c>
      <c r="H130" s="34">
        <f t="shared" si="172"/>
        <v>0</v>
      </c>
      <c r="I130" s="34">
        <f t="shared" si="172"/>
        <v>0</v>
      </c>
      <c r="J130" s="34">
        <f t="shared" si="172"/>
        <v>0</v>
      </c>
      <c r="K130" s="34">
        <f t="shared" si="172"/>
        <v>0</v>
      </c>
      <c r="L130" s="34">
        <f t="shared" si="172"/>
        <v>0</v>
      </c>
      <c r="M130" s="34">
        <f t="shared" si="172"/>
        <v>0</v>
      </c>
      <c r="N130" s="34">
        <f t="shared" si="166"/>
        <v>0</v>
      </c>
      <c r="O130" s="35" t="str">
        <f t="shared" si="167"/>
        <v/>
      </c>
      <c r="P130" s="5"/>
      <c r="Q130" s="5"/>
      <c r="R130" s="36"/>
      <c r="S130" s="36"/>
      <c r="T130" s="36"/>
      <c r="U130" s="34">
        <f t="shared" ref="U130:AF130" si="173">SUM(U124:U129)</f>
        <v>0</v>
      </c>
      <c r="V130" s="34">
        <f t="shared" si="173"/>
        <v>0</v>
      </c>
      <c r="W130" s="34">
        <f t="shared" si="173"/>
        <v>0</v>
      </c>
      <c r="X130" s="34">
        <f t="shared" si="173"/>
        <v>0</v>
      </c>
      <c r="Y130" s="34">
        <f t="shared" si="173"/>
        <v>0</v>
      </c>
      <c r="Z130" s="34">
        <f t="shared" si="173"/>
        <v>0</v>
      </c>
      <c r="AA130" s="34">
        <f t="shared" si="173"/>
        <v>0</v>
      </c>
      <c r="AB130" s="34">
        <f t="shared" si="173"/>
        <v>0</v>
      </c>
      <c r="AC130" s="34">
        <f t="shared" si="173"/>
        <v>0</v>
      </c>
      <c r="AD130" s="34">
        <f t="shared" si="173"/>
        <v>0</v>
      </c>
      <c r="AE130" s="34">
        <f t="shared" si="173"/>
        <v>0</v>
      </c>
      <c r="AF130" s="34">
        <f t="shared" si="173"/>
        <v>0</v>
      </c>
      <c r="AG130" s="34">
        <f t="shared" si="169"/>
        <v>0</v>
      </c>
      <c r="AH130" s="35" t="str">
        <f t="shared" si="170"/>
        <v/>
      </c>
      <c r="AI130" s="4"/>
      <c r="AJ130" s="34">
        <f t="shared" si="171"/>
        <v>0</v>
      </c>
    </row>
    <row r="131" ht="13.5" customHeight="1">
      <c r="A131" s="52" t="s">
        <v>161</v>
      </c>
      <c r="B131" s="34">
        <f t="shared" ref="B131:M131" si="174">B122-B130</f>
        <v>0</v>
      </c>
      <c r="C131" s="34">
        <f t="shared" si="174"/>
        <v>0</v>
      </c>
      <c r="D131" s="34">
        <f t="shared" si="174"/>
        <v>0</v>
      </c>
      <c r="E131" s="34">
        <f t="shared" si="174"/>
        <v>0</v>
      </c>
      <c r="F131" s="34">
        <f t="shared" si="174"/>
        <v>0</v>
      </c>
      <c r="G131" s="34">
        <f t="shared" si="174"/>
        <v>0</v>
      </c>
      <c r="H131" s="34">
        <f t="shared" si="174"/>
        <v>0</v>
      </c>
      <c r="I131" s="34">
        <f t="shared" si="174"/>
        <v>0</v>
      </c>
      <c r="J131" s="34">
        <f t="shared" si="174"/>
        <v>0</v>
      </c>
      <c r="K131" s="34">
        <f t="shared" si="174"/>
        <v>0</v>
      </c>
      <c r="L131" s="34">
        <f t="shared" si="174"/>
        <v>0</v>
      </c>
      <c r="M131" s="34">
        <f t="shared" si="174"/>
        <v>0</v>
      </c>
      <c r="N131" s="34">
        <f t="shared" si="166"/>
        <v>0</v>
      </c>
      <c r="O131" s="35" t="str">
        <f t="shared" si="167"/>
        <v/>
      </c>
      <c r="P131" s="5"/>
      <c r="Q131" s="5"/>
      <c r="R131" s="36"/>
      <c r="S131" s="36"/>
      <c r="T131" s="36"/>
      <c r="U131" s="34">
        <f t="shared" ref="U131:AF131" si="175">U122-U130</f>
        <v>0</v>
      </c>
      <c r="V131" s="34">
        <f t="shared" si="175"/>
        <v>0</v>
      </c>
      <c r="W131" s="34">
        <f t="shared" si="175"/>
        <v>0</v>
      </c>
      <c r="X131" s="34">
        <f t="shared" si="175"/>
        <v>0</v>
      </c>
      <c r="Y131" s="34">
        <f t="shared" si="175"/>
        <v>0</v>
      </c>
      <c r="Z131" s="34">
        <f t="shared" si="175"/>
        <v>0</v>
      </c>
      <c r="AA131" s="34">
        <f t="shared" si="175"/>
        <v>0</v>
      </c>
      <c r="AB131" s="34">
        <f t="shared" si="175"/>
        <v>0</v>
      </c>
      <c r="AC131" s="34">
        <f t="shared" si="175"/>
        <v>0</v>
      </c>
      <c r="AD131" s="34">
        <f t="shared" si="175"/>
        <v>0</v>
      </c>
      <c r="AE131" s="34">
        <f t="shared" si="175"/>
        <v>0</v>
      </c>
      <c r="AF131" s="34">
        <f t="shared" si="175"/>
        <v>0</v>
      </c>
      <c r="AG131" s="34">
        <f t="shared" si="169"/>
        <v>0</v>
      </c>
      <c r="AH131" s="35" t="str">
        <f t="shared" si="170"/>
        <v/>
      </c>
      <c r="AI131" s="4"/>
      <c r="AJ131" s="34">
        <f t="shared" ref="AJ131:AJ132" si="178">AG131-N131</f>
        <v>0</v>
      </c>
    </row>
    <row r="132" ht="13.5" customHeight="1">
      <c r="A132" s="52" t="s">
        <v>162</v>
      </c>
      <c r="B132" s="53">
        <f t="shared" ref="B132:M132" si="176">B117+B131</f>
        <v>-66311.7</v>
      </c>
      <c r="C132" s="53">
        <f t="shared" si="176"/>
        <v>-81047.03</v>
      </c>
      <c r="D132" s="53">
        <f t="shared" si="176"/>
        <v>-82593.39</v>
      </c>
      <c r="E132" s="53">
        <f t="shared" si="176"/>
        <v>-72770.3</v>
      </c>
      <c r="F132" s="53">
        <f t="shared" si="176"/>
        <v>-59276.92</v>
      </c>
      <c r="G132" s="53">
        <f t="shared" si="176"/>
        <v>-57071.11</v>
      </c>
      <c r="H132" s="53">
        <f t="shared" si="176"/>
        <v>-40910.75</v>
      </c>
      <c r="I132" s="53">
        <f t="shared" si="176"/>
        <v>-43030.73</v>
      </c>
      <c r="J132" s="53">
        <f t="shared" si="176"/>
        <v>-60606</v>
      </c>
      <c r="K132" s="53">
        <f t="shared" si="176"/>
        <v>-68674</v>
      </c>
      <c r="L132" s="53">
        <f t="shared" si="176"/>
        <v>-71974</v>
      </c>
      <c r="M132" s="53">
        <f t="shared" si="176"/>
        <v>-68674</v>
      </c>
      <c r="N132" s="53">
        <f t="shared" si="166"/>
        <v>-772939.93</v>
      </c>
      <c r="O132" s="54" t="str">
        <f t="shared" si="167"/>
        <v/>
      </c>
      <c r="P132" s="5"/>
      <c r="Q132" s="5"/>
      <c r="R132" s="36"/>
      <c r="S132" s="36"/>
      <c r="T132" s="36"/>
      <c r="U132" s="53">
        <f t="shared" ref="U132:AF132" si="177">U117+U131</f>
        <v>-51196.13075</v>
      </c>
      <c r="V132" s="53">
        <f t="shared" si="177"/>
        <v>-51196.13075</v>
      </c>
      <c r="W132" s="53">
        <f t="shared" si="177"/>
        <v>-51196.13075</v>
      </c>
      <c r="X132" s="53">
        <f t="shared" si="177"/>
        <v>-51196.13075</v>
      </c>
      <c r="Y132" s="53">
        <f t="shared" si="177"/>
        <v>-51196.13075</v>
      </c>
      <c r="Z132" s="53">
        <f t="shared" si="177"/>
        <v>-51196.13075</v>
      </c>
      <c r="AA132" s="53">
        <f t="shared" si="177"/>
        <v>-51196.13075</v>
      </c>
      <c r="AB132" s="53">
        <f t="shared" si="177"/>
        <v>-51196.13075</v>
      </c>
      <c r="AC132" s="53">
        <f t="shared" si="177"/>
        <v>-51196.13075</v>
      </c>
      <c r="AD132" s="53">
        <f t="shared" si="177"/>
        <v>-52732.01468</v>
      </c>
      <c r="AE132" s="53">
        <f t="shared" si="177"/>
        <v>-52732.01468</v>
      </c>
      <c r="AF132" s="53">
        <f t="shared" si="177"/>
        <v>-52732.01468</v>
      </c>
      <c r="AG132" s="53">
        <f t="shared" si="169"/>
        <v>-618961.2208</v>
      </c>
      <c r="AH132" s="54" t="str">
        <f t="shared" si="170"/>
        <v/>
      </c>
      <c r="AI132" s="4"/>
      <c r="AJ132" s="53">
        <f t="shared" si="178"/>
        <v>153978.7092</v>
      </c>
    </row>
    <row r="133" ht="13.5" customHeight="1">
      <c r="A133" s="4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36"/>
      <c r="S133" s="36"/>
      <c r="T133" s="36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  <c r="AE133" s="55"/>
      <c r="AF133" s="55"/>
      <c r="AG133" s="28"/>
      <c r="AH133" s="5"/>
      <c r="AI133" s="4"/>
      <c r="AJ133" s="4"/>
    </row>
    <row r="134" ht="13.5" customHeight="1">
      <c r="A134" s="4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28"/>
      <c r="P134" s="5"/>
      <c r="Q134" s="5"/>
      <c r="R134" s="36"/>
      <c r="S134" s="36"/>
      <c r="T134" s="36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4"/>
      <c r="AJ134" s="4"/>
    </row>
    <row r="135" ht="13.5" customHeight="1">
      <c r="A135" s="4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28"/>
      <c r="P135" s="5"/>
      <c r="Q135" s="5"/>
      <c r="R135" s="36"/>
      <c r="S135" s="36"/>
      <c r="T135" s="36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4"/>
      <c r="AJ135" s="4"/>
    </row>
    <row r="136" ht="13.5" customHeight="1">
      <c r="A136" s="4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28"/>
      <c r="P136" s="5"/>
      <c r="Q136" s="5"/>
      <c r="R136" s="36"/>
      <c r="S136" s="36"/>
      <c r="T136" s="36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4"/>
      <c r="AJ136" s="4"/>
    </row>
    <row r="137" ht="13.5" customHeight="1">
      <c r="A137" s="25" t="s">
        <v>163</v>
      </c>
      <c r="B137" s="5">
        <f t="shared" ref="B137:N137" si="179">SUMIF($A$9:$A$132,"*"&amp;$A137&amp;"*",B$9:B$132)</f>
        <v>55695.15</v>
      </c>
      <c r="C137" s="5">
        <f t="shared" si="179"/>
        <v>27654.39</v>
      </c>
      <c r="D137" s="5">
        <f t="shared" si="179"/>
        <v>61502.28</v>
      </c>
      <c r="E137" s="5">
        <f t="shared" si="179"/>
        <v>55315.58</v>
      </c>
      <c r="F137" s="5">
        <f t="shared" si="179"/>
        <v>42282.65</v>
      </c>
      <c r="G137" s="5">
        <f t="shared" si="179"/>
        <v>43025.7</v>
      </c>
      <c r="H137" s="5">
        <f t="shared" si="179"/>
        <v>32866.88</v>
      </c>
      <c r="I137" s="5">
        <f t="shared" si="179"/>
        <v>31543.74</v>
      </c>
      <c r="J137" s="5">
        <f t="shared" si="179"/>
        <v>44900</v>
      </c>
      <c r="K137" s="5">
        <f t="shared" si="179"/>
        <v>46100</v>
      </c>
      <c r="L137" s="5">
        <f t="shared" si="179"/>
        <v>46100</v>
      </c>
      <c r="M137" s="5">
        <f t="shared" si="179"/>
        <v>46100</v>
      </c>
      <c r="N137" s="5">
        <f t="shared" si="179"/>
        <v>533086.37</v>
      </c>
      <c r="O137" s="28"/>
      <c r="P137" s="4"/>
      <c r="Q137" s="4"/>
      <c r="R137" s="36"/>
      <c r="S137" s="36"/>
      <c r="T137" s="36"/>
      <c r="U137" s="5">
        <f t="shared" ref="U137:AG137" si="180">SUMIF($A$9:$A$132,"*"&amp;$A137&amp;"*",U$9:U$132)</f>
        <v>43709.83333</v>
      </c>
      <c r="V137" s="5">
        <f t="shared" si="180"/>
        <v>43709.83333</v>
      </c>
      <c r="W137" s="5">
        <f t="shared" si="180"/>
        <v>43709.83333</v>
      </c>
      <c r="X137" s="5">
        <f t="shared" si="180"/>
        <v>43709.83333</v>
      </c>
      <c r="Y137" s="5">
        <f t="shared" si="180"/>
        <v>43709.83333</v>
      </c>
      <c r="Z137" s="5">
        <f t="shared" si="180"/>
        <v>43709.83333</v>
      </c>
      <c r="AA137" s="5">
        <f t="shared" si="180"/>
        <v>43709.83333</v>
      </c>
      <c r="AB137" s="5">
        <f t="shared" si="180"/>
        <v>43709.83333</v>
      </c>
      <c r="AC137" s="5">
        <f t="shared" si="180"/>
        <v>43709.83333</v>
      </c>
      <c r="AD137" s="5">
        <f t="shared" si="180"/>
        <v>45021.12833</v>
      </c>
      <c r="AE137" s="5">
        <f t="shared" si="180"/>
        <v>45021.12833</v>
      </c>
      <c r="AF137" s="5">
        <f t="shared" si="180"/>
        <v>45021.12833</v>
      </c>
      <c r="AG137" s="5">
        <f t="shared" si="180"/>
        <v>528451.885</v>
      </c>
      <c r="AH137" s="28"/>
      <c r="AI137" s="4"/>
      <c r="AJ137" s="5"/>
    </row>
    <row r="138" ht="13.5" customHeight="1">
      <c r="A138" s="25" t="s">
        <v>164</v>
      </c>
      <c r="B138" s="5">
        <f t="shared" ref="B138:N138" si="181">SUMIF($A$9:$A$132,"*"&amp;$A138&amp;"*",B$9:B$132)</f>
        <v>0</v>
      </c>
      <c r="C138" s="5">
        <f t="shared" si="181"/>
        <v>0</v>
      </c>
      <c r="D138" s="5">
        <f t="shared" si="181"/>
        <v>0</v>
      </c>
      <c r="E138" s="5">
        <f t="shared" si="181"/>
        <v>0</v>
      </c>
      <c r="F138" s="5">
        <f t="shared" si="181"/>
        <v>0</v>
      </c>
      <c r="G138" s="5">
        <f t="shared" si="181"/>
        <v>0</v>
      </c>
      <c r="H138" s="5">
        <f t="shared" si="181"/>
        <v>0</v>
      </c>
      <c r="I138" s="5">
        <f t="shared" si="181"/>
        <v>0</v>
      </c>
      <c r="J138" s="5">
        <f t="shared" si="181"/>
        <v>0</v>
      </c>
      <c r="K138" s="5">
        <f t="shared" si="181"/>
        <v>0</v>
      </c>
      <c r="L138" s="5">
        <f t="shared" si="181"/>
        <v>0</v>
      </c>
      <c r="M138" s="5">
        <f t="shared" si="181"/>
        <v>0</v>
      </c>
      <c r="N138" s="5">
        <f t="shared" si="181"/>
        <v>0</v>
      </c>
      <c r="O138" s="5"/>
      <c r="P138" s="5"/>
      <c r="Q138" s="5"/>
      <c r="R138" s="36"/>
      <c r="S138" s="36"/>
      <c r="T138" s="36"/>
      <c r="U138" s="5">
        <f t="shared" ref="U138:AG138" si="182">SUMIF($A$9:$A$132,"*"&amp;$A138&amp;"*",U$9:U$132)</f>
        <v>0</v>
      </c>
      <c r="V138" s="5">
        <f t="shared" si="182"/>
        <v>0</v>
      </c>
      <c r="W138" s="5">
        <f t="shared" si="182"/>
        <v>0</v>
      </c>
      <c r="X138" s="5">
        <f t="shared" si="182"/>
        <v>0</v>
      </c>
      <c r="Y138" s="5">
        <f t="shared" si="182"/>
        <v>0</v>
      </c>
      <c r="Z138" s="5">
        <f t="shared" si="182"/>
        <v>0</v>
      </c>
      <c r="AA138" s="5">
        <f t="shared" si="182"/>
        <v>0</v>
      </c>
      <c r="AB138" s="5">
        <f t="shared" si="182"/>
        <v>0</v>
      </c>
      <c r="AC138" s="5">
        <f t="shared" si="182"/>
        <v>0</v>
      </c>
      <c r="AD138" s="5">
        <f t="shared" si="182"/>
        <v>0</v>
      </c>
      <c r="AE138" s="5">
        <f t="shared" si="182"/>
        <v>0</v>
      </c>
      <c r="AF138" s="5">
        <f t="shared" si="182"/>
        <v>0</v>
      </c>
      <c r="AG138" s="5">
        <f t="shared" si="182"/>
        <v>0</v>
      </c>
      <c r="AH138" s="5"/>
      <c r="AI138" s="4"/>
      <c r="AJ138" s="4"/>
    </row>
    <row r="139" ht="13.5" customHeight="1">
      <c r="A139" s="25" t="s">
        <v>165</v>
      </c>
      <c r="B139" s="5">
        <f t="shared" ref="B139:N139" si="183">SUMIF($A$9:$A$132,"*"&amp;$A139&amp;"*",B$9:B$132)</f>
        <v>4847.17</v>
      </c>
      <c r="C139" s="5">
        <f t="shared" si="183"/>
        <v>30502.16</v>
      </c>
      <c r="D139" s="5">
        <f t="shared" si="183"/>
        <v>2634.91</v>
      </c>
      <c r="E139" s="5">
        <f t="shared" si="183"/>
        <v>2624.16</v>
      </c>
      <c r="F139" s="5">
        <f t="shared" si="183"/>
        <v>2207.77</v>
      </c>
      <c r="G139" s="5">
        <f t="shared" si="183"/>
        <v>2215.29</v>
      </c>
      <c r="H139" s="5">
        <f t="shared" si="183"/>
        <v>1907.84</v>
      </c>
      <c r="I139" s="5">
        <f t="shared" si="183"/>
        <v>1885.04</v>
      </c>
      <c r="J139" s="5">
        <f t="shared" si="183"/>
        <v>1796</v>
      </c>
      <c r="K139" s="5">
        <f t="shared" si="183"/>
        <v>1844</v>
      </c>
      <c r="L139" s="5">
        <f t="shared" si="183"/>
        <v>1844</v>
      </c>
      <c r="M139" s="5">
        <f t="shared" si="183"/>
        <v>1844</v>
      </c>
      <c r="N139" s="5">
        <f t="shared" si="183"/>
        <v>56152.34</v>
      </c>
      <c r="O139" s="5"/>
      <c r="P139" s="5"/>
      <c r="Q139" s="5"/>
      <c r="R139" s="36"/>
      <c r="S139" s="36"/>
      <c r="T139" s="36"/>
      <c r="U139" s="5">
        <f t="shared" ref="U139:AG139" si="184">SUMIF($A$9:$A$132,"*"&amp;$A139&amp;"*",U$9:U$132)</f>
        <v>2282.289751</v>
      </c>
      <c r="V139" s="5">
        <f t="shared" si="184"/>
        <v>2282.289751</v>
      </c>
      <c r="W139" s="5">
        <f t="shared" si="184"/>
        <v>2282.289751</v>
      </c>
      <c r="X139" s="5">
        <f t="shared" si="184"/>
        <v>2282.289751</v>
      </c>
      <c r="Y139" s="5">
        <f t="shared" si="184"/>
        <v>2282.289751</v>
      </c>
      <c r="Z139" s="5">
        <f t="shared" si="184"/>
        <v>2282.289751</v>
      </c>
      <c r="AA139" s="5">
        <f t="shared" si="184"/>
        <v>2282.289751</v>
      </c>
      <c r="AB139" s="5">
        <f t="shared" si="184"/>
        <v>2282.289751</v>
      </c>
      <c r="AC139" s="5">
        <f t="shared" si="184"/>
        <v>2282.289751</v>
      </c>
      <c r="AD139" s="5">
        <f t="shared" si="184"/>
        <v>2350.758443</v>
      </c>
      <c r="AE139" s="5">
        <f t="shared" si="184"/>
        <v>2350.758443</v>
      </c>
      <c r="AF139" s="5">
        <f t="shared" si="184"/>
        <v>2350.758443</v>
      </c>
      <c r="AG139" s="5">
        <f t="shared" si="184"/>
        <v>27592.88309</v>
      </c>
      <c r="AH139" s="5"/>
      <c r="AI139" s="4"/>
      <c r="AJ139" s="5"/>
    </row>
    <row r="140" ht="13.5" customHeight="1">
      <c r="A140" s="25" t="s">
        <v>166</v>
      </c>
      <c r="B140" s="5">
        <f t="shared" ref="B140:N140" si="185">SUMIF($A$9:$A$132,"*"&amp;$A140&amp;"*",B$9:B$132)</f>
        <v>-3426.05</v>
      </c>
      <c r="C140" s="5">
        <f t="shared" si="185"/>
        <v>1939.53</v>
      </c>
      <c r="D140" s="5">
        <f t="shared" si="185"/>
        <v>6037.99</v>
      </c>
      <c r="E140" s="5">
        <f t="shared" si="185"/>
        <v>6694.27</v>
      </c>
      <c r="F140" s="5">
        <f t="shared" si="185"/>
        <v>5034.09</v>
      </c>
      <c r="G140" s="5">
        <f t="shared" si="185"/>
        <v>5883.1</v>
      </c>
      <c r="H140" s="5">
        <f t="shared" si="185"/>
        <v>1906.75</v>
      </c>
      <c r="I140" s="5">
        <f t="shared" si="185"/>
        <v>5215.08</v>
      </c>
      <c r="J140" s="5">
        <f t="shared" si="185"/>
        <v>4490</v>
      </c>
      <c r="K140" s="5">
        <f t="shared" si="185"/>
        <v>4610</v>
      </c>
      <c r="L140" s="5">
        <f t="shared" si="185"/>
        <v>4610</v>
      </c>
      <c r="M140" s="5">
        <f t="shared" si="185"/>
        <v>4610</v>
      </c>
      <c r="N140" s="5">
        <f t="shared" si="185"/>
        <v>47604.76</v>
      </c>
      <c r="O140" s="5"/>
      <c r="P140" s="5"/>
      <c r="Q140" s="5"/>
      <c r="R140" s="36"/>
      <c r="S140" s="36"/>
      <c r="T140" s="36"/>
      <c r="U140" s="5">
        <f t="shared" ref="U140:AG140" si="186">SUMIF($A$9:$A$132,"*"&amp;$A140&amp;"*",U$9:U$132)</f>
        <v>5204.007669</v>
      </c>
      <c r="V140" s="5">
        <f t="shared" si="186"/>
        <v>5204.007669</v>
      </c>
      <c r="W140" s="5">
        <f t="shared" si="186"/>
        <v>5204.007669</v>
      </c>
      <c r="X140" s="5">
        <f t="shared" si="186"/>
        <v>5204.007669</v>
      </c>
      <c r="Y140" s="5">
        <f t="shared" si="186"/>
        <v>5204.007669</v>
      </c>
      <c r="Z140" s="5">
        <f t="shared" si="186"/>
        <v>5204.007669</v>
      </c>
      <c r="AA140" s="5">
        <f t="shared" si="186"/>
        <v>5204.007669</v>
      </c>
      <c r="AB140" s="5">
        <f t="shared" si="186"/>
        <v>5204.007669</v>
      </c>
      <c r="AC140" s="5">
        <f t="shared" si="186"/>
        <v>5204.007669</v>
      </c>
      <c r="AD140" s="5">
        <f t="shared" si="186"/>
        <v>5360.1279</v>
      </c>
      <c r="AE140" s="5">
        <f t="shared" si="186"/>
        <v>5360.1279</v>
      </c>
      <c r="AF140" s="5">
        <f t="shared" si="186"/>
        <v>5360.1279</v>
      </c>
      <c r="AG140" s="5">
        <f t="shared" si="186"/>
        <v>62916.45272</v>
      </c>
      <c r="AH140" s="5"/>
      <c r="AI140" s="4"/>
      <c r="AJ140" s="5"/>
    </row>
    <row r="141" ht="13.5" customHeight="1">
      <c r="A141" s="4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36"/>
      <c r="S141" s="36"/>
      <c r="T141" s="36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4"/>
      <c r="AJ141" s="5"/>
    </row>
    <row r="142" ht="13.5" customHeight="1">
      <c r="A142" s="4" t="s">
        <v>167</v>
      </c>
      <c r="B142" s="28">
        <f t="shared" ref="B142:N142" si="187">IFERROR(SUM(B139:B140)/SUM(B137:B138),"")</f>
        <v>0.02551604583</v>
      </c>
      <c r="C142" s="28">
        <f t="shared" si="187"/>
        <v>1.173111755</v>
      </c>
      <c r="D142" s="28">
        <f t="shared" si="187"/>
        <v>0.1410175363</v>
      </c>
      <c r="E142" s="28">
        <f t="shared" si="187"/>
        <v>0.1684594105</v>
      </c>
      <c r="F142" s="28">
        <f t="shared" si="187"/>
        <v>0.1712726142</v>
      </c>
      <c r="G142" s="28">
        <f t="shared" si="187"/>
        <v>0.1882221556</v>
      </c>
      <c r="H142" s="28">
        <f t="shared" si="187"/>
        <v>0.1160618227</v>
      </c>
      <c r="I142" s="28">
        <f t="shared" si="187"/>
        <v>0.225088084</v>
      </c>
      <c r="J142" s="28">
        <f t="shared" si="187"/>
        <v>0.14</v>
      </c>
      <c r="K142" s="28">
        <f t="shared" si="187"/>
        <v>0.14</v>
      </c>
      <c r="L142" s="28">
        <f t="shared" si="187"/>
        <v>0.14</v>
      </c>
      <c r="M142" s="28">
        <f t="shared" si="187"/>
        <v>0.14</v>
      </c>
      <c r="N142" s="28">
        <f t="shared" si="187"/>
        <v>0.1946346893</v>
      </c>
      <c r="O142" s="28"/>
      <c r="P142" s="28"/>
      <c r="Q142" s="28"/>
      <c r="R142" s="36"/>
      <c r="S142" s="36"/>
      <c r="T142" s="36"/>
      <c r="U142" s="28">
        <f t="shared" ref="U142:AG142" si="188">IFERROR(SUM(U139:U140)/SUM(U137:U138),"")</f>
        <v>0.1712726142</v>
      </c>
      <c r="V142" s="28">
        <f t="shared" si="188"/>
        <v>0.1712726142</v>
      </c>
      <c r="W142" s="28">
        <f t="shared" si="188"/>
        <v>0.1712726142</v>
      </c>
      <c r="X142" s="28">
        <f t="shared" si="188"/>
        <v>0.1712726142</v>
      </c>
      <c r="Y142" s="28">
        <f t="shared" si="188"/>
        <v>0.1712726142</v>
      </c>
      <c r="Z142" s="28">
        <f t="shared" si="188"/>
        <v>0.1712726142</v>
      </c>
      <c r="AA142" s="28">
        <f t="shared" si="188"/>
        <v>0.1712726142</v>
      </c>
      <c r="AB142" s="28">
        <f t="shared" si="188"/>
        <v>0.1712726142</v>
      </c>
      <c r="AC142" s="28">
        <f t="shared" si="188"/>
        <v>0.1712726142</v>
      </c>
      <c r="AD142" s="28">
        <f t="shared" si="188"/>
        <v>0.1712726142</v>
      </c>
      <c r="AE142" s="28">
        <f t="shared" si="188"/>
        <v>0.1712726142</v>
      </c>
      <c r="AF142" s="28">
        <f t="shared" si="188"/>
        <v>0.1712726142</v>
      </c>
      <c r="AG142" s="28">
        <f t="shared" si="188"/>
        <v>0.1712726142</v>
      </c>
      <c r="AH142" s="28"/>
      <c r="AI142" s="28"/>
      <c r="AJ142" s="28"/>
    </row>
    <row r="143" ht="13.5" customHeight="1">
      <c r="A143" s="4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28"/>
      <c r="P143" s="5"/>
      <c r="Q143" s="5"/>
      <c r="R143" s="36"/>
      <c r="S143" s="36"/>
      <c r="T143" s="36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4"/>
    </row>
    <row r="144" ht="13.5" customHeight="1">
      <c r="A144" s="4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28"/>
      <c r="P144" s="5"/>
      <c r="Q144" s="5"/>
      <c r="R144" s="36"/>
      <c r="S144" s="36"/>
      <c r="T144" s="36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4"/>
      <c r="AJ144" s="4"/>
    </row>
    <row r="145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28"/>
      <c r="P145" s="4"/>
      <c r="Q145" s="4"/>
      <c r="R145" s="56"/>
      <c r="S145" s="56"/>
      <c r="T145" s="56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8"/>
      <c r="P146" s="4"/>
      <c r="Q146" s="4"/>
      <c r="R146" s="56"/>
      <c r="S146" s="56"/>
      <c r="T146" s="56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28"/>
      <c r="P147" s="4"/>
      <c r="Q147" s="4"/>
      <c r="R147" s="56"/>
      <c r="S147" s="56"/>
      <c r="T147" s="56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28"/>
      <c r="P148" s="4"/>
      <c r="Q148" s="4"/>
      <c r="R148" s="56"/>
      <c r="S148" s="56"/>
      <c r="T148" s="56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28"/>
      <c r="P149" s="4"/>
      <c r="Q149" s="4"/>
      <c r="R149" s="56"/>
      <c r="S149" s="56"/>
      <c r="T149" s="56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28"/>
      <c r="P150" s="4"/>
      <c r="Q150" s="4"/>
      <c r="R150" s="56"/>
      <c r="S150" s="56"/>
      <c r="T150" s="56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28"/>
      <c r="P151" s="4"/>
      <c r="Q151" s="4"/>
      <c r="R151" s="56"/>
      <c r="S151" s="56"/>
      <c r="T151" s="56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28"/>
      <c r="P152" s="4"/>
      <c r="Q152" s="4"/>
      <c r="R152" s="56"/>
      <c r="S152" s="56"/>
      <c r="T152" s="56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28"/>
      <c r="P153" s="4"/>
      <c r="Q153" s="4"/>
      <c r="R153" s="56"/>
      <c r="S153" s="56"/>
      <c r="T153" s="56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28"/>
      <c r="P154" s="4"/>
      <c r="Q154" s="4"/>
      <c r="R154" s="56"/>
      <c r="S154" s="56"/>
      <c r="T154" s="56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28"/>
      <c r="P155" s="4"/>
      <c r="Q155" s="4"/>
      <c r="R155" s="56"/>
      <c r="S155" s="56"/>
      <c r="T155" s="56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28"/>
      <c r="P156" s="4"/>
      <c r="Q156" s="4"/>
      <c r="R156" s="56"/>
      <c r="S156" s="56"/>
      <c r="T156" s="56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28"/>
      <c r="P157" s="4"/>
      <c r="Q157" s="4"/>
      <c r="R157" s="56"/>
      <c r="S157" s="56"/>
      <c r="T157" s="56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28"/>
      <c r="P158" s="4"/>
      <c r="Q158" s="4"/>
      <c r="R158" s="56"/>
      <c r="S158" s="56"/>
      <c r="T158" s="56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28"/>
      <c r="P159" s="4"/>
      <c r="Q159" s="4"/>
      <c r="R159" s="56"/>
      <c r="S159" s="56"/>
      <c r="T159" s="56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28"/>
      <c r="P160" s="4"/>
      <c r="Q160" s="4"/>
      <c r="R160" s="56"/>
      <c r="S160" s="56"/>
      <c r="T160" s="56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28"/>
      <c r="P161" s="4"/>
      <c r="Q161" s="4"/>
      <c r="R161" s="56"/>
      <c r="S161" s="56"/>
      <c r="T161" s="56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28"/>
      <c r="P162" s="4"/>
      <c r="Q162" s="4"/>
      <c r="R162" s="56"/>
      <c r="S162" s="56"/>
      <c r="T162" s="56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28"/>
      <c r="P163" s="4"/>
      <c r="Q163" s="4"/>
      <c r="R163" s="56"/>
      <c r="S163" s="56"/>
      <c r="T163" s="56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28"/>
      <c r="P164" s="4"/>
      <c r="Q164" s="4"/>
      <c r="R164" s="56"/>
      <c r="S164" s="56"/>
      <c r="T164" s="56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28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28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8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28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28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8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28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28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8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28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28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8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28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28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28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28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28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28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28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28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28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28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28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28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28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28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28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28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28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28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28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28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28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28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28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28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</row>
    <row r="293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</row>
    <row r="294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</row>
    <row r="295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</row>
    <row r="29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</row>
    <row r="297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</row>
    <row r="298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</row>
    <row r="299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</row>
    <row r="300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</row>
    <row r="301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</row>
    <row r="302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</row>
    <row r="303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</row>
    <row r="304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</row>
    <row r="305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</row>
    <row r="30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</row>
    <row r="307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</row>
    <row r="308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</row>
    <row r="309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</row>
    <row r="310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</row>
    <row r="311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</row>
    <row r="312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</row>
    <row r="313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</row>
    <row r="314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</row>
    <row r="315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</row>
    <row r="31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</row>
    <row r="317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</row>
    <row r="318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</row>
    <row r="319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</row>
    <row r="320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</row>
    <row r="321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</row>
    <row r="322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</row>
    <row r="323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</row>
    <row r="324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</row>
    <row r="325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</row>
    <row r="3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</row>
    <row r="327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</row>
    <row r="328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</row>
    <row r="329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</row>
    <row r="330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</row>
    <row r="331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</row>
    <row r="332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</row>
    <row r="333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</row>
    <row r="334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</row>
    <row r="335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</row>
    <row r="33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</row>
    <row r="337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</row>
    <row r="338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</row>
    <row r="339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</row>
    <row r="340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</row>
    <row r="341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</row>
    <row r="342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</row>
    <row r="343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</row>
    <row r="344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</row>
    <row r="345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</row>
    <row r="34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</row>
    <row r="347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</row>
    <row r="348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</row>
    <row r="349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</row>
    <row r="350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</row>
    <row r="351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</row>
    <row r="352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</row>
    <row r="353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</row>
    <row r="354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</row>
    <row r="355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</row>
    <row r="35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</row>
    <row r="357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</row>
    <row r="358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</row>
    <row r="359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</row>
    <row r="360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</row>
    <row r="361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</row>
    <row r="362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</row>
    <row r="363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</row>
    <row r="364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</row>
    <row r="365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</row>
    <row r="36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</row>
    <row r="367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</row>
    <row r="368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</row>
    <row r="369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</row>
    <row r="370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</row>
    <row r="371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</row>
    <row r="372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</row>
    <row r="373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</row>
    <row r="374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</row>
    <row r="375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</row>
    <row r="37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</row>
    <row r="377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</row>
    <row r="378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</row>
    <row r="379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</row>
    <row r="380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</row>
    <row r="381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</row>
    <row r="382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</row>
    <row r="383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</row>
    <row r="384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</row>
    <row r="385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</row>
    <row r="38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</row>
    <row r="387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</row>
    <row r="388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</row>
    <row r="389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</row>
    <row r="390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</row>
    <row r="391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</row>
    <row r="392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</row>
    <row r="393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</row>
    <row r="394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</row>
    <row r="395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</row>
    <row r="39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</row>
    <row r="397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</row>
    <row r="398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</row>
    <row r="399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</row>
    <row r="400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</row>
    <row r="401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</row>
    <row r="402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</row>
    <row r="403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</row>
    <row r="404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</row>
    <row r="405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</row>
    <row r="40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</row>
    <row r="407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</row>
    <row r="408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</row>
    <row r="409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</row>
    <row r="410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</row>
    <row r="411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</row>
    <row r="412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</row>
    <row r="413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</row>
    <row r="414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</row>
    <row r="415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</row>
    <row r="41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</row>
    <row r="417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</row>
    <row r="418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</row>
    <row r="419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</row>
    <row r="420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</row>
    <row r="421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</row>
    <row r="422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</row>
    <row r="423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</row>
    <row r="424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</row>
    <row r="425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</row>
    <row r="4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</row>
    <row r="427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</row>
    <row r="428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</row>
    <row r="429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</row>
    <row r="430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</row>
    <row r="431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</row>
    <row r="432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</row>
    <row r="433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</row>
    <row r="434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</row>
    <row r="435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</row>
    <row r="43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</row>
    <row r="437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</row>
    <row r="438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</row>
    <row r="439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</row>
    <row r="440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</row>
    <row r="441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</row>
    <row r="442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</row>
    <row r="443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</row>
    <row r="444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</row>
    <row r="445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</row>
    <row r="44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</row>
    <row r="447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</row>
    <row r="448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</row>
    <row r="449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</row>
    <row r="450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</row>
    <row r="451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</row>
    <row r="452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</row>
    <row r="453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</row>
    <row r="454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</row>
    <row r="455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</row>
    <row r="45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</row>
    <row r="457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</row>
    <row r="458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</row>
    <row r="459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</row>
    <row r="460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</row>
    <row r="461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</row>
    <row r="462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</row>
    <row r="463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</row>
    <row r="464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</row>
    <row r="465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</row>
    <row r="46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</row>
    <row r="467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</row>
    <row r="468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</row>
    <row r="469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</row>
    <row r="470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</row>
    <row r="471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</row>
    <row r="472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</row>
    <row r="473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</row>
    <row r="474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</row>
    <row r="475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</row>
    <row r="47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</row>
    <row r="477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</row>
    <row r="478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</row>
    <row r="479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</row>
    <row r="480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</row>
    <row r="481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</row>
    <row r="482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</row>
    <row r="483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</row>
    <row r="484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</row>
    <row r="485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</row>
    <row r="48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</row>
    <row r="487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</row>
    <row r="488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</row>
    <row r="489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</row>
    <row r="490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</row>
    <row r="491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</row>
    <row r="492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</row>
    <row r="493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</row>
    <row r="494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</row>
    <row r="495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</row>
    <row r="49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</row>
    <row r="497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</row>
    <row r="498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</row>
    <row r="499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</row>
    <row r="500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</row>
    <row r="501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</row>
    <row r="502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</row>
    <row r="503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</row>
    <row r="504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</row>
    <row r="505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</row>
    <row r="50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</row>
    <row r="507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</row>
    <row r="508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</row>
    <row r="509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</row>
    <row r="510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</row>
    <row r="511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</row>
    <row r="512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</row>
    <row r="513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</row>
    <row r="514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</row>
    <row r="515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</row>
    <row r="51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</row>
    <row r="517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</row>
    <row r="518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</row>
    <row r="519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</row>
    <row r="520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</row>
    <row r="521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</row>
    <row r="522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</row>
    <row r="523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</row>
    <row r="524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</row>
    <row r="525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</row>
    <row r="5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</row>
    <row r="527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</row>
    <row r="528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</row>
    <row r="529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</row>
    <row r="530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</row>
    <row r="531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</row>
    <row r="532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</row>
    <row r="533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</row>
    <row r="534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</row>
    <row r="535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</row>
    <row r="53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</row>
    <row r="537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</row>
    <row r="538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</row>
    <row r="539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</row>
    <row r="540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</row>
    <row r="541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</row>
    <row r="542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</row>
    <row r="543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</row>
    <row r="544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</row>
    <row r="545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</row>
    <row r="54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</row>
    <row r="547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</row>
    <row r="548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</row>
    <row r="549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</row>
    <row r="550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</row>
    <row r="551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</row>
    <row r="552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</row>
    <row r="553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</row>
    <row r="554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</row>
    <row r="555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</row>
    <row r="55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</row>
    <row r="557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</row>
    <row r="558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</row>
    <row r="559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</row>
    <row r="560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</row>
    <row r="561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</row>
    <row r="562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</row>
    <row r="563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</row>
    <row r="564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</row>
    <row r="565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</row>
    <row r="56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</row>
    <row r="567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</row>
    <row r="568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</row>
    <row r="569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</row>
    <row r="570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</row>
    <row r="571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</row>
    <row r="572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</row>
    <row r="573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</row>
    <row r="574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</row>
    <row r="575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</row>
    <row r="57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</row>
    <row r="577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</row>
    <row r="578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</row>
    <row r="579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</row>
    <row r="580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</row>
    <row r="581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</row>
    <row r="582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</row>
    <row r="583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</row>
    <row r="584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</row>
    <row r="585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</row>
    <row r="58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</row>
    <row r="587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</row>
    <row r="588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</row>
    <row r="589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</row>
    <row r="590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</row>
    <row r="591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</row>
    <row r="592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</row>
    <row r="593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</row>
    <row r="594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</row>
    <row r="595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</row>
    <row r="59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</row>
    <row r="597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</row>
    <row r="598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</row>
    <row r="599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</row>
    <row r="600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</row>
    <row r="601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</row>
    <row r="602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</row>
    <row r="603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</row>
    <row r="604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</row>
    <row r="605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</row>
    <row r="60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</row>
    <row r="607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</row>
    <row r="608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</row>
    <row r="609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</row>
    <row r="610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</row>
    <row r="611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</row>
    <row r="612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</row>
    <row r="613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</row>
    <row r="614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</row>
    <row r="615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</row>
    <row r="61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</row>
    <row r="617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</row>
    <row r="618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</row>
    <row r="619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</row>
    <row r="620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</row>
    <row r="621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</row>
    <row r="622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</row>
    <row r="623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</row>
    <row r="624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</row>
    <row r="625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</row>
    <row r="6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</row>
    <row r="627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</row>
    <row r="628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</row>
    <row r="629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</row>
    <row r="630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</row>
    <row r="631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</row>
    <row r="632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</row>
    <row r="633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</row>
    <row r="634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</row>
    <row r="635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</row>
    <row r="63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</row>
    <row r="637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</row>
    <row r="638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</row>
    <row r="639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</row>
    <row r="640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</row>
    <row r="641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</row>
    <row r="642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</row>
    <row r="643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</row>
    <row r="644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</row>
    <row r="645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</row>
    <row r="64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</row>
    <row r="647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</row>
    <row r="648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</row>
    <row r="649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</row>
    <row r="650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</row>
    <row r="651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</row>
    <row r="652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</row>
    <row r="653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</row>
    <row r="654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</row>
    <row r="655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</row>
    <row r="65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</row>
    <row r="657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</row>
    <row r="658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</row>
    <row r="659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</row>
    <row r="660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</row>
    <row r="661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</row>
    <row r="662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</row>
    <row r="663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</row>
    <row r="664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</row>
    <row r="665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</row>
    <row r="66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</row>
    <row r="667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</row>
    <row r="668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</row>
    <row r="669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</row>
    <row r="670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</row>
    <row r="671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</row>
    <row r="672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</row>
    <row r="673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</row>
    <row r="674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</row>
    <row r="675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</row>
    <row r="67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</row>
    <row r="677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</row>
    <row r="678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</row>
    <row r="679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</row>
    <row r="680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</row>
    <row r="681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</row>
    <row r="682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</row>
    <row r="683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</row>
    <row r="684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</row>
    <row r="685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</row>
    <row r="68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</row>
    <row r="687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</row>
    <row r="688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</row>
    <row r="689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</row>
    <row r="690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</row>
    <row r="691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</row>
    <row r="692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</row>
    <row r="693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</row>
    <row r="694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</row>
    <row r="695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</row>
    <row r="69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</row>
    <row r="697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</row>
    <row r="698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</row>
    <row r="699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</row>
    <row r="700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</row>
    <row r="701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</row>
    <row r="702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</row>
    <row r="703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</row>
    <row r="704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</row>
    <row r="705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</row>
    <row r="70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</row>
    <row r="707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</row>
    <row r="708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</row>
    <row r="709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</row>
    <row r="710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</row>
    <row r="711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</row>
    <row r="712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</row>
    <row r="713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</row>
    <row r="714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</row>
    <row r="715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</row>
    <row r="71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</row>
    <row r="717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</row>
    <row r="718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</row>
    <row r="719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</row>
    <row r="720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</row>
    <row r="721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</row>
    <row r="722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</row>
    <row r="723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</row>
    <row r="724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</row>
    <row r="725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</row>
    <row r="7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</row>
    <row r="727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</row>
    <row r="728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</row>
    <row r="729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</row>
    <row r="730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</row>
    <row r="731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</row>
    <row r="732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</row>
    <row r="733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</row>
    <row r="734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</row>
    <row r="735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</row>
    <row r="73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</row>
    <row r="737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</row>
    <row r="738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</row>
    <row r="739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</row>
    <row r="740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</row>
    <row r="741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</row>
    <row r="742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</row>
    <row r="743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</row>
    <row r="744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</row>
    <row r="745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</row>
    <row r="74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</row>
    <row r="747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</row>
    <row r="748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</row>
    <row r="749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</row>
    <row r="750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</row>
    <row r="751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</row>
    <row r="752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</row>
    <row r="753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</row>
    <row r="754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</row>
    <row r="755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</row>
    <row r="75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</row>
    <row r="757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</row>
    <row r="758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</row>
    <row r="759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</row>
    <row r="760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</row>
    <row r="761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</row>
    <row r="762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</row>
    <row r="763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</row>
    <row r="764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</row>
    <row r="765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</row>
    <row r="76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</row>
    <row r="767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</row>
    <row r="768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</row>
    <row r="769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</row>
    <row r="770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</row>
    <row r="771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</row>
    <row r="772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</row>
    <row r="773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</row>
    <row r="774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</row>
    <row r="775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</row>
    <row r="77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</row>
    <row r="777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</row>
    <row r="778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</row>
    <row r="779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</row>
    <row r="780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</row>
    <row r="781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</row>
    <row r="782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</row>
    <row r="783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</row>
    <row r="784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</row>
    <row r="785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</row>
    <row r="78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</row>
    <row r="787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</row>
    <row r="788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</row>
    <row r="789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</row>
    <row r="790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</row>
    <row r="791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</row>
    <row r="792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</row>
    <row r="793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</row>
    <row r="794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</row>
    <row r="795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</row>
    <row r="79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</row>
    <row r="797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</row>
    <row r="798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</row>
    <row r="799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</row>
    <row r="800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</row>
    <row r="801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</row>
    <row r="802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</row>
    <row r="803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</row>
    <row r="804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</row>
    <row r="805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</row>
    <row r="80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</row>
    <row r="807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</row>
    <row r="808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</row>
    <row r="809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</row>
    <row r="810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</row>
    <row r="811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</row>
    <row r="812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</row>
    <row r="813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</row>
    <row r="814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</row>
    <row r="815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</row>
    <row r="81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</row>
    <row r="817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</row>
    <row r="818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</row>
    <row r="819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</row>
    <row r="820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</row>
    <row r="821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</row>
    <row r="822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</row>
    <row r="823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</row>
    <row r="824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</row>
    <row r="825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</row>
    <row r="8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</row>
    <row r="827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</row>
    <row r="828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</row>
    <row r="829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</row>
    <row r="830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</row>
    <row r="831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</row>
    <row r="832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</row>
    <row r="833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</row>
    <row r="834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</row>
    <row r="835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</row>
    <row r="83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</row>
    <row r="837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</row>
    <row r="838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</row>
    <row r="839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</row>
    <row r="840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</row>
    <row r="841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</row>
    <row r="842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</row>
    <row r="843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</row>
    <row r="844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</row>
    <row r="845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</row>
    <row r="84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</row>
    <row r="847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</row>
    <row r="848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</row>
    <row r="849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</row>
    <row r="850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</row>
    <row r="851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</row>
    <row r="852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</row>
    <row r="853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</row>
    <row r="854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</row>
    <row r="855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</row>
    <row r="85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</row>
    <row r="857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</row>
    <row r="858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</row>
    <row r="859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</row>
    <row r="860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</row>
    <row r="861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</row>
    <row r="862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</row>
    <row r="863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</row>
    <row r="864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</row>
    <row r="865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</row>
    <row r="86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</row>
    <row r="867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</row>
    <row r="868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</row>
    <row r="869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</row>
    <row r="870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</row>
    <row r="871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</row>
    <row r="872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</row>
    <row r="873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</row>
    <row r="874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</row>
    <row r="875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</row>
    <row r="87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</row>
    <row r="877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</row>
    <row r="878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</row>
    <row r="879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</row>
    <row r="880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</row>
    <row r="881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</row>
    <row r="882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</row>
    <row r="883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</row>
    <row r="884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</row>
    <row r="885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</row>
    <row r="88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</row>
    <row r="887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</row>
    <row r="888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</row>
    <row r="889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</row>
    <row r="890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</row>
    <row r="891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</row>
    <row r="892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</row>
    <row r="893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</row>
    <row r="894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</row>
    <row r="895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</row>
    <row r="89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</row>
    <row r="897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</row>
    <row r="898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</row>
    <row r="899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</row>
    <row r="900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</row>
    <row r="901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</row>
    <row r="902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</row>
    <row r="903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</row>
    <row r="904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</row>
    <row r="905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</row>
    <row r="90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</row>
    <row r="907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</row>
    <row r="908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</row>
    <row r="909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</row>
    <row r="910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</row>
    <row r="911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</row>
    <row r="912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</row>
    <row r="913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</row>
    <row r="914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</row>
    <row r="915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</row>
    <row r="91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</row>
    <row r="917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</row>
    <row r="918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</row>
    <row r="919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</row>
    <row r="920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</row>
    <row r="921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</row>
    <row r="922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</row>
    <row r="923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</row>
    <row r="924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</row>
    <row r="925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</row>
    <row r="9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</row>
    <row r="927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</row>
    <row r="928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</row>
    <row r="929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</row>
    <row r="930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</row>
    <row r="931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</row>
    <row r="932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</row>
    <row r="933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</row>
    <row r="934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</row>
    <row r="935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</row>
    <row r="93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</row>
    <row r="937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</row>
    <row r="938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</row>
    <row r="939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</row>
    <row r="940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</row>
    <row r="941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</row>
    <row r="942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</row>
    <row r="943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</row>
    <row r="944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</row>
    <row r="945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</row>
    <row r="94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</row>
    <row r="947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</row>
    <row r="948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</row>
    <row r="949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</row>
    <row r="950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</row>
    <row r="951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</row>
    <row r="952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</row>
    <row r="953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</row>
    <row r="954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</row>
    <row r="955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</row>
    <row r="95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</row>
    <row r="957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</row>
    <row r="958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</row>
    <row r="959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</row>
    <row r="960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</row>
    <row r="961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</row>
    <row r="962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</row>
    <row r="963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</row>
    <row r="964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</row>
    <row r="965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</row>
    <row r="96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</row>
    <row r="967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</row>
    <row r="968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</row>
    <row r="969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</row>
    <row r="970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</row>
    <row r="971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</row>
    <row r="972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</row>
    <row r="973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</row>
    <row r="974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</row>
    <row r="975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</row>
    <row r="97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</row>
    <row r="977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</row>
    <row r="978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</row>
    <row r="979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</row>
    <row r="980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</row>
    <row r="981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</row>
    <row r="982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</row>
    <row r="983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</row>
    <row r="984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</row>
    <row r="985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</row>
    <row r="98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</row>
    <row r="987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</row>
    <row r="988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</row>
    <row r="989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</row>
    <row r="990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</row>
    <row r="991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</row>
    <row r="992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</row>
    <row r="993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</row>
    <row r="994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</row>
    <row r="995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</row>
    <row r="996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</row>
    <row r="997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</row>
    <row r="998" ht="13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</row>
    <row r="999" ht="13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</row>
    <row r="1000" ht="13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</row>
  </sheetData>
  <conditionalFormatting sqref="S12:S13">
    <cfRule type="expression" dxfId="0" priority="1">
      <formula>AND(NOT(ISFORMULA(S12)),ISNUMBER(S12))</formula>
    </cfRule>
  </conditionalFormatting>
  <conditionalFormatting sqref="S15">
    <cfRule type="expression" dxfId="0" priority="2">
      <formula>AND(NOT(ISFORMULA(S15)),ISNUMBER(S15))</formula>
    </cfRule>
  </conditionalFormatting>
  <conditionalFormatting sqref="S19:S22">
    <cfRule type="expression" dxfId="0" priority="3">
      <formula>AND(NOT(ISFORMULA(S19)),ISNUMBER(S19))</formula>
    </cfRule>
  </conditionalFormatting>
  <conditionalFormatting sqref="S24:S26">
    <cfRule type="expression" dxfId="0" priority="4">
      <formula>AND(NOT(ISFORMULA(S24)),ISNUMBER(S24))</formula>
    </cfRule>
  </conditionalFormatting>
  <conditionalFormatting sqref="S28:S31">
    <cfRule type="expression" dxfId="0" priority="5">
      <formula>AND(NOT(ISFORMULA(S28)),ISNUMBER(S28))</formula>
    </cfRule>
  </conditionalFormatting>
  <conditionalFormatting sqref="S38:S42">
    <cfRule type="expression" dxfId="0" priority="6">
      <formula>AND(NOT(ISFORMULA(S38)),ISNUMBER(S38))</formula>
    </cfRule>
  </conditionalFormatting>
  <conditionalFormatting sqref="S44:S50">
    <cfRule type="expression" dxfId="0" priority="7">
      <formula>AND(NOT(ISFORMULA(S44)),ISNUMBER(S44))</formula>
    </cfRule>
  </conditionalFormatting>
  <conditionalFormatting sqref="S58:S60">
    <cfRule type="expression" dxfId="0" priority="8">
      <formula>AND(NOT(ISFORMULA(S58)),ISNUMBER(S58))</formula>
    </cfRule>
  </conditionalFormatting>
  <conditionalFormatting sqref="S62">
    <cfRule type="expression" dxfId="0" priority="9">
      <formula>AND(NOT(ISFORMULA(S62)),ISNUMBER(S62))</formula>
    </cfRule>
  </conditionalFormatting>
  <conditionalFormatting sqref="S70:S72">
    <cfRule type="expression" dxfId="0" priority="10">
      <formula>AND(NOT(ISFORMULA(S70)),ISNUMBER(S70))</formula>
    </cfRule>
  </conditionalFormatting>
  <conditionalFormatting sqref="S74:S80">
    <cfRule type="expression" dxfId="0" priority="11">
      <formula>AND(NOT(ISFORMULA(S74)),ISNUMBER(S74))</formula>
    </cfRule>
  </conditionalFormatting>
  <conditionalFormatting sqref="S82:S86">
    <cfRule type="expression" dxfId="0" priority="12">
      <formula>AND(NOT(ISFORMULA(S82)),ISNUMBER(S82))</formula>
    </cfRule>
  </conditionalFormatting>
  <conditionalFormatting sqref="S88:S115">
    <cfRule type="expression" dxfId="0" priority="13">
      <formula>AND(NOT(ISFORMULA(S88)),ISNUMBER(S88))</formula>
    </cfRule>
  </conditionalFormatting>
  <conditionalFormatting sqref="S120:S121">
    <cfRule type="expression" dxfId="0" priority="14">
      <formula>AND(NOT(ISFORMULA(S120)),ISNUMBER(S120))</formula>
    </cfRule>
  </conditionalFormatting>
  <conditionalFormatting sqref="S124:S129">
    <cfRule type="expression" dxfId="0" priority="15">
      <formula>AND(NOT(ISFORMULA(S124)),ISNUMBER(S124))</formula>
    </cfRule>
  </conditionalFormatting>
  <dataValidations>
    <dataValidation type="decimal" allowBlank="1" showInputMessage="1" showErrorMessage="1" prompt="Numbers only - Please enter a number (no text)." sqref="S12:AF13 S15:AF15 S19:AF22 S24:AF26 S28:AF31 S38:AF42 S44:AF50 S58:AF60 S62:AF62 S70:AF72 S74:AF80 S82:AF86 S88:AF115 S120:AF121 S124:AF129">
      <formula1>-1.0E15</formula1>
      <formula2>1.0E15</formula2>
    </dataValidation>
    <dataValidation type="list" allowBlank="1" showErrorMessage="1" sqref="R12:R13 R15 R19:R22 R24:R26 R28:R31 R38:R42 R44:R50 R58:R60 R62 R70:R72 R74:R80 R82:R86 R88:R115 R120:R121 R124:R129">
      <formula1>"Even,YOY Growth,Manual"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3E5A1"/>
    <pageSetUpPr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 outlineLevelCol="1"/>
  <cols>
    <col customWidth="1" min="1" max="1" width="54.71"/>
    <col customWidth="1" min="2" max="13" width="11.29" outlineLevel="1"/>
    <col customWidth="1" min="14" max="14" width="14.29"/>
    <col customWidth="1" min="15" max="15" width="12.71"/>
    <col customWidth="1" min="16" max="17" width="7.57"/>
    <col customWidth="1" min="18" max="18" width="15.0"/>
    <col customWidth="1" min="19" max="19" width="13.71"/>
    <col customWidth="1" min="20" max="20" width="12.71"/>
    <col customWidth="1" min="21" max="32" width="11.29" outlineLevel="1"/>
    <col customWidth="1" min="33" max="33" width="14.29"/>
    <col customWidth="1" min="34" max="34" width="12.71"/>
    <col customWidth="1" min="35" max="35" width="7.43"/>
    <col customWidth="1" min="36" max="36" width="13.14"/>
  </cols>
  <sheetData>
    <row r="1" ht="13.5" customHeight="1">
      <c r="A1" s="2" t="s">
        <v>169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4"/>
      <c r="AH1" s="4"/>
      <c r="AI1" s="4"/>
      <c r="AJ1" s="4"/>
    </row>
    <row r="2" ht="13.5" customHeight="1">
      <c r="A2" s="7" t="s">
        <v>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4"/>
      <c r="AH2" s="4"/>
      <c r="AI2" s="4"/>
      <c r="AJ2" s="4"/>
    </row>
    <row r="3" ht="13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ht="13.5" customHeight="1">
      <c r="A4" s="9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13.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4"/>
      <c r="AH5" s="4"/>
      <c r="AI5" s="4"/>
      <c r="AJ5" s="4"/>
    </row>
    <row r="6" ht="13.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13.5" customHeight="1">
      <c r="A7" s="11"/>
      <c r="B7" s="12" t="s">
        <v>5</v>
      </c>
      <c r="C7" s="12" t="s">
        <v>5</v>
      </c>
      <c r="D7" s="12" t="s">
        <v>5</v>
      </c>
      <c r="E7" s="12" t="s">
        <v>5</v>
      </c>
      <c r="F7" s="12" t="s">
        <v>5</v>
      </c>
      <c r="G7" s="12" t="s">
        <v>5</v>
      </c>
      <c r="H7" s="12" t="s">
        <v>5</v>
      </c>
      <c r="I7" s="12" t="s">
        <v>5</v>
      </c>
      <c r="J7" s="13" t="s">
        <v>6</v>
      </c>
      <c r="K7" s="13" t="s">
        <v>6</v>
      </c>
      <c r="L7" s="13" t="s">
        <v>6</v>
      </c>
      <c r="M7" s="13" t="s">
        <v>6</v>
      </c>
      <c r="N7" s="13" t="s">
        <v>6</v>
      </c>
      <c r="O7" s="13" t="s">
        <v>6</v>
      </c>
      <c r="P7" s="4"/>
      <c r="Q7" s="4"/>
      <c r="R7" s="15"/>
      <c r="S7" s="16" t="s">
        <v>8</v>
      </c>
      <c r="T7" s="16" t="s">
        <v>9</v>
      </c>
      <c r="U7" s="14" t="s">
        <v>7</v>
      </c>
      <c r="V7" s="14" t="s">
        <v>7</v>
      </c>
      <c r="W7" s="14" t="s">
        <v>7</v>
      </c>
      <c r="X7" s="14" t="s">
        <v>7</v>
      </c>
      <c r="Y7" s="14" t="s">
        <v>7</v>
      </c>
      <c r="Z7" s="14" t="s">
        <v>7</v>
      </c>
      <c r="AA7" s="14" t="s">
        <v>7</v>
      </c>
      <c r="AB7" s="14" t="s">
        <v>7</v>
      </c>
      <c r="AC7" s="14" t="s">
        <v>7</v>
      </c>
      <c r="AD7" s="14" t="s">
        <v>7</v>
      </c>
      <c r="AE7" s="14" t="s">
        <v>7</v>
      </c>
      <c r="AF7" s="14" t="s">
        <v>7</v>
      </c>
      <c r="AG7" s="14" t="s">
        <v>7</v>
      </c>
      <c r="AH7" s="14" t="s">
        <v>7</v>
      </c>
      <c r="AI7" s="4"/>
      <c r="AJ7" s="17" t="s">
        <v>9</v>
      </c>
    </row>
    <row r="8" ht="13.5" customHeight="1">
      <c r="A8" s="11" t="s">
        <v>10</v>
      </c>
      <c r="B8" s="18" t="s">
        <v>11</v>
      </c>
      <c r="C8" s="18" t="s">
        <v>12</v>
      </c>
      <c r="D8" s="18" t="s">
        <v>13</v>
      </c>
      <c r="E8" s="18" t="s">
        <v>14</v>
      </c>
      <c r="F8" s="18" t="s">
        <v>15</v>
      </c>
      <c r="G8" s="18" t="s">
        <v>16</v>
      </c>
      <c r="H8" s="18" t="s">
        <v>17</v>
      </c>
      <c r="I8" s="18" t="s">
        <v>18</v>
      </c>
      <c r="J8" s="18" t="s">
        <v>19</v>
      </c>
      <c r="K8" s="18" t="s">
        <v>20</v>
      </c>
      <c r="L8" s="18" t="s">
        <v>21</v>
      </c>
      <c r="M8" s="18" t="s">
        <v>22</v>
      </c>
      <c r="N8" s="12">
        <v>2026.0</v>
      </c>
      <c r="O8" s="12" t="s">
        <v>23</v>
      </c>
      <c r="P8" s="4"/>
      <c r="Q8" s="4"/>
      <c r="R8" s="15" t="s">
        <v>27</v>
      </c>
      <c r="S8" s="16" t="s">
        <v>28</v>
      </c>
      <c r="T8" s="16" t="s">
        <v>29</v>
      </c>
      <c r="U8" s="19" t="s">
        <v>11</v>
      </c>
      <c r="V8" s="19" t="s">
        <v>12</v>
      </c>
      <c r="W8" s="19" t="s">
        <v>13</v>
      </c>
      <c r="X8" s="19" t="s">
        <v>14</v>
      </c>
      <c r="Y8" s="19" t="s">
        <v>15</v>
      </c>
      <c r="Z8" s="19" t="s">
        <v>16</v>
      </c>
      <c r="AA8" s="19" t="s">
        <v>17</v>
      </c>
      <c r="AB8" s="19" t="s">
        <v>18</v>
      </c>
      <c r="AC8" s="19" t="s">
        <v>19</v>
      </c>
      <c r="AD8" s="19" t="s">
        <v>20</v>
      </c>
      <c r="AE8" s="19" t="s">
        <v>21</v>
      </c>
      <c r="AF8" s="19" t="s">
        <v>22</v>
      </c>
      <c r="AG8" s="21" t="s">
        <v>25</v>
      </c>
      <c r="AH8" s="14" t="s">
        <v>23</v>
      </c>
      <c r="AI8" s="4"/>
      <c r="AJ8" s="22" t="s">
        <v>26</v>
      </c>
    </row>
    <row r="9" ht="13.5" customHeight="1">
      <c r="A9" s="23" t="s">
        <v>30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4"/>
      <c r="AI9" s="4"/>
      <c r="AJ9" s="4"/>
    </row>
    <row r="10" ht="13.5" customHeight="1">
      <c r="A10" s="24" t="s">
        <v>31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4"/>
      <c r="AI10" s="4"/>
      <c r="AJ10" s="4"/>
    </row>
    <row r="11" ht="13.5" customHeight="1">
      <c r="A11" s="24" t="s">
        <v>32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4"/>
      <c r="AI11" s="4"/>
      <c r="AJ11" s="4"/>
    </row>
    <row r="12" ht="13.5" customHeight="1">
      <c r="A12" s="25" t="s">
        <v>33</v>
      </c>
      <c r="B12" s="5">
        <v>0.0</v>
      </c>
      <c r="C12" s="5">
        <v>0.0</v>
      </c>
      <c r="D12" s="5">
        <v>0.0</v>
      </c>
      <c r="E12" s="5">
        <v>0.0</v>
      </c>
      <c r="F12" s="5">
        <v>0.0</v>
      </c>
      <c r="G12" s="5">
        <v>0.0</v>
      </c>
      <c r="H12" s="5">
        <v>0.0</v>
      </c>
      <c r="I12" s="5">
        <v>0.0</v>
      </c>
      <c r="J12" s="26"/>
      <c r="K12" s="26"/>
      <c r="L12" s="26"/>
      <c r="M12" s="26"/>
      <c r="N12" s="5">
        <f t="shared" ref="N12:N16" si="2">SUM(B12:M12)</f>
        <v>0</v>
      </c>
      <c r="O12" s="28" t="str">
        <f t="shared" ref="O12:O13" si="3">IFERROR(N12/N$16,"")</f>
        <v/>
      </c>
      <c r="P12" s="5"/>
      <c r="Q12" s="5"/>
      <c r="R12" s="29" t="s">
        <v>34</v>
      </c>
      <c r="S12" s="30"/>
      <c r="T12" s="31">
        <v>0.05</v>
      </c>
      <c r="U12" s="26">
        <f t="shared" ref="U12:AF12" si="1">IF($R12="Manual","",IFERROR(IF($R12="YOY Growth",$N12*(1+$T12)/12,$S12/12),""))</f>
        <v>0</v>
      </c>
      <c r="V12" s="26">
        <f t="shared" si="1"/>
        <v>0</v>
      </c>
      <c r="W12" s="26">
        <f t="shared" si="1"/>
        <v>0</v>
      </c>
      <c r="X12" s="26">
        <f t="shared" si="1"/>
        <v>0</v>
      </c>
      <c r="Y12" s="26">
        <f t="shared" si="1"/>
        <v>0</v>
      </c>
      <c r="Z12" s="26">
        <f t="shared" si="1"/>
        <v>0</v>
      </c>
      <c r="AA12" s="26">
        <f t="shared" si="1"/>
        <v>0</v>
      </c>
      <c r="AB12" s="26">
        <f t="shared" si="1"/>
        <v>0</v>
      </c>
      <c r="AC12" s="26">
        <f t="shared" si="1"/>
        <v>0</v>
      </c>
      <c r="AD12" s="26">
        <f t="shared" si="1"/>
        <v>0</v>
      </c>
      <c r="AE12" s="26">
        <f t="shared" si="1"/>
        <v>0</v>
      </c>
      <c r="AF12" s="26">
        <f t="shared" si="1"/>
        <v>0</v>
      </c>
      <c r="AG12" s="5">
        <f t="shared" ref="AG12:AG16" si="5">SUM(U12:AF12)</f>
        <v>0</v>
      </c>
      <c r="AH12" s="28" t="str">
        <f t="shared" ref="AH12:AH13" si="6">IFERROR(AG12/AG$16,"")</f>
        <v/>
      </c>
      <c r="AI12" s="4"/>
      <c r="AJ12" s="5">
        <f t="shared" ref="AJ12:AJ16" si="7">AG12-N12</f>
        <v>0</v>
      </c>
    </row>
    <row r="13" ht="13.5" customHeight="1">
      <c r="A13" s="25" t="s">
        <v>35</v>
      </c>
      <c r="B13" s="5">
        <v>0.0</v>
      </c>
      <c r="C13" s="5">
        <v>0.0</v>
      </c>
      <c r="D13" s="5">
        <v>0.0</v>
      </c>
      <c r="E13" s="5">
        <v>0.0</v>
      </c>
      <c r="F13" s="5">
        <v>0.0</v>
      </c>
      <c r="G13" s="5">
        <v>0.0</v>
      </c>
      <c r="H13" s="5">
        <v>0.0</v>
      </c>
      <c r="I13" s="5">
        <v>0.0</v>
      </c>
      <c r="J13" s="26"/>
      <c r="K13" s="26"/>
      <c r="L13" s="26"/>
      <c r="M13" s="26"/>
      <c r="N13" s="5">
        <f t="shared" si="2"/>
        <v>0</v>
      </c>
      <c r="O13" s="28" t="str">
        <f t="shared" si="3"/>
        <v/>
      </c>
      <c r="P13" s="5"/>
      <c r="Q13" s="5"/>
      <c r="R13" s="29" t="s">
        <v>34</v>
      </c>
      <c r="S13" s="30">
        <v>0.0</v>
      </c>
      <c r="T13" s="31">
        <v>0.05</v>
      </c>
      <c r="U13" s="26">
        <f t="shared" ref="U13:AF13" si="4">IF($R13="Manual","",IFERROR(IF($R13="YOY Growth",$N13*(1+$T13)/12,$S13/12),""))</f>
        <v>0</v>
      </c>
      <c r="V13" s="26">
        <f t="shared" si="4"/>
        <v>0</v>
      </c>
      <c r="W13" s="26">
        <f t="shared" si="4"/>
        <v>0</v>
      </c>
      <c r="X13" s="26">
        <f t="shared" si="4"/>
        <v>0</v>
      </c>
      <c r="Y13" s="26">
        <f t="shared" si="4"/>
        <v>0</v>
      </c>
      <c r="Z13" s="26">
        <f t="shared" si="4"/>
        <v>0</v>
      </c>
      <c r="AA13" s="26">
        <f t="shared" si="4"/>
        <v>0</v>
      </c>
      <c r="AB13" s="26">
        <f t="shared" si="4"/>
        <v>0</v>
      </c>
      <c r="AC13" s="26">
        <f t="shared" si="4"/>
        <v>0</v>
      </c>
      <c r="AD13" s="26">
        <f t="shared" si="4"/>
        <v>0</v>
      </c>
      <c r="AE13" s="26">
        <f t="shared" si="4"/>
        <v>0</v>
      </c>
      <c r="AF13" s="26">
        <f t="shared" si="4"/>
        <v>0</v>
      </c>
      <c r="AG13" s="5">
        <f t="shared" si="5"/>
        <v>0</v>
      </c>
      <c r="AH13" s="28" t="str">
        <f t="shared" si="6"/>
        <v/>
      </c>
      <c r="AI13" s="4"/>
      <c r="AJ13" s="5">
        <f t="shared" si="7"/>
        <v>0</v>
      </c>
    </row>
    <row r="14" ht="13.5" customHeight="1">
      <c r="A14" s="33" t="s">
        <v>36</v>
      </c>
      <c r="B14" s="34">
        <f t="shared" ref="B14:M14" si="8">SUM(B12:B13)</f>
        <v>0</v>
      </c>
      <c r="C14" s="34">
        <f t="shared" si="8"/>
        <v>0</v>
      </c>
      <c r="D14" s="34">
        <f t="shared" si="8"/>
        <v>0</v>
      </c>
      <c r="E14" s="34">
        <f t="shared" si="8"/>
        <v>0</v>
      </c>
      <c r="F14" s="34">
        <f t="shared" si="8"/>
        <v>0</v>
      </c>
      <c r="G14" s="34">
        <f t="shared" si="8"/>
        <v>0</v>
      </c>
      <c r="H14" s="34">
        <f t="shared" si="8"/>
        <v>0</v>
      </c>
      <c r="I14" s="34">
        <f t="shared" si="8"/>
        <v>0</v>
      </c>
      <c r="J14" s="34">
        <f t="shared" si="8"/>
        <v>0</v>
      </c>
      <c r="K14" s="34">
        <f t="shared" si="8"/>
        <v>0</v>
      </c>
      <c r="L14" s="34">
        <f t="shared" si="8"/>
        <v>0</v>
      </c>
      <c r="M14" s="34">
        <f t="shared" si="8"/>
        <v>0</v>
      </c>
      <c r="N14" s="34">
        <f t="shared" si="2"/>
        <v>0</v>
      </c>
      <c r="O14" s="35">
        <f>SUM(O12:O13)</f>
        <v>0</v>
      </c>
      <c r="P14" s="5"/>
      <c r="Q14" s="5"/>
      <c r="R14" s="36"/>
      <c r="S14" s="36"/>
      <c r="T14" s="36"/>
      <c r="U14" s="34">
        <f t="shared" ref="U14:AF14" si="9">SUM(U12:U13)</f>
        <v>0</v>
      </c>
      <c r="V14" s="34">
        <f t="shared" si="9"/>
        <v>0</v>
      </c>
      <c r="W14" s="34">
        <f t="shared" si="9"/>
        <v>0</v>
      </c>
      <c r="X14" s="34">
        <f t="shared" si="9"/>
        <v>0</v>
      </c>
      <c r="Y14" s="34">
        <f t="shared" si="9"/>
        <v>0</v>
      </c>
      <c r="Z14" s="34">
        <f t="shared" si="9"/>
        <v>0</v>
      </c>
      <c r="AA14" s="34">
        <f t="shared" si="9"/>
        <v>0</v>
      </c>
      <c r="AB14" s="34">
        <f t="shared" si="9"/>
        <v>0</v>
      </c>
      <c r="AC14" s="34">
        <f t="shared" si="9"/>
        <v>0</v>
      </c>
      <c r="AD14" s="34">
        <f t="shared" si="9"/>
        <v>0</v>
      </c>
      <c r="AE14" s="34">
        <f t="shared" si="9"/>
        <v>0</v>
      </c>
      <c r="AF14" s="34">
        <f t="shared" si="9"/>
        <v>0</v>
      </c>
      <c r="AG14" s="34">
        <f t="shared" si="5"/>
        <v>0</v>
      </c>
      <c r="AH14" s="35">
        <f>SUM(AH12:AH13)</f>
        <v>0</v>
      </c>
      <c r="AI14" s="4"/>
      <c r="AJ14" s="34">
        <f t="shared" si="7"/>
        <v>0</v>
      </c>
    </row>
    <row r="15" ht="13.5" customHeight="1">
      <c r="A15" s="25" t="s">
        <v>37</v>
      </c>
      <c r="B15" s="5">
        <v>0.0</v>
      </c>
      <c r="C15" s="5">
        <v>0.0</v>
      </c>
      <c r="D15" s="5">
        <v>0.0</v>
      </c>
      <c r="E15" s="5">
        <v>0.0</v>
      </c>
      <c r="F15" s="5">
        <v>0.0</v>
      </c>
      <c r="G15" s="5">
        <v>0.0</v>
      </c>
      <c r="H15" s="5">
        <v>0.0</v>
      </c>
      <c r="I15" s="5">
        <v>0.0</v>
      </c>
      <c r="J15" s="26"/>
      <c r="K15" s="26"/>
      <c r="L15" s="26"/>
      <c r="M15" s="26"/>
      <c r="N15" s="5">
        <f t="shared" si="2"/>
        <v>0</v>
      </c>
      <c r="O15" s="28" t="str">
        <f>IFERROR(N15/N$16,"")</f>
        <v/>
      </c>
      <c r="P15" s="5"/>
      <c r="Q15" s="5"/>
      <c r="R15" s="29" t="s">
        <v>34</v>
      </c>
      <c r="S15" s="30">
        <v>0.0</v>
      </c>
      <c r="T15" s="31">
        <v>0.05</v>
      </c>
      <c r="U15" s="26">
        <f t="shared" ref="U15:AF15" si="10">IF($R15="Manual","",IFERROR(IF($R15="YOY Growth",$N15*(1+$T15)/12,$S15/12),""))</f>
        <v>0</v>
      </c>
      <c r="V15" s="26">
        <f t="shared" si="10"/>
        <v>0</v>
      </c>
      <c r="W15" s="26">
        <f t="shared" si="10"/>
        <v>0</v>
      </c>
      <c r="X15" s="26">
        <f t="shared" si="10"/>
        <v>0</v>
      </c>
      <c r="Y15" s="26">
        <f t="shared" si="10"/>
        <v>0</v>
      </c>
      <c r="Z15" s="26">
        <f t="shared" si="10"/>
        <v>0</v>
      </c>
      <c r="AA15" s="26">
        <f t="shared" si="10"/>
        <v>0</v>
      </c>
      <c r="AB15" s="26">
        <f t="shared" si="10"/>
        <v>0</v>
      </c>
      <c r="AC15" s="26">
        <f t="shared" si="10"/>
        <v>0</v>
      </c>
      <c r="AD15" s="26">
        <f t="shared" si="10"/>
        <v>0</v>
      </c>
      <c r="AE15" s="26">
        <f t="shared" si="10"/>
        <v>0</v>
      </c>
      <c r="AF15" s="26">
        <f t="shared" si="10"/>
        <v>0</v>
      </c>
      <c r="AG15" s="5">
        <f t="shared" si="5"/>
        <v>0</v>
      </c>
      <c r="AH15" s="28" t="str">
        <f>IFERROR(AG15/AG$16,"")</f>
        <v/>
      </c>
      <c r="AI15" s="4"/>
      <c r="AJ15" s="5">
        <f t="shared" si="7"/>
        <v>0</v>
      </c>
    </row>
    <row r="16" ht="13.5" customHeight="1">
      <c r="A16" s="33" t="s">
        <v>38</v>
      </c>
      <c r="B16" s="34">
        <f t="shared" ref="B16:M16" si="11">B14+B15</f>
        <v>0</v>
      </c>
      <c r="C16" s="34">
        <f t="shared" si="11"/>
        <v>0</v>
      </c>
      <c r="D16" s="34">
        <f t="shared" si="11"/>
        <v>0</v>
      </c>
      <c r="E16" s="34">
        <f t="shared" si="11"/>
        <v>0</v>
      </c>
      <c r="F16" s="34">
        <f t="shared" si="11"/>
        <v>0</v>
      </c>
      <c r="G16" s="34">
        <f t="shared" si="11"/>
        <v>0</v>
      </c>
      <c r="H16" s="34">
        <f t="shared" si="11"/>
        <v>0</v>
      </c>
      <c r="I16" s="34">
        <f t="shared" si="11"/>
        <v>0</v>
      </c>
      <c r="J16" s="34">
        <f t="shared" si="11"/>
        <v>0</v>
      </c>
      <c r="K16" s="34">
        <f t="shared" si="11"/>
        <v>0</v>
      </c>
      <c r="L16" s="34">
        <f t="shared" si="11"/>
        <v>0</v>
      </c>
      <c r="M16" s="34">
        <f t="shared" si="11"/>
        <v>0</v>
      </c>
      <c r="N16" s="34">
        <f t="shared" si="2"/>
        <v>0</v>
      </c>
      <c r="O16" s="35">
        <f>SUM(O14:O15)</f>
        <v>0</v>
      </c>
      <c r="P16" s="5"/>
      <c r="Q16" s="5"/>
      <c r="R16" s="36"/>
      <c r="S16" s="36"/>
      <c r="T16" s="36"/>
      <c r="U16" s="34">
        <f t="shared" ref="U16:AF16" si="12">U14+U15</f>
        <v>0</v>
      </c>
      <c r="V16" s="34">
        <f t="shared" si="12"/>
        <v>0</v>
      </c>
      <c r="W16" s="34">
        <f t="shared" si="12"/>
        <v>0</v>
      </c>
      <c r="X16" s="34">
        <f t="shared" si="12"/>
        <v>0</v>
      </c>
      <c r="Y16" s="34">
        <f t="shared" si="12"/>
        <v>0</v>
      </c>
      <c r="Z16" s="34">
        <f t="shared" si="12"/>
        <v>0</v>
      </c>
      <c r="AA16" s="34">
        <f t="shared" si="12"/>
        <v>0</v>
      </c>
      <c r="AB16" s="34">
        <f t="shared" si="12"/>
        <v>0</v>
      </c>
      <c r="AC16" s="34">
        <f t="shared" si="12"/>
        <v>0</v>
      </c>
      <c r="AD16" s="34">
        <f t="shared" si="12"/>
        <v>0</v>
      </c>
      <c r="AE16" s="34">
        <f t="shared" si="12"/>
        <v>0</v>
      </c>
      <c r="AF16" s="34">
        <f t="shared" si="12"/>
        <v>0</v>
      </c>
      <c r="AG16" s="34">
        <f t="shared" si="5"/>
        <v>0</v>
      </c>
      <c r="AH16" s="35">
        <f>SUM(AH14:AH15)</f>
        <v>0</v>
      </c>
      <c r="AI16" s="4"/>
      <c r="AJ16" s="34">
        <f t="shared" si="7"/>
        <v>0</v>
      </c>
    </row>
    <row r="17" ht="13.5" customHeight="1">
      <c r="A17" s="24" t="s">
        <v>39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28"/>
      <c r="P17" s="5"/>
      <c r="Q17" s="5"/>
      <c r="R17" s="36"/>
      <c r="S17" s="36"/>
      <c r="T17" s="36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28"/>
      <c r="AI17" s="4"/>
      <c r="AJ17" s="5"/>
    </row>
    <row r="18" ht="13.5" customHeight="1">
      <c r="A18" s="24" t="s">
        <v>40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28"/>
      <c r="P18" s="5"/>
      <c r="Q18" s="5"/>
      <c r="R18" s="36"/>
      <c r="S18" s="36"/>
      <c r="T18" s="36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28"/>
      <c r="AI18" s="4"/>
      <c r="AJ18" s="5"/>
    </row>
    <row r="19" ht="13.5" customHeight="1">
      <c r="A19" s="25" t="s">
        <v>41</v>
      </c>
      <c r="B19" s="5">
        <v>0.0</v>
      </c>
      <c r="C19" s="5">
        <v>0.0</v>
      </c>
      <c r="D19" s="5">
        <v>0.0</v>
      </c>
      <c r="E19" s="5">
        <v>0.0</v>
      </c>
      <c r="F19" s="5">
        <v>0.0</v>
      </c>
      <c r="G19" s="5">
        <v>0.0</v>
      </c>
      <c r="H19" s="5">
        <v>0.0</v>
      </c>
      <c r="I19" s="5">
        <v>0.0</v>
      </c>
      <c r="J19" s="26"/>
      <c r="K19" s="26"/>
      <c r="L19" s="26"/>
      <c r="M19" s="26"/>
      <c r="N19" s="5">
        <f t="shared" ref="N19:N22" si="14">SUM(B19:M19)</f>
        <v>0</v>
      </c>
      <c r="O19" s="28" t="str">
        <f t="shared" ref="O19:O22" si="15">IFERROR(N19/N$16,"")</f>
        <v/>
      </c>
      <c r="P19" s="5"/>
      <c r="Q19" s="5"/>
      <c r="R19" s="29" t="s">
        <v>34</v>
      </c>
      <c r="S19" s="30">
        <v>0.0</v>
      </c>
      <c r="T19" s="31">
        <v>0.05</v>
      </c>
      <c r="U19" s="26">
        <f t="shared" ref="U19:AF19" si="13">IF($R19="Manual","",IFERROR(IF($R19="YOY Growth",$N19*(1+$T19)/12,$S19/12),""))</f>
        <v>0</v>
      </c>
      <c r="V19" s="26">
        <f t="shared" si="13"/>
        <v>0</v>
      </c>
      <c r="W19" s="26">
        <f t="shared" si="13"/>
        <v>0</v>
      </c>
      <c r="X19" s="26">
        <f t="shared" si="13"/>
        <v>0</v>
      </c>
      <c r="Y19" s="26">
        <f t="shared" si="13"/>
        <v>0</v>
      </c>
      <c r="Z19" s="26">
        <f t="shared" si="13"/>
        <v>0</v>
      </c>
      <c r="AA19" s="26">
        <f t="shared" si="13"/>
        <v>0</v>
      </c>
      <c r="AB19" s="26">
        <f t="shared" si="13"/>
        <v>0</v>
      </c>
      <c r="AC19" s="26">
        <f t="shared" si="13"/>
        <v>0</v>
      </c>
      <c r="AD19" s="26">
        <f t="shared" si="13"/>
        <v>0</v>
      </c>
      <c r="AE19" s="26">
        <f t="shared" si="13"/>
        <v>0</v>
      </c>
      <c r="AF19" s="26">
        <f t="shared" si="13"/>
        <v>0</v>
      </c>
      <c r="AG19" s="5">
        <f t="shared" ref="AG19:AG22" si="17">SUM(U19:AF19)</f>
        <v>0</v>
      </c>
      <c r="AH19" s="28" t="str">
        <f t="shared" ref="AH19:AH22" si="18">IFERROR(AG19/AG$16,"")</f>
        <v/>
      </c>
      <c r="AI19" s="4"/>
      <c r="AJ19" s="5">
        <f t="shared" ref="AJ19:AJ22" si="19">N19-AG19</f>
        <v>0</v>
      </c>
    </row>
    <row r="20" ht="13.5" customHeight="1">
      <c r="A20" s="25" t="s">
        <v>42</v>
      </c>
      <c r="B20" s="5">
        <v>0.0</v>
      </c>
      <c r="C20" s="5">
        <v>0.0</v>
      </c>
      <c r="D20" s="5">
        <v>0.0</v>
      </c>
      <c r="E20" s="5">
        <v>0.0</v>
      </c>
      <c r="F20" s="5">
        <v>0.0</v>
      </c>
      <c r="G20" s="5">
        <v>0.0</v>
      </c>
      <c r="H20" s="5">
        <v>0.0</v>
      </c>
      <c r="I20" s="5">
        <v>0.0</v>
      </c>
      <c r="J20" s="26"/>
      <c r="K20" s="26"/>
      <c r="L20" s="26"/>
      <c r="M20" s="26"/>
      <c r="N20" s="5">
        <f t="shared" si="14"/>
        <v>0</v>
      </c>
      <c r="O20" s="28" t="str">
        <f t="shared" si="15"/>
        <v/>
      </c>
      <c r="P20" s="5"/>
      <c r="Q20" s="5"/>
      <c r="R20" s="29" t="s">
        <v>34</v>
      </c>
      <c r="S20" s="30">
        <v>0.0</v>
      </c>
      <c r="T20" s="31">
        <v>0.05</v>
      </c>
      <c r="U20" s="26">
        <f t="shared" ref="U20:AF20" si="16">IF($R20="Manual","",IFERROR(IF($R20="YOY Growth",$N20*(1+$T20)/12,$S20/12),""))</f>
        <v>0</v>
      </c>
      <c r="V20" s="26">
        <f t="shared" si="16"/>
        <v>0</v>
      </c>
      <c r="W20" s="26">
        <f t="shared" si="16"/>
        <v>0</v>
      </c>
      <c r="X20" s="26">
        <f t="shared" si="16"/>
        <v>0</v>
      </c>
      <c r="Y20" s="26">
        <f t="shared" si="16"/>
        <v>0</v>
      </c>
      <c r="Z20" s="26">
        <f t="shared" si="16"/>
        <v>0</v>
      </c>
      <c r="AA20" s="26">
        <f t="shared" si="16"/>
        <v>0</v>
      </c>
      <c r="AB20" s="26">
        <f t="shared" si="16"/>
        <v>0</v>
      </c>
      <c r="AC20" s="26">
        <f t="shared" si="16"/>
        <v>0</v>
      </c>
      <c r="AD20" s="26">
        <f t="shared" si="16"/>
        <v>0</v>
      </c>
      <c r="AE20" s="26">
        <f t="shared" si="16"/>
        <v>0</v>
      </c>
      <c r="AF20" s="26">
        <f t="shared" si="16"/>
        <v>0</v>
      </c>
      <c r="AG20" s="5">
        <f t="shared" si="17"/>
        <v>0</v>
      </c>
      <c r="AH20" s="28" t="str">
        <f t="shared" si="18"/>
        <v/>
      </c>
      <c r="AI20" s="4"/>
      <c r="AJ20" s="5">
        <f t="shared" si="19"/>
        <v>0</v>
      </c>
    </row>
    <row r="21" ht="13.5" customHeight="1">
      <c r="A21" s="25" t="s">
        <v>43</v>
      </c>
      <c r="B21" s="5">
        <v>0.0</v>
      </c>
      <c r="C21" s="5">
        <v>0.0</v>
      </c>
      <c r="D21" s="5">
        <v>0.0</v>
      </c>
      <c r="E21" s="5">
        <v>0.0</v>
      </c>
      <c r="F21" s="5">
        <v>0.0</v>
      </c>
      <c r="G21" s="5">
        <v>0.0</v>
      </c>
      <c r="H21" s="5">
        <v>0.0</v>
      </c>
      <c r="I21" s="5">
        <v>0.0</v>
      </c>
      <c r="J21" s="26"/>
      <c r="K21" s="26"/>
      <c r="L21" s="26"/>
      <c r="M21" s="26"/>
      <c r="N21" s="5">
        <f t="shared" si="14"/>
        <v>0</v>
      </c>
      <c r="O21" s="28" t="str">
        <f t="shared" si="15"/>
        <v/>
      </c>
      <c r="P21" s="5"/>
      <c r="Q21" s="5"/>
      <c r="R21" s="29" t="s">
        <v>34</v>
      </c>
      <c r="S21" s="30">
        <v>0.0</v>
      </c>
      <c r="T21" s="31">
        <v>0.05</v>
      </c>
      <c r="U21" s="26">
        <f t="shared" ref="U21:AF21" si="20">IF($R21="Manual","",IFERROR(IF($R21="YOY Growth",$N21*(1+$T21)/12,$S21/12),""))</f>
        <v>0</v>
      </c>
      <c r="V21" s="26">
        <f t="shared" si="20"/>
        <v>0</v>
      </c>
      <c r="W21" s="26">
        <f t="shared" si="20"/>
        <v>0</v>
      </c>
      <c r="X21" s="26">
        <f t="shared" si="20"/>
        <v>0</v>
      </c>
      <c r="Y21" s="26">
        <f t="shared" si="20"/>
        <v>0</v>
      </c>
      <c r="Z21" s="26">
        <f t="shared" si="20"/>
        <v>0</v>
      </c>
      <c r="AA21" s="26">
        <f t="shared" si="20"/>
        <v>0</v>
      </c>
      <c r="AB21" s="26">
        <f t="shared" si="20"/>
        <v>0</v>
      </c>
      <c r="AC21" s="26">
        <f t="shared" si="20"/>
        <v>0</v>
      </c>
      <c r="AD21" s="26">
        <f t="shared" si="20"/>
        <v>0</v>
      </c>
      <c r="AE21" s="26">
        <f t="shared" si="20"/>
        <v>0</v>
      </c>
      <c r="AF21" s="26">
        <f t="shared" si="20"/>
        <v>0</v>
      </c>
      <c r="AG21" s="5">
        <f t="shared" si="17"/>
        <v>0</v>
      </c>
      <c r="AH21" s="28" t="str">
        <f t="shared" si="18"/>
        <v/>
      </c>
      <c r="AI21" s="4"/>
      <c r="AJ21" s="5">
        <f t="shared" si="19"/>
        <v>0</v>
      </c>
    </row>
    <row r="22" ht="13.5" customHeight="1">
      <c r="A22" s="25" t="s">
        <v>44</v>
      </c>
      <c r="B22" s="5">
        <v>0.0</v>
      </c>
      <c r="C22" s="5">
        <v>0.0</v>
      </c>
      <c r="D22" s="5">
        <v>0.0</v>
      </c>
      <c r="E22" s="5">
        <v>0.0</v>
      </c>
      <c r="F22" s="5">
        <v>0.0</v>
      </c>
      <c r="G22" s="5">
        <v>0.0</v>
      </c>
      <c r="H22" s="5">
        <v>0.0</v>
      </c>
      <c r="I22" s="5">
        <v>0.0</v>
      </c>
      <c r="J22" s="26"/>
      <c r="K22" s="26"/>
      <c r="L22" s="26"/>
      <c r="M22" s="26"/>
      <c r="N22" s="5">
        <f t="shared" si="14"/>
        <v>0</v>
      </c>
      <c r="O22" s="28" t="str">
        <f t="shared" si="15"/>
        <v/>
      </c>
      <c r="P22" s="5"/>
      <c r="Q22" s="5"/>
      <c r="R22" s="29" t="s">
        <v>34</v>
      </c>
      <c r="S22" s="30">
        <v>0.0</v>
      </c>
      <c r="T22" s="31">
        <v>0.05</v>
      </c>
      <c r="U22" s="26">
        <f t="shared" ref="U22:AF22" si="21">IF($R22="Manual","",IFERROR(IF($R22="YOY Growth",$N22*(1+$T22)/12,$S22/12),""))</f>
        <v>0</v>
      </c>
      <c r="V22" s="26">
        <f t="shared" si="21"/>
        <v>0</v>
      </c>
      <c r="W22" s="26">
        <f t="shared" si="21"/>
        <v>0</v>
      </c>
      <c r="X22" s="26">
        <f t="shared" si="21"/>
        <v>0</v>
      </c>
      <c r="Y22" s="26">
        <f t="shared" si="21"/>
        <v>0</v>
      </c>
      <c r="Z22" s="26">
        <f t="shared" si="21"/>
        <v>0</v>
      </c>
      <c r="AA22" s="26">
        <f t="shared" si="21"/>
        <v>0</v>
      </c>
      <c r="AB22" s="26">
        <f t="shared" si="21"/>
        <v>0</v>
      </c>
      <c r="AC22" s="26">
        <f t="shared" si="21"/>
        <v>0</v>
      </c>
      <c r="AD22" s="26">
        <f t="shared" si="21"/>
        <v>0</v>
      </c>
      <c r="AE22" s="26">
        <f t="shared" si="21"/>
        <v>0</v>
      </c>
      <c r="AF22" s="26">
        <f t="shared" si="21"/>
        <v>0</v>
      </c>
      <c r="AG22" s="5">
        <f t="shared" si="17"/>
        <v>0</v>
      </c>
      <c r="AH22" s="28" t="str">
        <f t="shared" si="18"/>
        <v/>
      </c>
      <c r="AI22" s="4"/>
      <c r="AJ22" s="5">
        <f t="shared" si="19"/>
        <v>0</v>
      </c>
    </row>
    <row r="23" ht="13.5" customHeight="1">
      <c r="A23" s="24" t="s">
        <v>45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28"/>
      <c r="P23" s="5"/>
      <c r="Q23" s="5"/>
      <c r="R23" s="36"/>
      <c r="S23" s="36"/>
      <c r="T23" s="36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28"/>
      <c r="AI23" s="4"/>
      <c r="AJ23" s="5"/>
    </row>
    <row r="24" ht="13.5" customHeight="1">
      <c r="A24" s="25" t="s">
        <v>45</v>
      </c>
      <c r="B24" s="5">
        <v>0.0</v>
      </c>
      <c r="C24" s="5">
        <v>0.0</v>
      </c>
      <c r="D24" s="5">
        <v>0.0</v>
      </c>
      <c r="E24" s="5">
        <v>0.0</v>
      </c>
      <c r="F24" s="5">
        <v>0.0</v>
      </c>
      <c r="G24" s="5">
        <v>0.0</v>
      </c>
      <c r="H24" s="5">
        <v>0.0</v>
      </c>
      <c r="I24" s="5">
        <v>0.0</v>
      </c>
      <c r="J24" s="27">
        <v>0.0</v>
      </c>
      <c r="K24" s="27">
        <v>0.0</v>
      </c>
      <c r="L24" s="27">
        <v>0.0</v>
      </c>
      <c r="M24" s="27">
        <v>0.0</v>
      </c>
      <c r="N24" s="5">
        <f t="shared" ref="N24:N31" si="23">SUM(B24:M24)</f>
        <v>0</v>
      </c>
      <c r="O24" s="28" t="str">
        <f t="shared" ref="O24:O31" si="24">IFERROR(N24/N$16,"")</f>
        <v/>
      </c>
      <c r="P24" s="5"/>
      <c r="Q24" s="5"/>
      <c r="R24" s="29" t="s">
        <v>34</v>
      </c>
      <c r="S24" s="30">
        <v>0.0</v>
      </c>
      <c r="T24" s="31">
        <v>0.05</v>
      </c>
      <c r="U24" s="26">
        <f t="shared" ref="U24:AF24" si="22">IF($R24="Manual","",IFERROR(IF($R24="YOY Growth",$N24*(1+$T24)/12,$S24/12),""))</f>
        <v>0</v>
      </c>
      <c r="V24" s="26">
        <f t="shared" si="22"/>
        <v>0</v>
      </c>
      <c r="W24" s="26">
        <f t="shared" si="22"/>
        <v>0</v>
      </c>
      <c r="X24" s="26">
        <f t="shared" si="22"/>
        <v>0</v>
      </c>
      <c r="Y24" s="26">
        <f t="shared" si="22"/>
        <v>0</v>
      </c>
      <c r="Z24" s="26">
        <f t="shared" si="22"/>
        <v>0</v>
      </c>
      <c r="AA24" s="26">
        <f t="shared" si="22"/>
        <v>0</v>
      </c>
      <c r="AB24" s="26">
        <f t="shared" si="22"/>
        <v>0</v>
      </c>
      <c r="AC24" s="26">
        <f t="shared" si="22"/>
        <v>0</v>
      </c>
      <c r="AD24" s="26">
        <f t="shared" si="22"/>
        <v>0</v>
      </c>
      <c r="AE24" s="26">
        <f t="shared" si="22"/>
        <v>0</v>
      </c>
      <c r="AF24" s="26">
        <f t="shared" si="22"/>
        <v>0</v>
      </c>
      <c r="AG24" s="5">
        <f t="shared" ref="AG24:AG31" si="26">SUM(U24:AF24)</f>
        <v>0</v>
      </c>
      <c r="AH24" s="28" t="str">
        <f t="shared" ref="AH24:AH31" si="27">IFERROR(AG24/AG$16,"")</f>
        <v/>
      </c>
      <c r="AI24" s="4"/>
      <c r="AJ24" s="5">
        <f t="shared" ref="AJ24:AJ31" si="28">N24-AG24</f>
        <v>0</v>
      </c>
    </row>
    <row r="25" ht="13.5" customHeight="1">
      <c r="A25" s="25" t="s">
        <v>46</v>
      </c>
      <c r="B25" s="5">
        <v>0.0</v>
      </c>
      <c r="C25" s="5">
        <v>0.0</v>
      </c>
      <c r="D25" s="5">
        <v>0.0</v>
      </c>
      <c r="E25" s="5">
        <v>0.0</v>
      </c>
      <c r="F25" s="5">
        <v>0.0</v>
      </c>
      <c r="G25" s="5">
        <v>0.0</v>
      </c>
      <c r="H25" s="5">
        <v>0.0</v>
      </c>
      <c r="I25" s="5">
        <v>0.0</v>
      </c>
      <c r="J25" s="27">
        <v>0.0</v>
      </c>
      <c r="K25" s="27">
        <v>0.0</v>
      </c>
      <c r="L25" s="27">
        <v>0.0</v>
      </c>
      <c r="M25" s="27">
        <v>0.0</v>
      </c>
      <c r="N25" s="5">
        <f t="shared" si="23"/>
        <v>0</v>
      </c>
      <c r="O25" s="28" t="str">
        <f t="shared" si="24"/>
        <v/>
      </c>
      <c r="P25" s="5"/>
      <c r="Q25" s="5"/>
      <c r="R25" s="29" t="s">
        <v>34</v>
      </c>
      <c r="S25" s="30">
        <v>0.0</v>
      </c>
      <c r="T25" s="31">
        <v>0.05</v>
      </c>
      <c r="U25" s="26">
        <f t="shared" ref="U25:AF25" si="25">IF($R25="Manual","",IFERROR(IF($R25="YOY Growth",$N25*(1+$T25)/12,$S25/12),""))</f>
        <v>0</v>
      </c>
      <c r="V25" s="26">
        <f t="shared" si="25"/>
        <v>0</v>
      </c>
      <c r="W25" s="26">
        <f t="shared" si="25"/>
        <v>0</v>
      </c>
      <c r="X25" s="26">
        <f t="shared" si="25"/>
        <v>0</v>
      </c>
      <c r="Y25" s="26">
        <f t="shared" si="25"/>
        <v>0</v>
      </c>
      <c r="Z25" s="26">
        <f t="shared" si="25"/>
        <v>0</v>
      </c>
      <c r="AA25" s="26">
        <f t="shared" si="25"/>
        <v>0</v>
      </c>
      <c r="AB25" s="26">
        <f t="shared" si="25"/>
        <v>0</v>
      </c>
      <c r="AC25" s="26">
        <f t="shared" si="25"/>
        <v>0</v>
      </c>
      <c r="AD25" s="26">
        <f t="shared" si="25"/>
        <v>0</v>
      </c>
      <c r="AE25" s="26">
        <f t="shared" si="25"/>
        <v>0</v>
      </c>
      <c r="AF25" s="26">
        <f t="shared" si="25"/>
        <v>0</v>
      </c>
      <c r="AG25" s="5">
        <f t="shared" si="26"/>
        <v>0</v>
      </c>
      <c r="AH25" s="28" t="str">
        <f t="shared" si="27"/>
        <v/>
      </c>
      <c r="AI25" s="4"/>
      <c r="AJ25" s="5">
        <f t="shared" si="28"/>
        <v>0</v>
      </c>
    </row>
    <row r="26" ht="13.5" customHeight="1">
      <c r="A26" s="25" t="s">
        <v>47</v>
      </c>
      <c r="B26" s="5">
        <v>0.0</v>
      </c>
      <c r="C26" s="5">
        <v>0.0</v>
      </c>
      <c r="D26" s="5">
        <v>0.0</v>
      </c>
      <c r="E26" s="5">
        <v>0.0</v>
      </c>
      <c r="F26" s="5">
        <v>0.0</v>
      </c>
      <c r="G26" s="5">
        <v>0.0</v>
      </c>
      <c r="H26" s="5">
        <v>0.0</v>
      </c>
      <c r="I26" s="5">
        <v>0.0</v>
      </c>
      <c r="J26" s="27">
        <v>0.0</v>
      </c>
      <c r="K26" s="27">
        <v>0.0</v>
      </c>
      <c r="L26" s="27">
        <v>0.0</v>
      </c>
      <c r="M26" s="27">
        <v>0.0</v>
      </c>
      <c r="N26" s="5">
        <f t="shared" si="23"/>
        <v>0</v>
      </c>
      <c r="O26" s="28" t="str">
        <f t="shared" si="24"/>
        <v/>
      </c>
      <c r="P26" s="5"/>
      <c r="Q26" s="5"/>
      <c r="R26" s="29" t="s">
        <v>34</v>
      </c>
      <c r="S26" s="30">
        <v>0.0</v>
      </c>
      <c r="T26" s="31">
        <v>0.05</v>
      </c>
      <c r="U26" s="26">
        <f t="shared" ref="U26:AF26" si="29">IF($R26="Manual","",IFERROR(IF($R26="YOY Growth",$N26*(1+$T26)/12,$S26/12),""))</f>
        <v>0</v>
      </c>
      <c r="V26" s="26">
        <f t="shared" si="29"/>
        <v>0</v>
      </c>
      <c r="W26" s="26">
        <f t="shared" si="29"/>
        <v>0</v>
      </c>
      <c r="X26" s="26">
        <f t="shared" si="29"/>
        <v>0</v>
      </c>
      <c r="Y26" s="26">
        <f t="shared" si="29"/>
        <v>0</v>
      </c>
      <c r="Z26" s="26">
        <f t="shared" si="29"/>
        <v>0</v>
      </c>
      <c r="AA26" s="26">
        <f t="shared" si="29"/>
        <v>0</v>
      </c>
      <c r="AB26" s="26">
        <f t="shared" si="29"/>
        <v>0</v>
      </c>
      <c r="AC26" s="26">
        <f t="shared" si="29"/>
        <v>0</v>
      </c>
      <c r="AD26" s="26">
        <f t="shared" si="29"/>
        <v>0</v>
      </c>
      <c r="AE26" s="26">
        <f t="shared" si="29"/>
        <v>0</v>
      </c>
      <c r="AF26" s="26">
        <f t="shared" si="29"/>
        <v>0</v>
      </c>
      <c r="AG26" s="5">
        <f t="shared" si="26"/>
        <v>0</v>
      </c>
      <c r="AH26" s="28" t="str">
        <f t="shared" si="27"/>
        <v/>
      </c>
      <c r="AI26" s="4"/>
      <c r="AJ26" s="5">
        <f t="shared" si="28"/>
        <v>0</v>
      </c>
    </row>
    <row r="27" ht="13.5" customHeight="1">
      <c r="A27" s="33" t="s">
        <v>48</v>
      </c>
      <c r="B27" s="34">
        <f t="shared" ref="B27:M27" si="30">SUM(B24:B26)</f>
        <v>0</v>
      </c>
      <c r="C27" s="34">
        <f t="shared" si="30"/>
        <v>0</v>
      </c>
      <c r="D27" s="34">
        <f t="shared" si="30"/>
        <v>0</v>
      </c>
      <c r="E27" s="34">
        <f t="shared" si="30"/>
        <v>0</v>
      </c>
      <c r="F27" s="34">
        <f t="shared" si="30"/>
        <v>0</v>
      </c>
      <c r="G27" s="34">
        <f t="shared" si="30"/>
        <v>0</v>
      </c>
      <c r="H27" s="34">
        <f t="shared" si="30"/>
        <v>0</v>
      </c>
      <c r="I27" s="34">
        <f t="shared" si="30"/>
        <v>0</v>
      </c>
      <c r="J27" s="34">
        <f t="shared" si="30"/>
        <v>0</v>
      </c>
      <c r="K27" s="34">
        <f t="shared" si="30"/>
        <v>0</v>
      </c>
      <c r="L27" s="34">
        <f t="shared" si="30"/>
        <v>0</v>
      </c>
      <c r="M27" s="34">
        <f t="shared" si="30"/>
        <v>0</v>
      </c>
      <c r="N27" s="34">
        <f t="shared" si="23"/>
        <v>0</v>
      </c>
      <c r="O27" s="35" t="str">
        <f t="shared" si="24"/>
        <v/>
      </c>
      <c r="P27" s="5"/>
      <c r="Q27" s="5"/>
      <c r="R27" s="36"/>
      <c r="S27" s="36"/>
      <c r="T27" s="36"/>
      <c r="U27" s="34">
        <f t="shared" ref="U27:AF27" si="31">SUM(U24:U26)</f>
        <v>0</v>
      </c>
      <c r="V27" s="34">
        <f t="shared" si="31"/>
        <v>0</v>
      </c>
      <c r="W27" s="34">
        <f t="shared" si="31"/>
        <v>0</v>
      </c>
      <c r="X27" s="34">
        <f t="shared" si="31"/>
        <v>0</v>
      </c>
      <c r="Y27" s="34">
        <f t="shared" si="31"/>
        <v>0</v>
      </c>
      <c r="Z27" s="34">
        <f t="shared" si="31"/>
        <v>0</v>
      </c>
      <c r="AA27" s="34">
        <f t="shared" si="31"/>
        <v>0</v>
      </c>
      <c r="AB27" s="34">
        <f t="shared" si="31"/>
        <v>0</v>
      </c>
      <c r="AC27" s="34">
        <f t="shared" si="31"/>
        <v>0</v>
      </c>
      <c r="AD27" s="34">
        <f t="shared" si="31"/>
        <v>0</v>
      </c>
      <c r="AE27" s="34">
        <f t="shared" si="31"/>
        <v>0</v>
      </c>
      <c r="AF27" s="34">
        <f t="shared" si="31"/>
        <v>0</v>
      </c>
      <c r="AG27" s="34">
        <f t="shared" si="26"/>
        <v>0</v>
      </c>
      <c r="AH27" s="35" t="str">
        <f t="shared" si="27"/>
        <v/>
      </c>
      <c r="AI27" s="4"/>
      <c r="AJ27" s="34">
        <f t="shared" si="28"/>
        <v>0</v>
      </c>
    </row>
    <row r="28" ht="13.5" customHeight="1">
      <c r="A28" s="25" t="s">
        <v>49</v>
      </c>
      <c r="B28" s="5">
        <v>0.0</v>
      </c>
      <c r="C28" s="5">
        <v>0.0</v>
      </c>
      <c r="D28" s="5">
        <v>0.0</v>
      </c>
      <c r="E28" s="5">
        <v>1312.33</v>
      </c>
      <c r="F28" s="5">
        <v>0.0</v>
      </c>
      <c r="G28" s="5">
        <v>0.0</v>
      </c>
      <c r="H28" s="5">
        <v>0.0</v>
      </c>
      <c r="I28" s="5">
        <v>0.0</v>
      </c>
      <c r="J28" s="27">
        <v>0.0</v>
      </c>
      <c r="K28" s="27">
        <v>0.0</v>
      </c>
      <c r="L28" s="27">
        <v>0.0</v>
      </c>
      <c r="M28" s="27">
        <v>0.0</v>
      </c>
      <c r="N28" s="5">
        <f t="shared" si="23"/>
        <v>1312.33</v>
      </c>
      <c r="O28" s="28" t="str">
        <f t="shared" si="24"/>
        <v/>
      </c>
      <c r="P28" s="5"/>
      <c r="Q28" s="5"/>
      <c r="R28" s="29" t="s">
        <v>34</v>
      </c>
      <c r="S28" s="30">
        <v>0.0</v>
      </c>
      <c r="T28" s="31">
        <v>0.05</v>
      </c>
      <c r="U28" s="26">
        <f t="shared" ref="U28:AF28" si="32">IF($R28="Manual","",IFERROR(IF($R28="YOY Growth",$N28*(1+$T28)/12,$S28/12),""))</f>
        <v>0</v>
      </c>
      <c r="V28" s="26">
        <f t="shared" si="32"/>
        <v>0</v>
      </c>
      <c r="W28" s="26">
        <f t="shared" si="32"/>
        <v>0</v>
      </c>
      <c r="X28" s="26">
        <f t="shared" si="32"/>
        <v>0</v>
      </c>
      <c r="Y28" s="26">
        <f t="shared" si="32"/>
        <v>0</v>
      </c>
      <c r="Z28" s="26">
        <f t="shared" si="32"/>
        <v>0</v>
      </c>
      <c r="AA28" s="26">
        <f t="shared" si="32"/>
        <v>0</v>
      </c>
      <c r="AB28" s="26">
        <f t="shared" si="32"/>
        <v>0</v>
      </c>
      <c r="AC28" s="26">
        <f t="shared" si="32"/>
        <v>0</v>
      </c>
      <c r="AD28" s="26">
        <f t="shared" si="32"/>
        <v>0</v>
      </c>
      <c r="AE28" s="26">
        <f t="shared" si="32"/>
        <v>0</v>
      </c>
      <c r="AF28" s="26">
        <f t="shared" si="32"/>
        <v>0</v>
      </c>
      <c r="AG28" s="5">
        <f t="shared" si="26"/>
        <v>0</v>
      </c>
      <c r="AH28" s="28" t="str">
        <f t="shared" si="27"/>
        <v/>
      </c>
      <c r="AI28" s="4"/>
      <c r="AJ28" s="5">
        <f t="shared" si="28"/>
        <v>1312.33</v>
      </c>
    </row>
    <row r="29" ht="13.5" customHeight="1">
      <c r="A29" s="25" t="s">
        <v>51</v>
      </c>
      <c r="B29" s="5">
        <v>118.63</v>
      </c>
      <c r="C29" s="5">
        <v>0.0</v>
      </c>
      <c r="D29" s="5">
        <v>0.0</v>
      </c>
      <c r="E29" s="5">
        <v>0.0</v>
      </c>
      <c r="F29" s="5">
        <v>14.38</v>
      </c>
      <c r="G29" s="5">
        <v>0.0</v>
      </c>
      <c r="H29" s="5">
        <v>0.0</v>
      </c>
      <c r="I29" s="5">
        <v>0.0</v>
      </c>
      <c r="J29" s="27">
        <v>0.0</v>
      </c>
      <c r="K29" s="27">
        <v>0.0</v>
      </c>
      <c r="L29" s="27">
        <v>0.0</v>
      </c>
      <c r="M29" s="27">
        <v>0.0</v>
      </c>
      <c r="N29" s="5">
        <f t="shared" si="23"/>
        <v>133.01</v>
      </c>
      <c r="O29" s="28" t="str">
        <f t="shared" si="24"/>
        <v/>
      </c>
      <c r="P29" s="5"/>
      <c r="Q29" s="5"/>
      <c r="R29" s="29" t="s">
        <v>34</v>
      </c>
      <c r="S29" s="30">
        <v>0.0</v>
      </c>
      <c r="T29" s="31">
        <v>0.05</v>
      </c>
      <c r="U29" s="26">
        <f t="shared" ref="U29:AF29" si="33">IF($R29="Manual","",IFERROR(IF($R29="YOY Growth",$N29*(1+$T29)/12,$S29/12),""))</f>
        <v>0</v>
      </c>
      <c r="V29" s="26">
        <f t="shared" si="33"/>
        <v>0</v>
      </c>
      <c r="W29" s="26">
        <f t="shared" si="33"/>
        <v>0</v>
      </c>
      <c r="X29" s="26">
        <f t="shared" si="33"/>
        <v>0</v>
      </c>
      <c r="Y29" s="26">
        <f t="shared" si="33"/>
        <v>0</v>
      </c>
      <c r="Z29" s="26">
        <f t="shared" si="33"/>
        <v>0</v>
      </c>
      <c r="AA29" s="26">
        <f t="shared" si="33"/>
        <v>0</v>
      </c>
      <c r="AB29" s="26">
        <f t="shared" si="33"/>
        <v>0</v>
      </c>
      <c r="AC29" s="26">
        <f t="shared" si="33"/>
        <v>0</v>
      </c>
      <c r="AD29" s="26">
        <f t="shared" si="33"/>
        <v>0</v>
      </c>
      <c r="AE29" s="26">
        <f t="shared" si="33"/>
        <v>0</v>
      </c>
      <c r="AF29" s="26">
        <f t="shared" si="33"/>
        <v>0</v>
      </c>
      <c r="AG29" s="5">
        <f t="shared" si="26"/>
        <v>0</v>
      </c>
      <c r="AH29" s="28" t="str">
        <f t="shared" si="27"/>
        <v/>
      </c>
      <c r="AI29" s="4"/>
      <c r="AJ29" s="5">
        <f t="shared" si="28"/>
        <v>133.01</v>
      </c>
    </row>
    <row r="30" ht="13.5" customHeight="1">
      <c r="A30" s="25" t="s">
        <v>53</v>
      </c>
      <c r="B30" s="5">
        <v>6093.31</v>
      </c>
      <c r="C30" s="5">
        <v>3188.15</v>
      </c>
      <c r="D30" s="5">
        <v>6516.64</v>
      </c>
      <c r="E30" s="5">
        <v>4232.23</v>
      </c>
      <c r="F30" s="5">
        <v>13531.9</v>
      </c>
      <c r="G30" s="5">
        <v>2938.06</v>
      </c>
      <c r="H30" s="5">
        <v>3402.48</v>
      </c>
      <c r="I30" s="5">
        <v>5552.25</v>
      </c>
      <c r="J30" s="27">
        <v>13000.0</v>
      </c>
      <c r="K30" s="27">
        <v>13000.0</v>
      </c>
      <c r="L30" s="27">
        <v>9000.0</v>
      </c>
      <c r="M30" s="27">
        <v>7000.0</v>
      </c>
      <c r="N30" s="5">
        <f t="shared" si="23"/>
        <v>87455.02</v>
      </c>
      <c r="O30" s="28" t="str">
        <f t="shared" si="24"/>
        <v/>
      </c>
      <c r="P30" s="5"/>
      <c r="Q30" s="5"/>
      <c r="R30" s="29" t="s">
        <v>34</v>
      </c>
      <c r="S30" s="30">
        <v>0.0</v>
      </c>
      <c r="T30" s="31">
        <v>0.05</v>
      </c>
      <c r="U30" s="26">
        <f t="shared" ref="U30:AF30" si="34">IF($R30="Manual","",IFERROR(IF($R30="YOY Growth",$N30*(1+$T30)/12,$S30/12),""))</f>
        <v>0</v>
      </c>
      <c r="V30" s="26">
        <f t="shared" si="34"/>
        <v>0</v>
      </c>
      <c r="W30" s="26">
        <f t="shared" si="34"/>
        <v>0</v>
      </c>
      <c r="X30" s="26">
        <f t="shared" si="34"/>
        <v>0</v>
      </c>
      <c r="Y30" s="26">
        <f t="shared" si="34"/>
        <v>0</v>
      </c>
      <c r="Z30" s="26">
        <f t="shared" si="34"/>
        <v>0</v>
      </c>
      <c r="AA30" s="26">
        <f t="shared" si="34"/>
        <v>0</v>
      </c>
      <c r="AB30" s="26">
        <f t="shared" si="34"/>
        <v>0</v>
      </c>
      <c r="AC30" s="26">
        <f t="shared" si="34"/>
        <v>0</v>
      </c>
      <c r="AD30" s="26">
        <f t="shared" si="34"/>
        <v>0</v>
      </c>
      <c r="AE30" s="26">
        <f t="shared" si="34"/>
        <v>0</v>
      </c>
      <c r="AF30" s="26">
        <f t="shared" si="34"/>
        <v>0</v>
      </c>
      <c r="AG30" s="5">
        <f t="shared" si="26"/>
        <v>0</v>
      </c>
      <c r="AH30" s="28" t="str">
        <f t="shared" si="27"/>
        <v/>
      </c>
      <c r="AI30" s="4"/>
      <c r="AJ30" s="5">
        <f t="shared" si="28"/>
        <v>87455.02</v>
      </c>
    </row>
    <row r="31" ht="13.5" customHeight="1">
      <c r="A31" s="25" t="s">
        <v>54</v>
      </c>
      <c r="B31" s="5">
        <v>623.1</v>
      </c>
      <c r="C31" s="5">
        <v>491.08</v>
      </c>
      <c r="D31" s="5">
        <v>878.77</v>
      </c>
      <c r="E31" s="5">
        <v>846.11</v>
      </c>
      <c r="F31" s="5">
        <v>1479.8</v>
      </c>
      <c r="G31" s="5">
        <v>235.83</v>
      </c>
      <c r="H31" s="5">
        <v>436.9</v>
      </c>
      <c r="I31" s="5">
        <v>721.59</v>
      </c>
      <c r="J31" s="27">
        <v>1400.0</v>
      </c>
      <c r="K31" s="27">
        <v>1400.0</v>
      </c>
      <c r="L31" s="27">
        <v>1000.0</v>
      </c>
      <c r="M31" s="27">
        <v>800.0</v>
      </c>
      <c r="N31" s="5">
        <f t="shared" si="23"/>
        <v>10313.18</v>
      </c>
      <c r="O31" s="28" t="str">
        <f t="shared" si="24"/>
        <v/>
      </c>
      <c r="P31" s="5"/>
      <c r="Q31" s="5"/>
      <c r="R31" s="29" t="s">
        <v>34</v>
      </c>
      <c r="S31" s="30">
        <v>0.0</v>
      </c>
      <c r="T31" s="31">
        <v>0.05</v>
      </c>
      <c r="U31" s="26">
        <f t="shared" ref="U31:AF31" si="35">IF($R31="Manual","",IFERROR(IF($R31="YOY Growth",$N31*(1+$T31)/12,$S31/12),""))</f>
        <v>0</v>
      </c>
      <c r="V31" s="26">
        <f t="shared" si="35"/>
        <v>0</v>
      </c>
      <c r="W31" s="26">
        <f t="shared" si="35"/>
        <v>0</v>
      </c>
      <c r="X31" s="26">
        <f t="shared" si="35"/>
        <v>0</v>
      </c>
      <c r="Y31" s="26">
        <f t="shared" si="35"/>
        <v>0</v>
      </c>
      <c r="Z31" s="26">
        <f t="shared" si="35"/>
        <v>0</v>
      </c>
      <c r="AA31" s="26">
        <f t="shared" si="35"/>
        <v>0</v>
      </c>
      <c r="AB31" s="26">
        <f t="shared" si="35"/>
        <v>0</v>
      </c>
      <c r="AC31" s="26">
        <f t="shared" si="35"/>
        <v>0</v>
      </c>
      <c r="AD31" s="26">
        <f t="shared" si="35"/>
        <v>0</v>
      </c>
      <c r="AE31" s="26">
        <f t="shared" si="35"/>
        <v>0</v>
      </c>
      <c r="AF31" s="26">
        <f t="shared" si="35"/>
        <v>0</v>
      </c>
      <c r="AG31" s="5">
        <f t="shared" si="26"/>
        <v>0</v>
      </c>
      <c r="AH31" s="28" t="str">
        <f t="shared" si="27"/>
        <v/>
      </c>
      <c r="AI31" s="4"/>
      <c r="AJ31" s="5">
        <f t="shared" si="28"/>
        <v>10313.18</v>
      </c>
    </row>
    <row r="32" ht="13.5" customHeight="1">
      <c r="A32" s="24" t="s">
        <v>55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28"/>
      <c r="P32" s="5"/>
      <c r="Q32" s="5"/>
      <c r="R32" s="36"/>
      <c r="S32" s="36"/>
      <c r="T32" s="36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28"/>
      <c r="AI32" s="4"/>
      <c r="AJ32" s="5"/>
    </row>
    <row r="33" ht="13.5" customHeight="1">
      <c r="A33" s="25" t="s">
        <v>56</v>
      </c>
      <c r="B33" s="5">
        <v>0.0</v>
      </c>
      <c r="C33" s="5">
        <v>0.0</v>
      </c>
      <c r="D33" s="5">
        <v>0.0</v>
      </c>
      <c r="E33" s="5">
        <v>0.0</v>
      </c>
      <c r="F33" s="5">
        <v>0.0</v>
      </c>
      <c r="G33" s="5">
        <v>0.0</v>
      </c>
      <c r="H33" s="5">
        <v>0.0</v>
      </c>
      <c r="I33" s="5">
        <v>0.0</v>
      </c>
      <c r="J33" s="27">
        <v>0.0</v>
      </c>
      <c r="K33" s="27">
        <v>0.0</v>
      </c>
      <c r="L33" s="27">
        <v>0.0</v>
      </c>
      <c r="M33" s="27">
        <v>0.0</v>
      </c>
      <c r="N33" s="5">
        <f t="shared" ref="N33:N42" si="36">SUM(B33:M33)</f>
        <v>0</v>
      </c>
      <c r="O33" s="28" t="str">
        <f t="shared" ref="O33:O42" si="37">IFERROR(N33/N$16,"")</f>
        <v/>
      </c>
      <c r="P33" s="5"/>
      <c r="Q33" s="5"/>
      <c r="R33" s="36"/>
      <c r="S33" s="36"/>
      <c r="T33" s="36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5">
        <f t="shared" ref="AG33:AG42" si="38">SUM(U33:AF33)</f>
        <v>0</v>
      </c>
      <c r="AH33" s="28" t="str">
        <f t="shared" ref="AH33:AH42" si="39">IFERROR(AG33/AG$16,"")</f>
        <v/>
      </c>
      <c r="AI33" s="4"/>
      <c r="AJ33" s="5">
        <f t="shared" ref="AJ33:AJ42" si="40">N33-AG33</f>
        <v>0</v>
      </c>
    </row>
    <row r="34" ht="13.5" customHeight="1">
      <c r="A34" s="25" t="s">
        <v>57</v>
      </c>
      <c r="B34" s="5">
        <v>0.0</v>
      </c>
      <c r="C34" s="5">
        <v>0.0</v>
      </c>
      <c r="D34" s="5">
        <v>0.0</v>
      </c>
      <c r="E34" s="5">
        <v>0.0</v>
      </c>
      <c r="F34" s="5">
        <v>0.0</v>
      </c>
      <c r="G34" s="5">
        <v>0.0</v>
      </c>
      <c r="H34" s="5">
        <v>0.0</v>
      </c>
      <c r="I34" s="5">
        <v>0.0</v>
      </c>
      <c r="J34" s="27">
        <v>0.0</v>
      </c>
      <c r="K34" s="27">
        <v>0.0</v>
      </c>
      <c r="L34" s="27">
        <v>0.0</v>
      </c>
      <c r="M34" s="27">
        <v>0.0</v>
      </c>
      <c r="N34" s="5">
        <f t="shared" si="36"/>
        <v>0</v>
      </c>
      <c r="O34" s="28" t="str">
        <f t="shared" si="37"/>
        <v/>
      </c>
      <c r="P34" s="5"/>
      <c r="Q34" s="5"/>
      <c r="R34" s="36"/>
      <c r="S34" s="36"/>
      <c r="T34" s="36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5">
        <f t="shared" si="38"/>
        <v>0</v>
      </c>
      <c r="AH34" s="28" t="str">
        <f t="shared" si="39"/>
        <v/>
      </c>
      <c r="AI34" s="4"/>
      <c r="AJ34" s="5">
        <f t="shared" si="40"/>
        <v>0</v>
      </c>
    </row>
    <row r="35" ht="13.5" customHeight="1">
      <c r="A35" s="25" t="s">
        <v>58</v>
      </c>
      <c r="B35" s="5">
        <v>0.0</v>
      </c>
      <c r="C35" s="5">
        <v>0.0</v>
      </c>
      <c r="D35" s="5">
        <v>0.0</v>
      </c>
      <c r="E35" s="5">
        <v>0.0</v>
      </c>
      <c r="F35" s="5">
        <v>0.0</v>
      </c>
      <c r="G35" s="5">
        <v>0.0</v>
      </c>
      <c r="H35" s="5">
        <v>0.0</v>
      </c>
      <c r="I35" s="5">
        <v>0.0</v>
      </c>
      <c r="J35" s="27">
        <v>0.0</v>
      </c>
      <c r="K35" s="27">
        <v>0.0</v>
      </c>
      <c r="L35" s="27">
        <v>0.0</v>
      </c>
      <c r="M35" s="27">
        <v>0.0</v>
      </c>
      <c r="N35" s="5">
        <f t="shared" si="36"/>
        <v>0</v>
      </c>
      <c r="O35" s="28" t="str">
        <f t="shared" si="37"/>
        <v/>
      </c>
      <c r="P35" s="5"/>
      <c r="Q35" s="5"/>
      <c r="R35" s="36"/>
      <c r="S35" s="36"/>
      <c r="T35" s="36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5">
        <f t="shared" si="38"/>
        <v>0</v>
      </c>
      <c r="AH35" s="28" t="str">
        <f t="shared" si="39"/>
        <v/>
      </c>
      <c r="AI35" s="4"/>
      <c r="AJ35" s="5">
        <f t="shared" si="40"/>
        <v>0</v>
      </c>
    </row>
    <row r="36" ht="13.5" customHeight="1">
      <c r="A36" s="33" t="s">
        <v>59</v>
      </c>
      <c r="B36" s="34">
        <f t="shared" ref="B36:M36" si="41">SUM(B33:B35)</f>
        <v>0</v>
      </c>
      <c r="C36" s="34">
        <f t="shared" si="41"/>
        <v>0</v>
      </c>
      <c r="D36" s="34">
        <f t="shared" si="41"/>
        <v>0</v>
      </c>
      <c r="E36" s="34">
        <f t="shared" si="41"/>
        <v>0</v>
      </c>
      <c r="F36" s="34">
        <f t="shared" si="41"/>
        <v>0</v>
      </c>
      <c r="G36" s="34">
        <f t="shared" si="41"/>
        <v>0</v>
      </c>
      <c r="H36" s="34">
        <f t="shared" si="41"/>
        <v>0</v>
      </c>
      <c r="I36" s="34">
        <f t="shared" si="41"/>
        <v>0</v>
      </c>
      <c r="J36" s="34">
        <f t="shared" si="41"/>
        <v>0</v>
      </c>
      <c r="K36" s="34">
        <f t="shared" si="41"/>
        <v>0</v>
      </c>
      <c r="L36" s="34">
        <f t="shared" si="41"/>
        <v>0</v>
      </c>
      <c r="M36" s="34">
        <f t="shared" si="41"/>
        <v>0</v>
      </c>
      <c r="N36" s="34">
        <f t="shared" si="36"/>
        <v>0</v>
      </c>
      <c r="O36" s="35" t="str">
        <f t="shared" si="37"/>
        <v/>
      </c>
      <c r="P36" s="5"/>
      <c r="Q36" s="5"/>
      <c r="R36" s="36"/>
      <c r="S36" s="36"/>
      <c r="T36" s="36"/>
      <c r="U36" s="34">
        <f t="shared" ref="U36:AF36" si="42">SUM(U33:U35)</f>
        <v>0</v>
      </c>
      <c r="V36" s="34">
        <f t="shared" si="42"/>
        <v>0</v>
      </c>
      <c r="W36" s="34">
        <f t="shared" si="42"/>
        <v>0</v>
      </c>
      <c r="X36" s="34">
        <f t="shared" si="42"/>
        <v>0</v>
      </c>
      <c r="Y36" s="34">
        <f t="shared" si="42"/>
        <v>0</v>
      </c>
      <c r="Z36" s="34">
        <f t="shared" si="42"/>
        <v>0</v>
      </c>
      <c r="AA36" s="34">
        <f t="shared" si="42"/>
        <v>0</v>
      </c>
      <c r="AB36" s="34">
        <f t="shared" si="42"/>
        <v>0</v>
      </c>
      <c r="AC36" s="34">
        <f t="shared" si="42"/>
        <v>0</v>
      </c>
      <c r="AD36" s="34">
        <f t="shared" si="42"/>
        <v>0</v>
      </c>
      <c r="AE36" s="34">
        <f t="shared" si="42"/>
        <v>0</v>
      </c>
      <c r="AF36" s="34">
        <f t="shared" si="42"/>
        <v>0</v>
      </c>
      <c r="AG36" s="34">
        <f t="shared" si="38"/>
        <v>0</v>
      </c>
      <c r="AH36" s="35" t="str">
        <f t="shared" si="39"/>
        <v/>
      </c>
      <c r="AI36" s="4"/>
      <c r="AJ36" s="34">
        <f t="shared" si="40"/>
        <v>0</v>
      </c>
    </row>
    <row r="37" ht="13.5" customHeight="1">
      <c r="A37" s="33" t="s">
        <v>60</v>
      </c>
      <c r="B37" s="34">
        <f t="shared" ref="B37:M37" si="43">B19+B22+B27+B28+B29+B30+B31+B36+B20+B21</f>
        <v>6835.04</v>
      </c>
      <c r="C37" s="34">
        <f t="shared" si="43"/>
        <v>3679.23</v>
      </c>
      <c r="D37" s="34">
        <f t="shared" si="43"/>
        <v>7395.41</v>
      </c>
      <c r="E37" s="34">
        <f t="shared" si="43"/>
        <v>6390.67</v>
      </c>
      <c r="F37" s="34">
        <f t="shared" si="43"/>
        <v>15026.08</v>
      </c>
      <c r="G37" s="34">
        <f t="shared" si="43"/>
        <v>3173.89</v>
      </c>
      <c r="H37" s="34">
        <f t="shared" si="43"/>
        <v>3839.38</v>
      </c>
      <c r="I37" s="34">
        <f t="shared" si="43"/>
        <v>6273.84</v>
      </c>
      <c r="J37" s="34">
        <f t="shared" si="43"/>
        <v>14400</v>
      </c>
      <c r="K37" s="34">
        <f t="shared" si="43"/>
        <v>14400</v>
      </c>
      <c r="L37" s="34">
        <f t="shared" si="43"/>
        <v>10000</v>
      </c>
      <c r="M37" s="34">
        <f t="shared" si="43"/>
        <v>7800</v>
      </c>
      <c r="N37" s="34">
        <f t="shared" si="36"/>
        <v>99213.54</v>
      </c>
      <c r="O37" s="35" t="str">
        <f t="shared" si="37"/>
        <v/>
      </c>
      <c r="P37" s="5"/>
      <c r="Q37" s="5"/>
      <c r="R37" s="36"/>
      <c r="S37" s="36"/>
      <c r="T37" s="36"/>
      <c r="U37" s="34">
        <f t="shared" ref="U37:AF37" si="44">U19+U22+U27+U28+U29+U30+U31+U36+U20+U21</f>
        <v>0</v>
      </c>
      <c r="V37" s="34">
        <f t="shared" si="44"/>
        <v>0</v>
      </c>
      <c r="W37" s="34">
        <f t="shared" si="44"/>
        <v>0</v>
      </c>
      <c r="X37" s="34">
        <f t="shared" si="44"/>
        <v>0</v>
      </c>
      <c r="Y37" s="34">
        <f t="shared" si="44"/>
        <v>0</v>
      </c>
      <c r="Z37" s="34">
        <f t="shared" si="44"/>
        <v>0</v>
      </c>
      <c r="AA37" s="34">
        <f t="shared" si="44"/>
        <v>0</v>
      </c>
      <c r="AB37" s="34">
        <f t="shared" si="44"/>
        <v>0</v>
      </c>
      <c r="AC37" s="34">
        <f t="shared" si="44"/>
        <v>0</v>
      </c>
      <c r="AD37" s="34">
        <f t="shared" si="44"/>
        <v>0</v>
      </c>
      <c r="AE37" s="34">
        <f t="shared" si="44"/>
        <v>0</v>
      </c>
      <c r="AF37" s="34">
        <f t="shared" si="44"/>
        <v>0</v>
      </c>
      <c r="AG37" s="34">
        <f t="shared" si="38"/>
        <v>0</v>
      </c>
      <c r="AH37" s="35" t="str">
        <f t="shared" si="39"/>
        <v/>
      </c>
      <c r="AI37" s="4"/>
      <c r="AJ37" s="34">
        <f t="shared" si="40"/>
        <v>99213.54</v>
      </c>
    </row>
    <row r="38" ht="13.5" customHeight="1">
      <c r="A38" s="25" t="s">
        <v>61</v>
      </c>
      <c r="B38" s="5">
        <v>0.0</v>
      </c>
      <c r="C38" s="5">
        <v>0.0</v>
      </c>
      <c r="D38" s="5">
        <v>0.0</v>
      </c>
      <c r="E38" s="5">
        <v>0.0</v>
      </c>
      <c r="F38" s="5">
        <v>0.0</v>
      </c>
      <c r="G38" s="5">
        <v>0.0</v>
      </c>
      <c r="H38" s="5">
        <v>0.0</v>
      </c>
      <c r="I38" s="5">
        <v>0.0</v>
      </c>
      <c r="J38" s="27">
        <v>0.0</v>
      </c>
      <c r="K38" s="27">
        <v>0.0</v>
      </c>
      <c r="L38" s="27">
        <v>0.0</v>
      </c>
      <c r="M38" s="27">
        <v>0.0</v>
      </c>
      <c r="N38" s="5">
        <f t="shared" si="36"/>
        <v>0</v>
      </c>
      <c r="O38" s="28" t="str">
        <f t="shared" si="37"/>
        <v/>
      </c>
      <c r="P38" s="5"/>
      <c r="Q38" s="5"/>
      <c r="R38" s="29" t="s">
        <v>34</v>
      </c>
      <c r="S38" s="30">
        <v>0.0</v>
      </c>
      <c r="T38" s="31">
        <v>0.05</v>
      </c>
      <c r="U38" s="26">
        <f t="shared" ref="U38:AF38" si="45">IF($R38="Manual","",IFERROR(IF($R38="YOY Growth",$N38*(1+$T38)/12,$S38/12),""))</f>
        <v>0</v>
      </c>
      <c r="V38" s="26">
        <f t="shared" si="45"/>
        <v>0</v>
      </c>
      <c r="W38" s="26">
        <f t="shared" si="45"/>
        <v>0</v>
      </c>
      <c r="X38" s="26">
        <f t="shared" si="45"/>
        <v>0</v>
      </c>
      <c r="Y38" s="26">
        <f t="shared" si="45"/>
        <v>0</v>
      </c>
      <c r="Z38" s="26">
        <f t="shared" si="45"/>
        <v>0</v>
      </c>
      <c r="AA38" s="26">
        <f t="shared" si="45"/>
        <v>0</v>
      </c>
      <c r="AB38" s="26">
        <f t="shared" si="45"/>
        <v>0</v>
      </c>
      <c r="AC38" s="26">
        <f t="shared" si="45"/>
        <v>0</v>
      </c>
      <c r="AD38" s="26">
        <f t="shared" si="45"/>
        <v>0</v>
      </c>
      <c r="AE38" s="26">
        <f t="shared" si="45"/>
        <v>0</v>
      </c>
      <c r="AF38" s="26">
        <f t="shared" si="45"/>
        <v>0</v>
      </c>
      <c r="AG38" s="5">
        <f t="shared" si="38"/>
        <v>0</v>
      </c>
      <c r="AH38" s="28" t="str">
        <f t="shared" si="39"/>
        <v/>
      </c>
      <c r="AI38" s="4"/>
      <c r="AJ38" s="5">
        <f t="shared" si="40"/>
        <v>0</v>
      </c>
    </row>
    <row r="39" ht="13.5" customHeight="1">
      <c r="A39" s="25" t="s">
        <v>63</v>
      </c>
      <c r="B39" s="5">
        <v>0.0</v>
      </c>
      <c r="C39" s="5">
        <v>0.0</v>
      </c>
      <c r="D39" s="5">
        <v>0.0</v>
      </c>
      <c r="E39" s="5">
        <v>0.0</v>
      </c>
      <c r="F39" s="5">
        <v>0.0</v>
      </c>
      <c r="G39" s="5">
        <v>0.0</v>
      </c>
      <c r="H39" s="5">
        <v>0.0</v>
      </c>
      <c r="I39" s="5">
        <v>0.0</v>
      </c>
      <c r="J39" s="27">
        <v>0.0</v>
      </c>
      <c r="K39" s="27">
        <v>0.0</v>
      </c>
      <c r="L39" s="27">
        <v>0.0</v>
      </c>
      <c r="M39" s="27">
        <v>0.0</v>
      </c>
      <c r="N39" s="5">
        <f t="shared" si="36"/>
        <v>0</v>
      </c>
      <c r="O39" s="28" t="str">
        <f t="shared" si="37"/>
        <v/>
      </c>
      <c r="P39" s="5"/>
      <c r="Q39" s="5"/>
      <c r="R39" s="29" t="s">
        <v>34</v>
      </c>
      <c r="S39" s="30">
        <v>0.0</v>
      </c>
      <c r="T39" s="31">
        <v>0.05</v>
      </c>
      <c r="U39" s="26">
        <f t="shared" ref="U39:AF39" si="46">IF($R39="Manual","",IFERROR(IF($R39="YOY Growth",$N39*(1+$T39)/12,$S39/12),""))</f>
        <v>0</v>
      </c>
      <c r="V39" s="26">
        <f t="shared" si="46"/>
        <v>0</v>
      </c>
      <c r="W39" s="26">
        <f t="shared" si="46"/>
        <v>0</v>
      </c>
      <c r="X39" s="26">
        <f t="shared" si="46"/>
        <v>0</v>
      </c>
      <c r="Y39" s="26">
        <f t="shared" si="46"/>
        <v>0</v>
      </c>
      <c r="Z39" s="26">
        <f t="shared" si="46"/>
        <v>0</v>
      </c>
      <c r="AA39" s="26">
        <f t="shared" si="46"/>
        <v>0</v>
      </c>
      <c r="AB39" s="26">
        <f t="shared" si="46"/>
        <v>0</v>
      </c>
      <c r="AC39" s="26">
        <f t="shared" si="46"/>
        <v>0</v>
      </c>
      <c r="AD39" s="26">
        <f t="shared" si="46"/>
        <v>0</v>
      </c>
      <c r="AE39" s="26">
        <f t="shared" si="46"/>
        <v>0</v>
      </c>
      <c r="AF39" s="26">
        <f t="shared" si="46"/>
        <v>0</v>
      </c>
      <c r="AG39" s="5">
        <f t="shared" si="38"/>
        <v>0</v>
      </c>
      <c r="AH39" s="28" t="str">
        <f t="shared" si="39"/>
        <v/>
      </c>
      <c r="AI39" s="4"/>
      <c r="AJ39" s="5">
        <f t="shared" si="40"/>
        <v>0</v>
      </c>
    </row>
    <row r="40" ht="13.5" customHeight="1">
      <c r="A40" s="25" t="s">
        <v>65</v>
      </c>
      <c r="B40" s="5">
        <v>0.0</v>
      </c>
      <c r="C40" s="5">
        <v>0.0</v>
      </c>
      <c r="D40" s="5">
        <v>0.0</v>
      </c>
      <c r="E40" s="5">
        <v>0.0</v>
      </c>
      <c r="F40" s="5">
        <v>0.0</v>
      </c>
      <c r="G40" s="5">
        <v>0.0</v>
      </c>
      <c r="H40" s="5">
        <v>0.0</v>
      </c>
      <c r="I40" s="5">
        <v>0.0</v>
      </c>
      <c r="J40" s="27">
        <v>0.0</v>
      </c>
      <c r="K40" s="27">
        <v>0.0</v>
      </c>
      <c r="L40" s="27">
        <v>0.0</v>
      </c>
      <c r="M40" s="27">
        <v>0.0</v>
      </c>
      <c r="N40" s="5">
        <f t="shared" si="36"/>
        <v>0</v>
      </c>
      <c r="O40" s="28" t="str">
        <f t="shared" si="37"/>
        <v/>
      </c>
      <c r="P40" s="5"/>
      <c r="Q40" s="5"/>
      <c r="R40" s="29" t="s">
        <v>34</v>
      </c>
      <c r="S40" s="30">
        <v>0.0</v>
      </c>
      <c r="T40" s="31">
        <v>0.05</v>
      </c>
      <c r="U40" s="26">
        <f t="shared" ref="U40:AF40" si="47">IF($R40="Manual","",IFERROR(IF($R40="YOY Growth",$N40*(1+$T40)/12,$S40/12),""))</f>
        <v>0</v>
      </c>
      <c r="V40" s="26">
        <f t="shared" si="47"/>
        <v>0</v>
      </c>
      <c r="W40" s="26">
        <f t="shared" si="47"/>
        <v>0</v>
      </c>
      <c r="X40" s="26">
        <f t="shared" si="47"/>
        <v>0</v>
      </c>
      <c r="Y40" s="26">
        <f t="shared" si="47"/>
        <v>0</v>
      </c>
      <c r="Z40" s="26">
        <f t="shared" si="47"/>
        <v>0</v>
      </c>
      <c r="AA40" s="26">
        <f t="shared" si="47"/>
        <v>0</v>
      </c>
      <c r="AB40" s="26">
        <f t="shared" si="47"/>
        <v>0</v>
      </c>
      <c r="AC40" s="26">
        <f t="shared" si="47"/>
        <v>0</v>
      </c>
      <c r="AD40" s="26">
        <f t="shared" si="47"/>
        <v>0</v>
      </c>
      <c r="AE40" s="26">
        <f t="shared" si="47"/>
        <v>0</v>
      </c>
      <c r="AF40" s="26">
        <f t="shared" si="47"/>
        <v>0</v>
      </c>
      <c r="AG40" s="5">
        <f t="shared" si="38"/>
        <v>0</v>
      </c>
      <c r="AH40" s="28" t="str">
        <f t="shared" si="39"/>
        <v/>
      </c>
      <c r="AI40" s="4"/>
      <c r="AJ40" s="5">
        <f t="shared" si="40"/>
        <v>0</v>
      </c>
    </row>
    <row r="41" ht="13.5" customHeight="1">
      <c r="A41" s="25" t="s">
        <v>66</v>
      </c>
      <c r="B41" s="5">
        <v>0.0</v>
      </c>
      <c r="C41" s="5">
        <v>0.0</v>
      </c>
      <c r="D41" s="5">
        <v>0.0</v>
      </c>
      <c r="E41" s="5">
        <v>0.0</v>
      </c>
      <c r="F41" s="5">
        <v>0.0</v>
      </c>
      <c r="G41" s="5">
        <v>0.0</v>
      </c>
      <c r="H41" s="5">
        <v>0.0</v>
      </c>
      <c r="I41" s="5">
        <v>0.0</v>
      </c>
      <c r="J41" s="27"/>
      <c r="K41" s="27"/>
      <c r="L41" s="27"/>
      <c r="M41" s="27"/>
      <c r="N41" s="5">
        <f t="shared" si="36"/>
        <v>0</v>
      </c>
      <c r="O41" s="28" t="str">
        <f t="shared" si="37"/>
        <v/>
      </c>
      <c r="P41" s="5"/>
      <c r="Q41" s="5"/>
      <c r="R41" s="29" t="s">
        <v>34</v>
      </c>
      <c r="S41" s="30">
        <v>0.0</v>
      </c>
      <c r="T41" s="31">
        <v>0.05</v>
      </c>
      <c r="U41" s="26">
        <f t="shared" ref="U41:AF41" si="48">IF($R41="Manual","",IFERROR(IF($R41="YOY Growth",$N41*(1+$T41)/12,$S41/12),""))</f>
        <v>0</v>
      </c>
      <c r="V41" s="26">
        <f t="shared" si="48"/>
        <v>0</v>
      </c>
      <c r="W41" s="26">
        <f t="shared" si="48"/>
        <v>0</v>
      </c>
      <c r="X41" s="26">
        <f t="shared" si="48"/>
        <v>0</v>
      </c>
      <c r="Y41" s="26">
        <f t="shared" si="48"/>
        <v>0</v>
      </c>
      <c r="Z41" s="26">
        <f t="shared" si="48"/>
        <v>0</v>
      </c>
      <c r="AA41" s="26">
        <f t="shared" si="48"/>
        <v>0</v>
      </c>
      <c r="AB41" s="26">
        <f t="shared" si="48"/>
        <v>0</v>
      </c>
      <c r="AC41" s="26">
        <f t="shared" si="48"/>
        <v>0</v>
      </c>
      <c r="AD41" s="26">
        <f t="shared" si="48"/>
        <v>0</v>
      </c>
      <c r="AE41" s="26">
        <f t="shared" si="48"/>
        <v>0</v>
      </c>
      <c r="AF41" s="26">
        <f t="shared" si="48"/>
        <v>0</v>
      </c>
      <c r="AG41" s="5">
        <f t="shared" si="38"/>
        <v>0</v>
      </c>
      <c r="AH41" s="28" t="str">
        <f t="shared" si="39"/>
        <v/>
      </c>
      <c r="AI41" s="4"/>
      <c r="AJ41" s="5">
        <f t="shared" si="40"/>
        <v>0</v>
      </c>
    </row>
    <row r="42" ht="13.5" customHeight="1">
      <c r="A42" s="25" t="s">
        <v>67</v>
      </c>
      <c r="B42" s="5">
        <v>0.0</v>
      </c>
      <c r="C42" s="5">
        <v>0.0</v>
      </c>
      <c r="D42" s="5">
        <v>0.0</v>
      </c>
      <c r="E42" s="5">
        <v>0.0</v>
      </c>
      <c r="F42" s="5">
        <v>0.0</v>
      </c>
      <c r="G42" s="5">
        <v>0.0</v>
      </c>
      <c r="H42" s="5">
        <v>0.0</v>
      </c>
      <c r="I42" s="5">
        <v>0.0</v>
      </c>
      <c r="J42" s="27">
        <v>0.0</v>
      </c>
      <c r="K42" s="27">
        <v>0.0</v>
      </c>
      <c r="L42" s="27">
        <v>0.0</v>
      </c>
      <c r="M42" s="27">
        <v>0.0</v>
      </c>
      <c r="N42" s="5">
        <f t="shared" si="36"/>
        <v>0</v>
      </c>
      <c r="O42" s="28" t="str">
        <f t="shared" si="37"/>
        <v/>
      </c>
      <c r="P42" s="5"/>
      <c r="Q42" s="5"/>
      <c r="R42" s="29" t="s">
        <v>34</v>
      </c>
      <c r="S42" s="30">
        <v>0.0</v>
      </c>
      <c r="T42" s="31">
        <v>0.05</v>
      </c>
      <c r="U42" s="26">
        <f t="shared" ref="U42:AF42" si="49">IF($R42="Manual","",IFERROR(IF($R42="YOY Growth",$N42*(1+$T42)/12,$S42/12),""))</f>
        <v>0</v>
      </c>
      <c r="V42" s="26">
        <f t="shared" si="49"/>
        <v>0</v>
      </c>
      <c r="W42" s="26">
        <f t="shared" si="49"/>
        <v>0</v>
      </c>
      <c r="X42" s="26">
        <f t="shared" si="49"/>
        <v>0</v>
      </c>
      <c r="Y42" s="26">
        <f t="shared" si="49"/>
        <v>0</v>
      </c>
      <c r="Z42" s="26">
        <f t="shared" si="49"/>
        <v>0</v>
      </c>
      <c r="AA42" s="26">
        <f t="shared" si="49"/>
        <v>0</v>
      </c>
      <c r="AB42" s="26">
        <f t="shared" si="49"/>
        <v>0</v>
      </c>
      <c r="AC42" s="26">
        <f t="shared" si="49"/>
        <v>0</v>
      </c>
      <c r="AD42" s="26">
        <f t="shared" si="49"/>
        <v>0</v>
      </c>
      <c r="AE42" s="26">
        <f t="shared" si="49"/>
        <v>0</v>
      </c>
      <c r="AF42" s="26">
        <f t="shared" si="49"/>
        <v>0</v>
      </c>
      <c r="AG42" s="5">
        <f t="shared" si="38"/>
        <v>0</v>
      </c>
      <c r="AH42" s="28" t="str">
        <f t="shared" si="39"/>
        <v/>
      </c>
      <c r="AI42" s="4"/>
      <c r="AJ42" s="5">
        <f t="shared" si="40"/>
        <v>0</v>
      </c>
    </row>
    <row r="43" ht="13.5" customHeight="1">
      <c r="A43" s="24" t="s">
        <v>68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28"/>
      <c r="P43" s="5"/>
      <c r="Q43" s="5"/>
      <c r="R43" s="36"/>
      <c r="S43" s="36"/>
      <c r="T43" s="36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28"/>
      <c r="AI43" s="4"/>
      <c r="AJ43" s="5"/>
    </row>
    <row r="44" ht="13.5" customHeight="1">
      <c r="A44" s="25" t="s">
        <v>69</v>
      </c>
      <c r="B44" s="5">
        <v>0.0</v>
      </c>
      <c r="C44" s="5">
        <v>0.0</v>
      </c>
      <c r="D44" s="5">
        <v>0.0</v>
      </c>
      <c r="E44" s="5">
        <v>0.0</v>
      </c>
      <c r="F44" s="5">
        <v>0.0</v>
      </c>
      <c r="G44" s="5">
        <v>0.0</v>
      </c>
      <c r="H44" s="5">
        <v>0.0</v>
      </c>
      <c r="I44" s="5">
        <v>0.0</v>
      </c>
      <c r="J44" s="27">
        <v>0.0</v>
      </c>
      <c r="K44" s="27">
        <v>0.0</v>
      </c>
      <c r="L44" s="27">
        <v>0.0</v>
      </c>
      <c r="M44" s="27">
        <v>0.0</v>
      </c>
      <c r="N44" s="5">
        <f t="shared" ref="N44:N50" si="51">SUM(B44:M44)</f>
        <v>0</v>
      </c>
      <c r="O44" s="28" t="str">
        <f t="shared" ref="O44:O50" si="52">IFERROR(N44/N$16,"")</f>
        <v/>
      </c>
      <c r="P44" s="5"/>
      <c r="Q44" s="5"/>
      <c r="R44" s="29" t="s">
        <v>34</v>
      </c>
      <c r="S44" s="30">
        <v>0.0</v>
      </c>
      <c r="T44" s="31">
        <v>0.05</v>
      </c>
      <c r="U44" s="26">
        <f t="shared" ref="U44:AF44" si="50">IF($R44="Manual","",IFERROR(IF($R44="YOY Growth",$N44*(1+$T44)/12,$S44/12),""))</f>
        <v>0</v>
      </c>
      <c r="V44" s="26">
        <f t="shared" si="50"/>
        <v>0</v>
      </c>
      <c r="W44" s="26">
        <f t="shared" si="50"/>
        <v>0</v>
      </c>
      <c r="X44" s="26">
        <f t="shared" si="50"/>
        <v>0</v>
      </c>
      <c r="Y44" s="26">
        <f t="shared" si="50"/>
        <v>0</v>
      </c>
      <c r="Z44" s="26">
        <f t="shared" si="50"/>
        <v>0</v>
      </c>
      <c r="AA44" s="26">
        <f t="shared" si="50"/>
        <v>0</v>
      </c>
      <c r="AB44" s="26">
        <f t="shared" si="50"/>
        <v>0</v>
      </c>
      <c r="AC44" s="26">
        <f t="shared" si="50"/>
        <v>0</v>
      </c>
      <c r="AD44" s="26">
        <f t="shared" si="50"/>
        <v>0</v>
      </c>
      <c r="AE44" s="26">
        <f t="shared" si="50"/>
        <v>0</v>
      </c>
      <c r="AF44" s="26">
        <f t="shared" si="50"/>
        <v>0</v>
      </c>
      <c r="AG44" s="5">
        <f t="shared" ref="AG44:AG50" si="54">SUM(U44:AF44)</f>
        <v>0</v>
      </c>
      <c r="AH44" s="28" t="str">
        <f t="shared" ref="AH44:AH50" si="55">IFERROR(AG44/AG$16,"")</f>
        <v/>
      </c>
      <c r="AI44" s="4"/>
      <c r="AJ44" s="5">
        <f t="shared" ref="AJ44:AJ50" si="56">N44-AG44</f>
        <v>0</v>
      </c>
    </row>
    <row r="45" ht="13.5" customHeight="1">
      <c r="A45" s="25" t="s">
        <v>70</v>
      </c>
      <c r="B45" s="5">
        <v>166.17</v>
      </c>
      <c r="C45" s="5">
        <v>0.0</v>
      </c>
      <c r="D45" s="5">
        <v>0.0</v>
      </c>
      <c r="E45" s="5">
        <v>0.0</v>
      </c>
      <c r="F45" s="5">
        <v>0.0</v>
      </c>
      <c r="G45" s="5">
        <v>0.0</v>
      </c>
      <c r="H45" s="5">
        <v>0.0</v>
      </c>
      <c r="I45" s="5">
        <v>0.0</v>
      </c>
      <c r="J45" s="27">
        <v>0.0</v>
      </c>
      <c r="K45" s="27">
        <v>0.0</v>
      </c>
      <c r="L45" s="27">
        <v>0.0</v>
      </c>
      <c r="M45" s="27">
        <v>0.0</v>
      </c>
      <c r="N45" s="5">
        <f t="shared" si="51"/>
        <v>166.17</v>
      </c>
      <c r="O45" s="28" t="str">
        <f t="shared" si="52"/>
        <v/>
      </c>
      <c r="P45" s="5"/>
      <c r="Q45" s="5"/>
      <c r="R45" s="29" t="s">
        <v>34</v>
      </c>
      <c r="S45" s="30">
        <v>0.0</v>
      </c>
      <c r="T45" s="31">
        <v>0.05</v>
      </c>
      <c r="U45" s="26">
        <f t="shared" ref="U45:AF45" si="53">IF($R45="Manual","",IFERROR(IF($R45="YOY Growth",$N45*(1+$T45)/12,$S45/12),""))</f>
        <v>0</v>
      </c>
      <c r="V45" s="26">
        <f t="shared" si="53"/>
        <v>0</v>
      </c>
      <c r="W45" s="26">
        <f t="shared" si="53"/>
        <v>0</v>
      </c>
      <c r="X45" s="26">
        <f t="shared" si="53"/>
        <v>0</v>
      </c>
      <c r="Y45" s="26">
        <f t="shared" si="53"/>
        <v>0</v>
      </c>
      <c r="Z45" s="26">
        <f t="shared" si="53"/>
        <v>0</v>
      </c>
      <c r="AA45" s="26">
        <f t="shared" si="53"/>
        <v>0</v>
      </c>
      <c r="AB45" s="26">
        <f t="shared" si="53"/>
        <v>0</v>
      </c>
      <c r="AC45" s="26">
        <f t="shared" si="53"/>
        <v>0</v>
      </c>
      <c r="AD45" s="26">
        <f t="shared" si="53"/>
        <v>0</v>
      </c>
      <c r="AE45" s="26">
        <f t="shared" si="53"/>
        <v>0</v>
      </c>
      <c r="AF45" s="26">
        <f t="shared" si="53"/>
        <v>0</v>
      </c>
      <c r="AG45" s="5">
        <f t="shared" si="54"/>
        <v>0</v>
      </c>
      <c r="AH45" s="28" t="str">
        <f t="shared" si="55"/>
        <v/>
      </c>
      <c r="AI45" s="4"/>
      <c r="AJ45" s="5">
        <f t="shared" si="56"/>
        <v>166.17</v>
      </c>
    </row>
    <row r="46" ht="13.5" customHeight="1">
      <c r="A46" s="25" t="s">
        <v>71</v>
      </c>
      <c r="B46" s="5">
        <v>2183.21</v>
      </c>
      <c r="C46" s="5">
        <v>1487.15</v>
      </c>
      <c r="D46" s="5">
        <v>1055.56</v>
      </c>
      <c r="E46" s="5">
        <v>37.64</v>
      </c>
      <c r="F46" s="5">
        <v>1945.1</v>
      </c>
      <c r="G46" s="5">
        <v>359.11</v>
      </c>
      <c r="H46" s="5">
        <v>-16.62</v>
      </c>
      <c r="I46" s="5">
        <v>169.57</v>
      </c>
      <c r="J46" s="27">
        <v>1900.0</v>
      </c>
      <c r="K46" s="27">
        <v>1900.0</v>
      </c>
      <c r="L46" s="27">
        <v>1900.0</v>
      </c>
      <c r="M46" s="27">
        <v>1900.0</v>
      </c>
      <c r="N46" s="5">
        <f t="shared" si="51"/>
        <v>14820.72</v>
      </c>
      <c r="O46" s="28" t="str">
        <f t="shared" si="52"/>
        <v/>
      </c>
      <c r="P46" s="5"/>
      <c r="Q46" s="5"/>
      <c r="R46" s="29" t="s">
        <v>34</v>
      </c>
      <c r="S46" s="30">
        <v>0.0</v>
      </c>
      <c r="T46" s="31">
        <v>0.05</v>
      </c>
      <c r="U46" s="26">
        <f t="shared" ref="U46:AF46" si="57">IF($R46="Manual","",IFERROR(IF($R46="YOY Growth",$N46*(1+$T46)/12,$S46/12),""))</f>
        <v>0</v>
      </c>
      <c r="V46" s="26">
        <f t="shared" si="57"/>
        <v>0</v>
      </c>
      <c r="W46" s="26">
        <f t="shared" si="57"/>
        <v>0</v>
      </c>
      <c r="X46" s="26">
        <f t="shared" si="57"/>
        <v>0</v>
      </c>
      <c r="Y46" s="26">
        <f t="shared" si="57"/>
        <v>0</v>
      </c>
      <c r="Z46" s="26">
        <f t="shared" si="57"/>
        <v>0</v>
      </c>
      <c r="AA46" s="26">
        <f t="shared" si="57"/>
        <v>0</v>
      </c>
      <c r="AB46" s="26">
        <f t="shared" si="57"/>
        <v>0</v>
      </c>
      <c r="AC46" s="26">
        <f t="shared" si="57"/>
        <v>0</v>
      </c>
      <c r="AD46" s="26">
        <f t="shared" si="57"/>
        <v>0</v>
      </c>
      <c r="AE46" s="26">
        <f t="shared" si="57"/>
        <v>0</v>
      </c>
      <c r="AF46" s="26">
        <f t="shared" si="57"/>
        <v>0</v>
      </c>
      <c r="AG46" s="5">
        <f t="shared" si="54"/>
        <v>0</v>
      </c>
      <c r="AH46" s="28" t="str">
        <f t="shared" si="55"/>
        <v/>
      </c>
      <c r="AI46" s="4"/>
      <c r="AJ46" s="5">
        <f t="shared" si="56"/>
        <v>14820.72</v>
      </c>
    </row>
    <row r="47" ht="13.5" customHeight="1">
      <c r="A47" s="25" t="s">
        <v>72</v>
      </c>
      <c r="B47" s="5">
        <v>245.8</v>
      </c>
      <c r="C47" s="5">
        <v>0.0</v>
      </c>
      <c r="D47" s="5">
        <v>0.0</v>
      </c>
      <c r="E47" s="5">
        <v>21.59</v>
      </c>
      <c r="F47" s="5">
        <v>12.62</v>
      </c>
      <c r="G47" s="5">
        <v>0.0</v>
      </c>
      <c r="H47" s="5">
        <v>0.0</v>
      </c>
      <c r="I47" s="5">
        <v>73.45</v>
      </c>
      <c r="J47" s="27">
        <v>0.0</v>
      </c>
      <c r="K47" s="27">
        <v>0.0</v>
      </c>
      <c r="L47" s="27">
        <v>0.0</v>
      </c>
      <c r="M47" s="27">
        <v>0.0</v>
      </c>
      <c r="N47" s="5">
        <f t="shared" si="51"/>
        <v>353.46</v>
      </c>
      <c r="O47" s="28" t="str">
        <f t="shared" si="52"/>
        <v/>
      </c>
      <c r="P47" s="5"/>
      <c r="Q47" s="5"/>
      <c r="R47" s="29" t="s">
        <v>34</v>
      </c>
      <c r="S47" s="30">
        <v>0.0</v>
      </c>
      <c r="T47" s="31">
        <v>0.05</v>
      </c>
      <c r="U47" s="26">
        <f t="shared" ref="U47:AF47" si="58">IF($R47="Manual","",IFERROR(IF($R47="YOY Growth",$N47*(1+$T47)/12,$S47/12),""))</f>
        <v>0</v>
      </c>
      <c r="V47" s="26">
        <f t="shared" si="58"/>
        <v>0</v>
      </c>
      <c r="W47" s="26">
        <f t="shared" si="58"/>
        <v>0</v>
      </c>
      <c r="X47" s="26">
        <f t="shared" si="58"/>
        <v>0</v>
      </c>
      <c r="Y47" s="26">
        <f t="shared" si="58"/>
        <v>0</v>
      </c>
      <c r="Z47" s="26">
        <f t="shared" si="58"/>
        <v>0</v>
      </c>
      <c r="AA47" s="26">
        <f t="shared" si="58"/>
        <v>0</v>
      </c>
      <c r="AB47" s="26">
        <f t="shared" si="58"/>
        <v>0</v>
      </c>
      <c r="AC47" s="26">
        <f t="shared" si="58"/>
        <v>0</v>
      </c>
      <c r="AD47" s="26">
        <f t="shared" si="58"/>
        <v>0</v>
      </c>
      <c r="AE47" s="26">
        <f t="shared" si="58"/>
        <v>0</v>
      </c>
      <c r="AF47" s="26">
        <f t="shared" si="58"/>
        <v>0</v>
      </c>
      <c r="AG47" s="5">
        <f t="shared" si="54"/>
        <v>0</v>
      </c>
      <c r="AH47" s="28" t="str">
        <f t="shared" si="55"/>
        <v/>
      </c>
      <c r="AI47" s="4"/>
      <c r="AJ47" s="5">
        <f t="shared" si="56"/>
        <v>353.46</v>
      </c>
    </row>
    <row r="48" ht="13.5" customHeight="1">
      <c r="A48" s="25" t="s">
        <v>73</v>
      </c>
      <c r="B48" s="5">
        <v>0.0</v>
      </c>
      <c r="C48" s="5">
        <v>0.0</v>
      </c>
      <c r="D48" s="5">
        <v>0.0</v>
      </c>
      <c r="E48" s="5">
        <v>0.0</v>
      </c>
      <c r="F48" s="5">
        <v>0.0</v>
      </c>
      <c r="G48" s="5">
        <v>0.0</v>
      </c>
      <c r="H48" s="5">
        <v>0.0</v>
      </c>
      <c r="I48" s="5">
        <v>0.0</v>
      </c>
      <c r="J48" s="27">
        <v>0.0</v>
      </c>
      <c r="K48" s="27">
        <v>0.0</v>
      </c>
      <c r="L48" s="27">
        <v>0.0</v>
      </c>
      <c r="M48" s="27">
        <v>0.0</v>
      </c>
      <c r="N48" s="5">
        <f t="shared" si="51"/>
        <v>0</v>
      </c>
      <c r="O48" s="28" t="str">
        <f t="shared" si="52"/>
        <v/>
      </c>
      <c r="P48" s="5"/>
      <c r="Q48" s="5"/>
      <c r="R48" s="29" t="s">
        <v>34</v>
      </c>
      <c r="S48" s="30">
        <v>0.0</v>
      </c>
      <c r="T48" s="31">
        <v>0.05</v>
      </c>
      <c r="U48" s="26">
        <f t="shared" ref="U48:AF48" si="59">IF($R48="Manual","",IFERROR(IF($R48="YOY Growth",$N48*(1+$T48)/12,$S48/12),""))</f>
        <v>0</v>
      </c>
      <c r="V48" s="26">
        <f t="shared" si="59"/>
        <v>0</v>
      </c>
      <c r="W48" s="26">
        <f t="shared" si="59"/>
        <v>0</v>
      </c>
      <c r="X48" s="26">
        <f t="shared" si="59"/>
        <v>0</v>
      </c>
      <c r="Y48" s="26">
        <f t="shared" si="59"/>
        <v>0</v>
      </c>
      <c r="Z48" s="26">
        <f t="shared" si="59"/>
        <v>0</v>
      </c>
      <c r="AA48" s="26">
        <f t="shared" si="59"/>
        <v>0</v>
      </c>
      <c r="AB48" s="26">
        <f t="shared" si="59"/>
        <v>0</v>
      </c>
      <c r="AC48" s="26">
        <f t="shared" si="59"/>
        <v>0</v>
      </c>
      <c r="AD48" s="26">
        <f t="shared" si="59"/>
        <v>0</v>
      </c>
      <c r="AE48" s="26">
        <f t="shared" si="59"/>
        <v>0</v>
      </c>
      <c r="AF48" s="26">
        <f t="shared" si="59"/>
        <v>0</v>
      </c>
      <c r="AG48" s="5">
        <f t="shared" si="54"/>
        <v>0</v>
      </c>
      <c r="AH48" s="28" t="str">
        <f t="shared" si="55"/>
        <v/>
      </c>
      <c r="AI48" s="4"/>
      <c r="AJ48" s="5">
        <f t="shared" si="56"/>
        <v>0</v>
      </c>
    </row>
    <row r="49" ht="13.5" customHeight="1">
      <c r="A49" s="25" t="s">
        <v>74</v>
      </c>
      <c r="B49" s="5">
        <v>60.0</v>
      </c>
      <c r="C49" s="5">
        <v>0.0</v>
      </c>
      <c r="D49" s="5">
        <v>281.44</v>
      </c>
      <c r="E49" s="5">
        <v>302.03</v>
      </c>
      <c r="F49" s="5">
        <v>0.0</v>
      </c>
      <c r="G49" s="5">
        <v>0.0</v>
      </c>
      <c r="H49" s="5">
        <v>0.0</v>
      </c>
      <c r="I49" s="5">
        <v>471.85</v>
      </c>
      <c r="J49" s="27">
        <v>0.0</v>
      </c>
      <c r="K49" s="27">
        <v>0.0</v>
      </c>
      <c r="L49" s="27">
        <v>0.0</v>
      </c>
      <c r="M49" s="27">
        <v>0.0</v>
      </c>
      <c r="N49" s="5">
        <f t="shared" si="51"/>
        <v>1115.32</v>
      </c>
      <c r="O49" s="28" t="str">
        <f t="shared" si="52"/>
        <v/>
      </c>
      <c r="P49" s="5"/>
      <c r="Q49" s="5"/>
      <c r="R49" s="29" t="s">
        <v>34</v>
      </c>
      <c r="S49" s="30">
        <v>0.0</v>
      </c>
      <c r="T49" s="31">
        <v>0.05</v>
      </c>
      <c r="U49" s="26">
        <f t="shared" ref="U49:AF49" si="60">IF($R49="Manual","",IFERROR(IF($R49="YOY Growth",$N49*(1+$T49)/12,$S49/12),""))</f>
        <v>0</v>
      </c>
      <c r="V49" s="26">
        <f t="shared" si="60"/>
        <v>0</v>
      </c>
      <c r="W49" s="26">
        <f t="shared" si="60"/>
        <v>0</v>
      </c>
      <c r="X49" s="26">
        <f t="shared" si="60"/>
        <v>0</v>
      </c>
      <c r="Y49" s="26">
        <f t="shared" si="60"/>
        <v>0</v>
      </c>
      <c r="Z49" s="26">
        <f t="shared" si="60"/>
        <v>0</v>
      </c>
      <c r="AA49" s="26">
        <f t="shared" si="60"/>
        <v>0</v>
      </c>
      <c r="AB49" s="26">
        <f t="shared" si="60"/>
        <v>0</v>
      </c>
      <c r="AC49" s="26">
        <f t="shared" si="60"/>
        <v>0</v>
      </c>
      <c r="AD49" s="26">
        <f t="shared" si="60"/>
        <v>0</v>
      </c>
      <c r="AE49" s="26">
        <f t="shared" si="60"/>
        <v>0</v>
      </c>
      <c r="AF49" s="26">
        <f t="shared" si="60"/>
        <v>0</v>
      </c>
      <c r="AG49" s="5">
        <f t="shared" si="54"/>
        <v>0</v>
      </c>
      <c r="AH49" s="28" t="str">
        <f t="shared" si="55"/>
        <v/>
      </c>
      <c r="AI49" s="4"/>
      <c r="AJ49" s="5">
        <f t="shared" si="56"/>
        <v>1115.32</v>
      </c>
    </row>
    <row r="50" ht="13.5" customHeight="1">
      <c r="A50" s="25" t="s">
        <v>75</v>
      </c>
      <c r="B50" s="5">
        <v>0.0</v>
      </c>
      <c r="C50" s="5">
        <v>0.0</v>
      </c>
      <c r="D50" s="5">
        <v>160.63</v>
      </c>
      <c r="E50" s="5">
        <v>0.0</v>
      </c>
      <c r="F50" s="5">
        <v>0.0</v>
      </c>
      <c r="G50" s="5">
        <v>0.0</v>
      </c>
      <c r="H50" s="5">
        <v>0.0</v>
      </c>
      <c r="I50" s="5">
        <v>0.0</v>
      </c>
      <c r="J50" s="27">
        <v>0.0</v>
      </c>
      <c r="K50" s="27">
        <v>0.0</v>
      </c>
      <c r="L50" s="27">
        <v>0.0</v>
      </c>
      <c r="M50" s="27">
        <v>0.0</v>
      </c>
      <c r="N50" s="5">
        <f t="shared" si="51"/>
        <v>160.63</v>
      </c>
      <c r="O50" s="28" t="str">
        <f t="shared" si="52"/>
        <v/>
      </c>
      <c r="P50" s="5"/>
      <c r="Q50" s="5"/>
      <c r="R50" s="29" t="s">
        <v>34</v>
      </c>
      <c r="S50" s="30">
        <v>0.0</v>
      </c>
      <c r="T50" s="31">
        <v>0.05</v>
      </c>
      <c r="U50" s="26">
        <f t="shared" ref="U50:AF50" si="61">IF($R50="Manual","",IFERROR(IF($R50="YOY Growth",$N50*(1+$T50)/12,$S50/12),""))</f>
        <v>0</v>
      </c>
      <c r="V50" s="26">
        <f t="shared" si="61"/>
        <v>0</v>
      </c>
      <c r="W50" s="26">
        <f t="shared" si="61"/>
        <v>0</v>
      </c>
      <c r="X50" s="26">
        <f t="shared" si="61"/>
        <v>0</v>
      </c>
      <c r="Y50" s="26">
        <f t="shared" si="61"/>
        <v>0</v>
      </c>
      <c r="Z50" s="26">
        <f t="shared" si="61"/>
        <v>0</v>
      </c>
      <c r="AA50" s="26">
        <f t="shared" si="61"/>
        <v>0</v>
      </c>
      <c r="AB50" s="26">
        <f t="shared" si="61"/>
        <v>0</v>
      </c>
      <c r="AC50" s="26">
        <f t="shared" si="61"/>
        <v>0</v>
      </c>
      <c r="AD50" s="26">
        <f t="shared" si="61"/>
        <v>0</v>
      </c>
      <c r="AE50" s="26">
        <f t="shared" si="61"/>
        <v>0</v>
      </c>
      <c r="AF50" s="26">
        <f t="shared" si="61"/>
        <v>0</v>
      </c>
      <c r="AG50" s="5">
        <f t="shared" si="54"/>
        <v>0</v>
      </c>
      <c r="AH50" s="28" t="str">
        <f t="shared" si="55"/>
        <v/>
      </c>
      <c r="AI50" s="4"/>
      <c r="AJ50" s="5">
        <f t="shared" si="56"/>
        <v>160.63</v>
      </c>
    </row>
    <row r="51" ht="13.5" customHeight="1">
      <c r="A51" s="24" t="s">
        <v>76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28"/>
      <c r="P51" s="5"/>
      <c r="Q51" s="5"/>
      <c r="R51" s="36"/>
      <c r="S51" s="36"/>
      <c r="T51" s="36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28"/>
      <c r="AI51" s="4"/>
      <c r="AJ51" s="5"/>
    </row>
    <row r="52" ht="13.5" customHeight="1">
      <c r="A52" s="25" t="s">
        <v>77</v>
      </c>
      <c r="B52" s="5">
        <v>0.0</v>
      </c>
      <c r="C52" s="5">
        <v>0.0</v>
      </c>
      <c r="D52" s="5">
        <v>0.0</v>
      </c>
      <c r="E52" s="5">
        <v>0.0</v>
      </c>
      <c r="F52" s="5">
        <v>0.0</v>
      </c>
      <c r="G52" s="5">
        <v>0.0</v>
      </c>
      <c r="H52" s="5">
        <v>0.0</v>
      </c>
      <c r="I52" s="5">
        <v>0.0</v>
      </c>
      <c r="J52" s="27">
        <v>0.0</v>
      </c>
      <c r="K52" s="27">
        <v>0.0</v>
      </c>
      <c r="L52" s="27">
        <v>0.0</v>
      </c>
      <c r="M52" s="27">
        <v>0.0</v>
      </c>
      <c r="N52" s="5">
        <f t="shared" ref="N52:N56" si="62">SUM(B52:M52)</f>
        <v>0</v>
      </c>
      <c r="O52" s="28" t="str">
        <f t="shared" ref="O52:O56" si="63">IFERROR(N52/N$16,"")</f>
        <v/>
      </c>
      <c r="P52" s="5"/>
      <c r="Q52" s="5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5">
        <f t="shared" ref="AG52:AG56" si="64">SUM(U52:AF52)</f>
        <v>0</v>
      </c>
      <c r="AH52" s="28" t="str">
        <f t="shared" ref="AH52:AH56" si="65">IFERROR(AG52/AG$16,"")</f>
        <v/>
      </c>
      <c r="AI52" s="4"/>
      <c r="AJ52" s="5">
        <f t="shared" ref="AJ52:AJ56" si="66">N52-AG52</f>
        <v>0</v>
      </c>
    </row>
    <row r="53" ht="13.5" customHeight="1">
      <c r="A53" s="25" t="s">
        <v>78</v>
      </c>
      <c r="B53" s="5">
        <v>0.0</v>
      </c>
      <c r="C53" s="5">
        <v>0.0</v>
      </c>
      <c r="D53" s="5">
        <v>0.0</v>
      </c>
      <c r="E53" s="5">
        <v>0.0</v>
      </c>
      <c r="F53" s="5">
        <v>0.0</v>
      </c>
      <c r="G53" s="5">
        <v>0.0</v>
      </c>
      <c r="H53" s="5">
        <v>0.0</v>
      </c>
      <c r="I53" s="5">
        <v>0.0</v>
      </c>
      <c r="J53" s="27">
        <v>0.0</v>
      </c>
      <c r="K53" s="27">
        <v>0.0</v>
      </c>
      <c r="L53" s="27">
        <v>0.0</v>
      </c>
      <c r="M53" s="27">
        <v>0.0</v>
      </c>
      <c r="N53" s="5">
        <f t="shared" si="62"/>
        <v>0</v>
      </c>
      <c r="O53" s="28" t="str">
        <f t="shared" si="63"/>
        <v/>
      </c>
      <c r="P53" s="5"/>
      <c r="Q53" s="5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5">
        <f t="shared" si="64"/>
        <v>0</v>
      </c>
      <c r="AH53" s="28" t="str">
        <f t="shared" si="65"/>
        <v/>
      </c>
      <c r="AI53" s="4"/>
      <c r="AJ53" s="5">
        <f t="shared" si="66"/>
        <v>0</v>
      </c>
    </row>
    <row r="54" ht="13.5" customHeight="1">
      <c r="A54" s="25" t="s">
        <v>79</v>
      </c>
      <c r="B54" s="5">
        <v>0.0</v>
      </c>
      <c r="C54" s="5">
        <v>0.0</v>
      </c>
      <c r="D54" s="5">
        <v>0.0</v>
      </c>
      <c r="E54" s="5">
        <v>0.0</v>
      </c>
      <c r="F54" s="5">
        <v>0.0</v>
      </c>
      <c r="G54" s="5">
        <v>0.0</v>
      </c>
      <c r="H54" s="5">
        <v>0.0</v>
      </c>
      <c r="I54" s="5">
        <v>0.0</v>
      </c>
      <c r="J54" s="27">
        <v>0.0</v>
      </c>
      <c r="K54" s="27">
        <v>0.0</v>
      </c>
      <c r="L54" s="27">
        <v>0.0</v>
      </c>
      <c r="M54" s="27">
        <v>0.0</v>
      </c>
      <c r="N54" s="5">
        <f t="shared" si="62"/>
        <v>0</v>
      </c>
      <c r="O54" s="28" t="str">
        <f t="shared" si="63"/>
        <v/>
      </c>
      <c r="P54" s="5"/>
      <c r="Q54" s="5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5">
        <f t="shared" si="64"/>
        <v>0</v>
      </c>
      <c r="AH54" s="28" t="str">
        <f t="shared" si="65"/>
        <v/>
      </c>
      <c r="AI54" s="4"/>
      <c r="AJ54" s="5">
        <f t="shared" si="66"/>
        <v>0</v>
      </c>
    </row>
    <row r="55" ht="13.5" customHeight="1">
      <c r="A55" s="33" t="s">
        <v>80</v>
      </c>
      <c r="B55" s="34">
        <f t="shared" ref="B55:M55" si="67">SUM(B52:B54)</f>
        <v>0</v>
      </c>
      <c r="C55" s="34">
        <f t="shared" si="67"/>
        <v>0</v>
      </c>
      <c r="D55" s="34">
        <f t="shared" si="67"/>
        <v>0</v>
      </c>
      <c r="E55" s="34">
        <f t="shared" si="67"/>
        <v>0</v>
      </c>
      <c r="F55" s="34">
        <f t="shared" si="67"/>
        <v>0</v>
      </c>
      <c r="G55" s="34">
        <f t="shared" si="67"/>
        <v>0</v>
      </c>
      <c r="H55" s="34">
        <f t="shared" si="67"/>
        <v>0</v>
      </c>
      <c r="I55" s="34">
        <f t="shared" si="67"/>
        <v>0</v>
      </c>
      <c r="J55" s="34">
        <f t="shared" si="67"/>
        <v>0</v>
      </c>
      <c r="K55" s="34">
        <f t="shared" si="67"/>
        <v>0</v>
      </c>
      <c r="L55" s="34">
        <f t="shared" si="67"/>
        <v>0</v>
      </c>
      <c r="M55" s="34">
        <f t="shared" si="67"/>
        <v>0</v>
      </c>
      <c r="N55" s="34">
        <f t="shared" si="62"/>
        <v>0</v>
      </c>
      <c r="O55" s="35" t="str">
        <f t="shared" si="63"/>
        <v/>
      </c>
      <c r="P55" s="5"/>
      <c r="Q55" s="5"/>
      <c r="R55" s="45"/>
      <c r="S55" s="45"/>
      <c r="T55" s="45"/>
      <c r="U55" s="34">
        <f t="shared" ref="U55:AF55" si="68">SUM(U52:U54)</f>
        <v>0</v>
      </c>
      <c r="V55" s="34">
        <f t="shared" si="68"/>
        <v>0</v>
      </c>
      <c r="W55" s="34">
        <f t="shared" si="68"/>
        <v>0</v>
      </c>
      <c r="X55" s="34">
        <f t="shared" si="68"/>
        <v>0</v>
      </c>
      <c r="Y55" s="34">
        <f t="shared" si="68"/>
        <v>0</v>
      </c>
      <c r="Z55" s="34">
        <f t="shared" si="68"/>
        <v>0</v>
      </c>
      <c r="AA55" s="34">
        <f t="shared" si="68"/>
        <v>0</v>
      </c>
      <c r="AB55" s="34">
        <f t="shared" si="68"/>
        <v>0</v>
      </c>
      <c r="AC55" s="34">
        <f t="shared" si="68"/>
        <v>0</v>
      </c>
      <c r="AD55" s="34">
        <f t="shared" si="68"/>
        <v>0</v>
      </c>
      <c r="AE55" s="34">
        <f t="shared" si="68"/>
        <v>0</v>
      </c>
      <c r="AF55" s="34">
        <f t="shared" si="68"/>
        <v>0</v>
      </c>
      <c r="AG55" s="34">
        <f t="shared" si="64"/>
        <v>0</v>
      </c>
      <c r="AH55" s="35" t="str">
        <f t="shared" si="65"/>
        <v/>
      </c>
      <c r="AI55" s="4"/>
      <c r="AJ55" s="34">
        <f t="shared" si="66"/>
        <v>0</v>
      </c>
    </row>
    <row r="56" ht="13.5" customHeight="1">
      <c r="A56" s="33" t="s">
        <v>81</v>
      </c>
      <c r="B56" s="34">
        <f t="shared" ref="B56:M56" si="69">B44+B45+B46+B47+B48+B49+B50+B55</f>
        <v>2655.18</v>
      </c>
      <c r="C56" s="34">
        <f t="shared" si="69"/>
        <v>1487.15</v>
      </c>
      <c r="D56" s="34">
        <f t="shared" si="69"/>
        <v>1497.63</v>
      </c>
      <c r="E56" s="34">
        <f t="shared" si="69"/>
        <v>361.26</v>
      </c>
      <c r="F56" s="34">
        <f t="shared" si="69"/>
        <v>1957.72</v>
      </c>
      <c r="G56" s="34">
        <f t="shared" si="69"/>
        <v>359.11</v>
      </c>
      <c r="H56" s="34">
        <f t="shared" si="69"/>
        <v>-16.62</v>
      </c>
      <c r="I56" s="34">
        <f t="shared" si="69"/>
        <v>714.87</v>
      </c>
      <c r="J56" s="34">
        <f t="shared" si="69"/>
        <v>1900</v>
      </c>
      <c r="K56" s="34">
        <f t="shared" si="69"/>
        <v>1900</v>
      </c>
      <c r="L56" s="34">
        <f t="shared" si="69"/>
        <v>1900</v>
      </c>
      <c r="M56" s="34">
        <f t="shared" si="69"/>
        <v>1900</v>
      </c>
      <c r="N56" s="34">
        <f t="shared" si="62"/>
        <v>16616.3</v>
      </c>
      <c r="O56" s="35" t="str">
        <f t="shared" si="63"/>
        <v/>
      </c>
      <c r="P56" s="5"/>
      <c r="Q56" s="5"/>
      <c r="R56" s="36"/>
      <c r="S56" s="36"/>
      <c r="T56" s="36"/>
      <c r="U56" s="34">
        <f t="shared" ref="U56:AF56" si="70">U44+U45+U46+U47+U48+U49+U50+U55</f>
        <v>0</v>
      </c>
      <c r="V56" s="34">
        <f t="shared" si="70"/>
        <v>0</v>
      </c>
      <c r="W56" s="34">
        <f t="shared" si="70"/>
        <v>0</v>
      </c>
      <c r="X56" s="34">
        <f t="shared" si="70"/>
        <v>0</v>
      </c>
      <c r="Y56" s="34">
        <f t="shared" si="70"/>
        <v>0</v>
      </c>
      <c r="Z56" s="34">
        <f t="shared" si="70"/>
        <v>0</v>
      </c>
      <c r="AA56" s="34">
        <f t="shared" si="70"/>
        <v>0</v>
      </c>
      <c r="AB56" s="34">
        <f t="shared" si="70"/>
        <v>0</v>
      </c>
      <c r="AC56" s="34">
        <f t="shared" si="70"/>
        <v>0</v>
      </c>
      <c r="AD56" s="34">
        <f t="shared" si="70"/>
        <v>0</v>
      </c>
      <c r="AE56" s="34">
        <f t="shared" si="70"/>
        <v>0</v>
      </c>
      <c r="AF56" s="34">
        <f t="shared" si="70"/>
        <v>0</v>
      </c>
      <c r="AG56" s="34">
        <f t="shared" si="64"/>
        <v>0</v>
      </c>
      <c r="AH56" s="35" t="str">
        <f t="shared" si="65"/>
        <v/>
      </c>
      <c r="AI56" s="4"/>
      <c r="AJ56" s="34">
        <f t="shared" si="66"/>
        <v>16616.3</v>
      </c>
    </row>
    <row r="57" ht="13.5" customHeight="1">
      <c r="A57" s="24" t="s">
        <v>82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28"/>
      <c r="P57" s="5"/>
      <c r="Q57" s="5"/>
      <c r="R57" s="36"/>
      <c r="S57" s="36"/>
      <c r="T57" s="36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28"/>
      <c r="AI57" s="4"/>
      <c r="AJ57" s="5"/>
    </row>
    <row r="58" ht="13.5" customHeight="1">
      <c r="A58" s="25" t="s">
        <v>83</v>
      </c>
      <c r="B58" s="5">
        <v>0.0</v>
      </c>
      <c r="C58" s="5">
        <v>0.0</v>
      </c>
      <c r="D58" s="5">
        <v>0.0</v>
      </c>
      <c r="E58" s="5">
        <v>0.0</v>
      </c>
      <c r="F58" s="5">
        <v>0.0</v>
      </c>
      <c r="G58" s="5">
        <v>0.0</v>
      </c>
      <c r="H58" s="5">
        <v>0.0</v>
      </c>
      <c r="I58" s="5">
        <v>93.99</v>
      </c>
      <c r="J58" s="27">
        <v>0.0</v>
      </c>
      <c r="K58" s="27">
        <v>0.0</v>
      </c>
      <c r="L58" s="27">
        <v>0.0</v>
      </c>
      <c r="M58" s="27">
        <v>0.0</v>
      </c>
      <c r="N58" s="5">
        <f t="shared" ref="N58:N64" si="72">SUM(B58:M58)</f>
        <v>93.99</v>
      </c>
      <c r="O58" s="28" t="str">
        <f t="shared" ref="O58:O64" si="73">IFERROR(N58/N$16,"")</f>
        <v/>
      </c>
      <c r="P58" s="5"/>
      <c r="Q58" s="5"/>
      <c r="R58" s="29" t="s">
        <v>34</v>
      </c>
      <c r="S58" s="30">
        <v>0.0</v>
      </c>
      <c r="T58" s="31">
        <v>0.05</v>
      </c>
      <c r="U58" s="26">
        <f t="shared" ref="U58:AF58" si="71">IF($R58="Manual","",IFERROR(IF($R58="YOY Growth",$N58*(1+$T58)/12,$S58/12),""))</f>
        <v>0</v>
      </c>
      <c r="V58" s="26">
        <f t="shared" si="71"/>
        <v>0</v>
      </c>
      <c r="W58" s="26">
        <f t="shared" si="71"/>
        <v>0</v>
      </c>
      <c r="X58" s="26">
        <f t="shared" si="71"/>
        <v>0</v>
      </c>
      <c r="Y58" s="26">
        <f t="shared" si="71"/>
        <v>0</v>
      </c>
      <c r="Z58" s="26">
        <f t="shared" si="71"/>
        <v>0</v>
      </c>
      <c r="AA58" s="26">
        <f t="shared" si="71"/>
        <v>0</v>
      </c>
      <c r="AB58" s="26">
        <f t="shared" si="71"/>
        <v>0</v>
      </c>
      <c r="AC58" s="26">
        <f t="shared" si="71"/>
        <v>0</v>
      </c>
      <c r="AD58" s="26">
        <f t="shared" si="71"/>
        <v>0</v>
      </c>
      <c r="AE58" s="26">
        <f t="shared" si="71"/>
        <v>0</v>
      </c>
      <c r="AF58" s="26">
        <f t="shared" si="71"/>
        <v>0</v>
      </c>
      <c r="AG58" s="5">
        <f t="shared" ref="AG58:AG64" si="75">SUM(U58:AF58)</f>
        <v>0</v>
      </c>
      <c r="AH58" s="28" t="str">
        <f t="shared" ref="AH58:AH64" si="76">IFERROR(AG58/AG$16,"")</f>
        <v/>
      </c>
      <c r="AI58" s="4"/>
      <c r="AJ58" s="5">
        <f t="shared" ref="AJ58:AJ63" si="77">N58-AG58</f>
        <v>93.99</v>
      </c>
    </row>
    <row r="59" ht="13.5" customHeight="1">
      <c r="A59" s="25" t="s">
        <v>84</v>
      </c>
      <c r="B59" s="5">
        <v>65.0</v>
      </c>
      <c r="C59" s="5">
        <v>0.0</v>
      </c>
      <c r="D59" s="5">
        <v>0.0</v>
      </c>
      <c r="E59" s="5">
        <v>0.0</v>
      </c>
      <c r="F59" s="5">
        <v>0.0</v>
      </c>
      <c r="G59" s="5">
        <v>0.0</v>
      </c>
      <c r="H59" s="5">
        <v>0.0</v>
      </c>
      <c r="I59" s="5">
        <v>0.0</v>
      </c>
      <c r="J59" s="27">
        <v>0.0</v>
      </c>
      <c r="K59" s="27">
        <v>0.0</v>
      </c>
      <c r="L59" s="27">
        <v>0.0</v>
      </c>
      <c r="M59" s="27">
        <v>0.0</v>
      </c>
      <c r="N59" s="5">
        <f t="shared" si="72"/>
        <v>65</v>
      </c>
      <c r="O59" s="28" t="str">
        <f t="shared" si="73"/>
        <v/>
      </c>
      <c r="P59" s="5"/>
      <c r="Q59" s="5"/>
      <c r="R59" s="29" t="s">
        <v>34</v>
      </c>
      <c r="S59" s="30">
        <v>0.0</v>
      </c>
      <c r="T59" s="31">
        <v>0.05</v>
      </c>
      <c r="U59" s="26">
        <f t="shared" ref="U59:AF59" si="74">IF($R59="Manual","",IFERROR(IF($R59="YOY Growth",$N59*(1+$T59)/12,$S59/12),""))</f>
        <v>0</v>
      </c>
      <c r="V59" s="26">
        <f t="shared" si="74"/>
        <v>0</v>
      </c>
      <c r="W59" s="26">
        <f t="shared" si="74"/>
        <v>0</v>
      </c>
      <c r="X59" s="26">
        <f t="shared" si="74"/>
        <v>0</v>
      </c>
      <c r="Y59" s="26">
        <f t="shared" si="74"/>
        <v>0</v>
      </c>
      <c r="Z59" s="26">
        <f t="shared" si="74"/>
        <v>0</v>
      </c>
      <c r="AA59" s="26">
        <f t="shared" si="74"/>
        <v>0</v>
      </c>
      <c r="AB59" s="26">
        <f t="shared" si="74"/>
        <v>0</v>
      </c>
      <c r="AC59" s="26">
        <f t="shared" si="74"/>
        <v>0</v>
      </c>
      <c r="AD59" s="26">
        <f t="shared" si="74"/>
        <v>0</v>
      </c>
      <c r="AE59" s="26">
        <f t="shared" si="74"/>
        <v>0</v>
      </c>
      <c r="AF59" s="26">
        <f t="shared" si="74"/>
        <v>0</v>
      </c>
      <c r="AG59" s="5">
        <f t="shared" si="75"/>
        <v>0</v>
      </c>
      <c r="AH59" s="28" t="str">
        <f t="shared" si="76"/>
        <v/>
      </c>
      <c r="AI59" s="4"/>
      <c r="AJ59" s="5">
        <f t="shared" si="77"/>
        <v>65</v>
      </c>
    </row>
    <row r="60" ht="13.5" customHeight="1">
      <c r="A60" s="25" t="s">
        <v>85</v>
      </c>
      <c r="B60" s="5">
        <v>0.0</v>
      </c>
      <c r="C60" s="5">
        <v>0.0</v>
      </c>
      <c r="D60" s="5">
        <v>0.0</v>
      </c>
      <c r="E60" s="5">
        <v>0.0</v>
      </c>
      <c r="F60" s="5">
        <v>0.0</v>
      </c>
      <c r="G60" s="5">
        <v>0.0</v>
      </c>
      <c r="H60" s="5">
        <v>0.0</v>
      </c>
      <c r="I60" s="5">
        <v>0.0</v>
      </c>
      <c r="J60" s="27">
        <v>0.0</v>
      </c>
      <c r="K60" s="27">
        <v>0.0</v>
      </c>
      <c r="L60" s="27">
        <v>0.0</v>
      </c>
      <c r="M60" s="27">
        <v>0.0</v>
      </c>
      <c r="N60" s="5">
        <f t="shared" si="72"/>
        <v>0</v>
      </c>
      <c r="O60" s="28" t="str">
        <f t="shared" si="73"/>
        <v/>
      </c>
      <c r="P60" s="5"/>
      <c r="Q60" s="5"/>
      <c r="R60" s="29" t="s">
        <v>34</v>
      </c>
      <c r="S60" s="30">
        <v>0.0</v>
      </c>
      <c r="T60" s="31">
        <v>0.05</v>
      </c>
      <c r="U60" s="26">
        <f t="shared" ref="U60:AF60" si="78">IF($R60="Manual","",IFERROR(IF($R60="YOY Growth",$N60*(1+$T60)/12,$S60/12),""))</f>
        <v>0</v>
      </c>
      <c r="V60" s="26">
        <f t="shared" si="78"/>
        <v>0</v>
      </c>
      <c r="W60" s="26">
        <f t="shared" si="78"/>
        <v>0</v>
      </c>
      <c r="X60" s="26">
        <f t="shared" si="78"/>
        <v>0</v>
      </c>
      <c r="Y60" s="26">
        <f t="shared" si="78"/>
        <v>0</v>
      </c>
      <c r="Z60" s="26">
        <f t="shared" si="78"/>
        <v>0</v>
      </c>
      <c r="AA60" s="26">
        <f t="shared" si="78"/>
        <v>0</v>
      </c>
      <c r="AB60" s="26">
        <f t="shared" si="78"/>
        <v>0</v>
      </c>
      <c r="AC60" s="26">
        <f t="shared" si="78"/>
        <v>0</v>
      </c>
      <c r="AD60" s="26">
        <f t="shared" si="78"/>
        <v>0</v>
      </c>
      <c r="AE60" s="26">
        <f t="shared" si="78"/>
        <v>0</v>
      </c>
      <c r="AF60" s="26">
        <f t="shared" si="78"/>
        <v>0</v>
      </c>
      <c r="AG60" s="5">
        <f t="shared" si="75"/>
        <v>0</v>
      </c>
      <c r="AH60" s="28" t="str">
        <f t="shared" si="76"/>
        <v/>
      </c>
      <c r="AI60" s="4"/>
      <c r="AJ60" s="5">
        <f t="shared" si="77"/>
        <v>0</v>
      </c>
    </row>
    <row r="61" ht="13.5" customHeight="1">
      <c r="A61" s="33" t="s">
        <v>86</v>
      </c>
      <c r="B61" s="46">
        <f t="shared" ref="B61:M61" si="79">SUM(B58:B60)</f>
        <v>65</v>
      </c>
      <c r="C61" s="46">
        <f t="shared" si="79"/>
        <v>0</v>
      </c>
      <c r="D61" s="46">
        <f t="shared" si="79"/>
        <v>0</v>
      </c>
      <c r="E61" s="46">
        <f t="shared" si="79"/>
        <v>0</v>
      </c>
      <c r="F61" s="46">
        <f t="shared" si="79"/>
        <v>0</v>
      </c>
      <c r="G61" s="46">
        <f t="shared" si="79"/>
        <v>0</v>
      </c>
      <c r="H61" s="46">
        <f t="shared" si="79"/>
        <v>0</v>
      </c>
      <c r="I61" s="46">
        <f t="shared" si="79"/>
        <v>93.99</v>
      </c>
      <c r="J61" s="46">
        <f t="shared" si="79"/>
        <v>0</v>
      </c>
      <c r="K61" s="46">
        <f t="shared" si="79"/>
        <v>0</v>
      </c>
      <c r="L61" s="46">
        <f t="shared" si="79"/>
        <v>0</v>
      </c>
      <c r="M61" s="46">
        <f t="shared" si="79"/>
        <v>0</v>
      </c>
      <c r="N61" s="46">
        <f t="shared" si="72"/>
        <v>158.99</v>
      </c>
      <c r="O61" s="47" t="str">
        <f t="shared" si="73"/>
        <v/>
      </c>
      <c r="P61" s="5"/>
      <c r="Q61" s="5"/>
      <c r="R61" s="36"/>
      <c r="S61" s="36"/>
      <c r="T61" s="36"/>
      <c r="U61" s="46">
        <f t="shared" ref="U61:AF61" si="80">SUM(U58:U60)</f>
        <v>0</v>
      </c>
      <c r="V61" s="46">
        <f t="shared" si="80"/>
        <v>0</v>
      </c>
      <c r="W61" s="46">
        <f t="shared" si="80"/>
        <v>0</v>
      </c>
      <c r="X61" s="46">
        <f t="shared" si="80"/>
        <v>0</v>
      </c>
      <c r="Y61" s="46">
        <f t="shared" si="80"/>
        <v>0</v>
      </c>
      <c r="Z61" s="46">
        <f t="shared" si="80"/>
        <v>0</v>
      </c>
      <c r="AA61" s="46">
        <f t="shared" si="80"/>
        <v>0</v>
      </c>
      <c r="AB61" s="46">
        <f t="shared" si="80"/>
        <v>0</v>
      </c>
      <c r="AC61" s="46">
        <f t="shared" si="80"/>
        <v>0</v>
      </c>
      <c r="AD61" s="46">
        <f t="shared" si="80"/>
        <v>0</v>
      </c>
      <c r="AE61" s="46">
        <f t="shared" si="80"/>
        <v>0</v>
      </c>
      <c r="AF61" s="46">
        <f t="shared" si="80"/>
        <v>0</v>
      </c>
      <c r="AG61" s="46">
        <f t="shared" si="75"/>
        <v>0</v>
      </c>
      <c r="AH61" s="47" t="str">
        <f t="shared" si="76"/>
        <v/>
      </c>
      <c r="AI61" s="4"/>
      <c r="AJ61" s="34">
        <f t="shared" si="77"/>
        <v>158.99</v>
      </c>
    </row>
    <row r="62" ht="13.5" customHeight="1">
      <c r="A62" s="48" t="s">
        <v>87</v>
      </c>
      <c r="B62" s="5">
        <v>0.0</v>
      </c>
      <c r="C62" s="5">
        <v>0.0</v>
      </c>
      <c r="D62" s="5">
        <v>0.0</v>
      </c>
      <c r="E62" s="5">
        <v>0.0</v>
      </c>
      <c r="F62" s="5">
        <v>0.0</v>
      </c>
      <c r="G62" s="5">
        <v>0.0</v>
      </c>
      <c r="H62" s="5">
        <v>0.0</v>
      </c>
      <c r="I62" s="5">
        <v>0.0</v>
      </c>
      <c r="J62" s="27">
        <v>0.0</v>
      </c>
      <c r="K62" s="27">
        <v>0.0</v>
      </c>
      <c r="L62" s="27">
        <v>0.0</v>
      </c>
      <c r="M62" s="27">
        <v>0.0</v>
      </c>
      <c r="N62" s="5">
        <f t="shared" si="72"/>
        <v>0</v>
      </c>
      <c r="O62" s="28" t="str">
        <f t="shared" si="73"/>
        <v/>
      </c>
      <c r="P62" s="5"/>
      <c r="Q62" s="5"/>
      <c r="R62" s="29" t="s">
        <v>34</v>
      </c>
      <c r="S62" s="30">
        <v>0.0</v>
      </c>
      <c r="T62" s="31">
        <v>0.05</v>
      </c>
      <c r="U62" s="26">
        <f t="shared" ref="U62:AF62" si="81">IF($R62="Manual","",IFERROR(IF($R62="YOY Growth",$N62*(1+$T62)/12,$S62/12),""))</f>
        <v>0</v>
      </c>
      <c r="V62" s="26">
        <f t="shared" si="81"/>
        <v>0</v>
      </c>
      <c r="W62" s="26">
        <f t="shared" si="81"/>
        <v>0</v>
      </c>
      <c r="X62" s="26">
        <f t="shared" si="81"/>
        <v>0</v>
      </c>
      <c r="Y62" s="26">
        <f t="shared" si="81"/>
        <v>0</v>
      </c>
      <c r="Z62" s="26">
        <f t="shared" si="81"/>
        <v>0</v>
      </c>
      <c r="AA62" s="26">
        <f t="shared" si="81"/>
        <v>0</v>
      </c>
      <c r="AB62" s="26">
        <f t="shared" si="81"/>
        <v>0</v>
      </c>
      <c r="AC62" s="26">
        <f t="shared" si="81"/>
        <v>0</v>
      </c>
      <c r="AD62" s="26">
        <f t="shared" si="81"/>
        <v>0</v>
      </c>
      <c r="AE62" s="26">
        <f t="shared" si="81"/>
        <v>0</v>
      </c>
      <c r="AF62" s="26">
        <f t="shared" si="81"/>
        <v>0</v>
      </c>
      <c r="AG62" s="5">
        <f t="shared" si="75"/>
        <v>0</v>
      </c>
      <c r="AH62" s="28" t="str">
        <f t="shared" si="76"/>
        <v/>
      </c>
      <c r="AI62" s="4"/>
      <c r="AJ62" s="5">
        <f t="shared" si="77"/>
        <v>0</v>
      </c>
    </row>
    <row r="63" ht="13.5" customHeight="1">
      <c r="A63" s="33" t="s">
        <v>88</v>
      </c>
      <c r="B63" s="34">
        <f t="shared" ref="B63:M63" si="82">B37+B38+B39+B40+B41+B42+B56+B61+B62</f>
        <v>9555.22</v>
      </c>
      <c r="C63" s="34">
        <f t="shared" si="82"/>
        <v>5166.38</v>
      </c>
      <c r="D63" s="34">
        <f t="shared" si="82"/>
        <v>8893.04</v>
      </c>
      <c r="E63" s="34">
        <f t="shared" si="82"/>
        <v>6751.93</v>
      </c>
      <c r="F63" s="34">
        <f t="shared" si="82"/>
        <v>16983.8</v>
      </c>
      <c r="G63" s="34">
        <f t="shared" si="82"/>
        <v>3533</v>
      </c>
      <c r="H63" s="34">
        <f t="shared" si="82"/>
        <v>3822.76</v>
      </c>
      <c r="I63" s="34">
        <f t="shared" si="82"/>
        <v>7082.7</v>
      </c>
      <c r="J63" s="34">
        <f t="shared" si="82"/>
        <v>16300</v>
      </c>
      <c r="K63" s="34">
        <f t="shared" si="82"/>
        <v>16300</v>
      </c>
      <c r="L63" s="34">
        <f t="shared" si="82"/>
        <v>11900</v>
      </c>
      <c r="M63" s="34">
        <f t="shared" si="82"/>
        <v>9700</v>
      </c>
      <c r="N63" s="34">
        <f t="shared" si="72"/>
        <v>115988.83</v>
      </c>
      <c r="O63" s="35" t="str">
        <f t="shared" si="73"/>
        <v/>
      </c>
      <c r="P63" s="5"/>
      <c r="Q63" s="5"/>
      <c r="R63" s="36"/>
      <c r="S63" s="36"/>
      <c r="T63" s="36"/>
      <c r="U63" s="34">
        <f t="shared" ref="U63:AF63" si="83">U37+U38+U39+U40+U41+U42+U56+U61+U62</f>
        <v>0</v>
      </c>
      <c r="V63" s="34">
        <f t="shared" si="83"/>
        <v>0</v>
      </c>
      <c r="W63" s="34">
        <f t="shared" si="83"/>
        <v>0</v>
      </c>
      <c r="X63" s="34">
        <f t="shared" si="83"/>
        <v>0</v>
      </c>
      <c r="Y63" s="34">
        <f t="shared" si="83"/>
        <v>0</v>
      </c>
      <c r="Z63" s="34">
        <f t="shared" si="83"/>
        <v>0</v>
      </c>
      <c r="AA63" s="34">
        <f t="shared" si="83"/>
        <v>0</v>
      </c>
      <c r="AB63" s="34">
        <f t="shared" si="83"/>
        <v>0</v>
      </c>
      <c r="AC63" s="34">
        <f t="shared" si="83"/>
        <v>0</v>
      </c>
      <c r="AD63" s="34">
        <f t="shared" si="83"/>
        <v>0</v>
      </c>
      <c r="AE63" s="34">
        <f t="shared" si="83"/>
        <v>0</v>
      </c>
      <c r="AF63" s="34">
        <f t="shared" si="83"/>
        <v>0</v>
      </c>
      <c r="AG63" s="34">
        <f t="shared" si="75"/>
        <v>0</v>
      </c>
      <c r="AH63" s="35" t="str">
        <f t="shared" si="76"/>
        <v/>
      </c>
      <c r="AI63" s="4"/>
      <c r="AJ63" s="34">
        <f t="shared" si="77"/>
        <v>115988.83</v>
      </c>
    </row>
    <row r="64" ht="13.5" customHeight="1">
      <c r="A64" s="49" t="s">
        <v>89</v>
      </c>
      <c r="B64" s="34">
        <f t="shared" ref="B64:M64" si="84">B16-B63</f>
        <v>-9555.22</v>
      </c>
      <c r="C64" s="34">
        <f t="shared" si="84"/>
        <v>-5166.38</v>
      </c>
      <c r="D64" s="34">
        <f t="shared" si="84"/>
        <v>-8893.04</v>
      </c>
      <c r="E64" s="34">
        <f t="shared" si="84"/>
        <v>-6751.93</v>
      </c>
      <c r="F64" s="34">
        <f t="shared" si="84"/>
        <v>-16983.8</v>
      </c>
      <c r="G64" s="34">
        <f t="shared" si="84"/>
        <v>-3533</v>
      </c>
      <c r="H64" s="34">
        <f t="shared" si="84"/>
        <v>-3822.76</v>
      </c>
      <c r="I64" s="34">
        <f t="shared" si="84"/>
        <v>-7082.7</v>
      </c>
      <c r="J64" s="34">
        <f t="shared" si="84"/>
        <v>-16300</v>
      </c>
      <c r="K64" s="34">
        <f t="shared" si="84"/>
        <v>-16300</v>
      </c>
      <c r="L64" s="34">
        <f t="shared" si="84"/>
        <v>-11900</v>
      </c>
      <c r="M64" s="34">
        <f t="shared" si="84"/>
        <v>-9700</v>
      </c>
      <c r="N64" s="34">
        <f t="shared" si="72"/>
        <v>-115988.83</v>
      </c>
      <c r="O64" s="35" t="str">
        <f t="shared" si="73"/>
        <v/>
      </c>
      <c r="P64" s="5"/>
      <c r="Q64" s="5"/>
      <c r="R64" s="36"/>
      <c r="S64" s="36"/>
      <c r="T64" s="36"/>
      <c r="U64" s="34">
        <f t="shared" ref="U64:AF64" si="85">U16-U63</f>
        <v>0</v>
      </c>
      <c r="V64" s="34">
        <f t="shared" si="85"/>
        <v>0</v>
      </c>
      <c r="W64" s="34">
        <f t="shared" si="85"/>
        <v>0</v>
      </c>
      <c r="X64" s="34">
        <f t="shared" si="85"/>
        <v>0</v>
      </c>
      <c r="Y64" s="34">
        <f t="shared" si="85"/>
        <v>0</v>
      </c>
      <c r="Z64" s="34">
        <f t="shared" si="85"/>
        <v>0</v>
      </c>
      <c r="AA64" s="34">
        <f t="shared" si="85"/>
        <v>0</v>
      </c>
      <c r="AB64" s="34">
        <f t="shared" si="85"/>
        <v>0</v>
      </c>
      <c r="AC64" s="34">
        <f t="shared" si="85"/>
        <v>0</v>
      </c>
      <c r="AD64" s="34">
        <f t="shared" si="85"/>
        <v>0</v>
      </c>
      <c r="AE64" s="34">
        <f t="shared" si="85"/>
        <v>0</v>
      </c>
      <c r="AF64" s="34">
        <f t="shared" si="85"/>
        <v>0</v>
      </c>
      <c r="AG64" s="34">
        <f t="shared" si="75"/>
        <v>0</v>
      </c>
      <c r="AH64" s="35" t="str">
        <f t="shared" si="76"/>
        <v/>
      </c>
      <c r="AI64" s="4"/>
      <c r="AJ64" s="34">
        <f>AG64-N64</f>
        <v>115988.83</v>
      </c>
    </row>
    <row r="65" ht="13.5" customHeight="1">
      <c r="A65" s="24" t="s">
        <v>90</v>
      </c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5"/>
      <c r="Q65" s="5"/>
      <c r="R65" s="36"/>
      <c r="S65" s="36"/>
      <c r="T65" s="36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4"/>
      <c r="AJ65" s="28"/>
    </row>
    <row r="66" ht="13.5" customHeight="1">
      <c r="A66" s="24" t="s">
        <v>91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28"/>
      <c r="P66" s="5"/>
      <c r="Q66" s="5"/>
      <c r="R66" s="36"/>
      <c r="S66" s="36"/>
      <c r="T66" s="36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28"/>
      <c r="AI66" s="4"/>
      <c r="AJ66" s="5"/>
    </row>
    <row r="67" ht="13.5" customHeight="1">
      <c r="A67" s="25" t="s">
        <v>92</v>
      </c>
      <c r="B67" s="5">
        <v>38333.32</v>
      </c>
      <c r="C67" s="5">
        <v>27897.23</v>
      </c>
      <c r="D67" s="5">
        <v>38333.32</v>
      </c>
      <c r="E67" s="5">
        <v>48324.65</v>
      </c>
      <c r="F67" s="5">
        <v>69698.22</v>
      </c>
      <c r="G67" s="5">
        <v>57128.18</v>
      </c>
      <c r="H67" s="5">
        <v>57596.54</v>
      </c>
      <c r="I67" s="5">
        <v>62503.19</v>
      </c>
      <c r="J67" s="27">
        <v>97900.0</v>
      </c>
      <c r="K67" s="27">
        <v>116100.0</v>
      </c>
      <c r="L67" s="27">
        <v>118400.0</v>
      </c>
      <c r="M67" s="27">
        <v>118400.0</v>
      </c>
      <c r="N67" s="5">
        <f t="shared" ref="N67:N80" si="86">SUM(B67:M67)</f>
        <v>850614.65</v>
      </c>
      <c r="O67" s="28" t="str">
        <f t="shared" ref="O67:O80" si="87">IFERROR(N67/N$16,"")</f>
        <v/>
      </c>
      <c r="P67" s="5"/>
      <c r="Q67" s="5"/>
      <c r="R67" s="50"/>
      <c r="S67" s="50"/>
      <c r="T67" s="50"/>
      <c r="U67" s="50">
        <v>55889.25</v>
      </c>
      <c r="V67" s="50">
        <v>55889.25</v>
      </c>
      <c r="W67" s="50">
        <v>55889.25</v>
      </c>
      <c r="X67" s="50">
        <v>55889.25</v>
      </c>
      <c r="Y67" s="50">
        <v>55889.25</v>
      </c>
      <c r="Z67" s="50">
        <v>55889.25</v>
      </c>
      <c r="AA67" s="50">
        <v>55889.25</v>
      </c>
      <c r="AB67" s="50">
        <v>55889.25</v>
      </c>
      <c r="AC67" s="50">
        <v>55889.25</v>
      </c>
      <c r="AD67" s="50">
        <v>57565.9275</v>
      </c>
      <c r="AE67" s="50">
        <v>57565.9275</v>
      </c>
      <c r="AF67" s="50">
        <v>57565.9275</v>
      </c>
      <c r="AG67" s="5">
        <f t="shared" ref="AG67:AG80" si="88">SUM(U67:AF67)</f>
        <v>675701.0325</v>
      </c>
      <c r="AH67" s="28" t="str">
        <f t="shared" ref="AH67:AH80" si="89">IFERROR(AG67/AG$16,"")</f>
        <v/>
      </c>
      <c r="AI67" s="4"/>
      <c r="AJ67" s="5">
        <f t="shared" ref="AJ67:AJ80" si="90">N67-AG67</f>
        <v>174913.6175</v>
      </c>
    </row>
    <row r="68" ht="13.5" customHeight="1">
      <c r="A68" s="25" t="s">
        <v>93</v>
      </c>
      <c r="B68" s="5">
        <v>2025.41</v>
      </c>
      <c r="C68" s="5">
        <v>6652.05</v>
      </c>
      <c r="D68" s="5">
        <v>1617.41</v>
      </c>
      <c r="E68" s="5">
        <v>1966.43</v>
      </c>
      <c r="F68" s="5">
        <v>2481.03</v>
      </c>
      <c r="G68" s="5">
        <v>1978.27</v>
      </c>
      <c r="H68" s="5">
        <v>1940.51</v>
      </c>
      <c r="I68" s="5">
        <v>3746.33</v>
      </c>
      <c r="J68" s="27">
        <v>3916.0</v>
      </c>
      <c r="K68" s="27">
        <v>4644.0</v>
      </c>
      <c r="L68" s="27">
        <v>4736.0</v>
      </c>
      <c r="M68" s="27">
        <v>4736.0</v>
      </c>
      <c r="N68" s="5">
        <f t="shared" si="86"/>
        <v>40439.44</v>
      </c>
      <c r="O68" s="28" t="str">
        <f t="shared" si="87"/>
        <v/>
      </c>
      <c r="P68" s="5"/>
      <c r="Q68" s="5"/>
      <c r="R68" s="50"/>
      <c r="S68" s="50"/>
      <c r="T68" s="50"/>
      <c r="U68" s="50">
        <v>2274.249226378256</v>
      </c>
      <c r="V68" s="50">
        <v>2274.249226378256</v>
      </c>
      <c r="W68" s="50">
        <v>2274.249226378256</v>
      </c>
      <c r="X68" s="50">
        <v>2274.249226378256</v>
      </c>
      <c r="Y68" s="50">
        <v>2274.249226378256</v>
      </c>
      <c r="Z68" s="50">
        <v>2274.249226378256</v>
      </c>
      <c r="AA68" s="50">
        <v>2274.249226378256</v>
      </c>
      <c r="AB68" s="50">
        <v>2274.249226378256</v>
      </c>
      <c r="AC68" s="50">
        <v>2274.249226378256</v>
      </c>
      <c r="AD68" s="50">
        <v>2342.4767031696038</v>
      </c>
      <c r="AE68" s="50">
        <v>2342.4767031696038</v>
      </c>
      <c r="AF68" s="50">
        <v>2342.4767031696038</v>
      </c>
      <c r="AG68" s="5">
        <f t="shared" si="88"/>
        <v>27495.67315</v>
      </c>
      <c r="AH68" s="28" t="str">
        <f t="shared" si="89"/>
        <v/>
      </c>
      <c r="AI68" s="4"/>
      <c r="AJ68" s="5">
        <f t="shared" si="90"/>
        <v>12943.76685</v>
      </c>
    </row>
    <row r="69" ht="13.5" customHeight="1">
      <c r="A69" s="25" t="s">
        <v>94</v>
      </c>
      <c r="B69" s="5">
        <v>2047.73</v>
      </c>
      <c r="C69" s="5">
        <v>5252.34</v>
      </c>
      <c r="D69" s="5">
        <v>3981.87</v>
      </c>
      <c r="E69" s="5">
        <v>4255.59</v>
      </c>
      <c r="F69" s="5">
        <v>4157.09</v>
      </c>
      <c r="G69" s="5">
        <v>4325.33</v>
      </c>
      <c r="H69" s="5">
        <v>3959.5</v>
      </c>
      <c r="I69" s="5">
        <v>3814.97</v>
      </c>
      <c r="J69" s="27">
        <v>10573.0</v>
      </c>
      <c r="K69" s="27">
        <v>12539.0</v>
      </c>
      <c r="L69" s="27">
        <v>12787.0</v>
      </c>
      <c r="M69" s="27">
        <v>12787.0</v>
      </c>
      <c r="N69" s="5">
        <f t="shared" si="86"/>
        <v>80480.42</v>
      </c>
      <c r="O69" s="28" t="str">
        <f t="shared" si="87"/>
        <v/>
      </c>
      <c r="P69" s="5"/>
      <c r="Q69" s="5"/>
      <c r="R69" s="50"/>
      <c r="S69" s="50"/>
      <c r="T69" s="50"/>
      <c r="U69" s="50">
        <v>4036.8294100173885</v>
      </c>
      <c r="V69" s="50">
        <v>4036.8294100173885</v>
      </c>
      <c r="W69" s="50">
        <v>4036.8294100173885</v>
      </c>
      <c r="X69" s="50">
        <v>4036.8294100173885</v>
      </c>
      <c r="Y69" s="50">
        <v>4036.8294100173885</v>
      </c>
      <c r="Z69" s="50">
        <v>4036.8294100173885</v>
      </c>
      <c r="AA69" s="50">
        <v>4036.8294100173885</v>
      </c>
      <c r="AB69" s="50">
        <v>4036.8294100173885</v>
      </c>
      <c r="AC69" s="50">
        <v>4036.8294100173885</v>
      </c>
      <c r="AD69" s="50">
        <v>4157.93429231791</v>
      </c>
      <c r="AE69" s="50">
        <v>4157.93429231791</v>
      </c>
      <c r="AF69" s="50">
        <v>4157.93429231791</v>
      </c>
      <c r="AG69" s="5">
        <f t="shared" si="88"/>
        <v>48805.26757</v>
      </c>
      <c r="AH69" s="28" t="str">
        <f t="shared" si="89"/>
        <v/>
      </c>
      <c r="AI69" s="4"/>
      <c r="AJ69" s="5">
        <f t="shared" si="90"/>
        <v>31675.15243</v>
      </c>
    </row>
    <row r="70" ht="13.5" customHeight="1">
      <c r="A70" s="25" t="s">
        <v>95</v>
      </c>
      <c r="B70" s="5">
        <v>0.0</v>
      </c>
      <c r="C70" s="5">
        <v>0.0</v>
      </c>
      <c r="D70" s="5">
        <v>0.0</v>
      </c>
      <c r="E70" s="5">
        <v>0.0</v>
      </c>
      <c r="F70" s="5">
        <v>0.0</v>
      </c>
      <c r="G70" s="5">
        <v>0.0</v>
      </c>
      <c r="H70" s="5">
        <v>0.0</v>
      </c>
      <c r="I70" s="5">
        <v>0.0</v>
      </c>
      <c r="J70" s="27">
        <v>0.0</v>
      </c>
      <c r="K70" s="27">
        <v>0.0</v>
      </c>
      <c r="L70" s="27">
        <v>0.0</v>
      </c>
      <c r="M70" s="27">
        <v>0.0</v>
      </c>
      <c r="N70" s="5">
        <f t="shared" si="86"/>
        <v>0</v>
      </c>
      <c r="O70" s="28" t="str">
        <f t="shared" si="87"/>
        <v/>
      </c>
      <c r="P70" s="5"/>
      <c r="Q70" s="5"/>
      <c r="R70" s="29" t="s">
        <v>34</v>
      </c>
      <c r="S70" s="30">
        <v>0.0</v>
      </c>
      <c r="T70" s="31">
        <v>0.05</v>
      </c>
      <c r="U70" s="26">
        <f t="shared" ref="U70:AF70" si="91">IF($R70="Manual","",IFERROR(IF($R70="YOY Growth",$N70*(1+$T70)/12,$S70/12),""))</f>
        <v>0</v>
      </c>
      <c r="V70" s="26">
        <f t="shared" si="91"/>
        <v>0</v>
      </c>
      <c r="W70" s="26">
        <f t="shared" si="91"/>
        <v>0</v>
      </c>
      <c r="X70" s="26">
        <f t="shared" si="91"/>
        <v>0</v>
      </c>
      <c r="Y70" s="26">
        <f t="shared" si="91"/>
        <v>0</v>
      </c>
      <c r="Z70" s="26">
        <f t="shared" si="91"/>
        <v>0</v>
      </c>
      <c r="AA70" s="26">
        <f t="shared" si="91"/>
        <v>0</v>
      </c>
      <c r="AB70" s="26">
        <f t="shared" si="91"/>
        <v>0</v>
      </c>
      <c r="AC70" s="26">
        <f t="shared" si="91"/>
        <v>0</v>
      </c>
      <c r="AD70" s="26">
        <f t="shared" si="91"/>
        <v>0</v>
      </c>
      <c r="AE70" s="26">
        <f t="shared" si="91"/>
        <v>0</v>
      </c>
      <c r="AF70" s="26">
        <f t="shared" si="91"/>
        <v>0</v>
      </c>
      <c r="AG70" s="5">
        <f t="shared" si="88"/>
        <v>0</v>
      </c>
      <c r="AH70" s="28" t="str">
        <f t="shared" si="89"/>
        <v/>
      </c>
      <c r="AI70" s="4"/>
      <c r="AJ70" s="5">
        <f t="shared" si="90"/>
        <v>0</v>
      </c>
    </row>
    <row r="71" ht="13.5" customHeight="1">
      <c r="A71" s="25" t="s">
        <v>96</v>
      </c>
      <c r="B71" s="5">
        <v>0.0</v>
      </c>
      <c r="C71" s="5">
        <v>0.0</v>
      </c>
      <c r="D71" s="5">
        <v>0.0</v>
      </c>
      <c r="E71" s="5">
        <v>0.0</v>
      </c>
      <c r="F71" s="5">
        <v>0.0</v>
      </c>
      <c r="G71" s="5">
        <v>0.0</v>
      </c>
      <c r="H71" s="5">
        <v>0.0</v>
      </c>
      <c r="I71" s="5">
        <v>0.0</v>
      </c>
      <c r="J71" s="27">
        <v>0.0</v>
      </c>
      <c r="K71" s="27">
        <v>0.0</v>
      </c>
      <c r="L71" s="27">
        <v>0.0</v>
      </c>
      <c r="M71" s="27">
        <v>0.0</v>
      </c>
      <c r="N71" s="5">
        <f t="shared" si="86"/>
        <v>0</v>
      </c>
      <c r="O71" s="28" t="str">
        <f t="shared" si="87"/>
        <v/>
      </c>
      <c r="P71" s="5"/>
      <c r="Q71" s="5"/>
      <c r="R71" s="29" t="s">
        <v>34</v>
      </c>
      <c r="S71" s="30">
        <v>0.0</v>
      </c>
      <c r="T71" s="31">
        <v>0.05</v>
      </c>
      <c r="U71" s="26">
        <f t="shared" ref="U71:AF71" si="92">IF($R71="Manual","",IFERROR(IF($R71="YOY Growth",$N71*(1+$T71)/12,$S71/12),""))</f>
        <v>0</v>
      </c>
      <c r="V71" s="26">
        <f t="shared" si="92"/>
        <v>0</v>
      </c>
      <c r="W71" s="26">
        <f t="shared" si="92"/>
        <v>0</v>
      </c>
      <c r="X71" s="26">
        <f t="shared" si="92"/>
        <v>0</v>
      </c>
      <c r="Y71" s="26">
        <f t="shared" si="92"/>
        <v>0</v>
      </c>
      <c r="Z71" s="26">
        <f t="shared" si="92"/>
        <v>0</v>
      </c>
      <c r="AA71" s="26">
        <f t="shared" si="92"/>
        <v>0</v>
      </c>
      <c r="AB71" s="26">
        <f t="shared" si="92"/>
        <v>0</v>
      </c>
      <c r="AC71" s="26">
        <f t="shared" si="92"/>
        <v>0</v>
      </c>
      <c r="AD71" s="26">
        <f t="shared" si="92"/>
        <v>0</v>
      </c>
      <c r="AE71" s="26">
        <f t="shared" si="92"/>
        <v>0</v>
      </c>
      <c r="AF71" s="26">
        <f t="shared" si="92"/>
        <v>0</v>
      </c>
      <c r="AG71" s="5">
        <f t="shared" si="88"/>
        <v>0</v>
      </c>
      <c r="AH71" s="28" t="str">
        <f t="shared" si="89"/>
        <v/>
      </c>
      <c r="AI71" s="4"/>
      <c r="AJ71" s="5">
        <f t="shared" si="90"/>
        <v>0</v>
      </c>
    </row>
    <row r="72" ht="13.5" customHeight="1">
      <c r="A72" s="25" t="s">
        <v>97</v>
      </c>
      <c r="B72" s="5">
        <v>0.0</v>
      </c>
      <c r="C72" s="5">
        <v>0.0</v>
      </c>
      <c r="D72" s="5">
        <v>0.0</v>
      </c>
      <c r="E72" s="5">
        <v>0.0</v>
      </c>
      <c r="F72" s="5">
        <v>0.0</v>
      </c>
      <c r="G72" s="5">
        <v>0.0</v>
      </c>
      <c r="H72" s="5">
        <v>0.0</v>
      </c>
      <c r="I72" s="5">
        <v>0.0</v>
      </c>
      <c r="J72" s="27">
        <v>0.0</v>
      </c>
      <c r="K72" s="27">
        <v>0.0</v>
      </c>
      <c r="L72" s="27">
        <v>0.0</v>
      </c>
      <c r="M72" s="27">
        <v>0.0</v>
      </c>
      <c r="N72" s="5">
        <f t="shared" si="86"/>
        <v>0</v>
      </c>
      <c r="O72" s="28" t="str">
        <f t="shared" si="87"/>
        <v/>
      </c>
      <c r="P72" s="5"/>
      <c r="Q72" s="5"/>
      <c r="R72" s="29" t="s">
        <v>34</v>
      </c>
      <c r="S72" s="30">
        <v>0.0</v>
      </c>
      <c r="T72" s="31">
        <v>0.05</v>
      </c>
      <c r="U72" s="26">
        <f t="shared" ref="U72:AF72" si="93">IF($R72="Manual","",IFERROR(IF($R72="YOY Growth",$N72*(1+$T72)/12,$S72/12),""))</f>
        <v>0</v>
      </c>
      <c r="V72" s="26">
        <f t="shared" si="93"/>
        <v>0</v>
      </c>
      <c r="W72" s="26">
        <f t="shared" si="93"/>
        <v>0</v>
      </c>
      <c r="X72" s="26">
        <f t="shared" si="93"/>
        <v>0</v>
      </c>
      <c r="Y72" s="26">
        <f t="shared" si="93"/>
        <v>0</v>
      </c>
      <c r="Z72" s="26">
        <f t="shared" si="93"/>
        <v>0</v>
      </c>
      <c r="AA72" s="26">
        <f t="shared" si="93"/>
        <v>0</v>
      </c>
      <c r="AB72" s="26">
        <f t="shared" si="93"/>
        <v>0</v>
      </c>
      <c r="AC72" s="26">
        <f t="shared" si="93"/>
        <v>0</v>
      </c>
      <c r="AD72" s="26">
        <f t="shared" si="93"/>
        <v>0</v>
      </c>
      <c r="AE72" s="26">
        <f t="shared" si="93"/>
        <v>0</v>
      </c>
      <c r="AF72" s="26">
        <f t="shared" si="93"/>
        <v>0</v>
      </c>
      <c r="AG72" s="5">
        <f t="shared" si="88"/>
        <v>0</v>
      </c>
      <c r="AH72" s="28" t="str">
        <f t="shared" si="89"/>
        <v/>
      </c>
      <c r="AI72" s="4"/>
      <c r="AJ72" s="5">
        <f t="shared" si="90"/>
        <v>0</v>
      </c>
    </row>
    <row r="73" ht="13.5" customHeight="1">
      <c r="A73" s="33" t="s">
        <v>98</v>
      </c>
      <c r="B73" s="34">
        <f t="shared" ref="B73:M73" si="94">SUM(B67:B72)</f>
        <v>42406.46</v>
      </c>
      <c r="C73" s="34">
        <f t="shared" si="94"/>
        <v>39801.62</v>
      </c>
      <c r="D73" s="34">
        <f t="shared" si="94"/>
        <v>43932.6</v>
      </c>
      <c r="E73" s="34">
        <f t="shared" si="94"/>
        <v>54546.67</v>
      </c>
      <c r="F73" s="34">
        <f t="shared" si="94"/>
        <v>76336.34</v>
      </c>
      <c r="G73" s="34">
        <f t="shared" si="94"/>
        <v>63431.78</v>
      </c>
      <c r="H73" s="34">
        <f t="shared" si="94"/>
        <v>63496.55</v>
      </c>
      <c r="I73" s="34">
        <f t="shared" si="94"/>
        <v>70064.49</v>
      </c>
      <c r="J73" s="34">
        <f t="shared" si="94"/>
        <v>112389</v>
      </c>
      <c r="K73" s="34">
        <f t="shared" si="94"/>
        <v>133283</v>
      </c>
      <c r="L73" s="34">
        <f t="shared" si="94"/>
        <v>135923</v>
      </c>
      <c r="M73" s="34">
        <f t="shared" si="94"/>
        <v>135923</v>
      </c>
      <c r="N73" s="34">
        <f t="shared" si="86"/>
        <v>971534.51</v>
      </c>
      <c r="O73" s="35" t="str">
        <f t="shared" si="87"/>
        <v/>
      </c>
      <c r="P73" s="5"/>
      <c r="Q73" s="5"/>
      <c r="R73" s="36"/>
      <c r="S73" s="36"/>
      <c r="T73" s="36"/>
      <c r="U73" s="34">
        <f t="shared" ref="U73:AF73" si="95">SUM(U67:U72)</f>
        <v>62200.32864</v>
      </c>
      <c r="V73" s="34">
        <f t="shared" si="95"/>
        <v>62200.32864</v>
      </c>
      <c r="W73" s="34">
        <f t="shared" si="95"/>
        <v>62200.32864</v>
      </c>
      <c r="X73" s="34">
        <f t="shared" si="95"/>
        <v>62200.32864</v>
      </c>
      <c r="Y73" s="34">
        <f t="shared" si="95"/>
        <v>62200.32864</v>
      </c>
      <c r="Z73" s="34">
        <f t="shared" si="95"/>
        <v>62200.32864</v>
      </c>
      <c r="AA73" s="34">
        <f t="shared" si="95"/>
        <v>62200.32864</v>
      </c>
      <c r="AB73" s="34">
        <f t="shared" si="95"/>
        <v>62200.32864</v>
      </c>
      <c r="AC73" s="34">
        <f t="shared" si="95"/>
        <v>62200.32864</v>
      </c>
      <c r="AD73" s="34">
        <f t="shared" si="95"/>
        <v>64066.3385</v>
      </c>
      <c r="AE73" s="34">
        <f t="shared" si="95"/>
        <v>64066.3385</v>
      </c>
      <c r="AF73" s="34">
        <f t="shared" si="95"/>
        <v>64066.3385</v>
      </c>
      <c r="AG73" s="34">
        <f t="shared" si="88"/>
        <v>752001.9732</v>
      </c>
      <c r="AH73" s="35" t="str">
        <f t="shared" si="89"/>
        <v/>
      </c>
      <c r="AI73" s="4"/>
      <c r="AJ73" s="34">
        <f t="shared" si="90"/>
        <v>219532.5368</v>
      </c>
    </row>
    <row r="74" ht="13.5" customHeight="1">
      <c r="A74" s="25" t="s">
        <v>99</v>
      </c>
      <c r="B74" s="5">
        <v>0.0</v>
      </c>
      <c r="C74" s="5">
        <v>-773.5</v>
      </c>
      <c r="D74" s="5">
        <v>1130.73</v>
      </c>
      <c r="E74" s="5">
        <v>8303.22</v>
      </c>
      <c r="F74" s="5">
        <v>2747.17</v>
      </c>
      <c r="G74" s="5">
        <v>7608.77</v>
      </c>
      <c r="H74" s="5">
        <v>1346.83</v>
      </c>
      <c r="I74" s="5">
        <v>2646.86</v>
      </c>
      <c r="J74" s="27">
        <v>3000.0</v>
      </c>
      <c r="K74" s="27">
        <v>3000.0</v>
      </c>
      <c r="L74" s="27">
        <v>3000.0</v>
      </c>
      <c r="M74" s="27">
        <v>3000.0</v>
      </c>
      <c r="N74" s="5">
        <f t="shared" si="86"/>
        <v>35010.08</v>
      </c>
      <c r="O74" s="28" t="str">
        <f t="shared" si="87"/>
        <v/>
      </c>
      <c r="P74" s="5"/>
      <c r="Q74" s="5"/>
      <c r="R74" s="29" t="s">
        <v>34</v>
      </c>
      <c r="S74" s="30">
        <v>0.0</v>
      </c>
      <c r="T74" s="31">
        <v>0.05</v>
      </c>
      <c r="U74" s="26">
        <f t="shared" ref="U74:AF74" si="96">IF($R74="Manual","",IFERROR(IF($R74="YOY Growth",$N74*(1+$T74)/12,$S74/12),""))</f>
        <v>0</v>
      </c>
      <c r="V74" s="26">
        <f t="shared" si="96"/>
        <v>0</v>
      </c>
      <c r="W74" s="26">
        <f t="shared" si="96"/>
        <v>0</v>
      </c>
      <c r="X74" s="26">
        <f t="shared" si="96"/>
        <v>0</v>
      </c>
      <c r="Y74" s="26">
        <f t="shared" si="96"/>
        <v>0</v>
      </c>
      <c r="Z74" s="26">
        <f t="shared" si="96"/>
        <v>0</v>
      </c>
      <c r="AA74" s="26">
        <f t="shared" si="96"/>
        <v>0</v>
      </c>
      <c r="AB74" s="26">
        <f t="shared" si="96"/>
        <v>0</v>
      </c>
      <c r="AC74" s="26">
        <f t="shared" si="96"/>
        <v>0</v>
      </c>
      <c r="AD74" s="26">
        <f t="shared" si="96"/>
        <v>0</v>
      </c>
      <c r="AE74" s="26">
        <f t="shared" si="96"/>
        <v>0</v>
      </c>
      <c r="AF74" s="26">
        <f t="shared" si="96"/>
        <v>0</v>
      </c>
      <c r="AG74" s="5">
        <f t="shared" si="88"/>
        <v>0</v>
      </c>
      <c r="AH74" s="28" t="str">
        <f t="shared" si="89"/>
        <v/>
      </c>
      <c r="AI74" s="4"/>
      <c r="AJ74" s="5">
        <f t="shared" si="90"/>
        <v>35010.08</v>
      </c>
    </row>
    <row r="75" ht="13.5" customHeight="1">
      <c r="A75" s="25" t="s">
        <v>100</v>
      </c>
      <c r="B75" s="5">
        <v>12.29</v>
      </c>
      <c r="C75" s="5">
        <v>0.0</v>
      </c>
      <c r="D75" s="5">
        <v>0.0</v>
      </c>
      <c r="E75" s="5">
        <v>2986.15</v>
      </c>
      <c r="F75" s="5">
        <v>0.0</v>
      </c>
      <c r="G75" s="5">
        <v>475.67</v>
      </c>
      <c r="H75" s="5">
        <v>234.79</v>
      </c>
      <c r="I75" s="5">
        <v>0.0</v>
      </c>
      <c r="J75" s="27">
        <v>400.0</v>
      </c>
      <c r="K75" s="27">
        <v>400.0</v>
      </c>
      <c r="L75" s="27">
        <v>400.0</v>
      </c>
      <c r="M75" s="27">
        <v>400.0</v>
      </c>
      <c r="N75" s="5">
        <f t="shared" si="86"/>
        <v>5308.9</v>
      </c>
      <c r="O75" s="28" t="str">
        <f t="shared" si="87"/>
        <v/>
      </c>
      <c r="P75" s="5"/>
      <c r="Q75" s="5"/>
      <c r="R75" s="29" t="s">
        <v>34</v>
      </c>
      <c r="S75" s="30">
        <v>0.0</v>
      </c>
      <c r="T75" s="31">
        <v>0.05</v>
      </c>
      <c r="U75" s="26">
        <f t="shared" ref="U75:AF75" si="97">IF($R75="Manual","",IFERROR(IF($R75="YOY Growth",$N75*(1+$T75)/12,$S75/12),""))</f>
        <v>0</v>
      </c>
      <c r="V75" s="26">
        <f t="shared" si="97"/>
        <v>0</v>
      </c>
      <c r="W75" s="26">
        <f t="shared" si="97"/>
        <v>0</v>
      </c>
      <c r="X75" s="26">
        <f t="shared" si="97"/>
        <v>0</v>
      </c>
      <c r="Y75" s="26">
        <f t="shared" si="97"/>
        <v>0</v>
      </c>
      <c r="Z75" s="26">
        <f t="shared" si="97"/>
        <v>0</v>
      </c>
      <c r="AA75" s="26">
        <f t="shared" si="97"/>
        <v>0</v>
      </c>
      <c r="AB75" s="26">
        <f t="shared" si="97"/>
        <v>0</v>
      </c>
      <c r="AC75" s="26">
        <f t="shared" si="97"/>
        <v>0</v>
      </c>
      <c r="AD75" s="26">
        <f t="shared" si="97"/>
        <v>0</v>
      </c>
      <c r="AE75" s="26">
        <f t="shared" si="97"/>
        <v>0</v>
      </c>
      <c r="AF75" s="26">
        <f t="shared" si="97"/>
        <v>0</v>
      </c>
      <c r="AG75" s="5">
        <f t="shared" si="88"/>
        <v>0</v>
      </c>
      <c r="AH75" s="28" t="str">
        <f t="shared" si="89"/>
        <v/>
      </c>
      <c r="AI75" s="4"/>
      <c r="AJ75" s="5">
        <f t="shared" si="90"/>
        <v>5308.9</v>
      </c>
    </row>
    <row r="76" ht="13.5" customHeight="1">
      <c r="A76" s="25" t="s">
        <v>101</v>
      </c>
      <c r="B76" s="5">
        <v>0.0</v>
      </c>
      <c r="C76" s="5">
        <v>0.0</v>
      </c>
      <c r="D76" s="5">
        <v>0.0</v>
      </c>
      <c r="E76" s="5">
        <v>28.2</v>
      </c>
      <c r="F76" s="5">
        <v>0.0</v>
      </c>
      <c r="G76" s="5">
        <v>0.0</v>
      </c>
      <c r="H76" s="5">
        <v>0.0</v>
      </c>
      <c r="I76" s="5">
        <v>0.0</v>
      </c>
      <c r="J76" s="27">
        <v>0.0</v>
      </c>
      <c r="K76" s="27">
        <v>0.0</v>
      </c>
      <c r="L76" s="27">
        <v>0.0</v>
      </c>
      <c r="M76" s="27">
        <v>0.0</v>
      </c>
      <c r="N76" s="5">
        <f t="shared" si="86"/>
        <v>28.2</v>
      </c>
      <c r="O76" s="28" t="str">
        <f t="shared" si="87"/>
        <v/>
      </c>
      <c r="P76" s="5"/>
      <c r="Q76" s="5"/>
      <c r="R76" s="29" t="s">
        <v>34</v>
      </c>
      <c r="S76" s="30">
        <v>0.0</v>
      </c>
      <c r="T76" s="31">
        <v>0.05</v>
      </c>
      <c r="U76" s="26">
        <f t="shared" ref="U76:AF76" si="98">IF($R76="Manual","",IFERROR(IF($R76="YOY Growth",$N76*(1+$T76)/12,$S76/12),""))</f>
        <v>0</v>
      </c>
      <c r="V76" s="26">
        <f t="shared" si="98"/>
        <v>0</v>
      </c>
      <c r="W76" s="26">
        <f t="shared" si="98"/>
        <v>0</v>
      </c>
      <c r="X76" s="26">
        <f t="shared" si="98"/>
        <v>0</v>
      </c>
      <c r="Y76" s="26">
        <f t="shared" si="98"/>
        <v>0</v>
      </c>
      <c r="Z76" s="26">
        <f t="shared" si="98"/>
        <v>0</v>
      </c>
      <c r="AA76" s="26">
        <f t="shared" si="98"/>
        <v>0</v>
      </c>
      <c r="AB76" s="26">
        <f t="shared" si="98"/>
        <v>0</v>
      </c>
      <c r="AC76" s="26">
        <f t="shared" si="98"/>
        <v>0</v>
      </c>
      <c r="AD76" s="26">
        <f t="shared" si="98"/>
        <v>0</v>
      </c>
      <c r="AE76" s="26">
        <f t="shared" si="98"/>
        <v>0</v>
      </c>
      <c r="AF76" s="26">
        <f t="shared" si="98"/>
        <v>0</v>
      </c>
      <c r="AG76" s="5">
        <f t="shared" si="88"/>
        <v>0</v>
      </c>
      <c r="AH76" s="28" t="str">
        <f t="shared" si="89"/>
        <v/>
      </c>
      <c r="AI76" s="4"/>
      <c r="AJ76" s="5">
        <f t="shared" si="90"/>
        <v>28.2</v>
      </c>
    </row>
    <row r="77" ht="13.5" customHeight="1">
      <c r="A77" s="25" t="s">
        <v>102</v>
      </c>
      <c r="B77" s="5">
        <v>0.0</v>
      </c>
      <c r="C77" s="5">
        <v>0.0</v>
      </c>
      <c r="D77" s="5">
        <v>0.0</v>
      </c>
      <c r="E77" s="5">
        <v>0.0</v>
      </c>
      <c r="F77" s="5">
        <v>0.0</v>
      </c>
      <c r="G77" s="5">
        <v>0.0</v>
      </c>
      <c r="H77" s="5">
        <v>0.0</v>
      </c>
      <c r="I77" s="5">
        <v>0.0</v>
      </c>
      <c r="J77" s="27">
        <v>0.0</v>
      </c>
      <c r="K77" s="27">
        <v>0.0</v>
      </c>
      <c r="L77" s="27">
        <v>0.0</v>
      </c>
      <c r="M77" s="27">
        <v>0.0</v>
      </c>
      <c r="N77" s="5">
        <f t="shared" si="86"/>
        <v>0</v>
      </c>
      <c r="O77" s="28" t="str">
        <f t="shared" si="87"/>
        <v/>
      </c>
      <c r="P77" s="5"/>
      <c r="Q77" s="5"/>
      <c r="R77" s="29" t="s">
        <v>34</v>
      </c>
      <c r="S77" s="30">
        <v>0.0</v>
      </c>
      <c r="T77" s="31">
        <v>0.05</v>
      </c>
      <c r="U77" s="26">
        <f t="shared" ref="U77:AF77" si="99">IF($R77="Manual","",IFERROR(IF($R77="YOY Growth",$N77*(1+$T77)/12,$S77/12),""))</f>
        <v>0</v>
      </c>
      <c r="V77" s="26">
        <f t="shared" si="99"/>
        <v>0</v>
      </c>
      <c r="W77" s="26">
        <f t="shared" si="99"/>
        <v>0</v>
      </c>
      <c r="X77" s="26">
        <f t="shared" si="99"/>
        <v>0</v>
      </c>
      <c r="Y77" s="26">
        <f t="shared" si="99"/>
        <v>0</v>
      </c>
      <c r="Z77" s="26">
        <f t="shared" si="99"/>
        <v>0</v>
      </c>
      <c r="AA77" s="26">
        <f t="shared" si="99"/>
        <v>0</v>
      </c>
      <c r="AB77" s="26">
        <f t="shared" si="99"/>
        <v>0</v>
      </c>
      <c r="AC77" s="26">
        <f t="shared" si="99"/>
        <v>0</v>
      </c>
      <c r="AD77" s="26">
        <f t="shared" si="99"/>
        <v>0</v>
      </c>
      <c r="AE77" s="26">
        <f t="shared" si="99"/>
        <v>0</v>
      </c>
      <c r="AF77" s="26">
        <f t="shared" si="99"/>
        <v>0</v>
      </c>
      <c r="AG77" s="5">
        <f t="shared" si="88"/>
        <v>0</v>
      </c>
      <c r="AH77" s="28" t="str">
        <f t="shared" si="89"/>
        <v/>
      </c>
      <c r="AI77" s="4"/>
      <c r="AJ77" s="5">
        <f t="shared" si="90"/>
        <v>0</v>
      </c>
    </row>
    <row r="78" ht="13.5" customHeight="1">
      <c r="A78" s="25" t="s">
        <v>103</v>
      </c>
      <c r="B78" s="5">
        <v>0.0</v>
      </c>
      <c r="C78" s="5">
        <v>0.0</v>
      </c>
      <c r="D78" s="5">
        <v>0.0</v>
      </c>
      <c r="E78" s="5">
        <v>0.0</v>
      </c>
      <c r="F78" s="5">
        <v>0.0</v>
      </c>
      <c r="G78" s="5">
        <v>0.0</v>
      </c>
      <c r="H78" s="5">
        <v>0.0</v>
      </c>
      <c r="I78" s="5">
        <v>0.0</v>
      </c>
      <c r="J78" s="27">
        <v>0.0</v>
      </c>
      <c r="K78" s="27">
        <v>0.0</v>
      </c>
      <c r="L78" s="27">
        <v>0.0</v>
      </c>
      <c r="M78" s="27">
        <v>0.0</v>
      </c>
      <c r="N78" s="5">
        <f t="shared" si="86"/>
        <v>0</v>
      </c>
      <c r="O78" s="28" t="str">
        <f t="shared" si="87"/>
        <v/>
      </c>
      <c r="P78" s="5"/>
      <c r="Q78" s="5"/>
      <c r="R78" s="29" t="s">
        <v>34</v>
      </c>
      <c r="S78" s="30">
        <v>0.0</v>
      </c>
      <c r="T78" s="31">
        <v>0.05</v>
      </c>
      <c r="U78" s="26">
        <f t="shared" ref="U78:AF78" si="100">IF($R78="Manual","",IFERROR(IF($R78="YOY Growth",$N78*(1+$T78)/12,$S78/12),""))</f>
        <v>0</v>
      </c>
      <c r="V78" s="26">
        <f t="shared" si="100"/>
        <v>0</v>
      </c>
      <c r="W78" s="26">
        <f t="shared" si="100"/>
        <v>0</v>
      </c>
      <c r="X78" s="26">
        <f t="shared" si="100"/>
        <v>0</v>
      </c>
      <c r="Y78" s="26">
        <f t="shared" si="100"/>
        <v>0</v>
      </c>
      <c r="Z78" s="26">
        <f t="shared" si="100"/>
        <v>0</v>
      </c>
      <c r="AA78" s="26">
        <f t="shared" si="100"/>
        <v>0</v>
      </c>
      <c r="AB78" s="26">
        <f t="shared" si="100"/>
        <v>0</v>
      </c>
      <c r="AC78" s="26">
        <f t="shared" si="100"/>
        <v>0</v>
      </c>
      <c r="AD78" s="26">
        <f t="shared" si="100"/>
        <v>0</v>
      </c>
      <c r="AE78" s="26">
        <f t="shared" si="100"/>
        <v>0</v>
      </c>
      <c r="AF78" s="26">
        <f t="shared" si="100"/>
        <v>0</v>
      </c>
      <c r="AG78" s="5">
        <f t="shared" si="88"/>
        <v>0</v>
      </c>
      <c r="AH78" s="28" t="str">
        <f t="shared" si="89"/>
        <v/>
      </c>
      <c r="AI78" s="4"/>
      <c r="AJ78" s="5">
        <f t="shared" si="90"/>
        <v>0</v>
      </c>
    </row>
    <row r="79" ht="13.5" customHeight="1">
      <c r="A79" s="25" t="s">
        <v>104</v>
      </c>
      <c r="B79" s="5">
        <v>0.0</v>
      </c>
      <c r="C79" s="5">
        <v>0.0</v>
      </c>
      <c r="D79" s="5">
        <v>0.0</v>
      </c>
      <c r="E79" s="5">
        <v>2674.33</v>
      </c>
      <c r="F79" s="5">
        <v>0.0</v>
      </c>
      <c r="G79" s="5">
        <v>0.0</v>
      </c>
      <c r="H79" s="5">
        <v>0.0</v>
      </c>
      <c r="I79" s="5">
        <v>0.0</v>
      </c>
      <c r="J79" s="27">
        <v>1000.0</v>
      </c>
      <c r="K79" s="27">
        <v>1000.0</v>
      </c>
      <c r="L79" s="27">
        <v>3000.0</v>
      </c>
      <c r="M79" s="27">
        <v>1000.0</v>
      </c>
      <c r="N79" s="5">
        <f t="shared" si="86"/>
        <v>8674.33</v>
      </c>
      <c r="O79" s="28" t="str">
        <f t="shared" si="87"/>
        <v/>
      </c>
      <c r="P79" s="5"/>
      <c r="Q79" s="5"/>
      <c r="R79" s="29" t="s">
        <v>34</v>
      </c>
      <c r="S79" s="30">
        <v>0.0</v>
      </c>
      <c r="T79" s="31">
        <v>0.05</v>
      </c>
      <c r="U79" s="26">
        <f t="shared" ref="U79:AF79" si="101">IF($R79="Manual","",IFERROR(IF($R79="YOY Growth",$N79*(1+$T79)/12,$S79/12),""))</f>
        <v>0</v>
      </c>
      <c r="V79" s="26">
        <f t="shared" si="101"/>
        <v>0</v>
      </c>
      <c r="W79" s="26">
        <f t="shared" si="101"/>
        <v>0</v>
      </c>
      <c r="X79" s="26">
        <f t="shared" si="101"/>
        <v>0</v>
      </c>
      <c r="Y79" s="26">
        <f t="shared" si="101"/>
        <v>0</v>
      </c>
      <c r="Z79" s="26">
        <f t="shared" si="101"/>
        <v>0</v>
      </c>
      <c r="AA79" s="26">
        <f t="shared" si="101"/>
        <v>0</v>
      </c>
      <c r="AB79" s="26">
        <f t="shared" si="101"/>
        <v>0</v>
      </c>
      <c r="AC79" s="26">
        <f t="shared" si="101"/>
        <v>0</v>
      </c>
      <c r="AD79" s="26">
        <f t="shared" si="101"/>
        <v>0</v>
      </c>
      <c r="AE79" s="26">
        <f t="shared" si="101"/>
        <v>0</v>
      </c>
      <c r="AF79" s="26">
        <f t="shared" si="101"/>
        <v>0</v>
      </c>
      <c r="AG79" s="5">
        <f t="shared" si="88"/>
        <v>0</v>
      </c>
      <c r="AH79" s="28" t="str">
        <f t="shared" si="89"/>
        <v/>
      </c>
      <c r="AI79" s="4"/>
      <c r="AJ79" s="5">
        <f t="shared" si="90"/>
        <v>8674.33</v>
      </c>
    </row>
    <row r="80" ht="13.5" customHeight="1">
      <c r="A80" s="25" t="s">
        <v>105</v>
      </c>
      <c r="B80" s="5">
        <v>35.89</v>
      </c>
      <c r="C80" s="5">
        <v>0.0</v>
      </c>
      <c r="D80" s="5">
        <v>0.0</v>
      </c>
      <c r="E80" s="5">
        <v>0.0</v>
      </c>
      <c r="F80" s="5">
        <v>0.0</v>
      </c>
      <c r="G80" s="5">
        <v>0.0</v>
      </c>
      <c r="H80" s="5">
        <v>0.0</v>
      </c>
      <c r="I80" s="5">
        <v>0.0</v>
      </c>
      <c r="J80" s="27">
        <v>0.0</v>
      </c>
      <c r="K80" s="27">
        <v>0.0</v>
      </c>
      <c r="L80" s="27">
        <v>0.0</v>
      </c>
      <c r="M80" s="27">
        <v>0.0</v>
      </c>
      <c r="N80" s="5">
        <f t="shared" si="86"/>
        <v>35.89</v>
      </c>
      <c r="O80" s="28" t="str">
        <f t="shared" si="87"/>
        <v/>
      </c>
      <c r="P80" s="5"/>
      <c r="Q80" s="5"/>
      <c r="R80" s="29" t="s">
        <v>34</v>
      </c>
      <c r="S80" s="30">
        <v>0.0</v>
      </c>
      <c r="T80" s="31">
        <v>0.05</v>
      </c>
      <c r="U80" s="26">
        <f t="shared" ref="U80:AF80" si="102">IF($R80="Manual","",IFERROR(IF($R80="YOY Growth",$N80*(1+$T80)/12,$S80/12),""))</f>
        <v>0</v>
      </c>
      <c r="V80" s="26">
        <f t="shared" si="102"/>
        <v>0</v>
      </c>
      <c r="W80" s="26">
        <f t="shared" si="102"/>
        <v>0</v>
      </c>
      <c r="X80" s="26">
        <f t="shared" si="102"/>
        <v>0</v>
      </c>
      <c r="Y80" s="26">
        <f t="shared" si="102"/>
        <v>0</v>
      </c>
      <c r="Z80" s="26">
        <f t="shared" si="102"/>
        <v>0</v>
      </c>
      <c r="AA80" s="26">
        <f t="shared" si="102"/>
        <v>0</v>
      </c>
      <c r="AB80" s="26">
        <f t="shared" si="102"/>
        <v>0</v>
      </c>
      <c r="AC80" s="26">
        <f t="shared" si="102"/>
        <v>0</v>
      </c>
      <c r="AD80" s="26">
        <f t="shared" si="102"/>
        <v>0</v>
      </c>
      <c r="AE80" s="26">
        <f t="shared" si="102"/>
        <v>0</v>
      </c>
      <c r="AF80" s="26">
        <f t="shared" si="102"/>
        <v>0</v>
      </c>
      <c r="AG80" s="5">
        <f t="shared" si="88"/>
        <v>0</v>
      </c>
      <c r="AH80" s="28" t="str">
        <f t="shared" si="89"/>
        <v/>
      </c>
      <c r="AI80" s="4"/>
      <c r="AJ80" s="5">
        <f t="shared" si="90"/>
        <v>35.89</v>
      </c>
    </row>
    <row r="81" ht="13.5" customHeight="1">
      <c r="A81" s="24" t="s">
        <v>106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28"/>
      <c r="P81" s="5"/>
      <c r="Q81" s="5"/>
      <c r="R81" s="36"/>
      <c r="S81" s="36"/>
      <c r="T81" s="36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28"/>
      <c r="AI81" s="4"/>
      <c r="AJ81" s="5"/>
    </row>
    <row r="82" ht="13.5" customHeight="1">
      <c r="A82" s="25" t="s">
        <v>107</v>
      </c>
      <c r="B82" s="5">
        <v>0.0</v>
      </c>
      <c r="C82" s="5">
        <v>0.0</v>
      </c>
      <c r="D82" s="5">
        <v>0.0</v>
      </c>
      <c r="E82" s="5">
        <v>0.0</v>
      </c>
      <c r="F82" s="5">
        <v>0.0</v>
      </c>
      <c r="G82" s="5">
        <v>0.0</v>
      </c>
      <c r="H82" s="5">
        <v>0.0</v>
      </c>
      <c r="I82" s="5">
        <v>0.0</v>
      </c>
      <c r="J82" s="27">
        <v>0.0</v>
      </c>
      <c r="K82" s="27">
        <v>0.0</v>
      </c>
      <c r="L82" s="27">
        <v>0.0</v>
      </c>
      <c r="M82" s="27">
        <v>0.0</v>
      </c>
      <c r="N82" s="5">
        <f t="shared" ref="N82:N117" si="104">SUM(B82:M82)</f>
        <v>0</v>
      </c>
      <c r="O82" s="28" t="str">
        <f t="shared" ref="O82:O117" si="105">IFERROR(N82/N$16,"")</f>
        <v/>
      </c>
      <c r="P82" s="5"/>
      <c r="Q82" s="5"/>
      <c r="R82" s="29" t="s">
        <v>34</v>
      </c>
      <c r="S82" s="30">
        <v>0.0</v>
      </c>
      <c r="T82" s="31">
        <v>0.05</v>
      </c>
      <c r="U82" s="26">
        <f t="shared" ref="U82:AF82" si="103">IF($R82="Manual","",IFERROR(IF($R82="YOY Growth",$N82*(1+$T82)/12,$S82/12),""))</f>
        <v>0</v>
      </c>
      <c r="V82" s="26">
        <f t="shared" si="103"/>
        <v>0</v>
      </c>
      <c r="W82" s="26">
        <f t="shared" si="103"/>
        <v>0</v>
      </c>
      <c r="X82" s="26">
        <f t="shared" si="103"/>
        <v>0</v>
      </c>
      <c r="Y82" s="26">
        <f t="shared" si="103"/>
        <v>0</v>
      </c>
      <c r="Z82" s="26">
        <f t="shared" si="103"/>
        <v>0</v>
      </c>
      <c r="AA82" s="26">
        <f t="shared" si="103"/>
        <v>0</v>
      </c>
      <c r="AB82" s="26">
        <f t="shared" si="103"/>
        <v>0</v>
      </c>
      <c r="AC82" s="26">
        <f t="shared" si="103"/>
        <v>0</v>
      </c>
      <c r="AD82" s="26">
        <f t="shared" si="103"/>
        <v>0</v>
      </c>
      <c r="AE82" s="26">
        <f t="shared" si="103"/>
        <v>0</v>
      </c>
      <c r="AF82" s="26">
        <f t="shared" si="103"/>
        <v>0</v>
      </c>
      <c r="AG82" s="5">
        <f t="shared" ref="AG82:AG117" si="107">SUM(U82:AF82)</f>
        <v>0</v>
      </c>
      <c r="AH82" s="28" t="str">
        <f t="shared" ref="AH82:AH117" si="108">IFERROR(AG82/AG$16,"")</f>
        <v/>
      </c>
      <c r="AI82" s="4"/>
      <c r="AJ82" s="5">
        <f t="shared" ref="AJ82:AJ116" si="109">N82-AG82</f>
        <v>0</v>
      </c>
    </row>
    <row r="83" ht="13.5" customHeight="1">
      <c r="A83" s="25" t="s">
        <v>108</v>
      </c>
      <c r="B83" s="5">
        <v>0.0</v>
      </c>
      <c r="C83" s="5">
        <v>0.0</v>
      </c>
      <c r="D83" s="5">
        <v>0.0</v>
      </c>
      <c r="E83" s="5">
        <v>0.0</v>
      </c>
      <c r="F83" s="5">
        <v>0.0</v>
      </c>
      <c r="G83" s="5">
        <v>0.0</v>
      </c>
      <c r="H83" s="5">
        <v>0.0</v>
      </c>
      <c r="I83" s="5">
        <v>0.0</v>
      </c>
      <c r="J83" s="27">
        <v>0.0</v>
      </c>
      <c r="K83" s="27">
        <v>0.0</v>
      </c>
      <c r="L83" s="27">
        <v>0.0</v>
      </c>
      <c r="M83" s="27">
        <v>0.0</v>
      </c>
      <c r="N83" s="5">
        <f t="shared" si="104"/>
        <v>0</v>
      </c>
      <c r="O83" s="28" t="str">
        <f t="shared" si="105"/>
        <v/>
      </c>
      <c r="P83" s="5"/>
      <c r="Q83" s="5"/>
      <c r="R83" s="29" t="s">
        <v>34</v>
      </c>
      <c r="S83" s="30">
        <v>0.0</v>
      </c>
      <c r="T83" s="31">
        <v>0.05</v>
      </c>
      <c r="U83" s="26">
        <f t="shared" ref="U83:AF83" si="106">IF($R83="Manual","",IFERROR(IF($R83="YOY Growth",$N83*(1+$T83)/12,$S83/12),""))</f>
        <v>0</v>
      </c>
      <c r="V83" s="26">
        <f t="shared" si="106"/>
        <v>0</v>
      </c>
      <c r="W83" s="26">
        <f t="shared" si="106"/>
        <v>0</v>
      </c>
      <c r="X83" s="26">
        <f t="shared" si="106"/>
        <v>0</v>
      </c>
      <c r="Y83" s="26">
        <f t="shared" si="106"/>
        <v>0</v>
      </c>
      <c r="Z83" s="26">
        <f t="shared" si="106"/>
        <v>0</v>
      </c>
      <c r="AA83" s="26">
        <f t="shared" si="106"/>
        <v>0</v>
      </c>
      <c r="AB83" s="26">
        <f t="shared" si="106"/>
        <v>0</v>
      </c>
      <c r="AC83" s="26">
        <f t="shared" si="106"/>
        <v>0</v>
      </c>
      <c r="AD83" s="26">
        <f t="shared" si="106"/>
        <v>0</v>
      </c>
      <c r="AE83" s="26">
        <f t="shared" si="106"/>
        <v>0</v>
      </c>
      <c r="AF83" s="26">
        <f t="shared" si="106"/>
        <v>0</v>
      </c>
      <c r="AG83" s="5">
        <f t="shared" si="107"/>
        <v>0</v>
      </c>
      <c r="AH83" s="28" t="str">
        <f t="shared" si="108"/>
        <v/>
      </c>
      <c r="AI83" s="4"/>
      <c r="AJ83" s="5">
        <f t="shared" si="109"/>
        <v>0</v>
      </c>
    </row>
    <row r="84" ht="13.5" customHeight="1">
      <c r="A84" s="25" t="s">
        <v>109</v>
      </c>
      <c r="B84" s="5">
        <v>0.0</v>
      </c>
      <c r="C84" s="5">
        <v>0.0</v>
      </c>
      <c r="D84" s="5">
        <v>0.0</v>
      </c>
      <c r="E84" s="5">
        <v>0.0</v>
      </c>
      <c r="F84" s="5">
        <v>0.0</v>
      </c>
      <c r="G84" s="5">
        <v>20.0</v>
      </c>
      <c r="H84" s="5">
        <v>0.0</v>
      </c>
      <c r="I84" s="5">
        <v>0.0</v>
      </c>
      <c r="J84" s="27">
        <v>0.0</v>
      </c>
      <c r="K84" s="27">
        <v>0.0</v>
      </c>
      <c r="L84" s="27">
        <v>0.0</v>
      </c>
      <c r="M84" s="27">
        <v>0.0</v>
      </c>
      <c r="N84" s="5">
        <f t="shared" si="104"/>
        <v>20</v>
      </c>
      <c r="O84" s="28" t="str">
        <f t="shared" si="105"/>
        <v/>
      </c>
      <c r="P84" s="5"/>
      <c r="Q84" s="5"/>
      <c r="R84" s="29" t="s">
        <v>34</v>
      </c>
      <c r="S84" s="30">
        <v>0.0</v>
      </c>
      <c r="T84" s="31">
        <v>0.05</v>
      </c>
      <c r="U84" s="26">
        <f t="shared" ref="U84:AF84" si="110">IF($R84="Manual","",IFERROR(IF($R84="YOY Growth",$N84*(1+$T84)/12,$S84/12),""))</f>
        <v>0</v>
      </c>
      <c r="V84" s="26">
        <f t="shared" si="110"/>
        <v>0</v>
      </c>
      <c r="W84" s="26">
        <f t="shared" si="110"/>
        <v>0</v>
      </c>
      <c r="X84" s="26">
        <f t="shared" si="110"/>
        <v>0</v>
      </c>
      <c r="Y84" s="26">
        <f t="shared" si="110"/>
        <v>0</v>
      </c>
      <c r="Z84" s="26">
        <f t="shared" si="110"/>
        <v>0</v>
      </c>
      <c r="AA84" s="26">
        <f t="shared" si="110"/>
        <v>0</v>
      </c>
      <c r="AB84" s="26">
        <f t="shared" si="110"/>
        <v>0</v>
      </c>
      <c r="AC84" s="26">
        <f t="shared" si="110"/>
        <v>0</v>
      </c>
      <c r="AD84" s="26">
        <f t="shared" si="110"/>
        <v>0</v>
      </c>
      <c r="AE84" s="26">
        <f t="shared" si="110"/>
        <v>0</v>
      </c>
      <c r="AF84" s="26">
        <f t="shared" si="110"/>
        <v>0</v>
      </c>
      <c r="AG84" s="5">
        <f t="shared" si="107"/>
        <v>0</v>
      </c>
      <c r="AH84" s="28" t="str">
        <f t="shared" si="108"/>
        <v/>
      </c>
      <c r="AI84" s="4"/>
      <c r="AJ84" s="5">
        <f t="shared" si="109"/>
        <v>20</v>
      </c>
    </row>
    <row r="85" ht="13.5" customHeight="1">
      <c r="A85" s="25" t="s">
        <v>110</v>
      </c>
      <c r="B85" s="5">
        <v>1118.97</v>
      </c>
      <c r="C85" s="5">
        <v>1642.61</v>
      </c>
      <c r="D85" s="5">
        <v>0.0</v>
      </c>
      <c r="E85" s="5">
        <v>1638.14</v>
      </c>
      <c r="F85" s="5">
        <v>492.8</v>
      </c>
      <c r="G85" s="5">
        <v>0.0</v>
      </c>
      <c r="H85" s="5">
        <v>0.0</v>
      </c>
      <c r="I85" s="5">
        <v>0.0</v>
      </c>
      <c r="J85" s="27">
        <v>500.0</v>
      </c>
      <c r="K85" s="27">
        <v>500.0</v>
      </c>
      <c r="L85" s="27">
        <v>1500.0</v>
      </c>
      <c r="M85" s="27">
        <v>500.0</v>
      </c>
      <c r="N85" s="5">
        <f t="shared" si="104"/>
        <v>7892.52</v>
      </c>
      <c r="O85" s="28" t="str">
        <f t="shared" si="105"/>
        <v/>
      </c>
      <c r="P85" s="5"/>
      <c r="Q85" s="5"/>
      <c r="R85" s="29" t="s">
        <v>34</v>
      </c>
      <c r="S85" s="30">
        <v>0.0</v>
      </c>
      <c r="T85" s="31">
        <v>0.05</v>
      </c>
      <c r="U85" s="26">
        <f t="shared" ref="U85:AF85" si="111">IF($R85="Manual","",IFERROR(IF($R85="YOY Growth",$N85*(1+$T85)/12,$S85/12),""))</f>
        <v>0</v>
      </c>
      <c r="V85" s="26">
        <f t="shared" si="111"/>
        <v>0</v>
      </c>
      <c r="W85" s="26">
        <f t="shared" si="111"/>
        <v>0</v>
      </c>
      <c r="X85" s="26">
        <f t="shared" si="111"/>
        <v>0</v>
      </c>
      <c r="Y85" s="26">
        <f t="shared" si="111"/>
        <v>0</v>
      </c>
      <c r="Z85" s="26">
        <f t="shared" si="111"/>
        <v>0</v>
      </c>
      <c r="AA85" s="26">
        <f t="shared" si="111"/>
        <v>0</v>
      </c>
      <c r="AB85" s="26">
        <f t="shared" si="111"/>
        <v>0</v>
      </c>
      <c r="AC85" s="26">
        <f t="shared" si="111"/>
        <v>0</v>
      </c>
      <c r="AD85" s="26">
        <f t="shared" si="111"/>
        <v>0</v>
      </c>
      <c r="AE85" s="26">
        <f t="shared" si="111"/>
        <v>0</v>
      </c>
      <c r="AF85" s="26">
        <f t="shared" si="111"/>
        <v>0</v>
      </c>
      <c r="AG85" s="5">
        <f t="shared" si="107"/>
        <v>0</v>
      </c>
      <c r="AH85" s="28" t="str">
        <f t="shared" si="108"/>
        <v/>
      </c>
      <c r="AI85" s="4"/>
      <c r="AJ85" s="5">
        <f t="shared" si="109"/>
        <v>7892.52</v>
      </c>
    </row>
    <row r="86" ht="13.5" customHeight="1">
      <c r="A86" s="25" t="s">
        <v>111</v>
      </c>
      <c r="B86" s="5">
        <v>0.0</v>
      </c>
      <c r="C86" s="5">
        <v>196.09</v>
      </c>
      <c r="D86" s="5">
        <v>0.0</v>
      </c>
      <c r="E86" s="5">
        <v>0.0</v>
      </c>
      <c r="F86" s="5">
        <v>0.0</v>
      </c>
      <c r="G86" s="5">
        <v>0.0</v>
      </c>
      <c r="H86" s="5">
        <v>0.0</v>
      </c>
      <c r="I86" s="5">
        <v>0.0</v>
      </c>
      <c r="J86" s="27">
        <v>0.0</v>
      </c>
      <c r="K86" s="27">
        <v>0.0</v>
      </c>
      <c r="L86" s="27">
        <v>0.0</v>
      </c>
      <c r="M86" s="27">
        <v>0.0</v>
      </c>
      <c r="N86" s="5">
        <f t="shared" si="104"/>
        <v>196.09</v>
      </c>
      <c r="O86" s="28" t="str">
        <f t="shared" si="105"/>
        <v/>
      </c>
      <c r="P86" s="5"/>
      <c r="Q86" s="5"/>
      <c r="R86" s="29" t="s">
        <v>34</v>
      </c>
      <c r="S86" s="30">
        <v>0.0</v>
      </c>
      <c r="T86" s="31">
        <v>0.05</v>
      </c>
      <c r="U86" s="26">
        <f t="shared" ref="U86:AF86" si="112">IF($R86="Manual","",IFERROR(IF($R86="YOY Growth",$N86*(1+$T86)/12,$S86/12),""))</f>
        <v>0</v>
      </c>
      <c r="V86" s="26">
        <f t="shared" si="112"/>
        <v>0</v>
      </c>
      <c r="W86" s="26">
        <f t="shared" si="112"/>
        <v>0</v>
      </c>
      <c r="X86" s="26">
        <f t="shared" si="112"/>
        <v>0</v>
      </c>
      <c r="Y86" s="26">
        <f t="shared" si="112"/>
        <v>0</v>
      </c>
      <c r="Z86" s="26">
        <f t="shared" si="112"/>
        <v>0</v>
      </c>
      <c r="AA86" s="26">
        <f t="shared" si="112"/>
        <v>0</v>
      </c>
      <c r="AB86" s="26">
        <f t="shared" si="112"/>
        <v>0</v>
      </c>
      <c r="AC86" s="26">
        <f t="shared" si="112"/>
        <v>0</v>
      </c>
      <c r="AD86" s="26">
        <f t="shared" si="112"/>
        <v>0</v>
      </c>
      <c r="AE86" s="26">
        <f t="shared" si="112"/>
        <v>0</v>
      </c>
      <c r="AF86" s="26">
        <f t="shared" si="112"/>
        <v>0</v>
      </c>
      <c r="AG86" s="5">
        <f t="shared" si="107"/>
        <v>0</v>
      </c>
      <c r="AH86" s="28" t="str">
        <f t="shared" si="108"/>
        <v/>
      </c>
      <c r="AI86" s="4"/>
      <c r="AJ86" s="5">
        <f t="shared" si="109"/>
        <v>196.09</v>
      </c>
    </row>
    <row r="87" ht="13.5" customHeight="1">
      <c r="A87" s="33" t="s">
        <v>112</v>
      </c>
      <c r="B87" s="34">
        <f t="shared" ref="B87:M87" si="113">SUM(B82:B86)</f>
        <v>1118.97</v>
      </c>
      <c r="C87" s="34">
        <f t="shared" si="113"/>
        <v>1838.7</v>
      </c>
      <c r="D87" s="34">
        <f t="shared" si="113"/>
        <v>0</v>
      </c>
      <c r="E87" s="34">
        <f t="shared" si="113"/>
        <v>1638.14</v>
      </c>
      <c r="F87" s="34">
        <f t="shared" si="113"/>
        <v>492.8</v>
      </c>
      <c r="G87" s="34">
        <f t="shared" si="113"/>
        <v>20</v>
      </c>
      <c r="H87" s="34">
        <f t="shared" si="113"/>
        <v>0</v>
      </c>
      <c r="I87" s="34">
        <f t="shared" si="113"/>
        <v>0</v>
      </c>
      <c r="J87" s="34">
        <f t="shared" si="113"/>
        <v>500</v>
      </c>
      <c r="K87" s="34">
        <f t="shared" si="113"/>
        <v>500</v>
      </c>
      <c r="L87" s="34">
        <f t="shared" si="113"/>
        <v>1500</v>
      </c>
      <c r="M87" s="34">
        <f t="shared" si="113"/>
        <v>500</v>
      </c>
      <c r="N87" s="34">
        <f t="shared" si="104"/>
        <v>8108.61</v>
      </c>
      <c r="O87" s="35" t="str">
        <f t="shared" si="105"/>
        <v/>
      </c>
      <c r="P87" s="5"/>
      <c r="Q87" s="5"/>
      <c r="R87" s="36"/>
      <c r="S87" s="36"/>
      <c r="T87" s="36"/>
      <c r="U87" s="34">
        <f t="shared" ref="U87:AF87" si="114">SUM(U82:U86)</f>
        <v>0</v>
      </c>
      <c r="V87" s="34">
        <f t="shared" si="114"/>
        <v>0</v>
      </c>
      <c r="W87" s="34">
        <f t="shared" si="114"/>
        <v>0</v>
      </c>
      <c r="X87" s="34">
        <f t="shared" si="114"/>
        <v>0</v>
      </c>
      <c r="Y87" s="34">
        <f t="shared" si="114"/>
        <v>0</v>
      </c>
      <c r="Z87" s="34">
        <f t="shared" si="114"/>
        <v>0</v>
      </c>
      <c r="AA87" s="34">
        <f t="shared" si="114"/>
        <v>0</v>
      </c>
      <c r="AB87" s="34">
        <f t="shared" si="114"/>
        <v>0</v>
      </c>
      <c r="AC87" s="34">
        <f t="shared" si="114"/>
        <v>0</v>
      </c>
      <c r="AD87" s="34">
        <f t="shared" si="114"/>
        <v>0</v>
      </c>
      <c r="AE87" s="34">
        <f t="shared" si="114"/>
        <v>0</v>
      </c>
      <c r="AF87" s="34">
        <f t="shared" si="114"/>
        <v>0</v>
      </c>
      <c r="AG87" s="34">
        <f t="shared" si="107"/>
        <v>0</v>
      </c>
      <c r="AH87" s="35" t="str">
        <f t="shared" si="108"/>
        <v/>
      </c>
      <c r="AI87" s="4"/>
      <c r="AJ87" s="34">
        <f t="shared" si="109"/>
        <v>8108.61</v>
      </c>
    </row>
    <row r="88" ht="13.5" customHeight="1">
      <c r="A88" s="25" t="s">
        <v>113</v>
      </c>
      <c r="B88" s="5">
        <v>0.0</v>
      </c>
      <c r="C88" s="5">
        <v>0.0</v>
      </c>
      <c r="D88" s="5">
        <v>0.0</v>
      </c>
      <c r="E88" s="5">
        <v>0.0</v>
      </c>
      <c r="F88" s="5">
        <v>0.0</v>
      </c>
      <c r="G88" s="5">
        <v>0.0</v>
      </c>
      <c r="H88" s="5">
        <v>0.0</v>
      </c>
      <c r="I88" s="5">
        <v>0.0</v>
      </c>
      <c r="J88" s="27">
        <v>0.0</v>
      </c>
      <c r="K88" s="27">
        <v>0.0</v>
      </c>
      <c r="L88" s="27">
        <v>0.0</v>
      </c>
      <c r="M88" s="27">
        <v>0.0</v>
      </c>
      <c r="N88" s="5">
        <f t="shared" si="104"/>
        <v>0</v>
      </c>
      <c r="O88" s="28" t="str">
        <f t="shared" si="105"/>
        <v/>
      </c>
      <c r="P88" s="5"/>
      <c r="Q88" s="5"/>
      <c r="R88" s="29" t="s">
        <v>34</v>
      </c>
      <c r="S88" s="30">
        <v>0.0</v>
      </c>
      <c r="T88" s="31">
        <v>0.05</v>
      </c>
      <c r="U88" s="26">
        <f t="shared" ref="U88:AF88" si="115">IF($R88="Manual","",IFERROR(IF($R88="YOY Growth",$N88*(1+$T88)/12,$S88/12),""))</f>
        <v>0</v>
      </c>
      <c r="V88" s="26">
        <f t="shared" si="115"/>
        <v>0</v>
      </c>
      <c r="W88" s="26">
        <f t="shared" si="115"/>
        <v>0</v>
      </c>
      <c r="X88" s="26">
        <f t="shared" si="115"/>
        <v>0</v>
      </c>
      <c r="Y88" s="26">
        <f t="shared" si="115"/>
        <v>0</v>
      </c>
      <c r="Z88" s="26">
        <f t="shared" si="115"/>
        <v>0</v>
      </c>
      <c r="AA88" s="26">
        <f t="shared" si="115"/>
        <v>0</v>
      </c>
      <c r="AB88" s="26">
        <f t="shared" si="115"/>
        <v>0</v>
      </c>
      <c r="AC88" s="26">
        <f t="shared" si="115"/>
        <v>0</v>
      </c>
      <c r="AD88" s="26">
        <f t="shared" si="115"/>
        <v>0</v>
      </c>
      <c r="AE88" s="26">
        <f t="shared" si="115"/>
        <v>0</v>
      </c>
      <c r="AF88" s="26">
        <f t="shared" si="115"/>
        <v>0</v>
      </c>
      <c r="AG88" s="5">
        <f t="shared" si="107"/>
        <v>0</v>
      </c>
      <c r="AH88" s="28" t="str">
        <f t="shared" si="108"/>
        <v/>
      </c>
      <c r="AI88" s="4"/>
      <c r="AJ88" s="5">
        <f t="shared" si="109"/>
        <v>0</v>
      </c>
    </row>
    <row r="89" ht="13.5" customHeight="1">
      <c r="A89" s="25" t="s">
        <v>114</v>
      </c>
      <c r="B89" s="5">
        <v>0.0</v>
      </c>
      <c r="C89" s="5">
        <v>0.0</v>
      </c>
      <c r="D89" s="5">
        <v>0.0</v>
      </c>
      <c r="E89" s="5">
        <v>0.0</v>
      </c>
      <c r="F89" s="5">
        <v>0.0</v>
      </c>
      <c r="G89" s="5">
        <v>0.0</v>
      </c>
      <c r="H89" s="5">
        <v>0.0</v>
      </c>
      <c r="I89" s="5">
        <v>0.0</v>
      </c>
      <c r="J89" s="27">
        <v>0.0</v>
      </c>
      <c r="K89" s="27">
        <v>0.0</v>
      </c>
      <c r="L89" s="27">
        <v>0.0</v>
      </c>
      <c r="M89" s="27">
        <v>0.0</v>
      </c>
      <c r="N89" s="5">
        <f t="shared" si="104"/>
        <v>0</v>
      </c>
      <c r="O89" s="28" t="str">
        <f t="shared" si="105"/>
        <v/>
      </c>
      <c r="P89" s="5"/>
      <c r="Q89" s="5"/>
      <c r="R89" s="29" t="s">
        <v>34</v>
      </c>
      <c r="S89" s="30">
        <v>0.0</v>
      </c>
      <c r="T89" s="31">
        <v>0.05</v>
      </c>
      <c r="U89" s="26">
        <f t="shared" ref="U89:AF89" si="116">IF($R89="Manual","",IFERROR(IF($R89="YOY Growth",$N89*(1+$T89)/12,$S89/12),""))</f>
        <v>0</v>
      </c>
      <c r="V89" s="26">
        <f t="shared" si="116"/>
        <v>0</v>
      </c>
      <c r="W89" s="26">
        <f t="shared" si="116"/>
        <v>0</v>
      </c>
      <c r="X89" s="26">
        <f t="shared" si="116"/>
        <v>0</v>
      </c>
      <c r="Y89" s="26">
        <f t="shared" si="116"/>
        <v>0</v>
      </c>
      <c r="Z89" s="26">
        <f t="shared" si="116"/>
        <v>0</v>
      </c>
      <c r="AA89" s="26">
        <f t="shared" si="116"/>
        <v>0</v>
      </c>
      <c r="AB89" s="26">
        <f t="shared" si="116"/>
        <v>0</v>
      </c>
      <c r="AC89" s="26">
        <f t="shared" si="116"/>
        <v>0</v>
      </c>
      <c r="AD89" s="26">
        <f t="shared" si="116"/>
        <v>0</v>
      </c>
      <c r="AE89" s="26">
        <f t="shared" si="116"/>
        <v>0</v>
      </c>
      <c r="AF89" s="26">
        <f t="shared" si="116"/>
        <v>0</v>
      </c>
      <c r="AG89" s="5">
        <f t="shared" si="107"/>
        <v>0</v>
      </c>
      <c r="AH89" s="28" t="str">
        <f t="shared" si="108"/>
        <v/>
      </c>
      <c r="AI89" s="4"/>
      <c r="AJ89" s="5">
        <f t="shared" si="109"/>
        <v>0</v>
      </c>
    </row>
    <row r="90" ht="13.5" customHeight="1">
      <c r="A90" s="25" t="s">
        <v>115</v>
      </c>
      <c r="B90" s="5">
        <v>0.0</v>
      </c>
      <c r="C90" s="5">
        <v>0.0</v>
      </c>
      <c r="D90" s="5">
        <v>0.0</v>
      </c>
      <c r="E90" s="5">
        <v>0.0</v>
      </c>
      <c r="F90" s="5">
        <v>0.0</v>
      </c>
      <c r="G90" s="5">
        <v>0.0</v>
      </c>
      <c r="H90" s="5">
        <v>0.0</v>
      </c>
      <c r="I90" s="5">
        <v>0.0</v>
      </c>
      <c r="J90" s="27">
        <v>0.0</v>
      </c>
      <c r="K90" s="27">
        <v>0.0</v>
      </c>
      <c r="L90" s="27">
        <v>0.0</v>
      </c>
      <c r="M90" s="27">
        <v>0.0</v>
      </c>
      <c r="N90" s="5">
        <f t="shared" si="104"/>
        <v>0</v>
      </c>
      <c r="O90" s="28" t="str">
        <f t="shared" si="105"/>
        <v/>
      </c>
      <c r="P90" s="5"/>
      <c r="Q90" s="5"/>
      <c r="R90" s="29" t="s">
        <v>34</v>
      </c>
      <c r="S90" s="30">
        <v>0.0</v>
      </c>
      <c r="T90" s="31">
        <v>0.05</v>
      </c>
      <c r="U90" s="26">
        <f t="shared" ref="U90:AF90" si="117">IF($R90="Manual","",IFERROR(IF($R90="YOY Growth",$N90*(1+$T90)/12,$S90/12),""))</f>
        <v>0</v>
      </c>
      <c r="V90" s="26">
        <f t="shared" si="117"/>
        <v>0</v>
      </c>
      <c r="W90" s="26">
        <f t="shared" si="117"/>
        <v>0</v>
      </c>
      <c r="X90" s="26">
        <f t="shared" si="117"/>
        <v>0</v>
      </c>
      <c r="Y90" s="26">
        <f t="shared" si="117"/>
        <v>0</v>
      </c>
      <c r="Z90" s="26">
        <f t="shared" si="117"/>
        <v>0</v>
      </c>
      <c r="AA90" s="26">
        <f t="shared" si="117"/>
        <v>0</v>
      </c>
      <c r="AB90" s="26">
        <f t="shared" si="117"/>
        <v>0</v>
      </c>
      <c r="AC90" s="26">
        <f t="shared" si="117"/>
        <v>0</v>
      </c>
      <c r="AD90" s="26">
        <f t="shared" si="117"/>
        <v>0</v>
      </c>
      <c r="AE90" s="26">
        <f t="shared" si="117"/>
        <v>0</v>
      </c>
      <c r="AF90" s="26">
        <f t="shared" si="117"/>
        <v>0</v>
      </c>
      <c r="AG90" s="5">
        <f t="shared" si="107"/>
        <v>0</v>
      </c>
      <c r="AH90" s="28" t="str">
        <f t="shared" si="108"/>
        <v/>
      </c>
      <c r="AI90" s="4"/>
      <c r="AJ90" s="5">
        <f t="shared" si="109"/>
        <v>0</v>
      </c>
    </row>
    <row r="91" ht="13.5" customHeight="1">
      <c r="A91" s="25" t="s">
        <v>116</v>
      </c>
      <c r="B91" s="5">
        <v>0.0</v>
      </c>
      <c r="C91" s="5">
        <v>0.0</v>
      </c>
      <c r="D91" s="5">
        <v>29232.26</v>
      </c>
      <c r="E91" s="5">
        <v>32442.55</v>
      </c>
      <c r="F91" s="5">
        <v>36509.27</v>
      </c>
      <c r="G91" s="5">
        <v>56672.78</v>
      </c>
      <c r="H91" s="5">
        <v>0.0</v>
      </c>
      <c r="I91" s="5">
        <v>0.0</v>
      </c>
      <c r="J91" s="27">
        <v>0.0</v>
      </c>
      <c r="K91" s="27">
        <v>0.0</v>
      </c>
      <c r="L91" s="27">
        <v>0.0</v>
      </c>
      <c r="M91" s="27">
        <v>0.0</v>
      </c>
      <c r="N91" s="5">
        <f t="shared" si="104"/>
        <v>154856.86</v>
      </c>
      <c r="O91" s="28" t="str">
        <f t="shared" si="105"/>
        <v/>
      </c>
      <c r="P91" s="5"/>
      <c r="Q91" s="5"/>
      <c r="R91" s="29" t="s">
        <v>34</v>
      </c>
      <c r="S91" s="30">
        <v>0.0</v>
      </c>
      <c r="T91" s="31">
        <v>0.05</v>
      </c>
      <c r="U91" s="26">
        <f t="shared" ref="U91:AF91" si="118">IF($R91="Manual","",IFERROR(IF($R91="YOY Growth",$N91*(1+$T91)/12,$S91/12),""))</f>
        <v>0</v>
      </c>
      <c r="V91" s="26">
        <f t="shared" si="118"/>
        <v>0</v>
      </c>
      <c r="W91" s="26">
        <f t="shared" si="118"/>
        <v>0</v>
      </c>
      <c r="X91" s="26">
        <f t="shared" si="118"/>
        <v>0</v>
      </c>
      <c r="Y91" s="26">
        <f t="shared" si="118"/>
        <v>0</v>
      </c>
      <c r="Z91" s="26">
        <f t="shared" si="118"/>
        <v>0</v>
      </c>
      <c r="AA91" s="26">
        <f t="shared" si="118"/>
        <v>0</v>
      </c>
      <c r="AB91" s="26">
        <f t="shared" si="118"/>
        <v>0</v>
      </c>
      <c r="AC91" s="26">
        <f t="shared" si="118"/>
        <v>0</v>
      </c>
      <c r="AD91" s="26">
        <f t="shared" si="118"/>
        <v>0</v>
      </c>
      <c r="AE91" s="26">
        <f t="shared" si="118"/>
        <v>0</v>
      </c>
      <c r="AF91" s="26">
        <f t="shared" si="118"/>
        <v>0</v>
      </c>
      <c r="AG91" s="5">
        <f t="shared" si="107"/>
        <v>0</v>
      </c>
      <c r="AH91" s="28" t="str">
        <f t="shared" si="108"/>
        <v/>
      </c>
      <c r="AI91" s="4"/>
      <c r="AJ91" s="5">
        <f t="shared" si="109"/>
        <v>154856.86</v>
      </c>
    </row>
    <row r="92" ht="13.5" customHeight="1">
      <c r="A92" s="25" t="s">
        <v>117</v>
      </c>
      <c r="B92" s="5">
        <v>281.89</v>
      </c>
      <c r="C92" s="5">
        <v>0.0</v>
      </c>
      <c r="D92" s="5">
        <v>148.38</v>
      </c>
      <c r="E92" s="5">
        <v>55.57</v>
      </c>
      <c r="F92" s="5">
        <v>0.0</v>
      </c>
      <c r="G92" s="5">
        <v>0.0</v>
      </c>
      <c r="H92" s="5">
        <v>0.0</v>
      </c>
      <c r="I92" s="5">
        <v>0.0</v>
      </c>
      <c r="J92" s="27">
        <v>0.0</v>
      </c>
      <c r="K92" s="27">
        <v>0.0</v>
      </c>
      <c r="L92" s="27">
        <v>0.0</v>
      </c>
      <c r="M92" s="27">
        <v>0.0</v>
      </c>
      <c r="N92" s="5">
        <f t="shared" si="104"/>
        <v>485.84</v>
      </c>
      <c r="O92" s="28" t="str">
        <f t="shared" si="105"/>
        <v/>
      </c>
      <c r="P92" s="5"/>
      <c r="Q92" s="5"/>
      <c r="R92" s="29" t="s">
        <v>34</v>
      </c>
      <c r="S92" s="30">
        <v>0.0</v>
      </c>
      <c r="T92" s="31">
        <v>0.05</v>
      </c>
      <c r="U92" s="26">
        <f t="shared" ref="U92:AF92" si="119">IF($R92="Manual","",IFERROR(IF($R92="YOY Growth",$N92*(1+$T92)/12,$S92/12),""))</f>
        <v>0</v>
      </c>
      <c r="V92" s="26">
        <f t="shared" si="119"/>
        <v>0</v>
      </c>
      <c r="W92" s="26">
        <f t="shared" si="119"/>
        <v>0</v>
      </c>
      <c r="X92" s="26">
        <f t="shared" si="119"/>
        <v>0</v>
      </c>
      <c r="Y92" s="26">
        <f t="shared" si="119"/>
        <v>0</v>
      </c>
      <c r="Z92" s="26">
        <f t="shared" si="119"/>
        <v>0</v>
      </c>
      <c r="AA92" s="26">
        <f t="shared" si="119"/>
        <v>0</v>
      </c>
      <c r="AB92" s="26">
        <f t="shared" si="119"/>
        <v>0</v>
      </c>
      <c r="AC92" s="26">
        <f t="shared" si="119"/>
        <v>0</v>
      </c>
      <c r="AD92" s="26">
        <f t="shared" si="119"/>
        <v>0</v>
      </c>
      <c r="AE92" s="26">
        <f t="shared" si="119"/>
        <v>0</v>
      </c>
      <c r="AF92" s="26">
        <f t="shared" si="119"/>
        <v>0</v>
      </c>
      <c r="AG92" s="5">
        <f t="shared" si="107"/>
        <v>0</v>
      </c>
      <c r="AH92" s="28" t="str">
        <f t="shared" si="108"/>
        <v/>
      </c>
      <c r="AI92" s="4"/>
      <c r="AJ92" s="5">
        <f t="shared" si="109"/>
        <v>485.84</v>
      </c>
    </row>
    <row r="93" ht="13.5" customHeight="1">
      <c r="A93" s="25" t="s">
        <v>118</v>
      </c>
      <c r="B93" s="5">
        <v>373.0</v>
      </c>
      <c r="C93" s="5">
        <v>0.0</v>
      </c>
      <c r="D93" s="5">
        <v>0.0</v>
      </c>
      <c r="E93" s="5">
        <v>0.0</v>
      </c>
      <c r="F93" s="5">
        <v>0.0</v>
      </c>
      <c r="G93" s="5">
        <v>0.0</v>
      </c>
      <c r="H93" s="5">
        <v>0.0</v>
      </c>
      <c r="I93" s="5">
        <v>0.0</v>
      </c>
      <c r="J93" s="27">
        <v>0.0</v>
      </c>
      <c r="K93" s="27">
        <v>0.0</v>
      </c>
      <c r="L93" s="27">
        <v>0.0</v>
      </c>
      <c r="M93" s="27">
        <v>0.0</v>
      </c>
      <c r="N93" s="5">
        <f t="shared" si="104"/>
        <v>373</v>
      </c>
      <c r="O93" s="28" t="str">
        <f t="shared" si="105"/>
        <v/>
      </c>
      <c r="P93" s="5"/>
      <c r="Q93" s="5"/>
      <c r="R93" s="29" t="s">
        <v>34</v>
      </c>
      <c r="S93" s="30">
        <v>0.0</v>
      </c>
      <c r="T93" s="31">
        <v>0.05</v>
      </c>
      <c r="U93" s="26">
        <f t="shared" ref="U93:AF93" si="120">IF($R93="Manual","",IFERROR(IF($R93="YOY Growth",$N93*(1+$T93)/12,$S93/12),""))</f>
        <v>0</v>
      </c>
      <c r="V93" s="26">
        <f t="shared" si="120"/>
        <v>0</v>
      </c>
      <c r="W93" s="26">
        <f t="shared" si="120"/>
        <v>0</v>
      </c>
      <c r="X93" s="26">
        <f t="shared" si="120"/>
        <v>0</v>
      </c>
      <c r="Y93" s="26">
        <f t="shared" si="120"/>
        <v>0</v>
      </c>
      <c r="Z93" s="26">
        <f t="shared" si="120"/>
        <v>0</v>
      </c>
      <c r="AA93" s="26">
        <f t="shared" si="120"/>
        <v>0</v>
      </c>
      <c r="AB93" s="26">
        <f t="shared" si="120"/>
        <v>0</v>
      </c>
      <c r="AC93" s="26">
        <f t="shared" si="120"/>
        <v>0</v>
      </c>
      <c r="AD93" s="26">
        <f t="shared" si="120"/>
        <v>0</v>
      </c>
      <c r="AE93" s="26">
        <f t="shared" si="120"/>
        <v>0</v>
      </c>
      <c r="AF93" s="26">
        <f t="shared" si="120"/>
        <v>0</v>
      </c>
      <c r="AG93" s="5">
        <f t="shared" si="107"/>
        <v>0</v>
      </c>
      <c r="AH93" s="28" t="str">
        <f t="shared" si="108"/>
        <v/>
      </c>
      <c r="AI93" s="4"/>
      <c r="AJ93" s="5">
        <f t="shared" si="109"/>
        <v>373</v>
      </c>
    </row>
    <row r="94" ht="13.5" customHeight="1">
      <c r="A94" s="25" t="s">
        <v>119</v>
      </c>
      <c r="B94" s="5">
        <v>0.0</v>
      </c>
      <c r="C94" s="5">
        <v>0.0</v>
      </c>
      <c r="D94" s="5">
        <v>0.0</v>
      </c>
      <c r="E94" s="5">
        <v>0.0</v>
      </c>
      <c r="F94" s="5">
        <v>0.0</v>
      </c>
      <c r="G94" s="5">
        <v>0.0</v>
      </c>
      <c r="H94" s="5">
        <v>0.0</v>
      </c>
      <c r="I94" s="5">
        <v>0.0</v>
      </c>
      <c r="J94" s="27">
        <v>0.0</v>
      </c>
      <c r="K94" s="27">
        <v>0.0</v>
      </c>
      <c r="L94" s="27">
        <v>0.0</v>
      </c>
      <c r="M94" s="27">
        <v>0.0</v>
      </c>
      <c r="N94" s="5">
        <f t="shared" si="104"/>
        <v>0</v>
      </c>
      <c r="O94" s="28" t="str">
        <f t="shared" si="105"/>
        <v/>
      </c>
      <c r="P94" s="5"/>
      <c r="Q94" s="5"/>
      <c r="R94" s="29" t="s">
        <v>34</v>
      </c>
      <c r="S94" s="30">
        <v>0.0</v>
      </c>
      <c r="T94" s="31">
        <v>0.05</v>
      </c>
      <c r="U94" s="26">
        <f t="shared" ref="U94:AF94" si="121">IF($R94="Manual","",IFERROR(IF($R94="YOY Growth",$N94*(1+$T94)/12,$S94/12),""))</f>
        <v>0</v>
      </c>
      <c r="V94" s="26">
        <f t="shared" si="121"/>
        <v>0</v>
      </c>
      <c r="W94" s="26">
        <f t="shared" si="121"/>
        <v>0</v>
      </c>
      <c r="X94" s="26">
        <f t="shared" si="121"/>
        <v>0</v>
      </c>
      <c r="Y94" s="26">
        <f t="shared" si="121"/>
        <v>0</v>
      </c>
      <c r="Z94" s="26">
        <f t="shared" si="121"/>
        <v>0</v>
      </c>
      <c r="AA94" s="26">
        <f t="shared" si="121"/>
        <v>0</v>
      </c>
      <c r="AB94" s="26">
        <f t="shared" si="121"/>
        <v>0</v>
      </c>
      <c r="AC94" s="26">
        <f t="shared" si="121"/>
        <v>0</v>
      </c>
      <c r="AD94" s="26">
        <f t="shared" si="121"/>
        <v>0</v>
      </c>
      <c r="AE94" s="26">
        <f t="shared" si="121"/>
        <v>0</v>
      </c>
      <c r="AF94" s="26">
        <f t="shared" si="121"/>
        <v>0</v>
      </c>
      <c r="AG94" s="5">
        <f t="shared" si="107"/>
        <v>0</v>
      </c>
      <c r="AH94" s="28" t="str">
        <f t="shared" si="108"/>
        <v/>
      </c>
      <c r="AI94" s="4"/>
      <c r="AJ94" s="5">
        <f t="shared" si="109"/>
        <v>0</v>
      </c>
    </row>
    <row r="95" ht="13.5" customHeight="1">
      <c r="A95" s="25" t="s">
        <v>120</v>
      </c>
      <c r="B95" s="5">
        <v>1254.52</v>
      </c>
      <c r="C95" s="5">
        <v>126.85</v>
      </c>
      <c r="D95" s="5">
        <v>0.0</v>
      </c>
      <c r="E95" s="5">
        <v>122.17</v>
      </c>
      <c r="F95" s="5">
        <v>0.0</v>
      </c>
      <c r="G95" s="5">
        <v>0.0</v>
      </c>
      <c r="H95" s="5">
        <v>0.0</v>
      </c>
      <c r="I95" s="5">
        <v>0.0</v>
      </c>
      <c r="J95" s="27">
        <v>450.0</v>
      </c>
      <c r="K95" s="27">
        <v>450.0</v>
      </c>
      <c r="L95" s="27">
        <v>450.0</v>
      </c>
      <c r="M95" s="27">
        <v>450.0</v>
      </c>
      <c r="N95" s="5">
        <f t="shared" si="104"/>
        <v>3303.54</v>
      </c>
      <c r="O95" s="28" t="str">
        <f t="shared" si="105"/>
        <v/>
      </c>
      <c r="P95" s="5"/>
      <c r="Q95" s="5"/>
      <c r="R95" s="29" t="s">
        <v>34</v>
      </c>
      <c r="S95" s="30">
        <v>0.0</v>
      </c>
      <c r="T95" s="31">
        <v>0.05</v>
      </c>
      <c r="U95" s="26">
        <f t="shared" ref="U95:AF95" si="122">IF($R95="Manual","",IFERROR(IF($R95="YOY Growth",$N95*(1+$T95)/12,$S95/12),""))</f>
        <v>0</v>
      </c>
      <c r="V95" s="26">
        <f t="shared" si="122"/>
        <v>0</v>
      </c>
      <c r="W95" s="26">
        <f t="shared" si="122"/>
        <v>0</v>
      </c>
      <c r="X95" s="26">
        <f t="shared" si="122"/>
        <v>0</v>
      </c>
      <c r="Y95" s="26">
        <f t="shared" si="122"/>
        <v>0</v>
      </c>
      <c r="Z95" s="26">
        <f t="shared" si="122"/>
        <v>0</v>
      </c>
      <c r="AA95" s="26">
        <f t="shared" si="122"/>
        <v>0</v>
      </c>
      <c r="AB95" s="26">
        <f t="shared" si="122"/>
        <v>0</v>
      </c>
      <c r="AC95" s="26">
        <f t="shared" si="122"/>
        <v>0</v>
      </c>
      <c r="AD95" s="26">
        <f t="shared" si="122"/>
        <v>0</v>
      </c>
      <c r="AE95" s="26">
        <f t="shared" si="122"/>
        <v>0</v>
      </c>
      <c r="AF95" s="26">
        <f t="shared" si="122"/>
        <v>0</v>
      </c>
      <c r="AG95" s="5">
        <f t="shared" si="107"/>
        <v>0</v>
      </c>
      <c r="AH95" s="28" t="str">
        <f t="shared" si="108"/>
        <v/>
      </c>
      <c r="AI95" s="4"/>
      <c r="AJ95" s="5">
        <f t="shared" si="109"/>
        <v>3303.54</v>
      </c>
    </row>
    <row r="96" ht="13.5" customHeight="1">
      <c r="A96" s="25" t="s">
        <v>121</v>
      </c>
      <c r="B96" s="5">
        <v>0.0</v>
      </c>
      <c r="C96" s="5">
        <v>0.0</v>
      </c>
      <c r="D96" s="5">
        <v>0.0</v>
      </c>
      <c r="E96" s="5">
        <v>0.0</v>
      </c>
      <c r="F96" s="5">
        <v>0.0</v>
      </c>
      <c r="G96" s="5">
        <v>0.0</v>
      </c>
      <c r="H96" s="5">
        <v>0.0</v>
      </c>
      <c r="I96" s="5">
        <v>0.0</v>
      </c>
      <c r="J96" s="27">
        <v>0.0</v>
      </c>
      <c r="K96" s="27">
        <v>0.0</v>
      </c>
      <c r="L96" s="27">
        <v>0.0</v>
      </c>
      <c r="M96" s="27">
        <v>0.0</v>
      </c>
      <c r="N96" s="5">
        <f t="shared" si="104"/>
        <v>0</v>
      </c>
      <c r="O96" s="28" t="str">
        <f t="shared" si="105"/>
        <v/>
      </c>
      <c r="P96" s="5"/>
      <c r="Q96" s="5"/>
      <c r="R96" s="29" t="s">
        <v>34</v>
      </c>
      <c r="S96" s="30">
        <v>0.0</v>
      </c>
      <c r="T96" s="31">
        <v>0.05</v>
      </c>
      <c r="U96" s="26">
        <f t="shared" ref="U96:AF96" si="123">IF($R96="Manual","",IFERROR(IF($R96="YOY Growth",$N96*(1+$T96)/12,$S96/12),""))</f>
        <v>0</v>
      </c>
      <c r="V96" s="26">
        <f t="shared" si="123"/>
        <v>0</v>
      </c>
      <c r="W96" s="26">
        <f t="shared" si="123"/>
        <v>0</v>
      </c>
      <c r="X96" s="26">
        <f t="shared" si="123"/>
        <v>0</v>
      </c>
      <c r="Y96" s="26">
        <f t="shared" si="123"/>
        <v>0</v>
      </c>
      <c r="Z96" s="26">
        <f t="shared" si="123"/>
        <v>0</v>
      </c>
      <c r="AA96" s="26">
        <f t="shared" si="123"/>
        <v>0</v>
      </c>
      <c r="AB96" s="26">
        <f t="shared" si="123"/>
        <v>0</v>
      </c>
      <c r="AC96" s="26">
        <f t="shared" si="123"/>
        <v>0</v>
      </c>
      <c r="AD96" s="26">
        <f t="shared" si="123"/>
        <v>0</v>
      </c>
      <c r="AE96" s="26">
        <f t="shared" si="123"/>
        <v>0</v>
      </c>
      <c r="AF96" s="26">
        <f t="shared" si="123"/>
        <v>0</v>
      </c>
      <c r="AG96" s="5">
        <f t="shared" si="107"/>
        <v>0</v>
      </c>
      <c r="AH96" s="28" t="str">
        <f t="shared" si="108"/>
        <v/>
      </c>
      <c r="AI96" s="4"/>
      <c r="AJ96" s="5">
        <f t="shared" si="109"/>
        <v>0</v>
      </c>
    </row>
    <row r="97" ht="13.5" customHeight="1">
      <c r="A97" s="25" t="s">
        <v>122</v>
      </c>
      <c r="B97" s="5">
        <v>0.0</v>
      </c>
      <c r="C97" s="5">
        <v>0.0</v>
      </c>
      <c r="D97" s="5">
        <v>0.0</v>
      </c>
      <c r="E97" s="5">
        <v>0.0</v>
      </c>
      <c r="F97" s="5">
        <v>0.0</v>
      </c>
      <c r="G97" s="5">
        <v>0.0</v>
      </c>
      <c r="H97" s="5">
        <v>0.0</v>
      </c>
      <c r="I97" s="5">
        <v>0.0</v>
      </c>
      <c r="J97" s="27">
        <v>0.0</v>
      </c>
      <c r="K97" s="27">
        <v>0.0</v>
      </c>
      <c r="L97" s="27">
        <v>0.0</v>
      </c>
      <c r="M97" s="27">
        <v>0.0</v>
      </c>
      <c r="N97" s="5">
        <f t="shared" si="104"/>
        <v>0</v>
      </c>
      <c r="O97" s="28" t="str">
        <f t="shared" si="105"/>
        <v/>
      </c>
      <c r="P97" s="5"/>
      <c r="Q97" s="5"/>
      <c r="R97" s="29" t="s">
        <v>34</v>
      </c>
      <c r="S97" s="30">
        <v>0.0</v>
      </c>
      <c r="T97" s="31">
        <v>0.05</v>
      </c>
      <c r="U97" s="26">
        <f t="shared" ref="U97:AF97" si="124">IF($R97="Manual","",IFERROR(IF($R97="YOY Growth",$N97*(1+$T97)/12,$S97/12),""))</f>
        <v>0</v>
      </c>
      <c r="V97" s="26">
        <f t="shared" si="124"/>
        <v>0</v>
      </c>
      <c r="W97" s="26">
        <f t="shared" si="124"/>
        <v>0</v>
      </c>
      <c r="X97" s="26">
        <f t="shared" si="124"/>
        <v>0</v>
      </c>
      <c r="Y97" s="26">
        <f t="shared" si="124"/>
        <v>0</v>
      </c>
      <c r="Z97" s="26">
        <f t="shared" si="124"/>
        <v>0</v>
      </c>
      <c r="AA97" s="26">
        <f t="shared" si="124"/>
        <v>0</v>
      </c>
      <c r="AB97" s="26">
        <f t="shared" si="124"/>
        <v>0</v>
      </c>
      <c r="AC97" s="26">
        <f t="shared" si="124"/>
        <v>0</v>
      </c>
      <c r="AD97" s="26">
        <f t="shared" si="124"/>
        <v>0</v>
      </c>
      <c r="AE97" s="26">
        <f t="shared" si="124"/>
        <v>0</v>
      </c>
      <c r="AF97" s="26">
        <f t="shared" si="124"/>
        <v>0</v>
      </c>
      <c r="AG97" s="5">
        <f t="shared" si="107"/>
        <v>0</v>
      </c>
      <c r="AH97" s="28" t="str">
        <f t="shared" si="108"/>
        <v/>
      </c>
      <c r="AI97" s="4"/>
      <c r="AJ97" s="5">
        <f t="shared" si="109"/>
        <v>0</v>
      </c>
    </row>
    <row r="98" ht="13.5" customHeight="1">
      <c r="A98" s="25" t="s">
        <v>123</v>
      </c>
      <c r="B98" s="5">
        <v>0.0</v>
      </c>
      <c r="C98" s="5">
        <v>0.0</v>
      </c>
      <c r="D98" s="5">
        <v>0.0</v>
      </c>
      <c r="E98" s="5">
        <v>0.0</v>
      </c>
      <c r="F98" s="5">
        <v>0.0</v>
      </c>
      <c r="G98" s="5">
        <v>0.0</v>
      </c>
      <c r="H98" s="5">
        <v>0.0</v>
      </c>
      <c r="I98" s="5">
        <v>0.0</v>
      </c>
      <c r="J98" s="27">
        <v>0.0</v>
      </c>
      <c r="K98" s="27">
        <v>0.0</v>
      </c>
      <c r="L98" s="27">
        <v>0.0</v>
      </c>
      <c r="M98" s="27">
        <v>0.0</v>
      </c>
      <c r="N98" s="5">
        <f t="shared" si="104"/>
        <v>0</v>
      </c>
      <c r="O98" s="28" t="str">
        <f t="shared" si="105"/>
        <v/>
      </c>
      <c r="P98" s="5"/>
      <c r="Q98" s="5"/>
      <c r="R98" s="29" t="s">
        <v>34</v>
      </c>
      <c r="S98" s="30">
        <v>0.0</v>
      </c>
      <c r="T98" s="31">
        <v>0.05</v>
      </c>
      <c r="U98" s="26">
        <f t="shared" ref="U98:AF98" si="125">IF($R98="Manual","",IFERROR(IF($R98="YOY Growth",$N98*(1+$T98)/12,$S98/12),""))</f>
        <v>0</v>
      </c>
      <c r="V98" s="26">
        <f t="shared" si="125"/>
        <v>0</v>
      </c>
      <c r="W98" s="26">
        <f t="shared" si="125"/>
        <v>0</v>
      </c>
      <c r="X98" s="26">
        <f t="shared" si="125"/>
        <v>0</v>
      </c>
      <c r="Y98" s="26">
        <f t="shared" si="125"/>
        <v>0</v>
      </c>
      <c r="Z98" s="26">
        <f t="shared" si="125"/>
        <v>0</v>
      </c>
      <c r="AA98" s="26">
        <f t="shared" si="125"/>
        <v>0</v>
      </c>
      <c r="AB98" s="26">
        <f t="shared" si="125"/>
        <v>0</v>
      </c>
      <c r="AC98" s="26">
        <f t="shared" si="125"/>
        <v>0</v>
      </c>
      <c r="AD98" s="26">
        <f t="shared" si="125"/>
        <v>0</v>
      </c>
      <c r="AE98" s="26">
        <f t="shared" si="125"/>
        <v>0</v>
      </c>
      <c r="AF98" s="26">
        <f t="shared" si="125"/>
        <v>0</v>
      </c>
      <c r="AG98" s="5">
        <f t="shared" si="107"/>
        <v>0</v>
      </c>
      <c r="AH98" s="28" t="str">
        <f t="shared" si="108"/>
        <v/>
      </c>
      <c r="AI98" s="4"/>
      <c r="AJ98" s="5">
        <f t="shared" si="109"/>
        <v>0</v>
      </c>
    </row>
    <row r="99" ht="13.5" customHeight="1">
      <c r="A99" s="25" t="s">
        <v>124</v>
      </c>
      <c r="B99" s="5">
        <v>55.0</v>
      </c>
      <c r="C99" s="5">
        <v>20.0</v>
      </c>
      <c r="D99" s="5">
        <v>80.0</v>
      </c>
      <c r="E99" s="5">
        <v>0.0</v>
      </c>
      <c r="F99" s="5">
        <v>20.0</v>
      </c>
      <c r="G99" s="5">
        <v>0.0</v>
      </c>
      <c r="H99" s="5">
        <v>0.0</v>
      </c>
      <c r="I99" s="5">
        <v>0.0</v>
      </c>
      <c r="J99" s="27">
        <v>100.0</v>
      </c>
      <c r="K99" s="27">
        <v>100.0</v>
      </c>
      <c r="L99" s="27">
        <v>100.0</v>
      </c>
      <c r="M99" s="27">
        <v>100.0</v>
      </c>
      <c r="N99" s="5">
        <f t="shared" si="104"/>
        <v>575</v>
      </c>
      <c r="O99" s="28" t="str">
        <f t="shared" si="105"/>
        <v/>
      </c>
      <c r="P99" s="5"/>
      <c r="Q99" s="5"/>
      <c r="R99" s="29" t="s">
        <v>34</v>
      </c>
      <c r="S99" s="30">
        <v>0.0</v>
      </c>
      <c r="T99" s="31">
        <v>0.05</v>
      </c>
      <c r="U99" s="26">
        <f t="shared" ref="U99:AF99" si="126">IF($R99="Manual","",IFERROR(IF($R99="YOY Growth",$N99*(1+$T99)/12,$S99/12),""))</f>
        <v>0</v>
      </c>
      <c r="V99" s="26">
        <f t="shared" si="126"/>
        <v>0</v>
      </c>
      <c r="W99" s="26">
        <f t="shared" si="126"/>
        <v>0</v>
      </c>
      <c r="X99" s="26">
        <f t="shared" si="126"/>
        <v>0</v>
      </c>
      <c r="Y99" s="26">
        <f t="shared" si="126"/>
        <v>0</v>
      </c>
      <c r="Z99" s="26">
        <f t="shared" si="126"/>
        <v>0</v>
      </c>
      <c r="AA99" s="26">
        <f t="shared" si="126"/>
        <v>0</v>
      </c>
      <c r="AB99" s="26">
        <f t="shared" si="126"/>
        <v>0</v>
      </c>
      <c r="AC99" s="26">
        <f t="shared" si="126"/>
        <v>0</v>
      </c>
      <c r="AD99" s="26">
        <f t="shared" si="126"/>
        <v>0</v>
      </c>
      <c r="AE99" s="26">
        <f t="shared" si="126"/>
        <v>0</v>
      </c>
      <c r="AF99" s="26">
        <f t="shared" si="126"/>
        <v>0</v>
      </c>
      <c r="AG99" s="5">
        <f t="shared" si="107"/>
        <v>0</v>
      </c>
      <c r="AH99" s="28" t="str">
        <f t="shared" si="108"/>
        <v/>
      </c>
      <c r="AI99" s="4"/>
      <c r="AJ99" s="5">
        <f t="shared" si="109"/>
        <v>575</v>
      </c>
    </row>
    <row r="100" ht="13.5" customHeight="1">
      <c r="A100" s="25" t="s">
        <v>126</v>
      </c>
      <c r="B100" s="5">
        <v>0.0</v>
      </c>
      <c r="C100" s="5">
        <v>0.0</v>
      </c>
      <c r="D100" s="5">
        <v>0.0</v>
      </c>
      <c r="E100" s="5">
        <v>0.0</v>
      </c>
      <c r="F100" s="5">
        <v>0.0</v>
      </c>
      <c r="G100" s="5">
        <v>0.0</v>
      </c>
      <c r="H100" s="5">
        <v>0.0</v>
      </c>
      <c r="I100" s="5">
        <v>0.0</v>
      </c>
      <c r="J100" s="27">
        <v>0.0</v>
      </c>
      <c r="K100" s="27">
        <v>0.0</v>
      </c>
      <c r="L100" s="27">
        <v>0.0</v>
      </c>
      <c r="M100" s="27">
        <v>0.0</v>
      </c>
      <c r="N100" s="5">
        <f t="shared" si="104"/>
        <v>0</v>
      </c>
      <c r="O100" s="28" t="str">
        <f t="shared" si="105"/>
        <v/>
      </c>
      <c r="P100" s="5"/>
      <c r="Q100" s="5"/>
      <c r="R100" s="29" t="s">
        <v>34</v>
      </c>
      <c r="S100" s="30">
        <v>0.0</v>
      </c>
      <c r="T100" s="31">
        <v>0.05</v>
      </c>
      <c r="U100" s="26">
        <f t="shared" ref="U100:AF100" si="127">IF($R100="Manual","",IFERROR(IF($R100="YOY Growth",$N100*(1+$T100)/12,$S100/12),""))</f>
        <v>0</v>
      </c>
      <c r="V100" s="26">
        <f t="shared" si="127"/>
        <v>0</v>
      </c>
      <c r="W100" s="26">
        <f t="shared" si="127"/>
        <v>0</v>
      </c>
      <c r="X100" s="26">
        <f t="shared" si="127"/>
        <v>0</v>
      </c>
      <c r="Y100" s="26">
        <f t="shared" si="127"/>
        <v>0</v>
      </c>
      <c r="Z100" s="26">
        <f t="shared" si="127"/>
        <v>0</v>
      </c>
      <c r="AA100" s="26">
        <f t="shared" si="127"/>
        <v>0</v>
      </c>
      <c r="AB100" s="26">
        <f t="shared" si="127"/>
        <v>0</v>
      </c>
      <c r="AC100" s="26">
        <f t="shared" si="127"/>
        <v>0</v>
      </c>
      <c r="AD100" s="26">
        <f t="shared" si="127"/>
        <v>0</v>
      </c>
      <c r="AE100" s="26">
        <f t="shared" si="127"/>
        <v>0</v>
      </c>
      <c r="AF100" s="26">
        <f t="shared" si="127"/>
        <v>0</v>
      </c>
      <c r="AG100" s="5">
        <f t="shared" si="107"/>
        <v>0</v>
      </c>
      <c r="AH100" s="28" t="str">
        <f t="shared" si="108"/>
        <v/>
      </c>
      <c r="AI100" s="4"/>
      <c r="AJ100" s="5">
        <f t="shared" si="109"/>
        <v>0</v>
      </c>
    </row>
    <row r="101" ht="13.5" customHeight="1">
      <c r="A101" s="25" t="s">
        <v>128</v>
      </c>
      <c r="B101" s="5">
        <v>0.0</v>
      </c>
      <c r="C101" s="5">
        <v>0.0</v>
      </c>
      <c r="D101" s="5">
        <v>67.12</v>
      </c>
      <c r="E101" s="5">
        <v>0.0</v>
      </c>
      <c r="F101" s="5">
        <v>0.0</v>
      </c>
      <c r="G101" s="5">
        <v>0.0</v>
      </c>
      <c r="H101" s="5">
        <v>0.0</v>
      </c>
      <c r="I101" s="5">
        <v>0.0</v>
      </c>
      <c r="J101" s="27">
        <v>0.0</v>
      </c>
      <c r="K101" s="27">
        <v>0.0</v>
      </c>
      <c r="L101" s="27">
        <v>0.0</v>
      </c>
      <c r="M101" s="27">
        <v>0.0</v>
      </c>
      <c r="N101" s="5">
        <f t="shared" si="104"/>
        <v>67.12</v>
      </c>
      <c r="O101" s="28" t="str">
        <f t="shared" si="105"/>
        <v/>
      </c>
      <c r="P101" s="5"/>
      <c r="Q101" s="5"/>
      <c r="R101" s="29" t="s">
        <v>34</v>
      </c>
      <c r="S101" s="30">
        <v>0.0</v>
      </c>
      <c r="T101" s="31">
        <v>0.05</v>
      </c>
      <c r="U101" s="26">
        <f t="shared" ref="U101:AF101" si="128">IF($R101="Manual","",IFERROR(IF($R101="YOY Growth",$N101*(1+$T101)/12,$S101/12),""))</f>
        <v>0</v>
      </c>
      <c r="V101" s="26">
        <f t="shared" si="128"/>
        <v>0</v>
      </c>
      <c r="W101" s="26">
        <f t="shared" si="128"/>
        <v>0</v>
      </c>
      <c r="X101" s="26">
        <f t="shared" si="128"/>
        <v>0</v>
      </c>
      <c r="Y101" s="26">
        <f t="shared" si="128"/>
        <v>0</v>
      </c>
      <c r="Z101" s="26">
        <f t="shared" si="128"/>
        <v>0</v>
      </c>
      <c r="AA101" s="26">
        <f t="shared" si="128"/>
        <v>0</v>
      </c>
      <c r="AB101" s="26">
        <f t="shared" si="128"/>
        <v>0</v>
      </c>
      <c r="AC101" s="26">
        <f t="shared" si="128"/>
        <v>0</v>
      </c>
      <c r="AD101" s="26">
        <f t="shared" si="128"/>
        <v>0</v>
      </c>
      <c r="AE101" s="26">
        <f t="shared" si="128"/>
        <v>0</v>
      </c>
      <c r="AF101" s="26">
        <f t="shared" si="128"/>
        <v>0</v>
      </c>
      <c r="AG101" s="5">
        <f t="shared" si="107"/>
        <v>0</v>
      </c>
      <c r="AH101" s="28" t="str">
        <f t="shared" si="108"/>
        <v/>
      </c>
      <c r="AI101" s="4"/>
      <c r="AJ101" s="5">
        <f t="shared" si="109"/>
        <v>67.12</v>
      </c>
    </row>
    <row r="102" ht="13.5" customHeight="1">
      <c r="A102" s="25" t="s">
        <v>129</v>
      </c>
      <c r="B102" s="5">
        <v>0.0</v>
      </c>
      <c r="C102" s="5">
        <v>1.7</v>
      </c>
      <c r="D102" s="5">
        <v>0.0</v>
      </c>
      <c r="E102" s="5">
        <v>0.0</v>
      </c>
      <c r="F102" s="5">
        <v>0.0</v>
      </c>
      <c r="G102" s="5">
        <v>10.06</v>
      </c>
      <c r="H102" s="5">
        <v>0.0</v>
      </c>
      <c r="I102" s="5">
        <v>0.0</v>
      </c>
      <c r="J102" s="27">
        <v>0.0</v>
      </c>
      <c r="K102" s="27">
        <v>0.0</v>
      </c>
      <c r="L102" s="27">
        <v>0.0</v>
      </c>
      <c r="M102" s="27">
        <v>0.0</v>
      </c>
      <c r="N102" s="5">
        <f t="shared" si="104"/>
        <v>11.76</v>
      </c>
      <c r="O102" s="28" t="str">
        <f t="shared" si="105"/>
        <v/>
      </c>
      <c r="P102" s="5"/>
      <c r="Q102" s="5"/>
      <c r="R102" s="29" t="s">
        <v>34</v>
      </c>
      <c r="S102" s="30">
        <v>0.0</v>
      </c>
      <c r="T102" s="31">
        <v>0.05</v>
      </c>
      <c r="U102" s="26">
        <f t="shared" ref="U102:AF102" si="129">IF($R102="Manual","",IFERROR(IF($R102="YOY Growth",$N102*(1+$T102)/12,$S102/12),""))</f>
        <v>0</v>
      </c>
      <c r="V102" s="26">
        <f t="shared" si="129"/>
        <v>0</v>
      </c>
      <c r="W102" s="26">
        <f t="shared" si="129"/>
        <v>0</v>
      </c>
      <c r="X102" s="26">
        <f t="shared" si="129"/>
        <v>0</v>
      </c>
      <c r="Y102" s="26">
        <f t="shared" si="129"/>
        <v>0</v>
      </c>
      <c r="Z102" s="26">
        <f t="shared" si="129"/>
        <v>0</v>
      </c>
      <c r="AA102" s="26">
        <f t="shared" si="129"/>
        <v>0</v>
      </c>
      <c r="AB102" s="26">
        <f t="shared" si="129"/>
        <v>0</v>
      </c>
      <c r="AC102" s="26">
        <f t="shared" si="129"/>
        <v>0</v>
      </c>
      <c r="AD102" s="26">
        <f t="shared" si="129"/>
        <v>0</v>
      </c>
      <c r="AE102" s="26">
        <f t="shared" si="129"/>
        <v>0</v>
      </c>
      <c r="AF102" s="26">
        <f t="shared" si="129"/>
        <v>0</v>
      </c>
      <c r="AG102" s="5">
        <f t="shared" si="107"/>
        <v>0</v>
      </c>
      <c r="AH102" s="28" t="str">
        <f t="shared" si="108"/>
        <v/>
      </c>
      <c r="AI102" s="4"/>
      <c r="AJ102" s="5">
        <f t="shared" si="109"/>
        <v>11.76</v>
      </c>
    </row>
    <row r="103" ht="13.5" customHeight="1">
      <c r="A103" s="25" t="s">
        <v>130</v>
      </c>
      <c r="B103" s="5">
        <v>0.0</v>
      </c>
      <c r="C103" s="5">
        <v>0.0</v>
      </c>
      <c r="D103" s="5">
        <v>0.0</v>
      </c>
      <c r="E103" s="5">
        <v>0.0</v>
      </c>
      <c r="F103" s="5">
        <v>0.0</v>
      </c>
      <c r="G103" s="5">
        <v>0.0</v>
      </c>
      <c r="H103" s="5">
        <v>0.0</v>
      </c>
      <c r="I103" s="5">
        <v>0.0</v>
      </c>
      <c r="J103" s="27">
        <v>0.0</v>
      </c>
      <c r="K103" s="27">
        <v>0.0</v>
      </c>
      <c r="L103" s="27">
        <v>0.0</v>
      </c>
      <c r="M103" s="27">
        <v>0.0</v>
      </c>
      <c r="N103" s="5">
        <f t="shared" si="104"/>
        <v>0</v>
      </c>
      <c r="O103" s="28" t="str">
        <f t="shared" si="105"/>
        <v/>
      </c>
      <c r="P103" s="5"/>
      <c r="Q103" s="5"/>
      <c r="R103" s="29" t="s">
        <v>34</v>
      </c>
      <c r="S103" s="30">
        <v>0.0</v>
      </c>
      <c r="T103" s="31">
        <v>0.05</v>
      </c>
      <c r="U103" s="26">
        <f t="shared" ref="U103:AF103" si="130">IF($R103="Manual","",IFERROR(IF($R103="YOY Growth",$N103*(1+$T103)/12,$S103/12),""))</f>
        <v>0</v>
      </c>
      <c r="V103" s="26">
        <f t="shared" si="130"/>
        <v>0</v>
      </c>
      <c r="W103" s="26">
        <f t="shared" si="130"/>
        <v>0</v>
      </c>
      <c r="X103" s="26">
        <f t="shared" si="130"/>
        <v>0</v>
      </c>
      <c r="Y103" s="26">
        <f t="shared" si="130"/>
        <v>0</v>
      </c>
      <c r="Z103" s="26">
        <f t="shared" si="130"/>
        <v>0</v>
      </c>
      <c r="AA103" s="26">
        <f t="shared" si="130"/>
        <v>0</v>
      </c>
      <c r="AB103" s="26">
        <f t="shared" si="130"/>
        <v>0</v>
      </c>
      <c r="AC103" s="26">
        <f t="shared" si="130"/>
        <v>0</v>
      </c>
      <c r="AD103" s="26">
        <f t="shared" si="130"/>
        <v>0</v>
      </c>
      <c r="AE103" s="26">
        <f t="shared" si="130"/>
        <v>0</v>
      </c>
      <c r="AF103" s="26">
        <f t="shared" si="130"/>
        <v>0</v>
      </c>
      <c r="AG103" s="5">
        <f t="shared" si="107"/>
        <v>0</v>
      </c>
      <c r="AH103" s="28" t="str">
        <f t="shared" si="108"/>
        <v/>
      </c>
      <c r="AI103" s="4"/>
      <c r="AJ103" s="5">
        <f t="shared" si="109"/>
        <v>0</v>
      </c>
    </row>
    <row r="104" ht="13.5" customHeight="1">
      <c r="A104" s="25" t="s">
        <v>131</v>
      </c>
      <c r="B104" s="5">
        <v>0.0</v>
      </c>
      <c r="C104" s="5">
        <v>0.0</v>
      </c>
      <c r="D104" s="5">
        <v>0.0</v>
      </c>
      <c r="E104" s="5">
        <v>0.0</v>
      </c>
      <c r="F104" s="5">
        <v>0.0</v>
      </c>
      <c r="G104" s="5">
        <v>0.0</v>
      </c>
      <c r="H104" s="5">
        <v>0.0</v>
      </c>
      <c r="I104" s="5">
        <v>0.0</v>
      </c>
      <c r="J104" s="27">
        <v>0.0</v>
      </c>
      <c r="K104" s="27">
        <v>0.0</v>
      </c>
      <c r="L104" s="27">
        <v>0.0</v>
      </c>
      <c r="M104" s="27">
        <v>0.0</v>
      </c>
      <c r="N104" s="5">
        <f t="shared" si="104"/>
        <v>0</v>
      </c>
      <c r="O104" s="28" t="str">
        <f t="shared" si="105"/>
        <v/>
      </c>
      <c r="P104" s="5"/>
      <c r="Q104" s="5"/>
      <c r="R104" s="29" t="s">
        <v>34</v>
      </c>
      <c r="S104" s="30">
        <v>0.0</v>
      </c>
      <c r="T104" s="31">
        <v>0.05</v>
      </c>
      <c r="U104" s="26">
        <f t="shared" ref="U104:AF104" si="131">IF($R104="Manual","",IFERROR(IF($R104="YOY Growth",$N104*(1+$T104)/12,$S104/12),""))</f>
        <v>0</v>
      </c>
      <c r="V104" s="26">
        <f t="shared" si="131"/>
        <v>0</v>
      </c>
      <c r="W104" s="26">
        <f t="shared" si="131"/>
        <v>0</v>
      </c>
      <c r="X104" s="26">
        <f t="shared" si="131"/>
        <v>0</v>
      </c>
      <c r="Y104" s="26">
        <f t="shared" si="131"/>
        <v>0</v>
      </c>
      <c r="Z104" s="26">
        <f t="shared" si="131"/>
        <v>0</v>
      </c>
      <c r="AA104" s="26">
        <f t="shared" si="131"/>
        <v>0</v>
      </c>
      <c r="AB104" s="26">
        <f t="shared" si="131"/>
        <v>0</v>
      </c>
      <c r="AC104" s="26">
        <f t="shared" si="131"/>
        <v>0</v>
      </c>
      <c r="AD104" s="26">
        <f t="shared" si="131"/>
        <v>0</v>
      </c>
      <c r="AE104" s="26">
        <f t="shared" si="131"/>
        <v>0</v>
      </c>
      <c r="AF104" s="26">
        <f t="shared" si="131"/>
        <v>0</v>
      </c>
      <c r="AG104" s="5">
        <f t="shared" si="107"/>
        <v>0</v>
      </c>
      <c r="AH104" s="28" t="str">
        <f t="shared" si="108"/>
        <v/>
      </c>
      <c r="AI104" s="4"/>
      <c r="AJ104" s="5">
        <f t="shared" si="109"/>
        <v>0</v>
      </c>
    </row>
    <row r="105" ht="13.5" customHeight="1">
      <c r="A105" s="25" t="s">
        <v>132</v>
      </c>
      <c r="B105" s="5">
        <v>0.0</v>
      </c>
      <c r="C105" s="5">
        <v>0.0</v>
      </c>
      <c r="D105" s="5">
        <v>0.0</v>
      </c>
      <c r="E105" s="5">
        <v>0.0</v>
      </c>
      <c r="F105" s="5">
        <v>0.0</v>
      </c>
      <c r="G105" s="5">
        <v>0.0</v>
      </c>
      <c r="H105" s="5">
        <v>0.0</v>
      </c>
      <c r="I105" s="5">
        <v>0.0</v>
      </c>
      <c r="J105" s="27">
        <v>0.0</v>
      </c>
      <c r="K105" s="27">
        <v>0.0</v>
      </c>
      <c r="L105" s="27">
        <v>0.0</v>
      </c>
      <c r="M105" s="27">
        <v>0.0</v>
      </c>
      <c r="N105" s="5">
        <f t="shared" si="104"/>
        <v>0</v>
      </c>
      <c r="O105" s="28" t="str">
        <f t="shared" si="105"/>
        <v/>
      </c>
      <c r="P105" s="5"/>
      <c r="Q105" s="5"/>
      <c r="R105" s="29" t="s">
        <v>34</v>
      </c>
      <c r="S105" s="30">
        <v>0.0</v>
      </c>
      <c r="T105" s="31">
        <v>0.05</v>
      </c>
      <c r="U105" s="26">
        <f t="shared" ref="U105:AF105" si="132">IF($R105="Manual","",IFERROR(IF($R105="YOY Growth",$N105*(1+$T105)/12,$S105/12),""))</f>
        <v>0</v>
      </c>
      <c r="V105" s="26">
        <f t="shared" si="132"/>
        <v>0</v>
      </c>
      <c r="W105" s="26">
        <f t="shared" si="132"/>
        <v>0</v>
      </c>
      <c r="X105" s="26">
        <f t="shared" si="132"/>
        <v>0</v>
      </c>
      <c r="Y105" s="26">
        <f t="shared" si="132"/>
        <v>0</v>
      </c>
      <c r="Z105" s="26">
        <f t="shared" si="132"/>
        <v>0</v>
      </c>
      <c r="AA105" s="26">
        <f t="shared" si="132"/>
        <v>0</v>
      </c>
      <c r="AB105" s="26">
        <f t="shared" si="132"/>
        <v>0</v>
      </c>
      <c r="AC105" s="26">
        <f t="shared" si="132"/>
        <v>0</v>
      </c>
      <c r="AD105" s="26">
        <f t="shared" si="132"/>
        <v>0</v>
      </c>
      <c r="AE105" s="26">
        <f t="shared" si="132"/>
        <v>0</v>
      </c>
      <c r="AF105" s="26">
        <f t="shared" si="132"/>
        <v>0</v>
      </c>
      <c r="AG105" s="5">
        <f t="shared" si="107"/>
        <v>0</v>
      </c>
      <c r="AH105" s="28" t="str">
        <f t="shared" si="108"/>
        <v/>
      </c>
      <c r="AI105" s="4"/>
      <c r="AJ105" s="5">
        <f t="shared" si="109"/>
        <v>0</v>
      </c>
    </row>
    <row r="106" ht="13.5" customHeight="1">
      <c r="A106" s="25" t="s">
        <v>133</v>
      </c>
      <c r="B106" s="5">
        <v>917.16</v>
      </c>
      <c r="C106" s="5">
        <v>0.0</v>
      </c>
      <c r="D106" s="5">
        <v>0.0</v>
      </c>
      <c r="E106" s="5">
        <v>0.0</v>
      </c>
      <c r="F106" s="5">
        <v>0.0</v>
      </c>
      <c r="G106" s="5">
        <v>0.0</v>
      </c>
      <c r="H106" s="5">
        <v>0.0</v>
      </c>
      <c r="I106" s="5">
        <v>0.0</v>
      </c>
      <c r="J106" s="27">
        <v>0.0</v>
      </c>
      <c r="K106" s="27">
        <v>0.0</v>
      </c>
      <c r="L106" s="27">
        <v>0.0</v>
      </c>
      <c r="M106" s="27">
        <v>0.0</v>
      </c>
      <c r="N106" s="5">
        <f t="shared" si="104"/>
        <v>917.16</v>
      </c>
      <c r="O106" s="28" t="str">
        <f t="shared" si="105"/>
        <v/>
      </c>
      <c r="P106" s="5"/>
      <c r="Q106" s="5"/>
      <c r="R106" s="29" t="s">
        <v>34</v>
      </c>
      <c r="S106" s="30">
        <v>0.0</v>
      </c>
      <c r="T106" s="31">
        <v>0.05</v>
      </c>
      <c r="U106" s="26">
        <f t="shared" ref="U106:AF106" si="133">IF($R106="Manual","",IFERROR(IF($R106="YOY Growth",$N106*(1+$T106)/12,$S106/12),""))</f>
        <v>0</v>
      </c>
      <c r="V106" s="26">
        <f t="shared" si="133"/>
        <v>0</v>
      </c>
      <c r="W106" s="26">
        <f t="shared" si="133"/>
        <v>0</v>
      </c>
      <c r="X106" s="26">
        <f t="shared" si="133"/>
        <v>0</v>
      </c>
      <c r="Y106" s="26">
        <f t="shared" si="133"/>
        <v>0</v>
      </c>
      <c r="Z106" s="26">
        <f t="shared" si="133"/>
        <v>0</v>
      </c>
      <c r="AA106" s="26">
        <f t="shared" si="133"/>
        <v>0</v>
      </c>
      <c r="AB106" s="26">
        <f t="shared" si="133"/>
        <v>0</v>
      </c>
      <c r="AC106" s="26">
        <f t="shared" si="133"/>
        <v>0</v>
      </c>
      <c r="AD106" s="26">
        <f t="shared" si="133"/>
        <v>0</v>
      </c>
      <c r="AE106" s="26">
        <f t="shared" si="133"/>
        <v>0</v>
      </c>
      <c r="AF106" s="26">
        <f t="shared" si="133"/>
        <v>0</v>
      </c>
      <c r="AG106" s="5">
        <f t="shared" si="107"/>
        <v>0</v>
      </c>
      <c r="AH106" s="28" t="str">
        <f t="shared" si="108"/>
        <v/>
      </c>
      <c r="AI106" s="4"/>
      <c r="AJ106" s="5">
        <f t="shared" si="109"/>
        <v>917.16</v>
      </c>
    </row>
    <row r="107" ht="13.5" customHeight="1">
      <c r="A107" s="25" t="s">
        <v>135</v>
      </c>
      <c r="B107" s="5">
        <v>0.0</v>
      </c>
      <c r="C107" s="5">
        <v>0.0</v>
      </c>
      <c r="D107" s="5">
        <v>0.0</v>
      </c>
      <c r="E107" s="5">
        <v>0.0</v>
      </c>
      <c r="F107" s="5">
        <v>0.0</v>
      </c>
      <c r="G107" s="5">
        <v>0.0</v>
      </c>
      <c r="H107" s="5">
        <v>0.0</v>
      </c>
      <c r="I107" s="5">
        <v>0.0</v>
      </c>
      <c r="J107" s="27">
        <v>0.0</v>
      </c>
      <c r="K107" s="27">
        <v>0.0</v>
      </c>
      <c r="L107" s="27">
        <v>0.0</v>
      </c>
      <c r="M107" s="27">
        <v>0.0</v>
      </c>
      <c r="N107" s="5">
        <f t="shared" si="104"/>
        <v>0</v>
      </c>
      <c r="O107" s="28" t="str">
        <f t="shared" si="105"/>
        <v/>
      </c>
      <c r="P107" s="5"/>
      <c r="Q107" s="5"/>
      <c r="R107" s="29" t="s">
        <v>34</v>
      </c>
      <c r="S107" s="30">
        <v>0.0</v>
      </c>
      <c r="T107" s="31">
        <v>0.05</v>
      </c>
      <c r="U107" s="26">
        <f t="shared" ref="U107:AF107" si="134">IF($R107="Manual","",IFERROR(IF($R107="YOY Growth",$N107*(1+$T107)/12,$S107/12),""))</f>
        <v>0</v>
      </c>
      <c r="V107" s="26">
        <f t="shared" si="134"/>
        <v>0</v>
      </c>
      <c r="W107" s="26">
        <f t="shared" si="134"/>
        <v>0</v>
      </c>
      <c r="X107" s="26">
        <f t="shared" si="134"/>
        <v>0</v>
      </c>
      <c r="Y107" s="26">
        <f t="shared" si="134"/>
        <v>0</v>
      </c>
      <c r="Z107" s="26">
        <f t="shared" si="134"/>
        <v>0</v>
      </c>
      <c r="AA107" s="26">
        <f t="shared" si="134"/>
        <v>0</v>
      </c>
      <c r="AB107" s="26">
        <f t="shared" si="134"/>
        <v>0</v>
      </c>
      <c r="AC107" s="26">
        <f t="shared" si="134"/>
        <v>0</v>
      </c>
      <c r="AD107" s="26">
        <f t="shared" si="134"/>
        <v>0</v>
      </c>
      <c r="AE107" s="26">
        <f t="shared" si="134"/>
        <v>0</v>
      </c>
      <c r="AF107" s="26">
        <f t="shared" si="134"/>
        <v>0</v>
      </c>
      <c r="AG107" s="5">
        <f t="shared" si="107"/>
        <v>0</v>
      </c>
      <c r="AH107" s="28" t="str">
        <f t="shared" si="108"/>
        <v/>
      </c>
      <c r="AI107" s="4"/>
      <c r="AJ107" s="5">
        <f t="shared" si="109"/>
        <v>0</v>
      </c>
    </row>
    <row r="108" ht="13.5" customHeight="1">
      <c r="A108" s="25" t="s">
        <v>136</v>
      </c>
      <c r="B108" s="5">
        <v>0.0</v>
      </c>
      <c r="C108" s="5">
        <v>0.0</v>
      </c>
      <c r="D108" s="5">
        <v>0.0</v>
      </c>
      <c r="E108" s="5">
        <v>0.0</v>
      </c>
      <c r="F108" s="5">
        <v>0.0</v>
      </c>
      <c r="G108" s="5">
        <v>0.0</v>
      </c>
      <c r="H108" s="5">
        <v>0.0</v>
      </c>
      <c r="I108" s="5">
        <v>0.0</v>
      </c>
      <c r="J108" s="27">
        <v>0.0</v>
      </c>
      <c r="K108" s="27">
        <v>0.0</v>
      </c>
      <c r="L108" s="27">
        <v>0.0</v>
      </c>
      <c r="M108" s="27">
        <v>0.0</v>
      </c>
      <c r="N108" s="5">
        <f t="shared" si="104"/>
        <v>0</v>
      </c>
      <c r="O108" s="28" t="str">
        <f t="shared" si="105"/>
        <v/>
      </c>
      <c r="P108" s="5"/>
      <c r="Q108" s="5"/>
      <c r="R108" s="29" t="s">
        <v>34</v>
      </c>
      <c r="S108" s="30">
        <v>0.0</v>
      </c>
      <c r="T108" s="31">
        <v>0.05</v>
      </c>
      <c r="U108" s="26">
        <f t="shared" ref="U108:AF108" si="135">IF($R108="Manual","",IFERROR(IF($R108="YOY Growth",$N108*(1+$T108)/12,$S108/12),""))</f>
        <v>0</v>
      </c>
      <c r="V108" s="26">
        <f t="shared" si="135"/>
        <v>0</v>
      </c>
      <c r="W108" s="26">
        <f t="shared" si="135"/>
        <v>0</v>
      </c>
      <c r="X108" s="26">
        <f t="shared" si="135"/>
        <v>0</v>
      </c>
      <c r="Y108" s="26">
        <f t="shared" si="135"/>
        <v>0</v>
      </c>
      <c r="Z108" s="26">
        <f t="shared" si="135"/>
        <v>0</v>
      </c>
      <c r="AA108" s="26">
        <f t="shared" si="135"/>
        <v>0</v>
      </c>
      <c r="AB108" s="26">
        <f t="shared" si="135"/>
        <v>0</v>
      </c>
      <c r="AC108" s="26">
        <f t="shared" si="135"/>
        <v>0</v>
      </c>
      <c r="AD108" s="26">
        <f t="shared" si="135"/>
        <v>0</v>
      </c>
      <c r="AE108" s="26">
        <f t="shared" si="135"/>
        <v>0</v>
      </c>
      <c r="AF108" s="26">
        <f t="shared" si="135"/>
        <v>0</v>
      </c>
      <c r="AG108" s="5">
        <f t="shared" si="107"/>
        <v>0</v>
      </c>
      <c r="AH108" s="28" t="str">
        <f t="shared" si="108"/>
        <v/>
      </c>
      <c r="AI108" s="4"/>
      <c r="AJ108" s="5">
        <f t="shared" si="109"/>
        <v>0</v>
      </c>
    </row>
    <row r="109" ht="13.5" customHeight="1">
      <c r="A109" s="25" t="s">
        <v>137</v>
      </c>
      <c r="B109" s="5">
        <v>0.0</v>
      </c>
      <c r="C109" s="5">
        <v>0.0</v>
      </c>
      <c r="D109" s="5">
        <v>0.0</v>
      </c>
      <c r="E109" s="5">
        <v>0.0</v>
      </c>
      <c r="F109" s="5">
        <v>0.0</v>
      </c>
      <c r="G109" s="5">
        <v>0.0</v>
      </c>
      <c r="H109" s="5">
        <v>0.0</v>
      </c>
      <c r="I109" s="5">
        <v>0.0</v>
      </c>
      <c r="J109" s="27">
        <v>0.0</v>
      </c>
      <c r="K109" s="27">
        <v>0.0</v>
      </c>
      <c r="L109" s="27">
        <v>0.0</v>
      </c>
      <c r="M109" s="27">
        <v>0.0</v>
      </c>
      <c r="N109" s="5">
        <f t="shared" si="104"/>
        <v>0</v>
      </c>
      <c r="O109" s="28" t="str">
        <f t="shared" si="105"/>
        <v/>
      </c>
      <c r="P109" s="5"/>
      <c r="Q109" s="5"/>
      <c r="R109" s="29" t="s">
        <v>34</v>
      </c>
      <c r="S109" s="30">
        <v>0.0</v>
      </c>
      <c r="T109" s="31">
        <v>0.05</v>
      </c>
      <c r="U109" s="26">
        <f t="shared" ref="U109:AF109" si="136">IF($R109="Manual","",IFERROR(IF($R109="YOY Growth",$N109*(1+$T109)/12,$S109/12),""))</f>
        <v>0</v>
      </c>
      <c r="V109" s="26">
        <f t="shared" si="136"/>
        <v>0</v>
      </c>
      <c r="W109" s="26">
        <f t="shared" si="136"/>
        <v>0</v>
      </c>
      <c r="X109" s="26">
        <f t="shared" si="136"/>
        <v>0</v>
      </c>
      <c r="Y109" s="26">
        <f t="shared" si="136"/>
        <v>0</v>
      </c>
      <c r="Z109" s="26">
        <f t="shared" si="136"/>
        <v>0</v>
      </c>
      <c r="AA109" s="26">
        <f t="shared" si="136"/>
        <v>0</v>
      </c>
      <c r="AB109" s="26">
        <f t="shared" si="136"/>
        <v>0</v>
      </c>
      <c r="AC109" s="26">
        <f t="shared" si="136"/>
        <v>0</v>
      </c>
      <c r="AD109" s="26">
        <f t="shared" si="136"/>
        <v>0</v>
      </c>
      <c r="AE109" s="26">
        <f t="shared" si="136"/>
        <v>0</v>
      </c>
      <c r="AF109" s="26">
        <f t="shared" si="136"/>
        <v>0</v>
      </c>
      <c r="AG109" s="5">
        <f t="shared" si="107"/>
        <v>0</v>
      </c>
      <c r="AH109" s="28" t="str">
        <f t="shared" si="108"/>
        <v/>
      </c>
      <c r="AI109" s="4"/>
      <c r="AJ109" s="5">
        <f t="shared" si="109"/>
        <v>0</v>
      </c>
    </row>
    <row r="110" ht="13.5" customHeight="1">
      <c r="A110" s="25" t="s">
        <v>138</v>
      </c>
      <c r="B110" s="5">
        <v>0.0</v>
      </c>
      <c r="C110" s="5">
        <v>0.0</v>
      </c>
      <c r="D110" s="5">
        <v>0.0</v>
      </c>
      <c r="E110" s="5">
        <v>0.0</v>
      </c>
      <c r="F110" s="5">
        <v>0.0</v>
      </c>
      <c r="G110" s="5">
        <v>6515.0</v>
      </c>
      <c r="H110" s="5">
        <v>0.0</v>
      </c>
      <c r="I110" s="5">
        <v>0.0</v>
      </c>
      <c r="J110" s="27">
        <v>0.0</v>
      </c>
      <c r="K110" s="27">
        <v>0.0</v>
      </c>
      <c r="L110" s="27">
        <v>0.0</v>
      </c>
      <c r="M110" s="27">
        <v>0.0</v>
      </c>
      <c r="N110" s="5">
        <f t="shared" si="104"/>
        <v>6515</v>
      </c>
      <c r="O110" s="28" t="str">
        <f t="shared" si="105"/>
        <v/>
      </c>
      <c r="P110" s="5"/>
      <c r="Q110" s="5"/>
      <c r="R110" s="29" t="s">
        <v>34</v>
      </c>
      <c r="S110" s="30">
        <v>0.0</v>
      </c>
      <c r="T110" s="31">
        <v>0.05</v>
      </c>
      <c r="U110" s="26">
        <f t="shared" ref="U110:AF110" si="137">IF($R110="Manual","",IFERROR(IF($R110="YOY Growth",$N110*(1+$T110)/12,$S110/12),""))</f>
        <v>0</v>
      </c>
      <c r="V110" s="26">
        <f t="shared" si="137"/>
        <v>0</v>
      </c>
      <c r="W110" s="26">
        <f t="shared" si="137"/>
        <v>0</v>
      </c>
      <c r="X110" s="26">
        <f t="shared" si="137"/>
        <v>0</v>
      </c>
      <c r="Y110" s="26">
        <f t="shared" si="137"/>
        <v>0</v>
      </c>
      <c r="Z110" s="26">
        <f t="shared" si="137"/>
        <v>0</v>
      </c>
      <c r="AA110" s="26">
        <f t="shared" si="137"/>
        <v>0</v>
      </c>
      <c r="AB110" s="26">
        <f t="shared" si="137"/>
        <v>0</v>
      </c>
      <c r="AC110" s="26">
        <f t="shared" si="137"/>
        <v>0</v>
      </c>
      <c r="AD110" s="26">
        <f t="shared" si="137"/>
        <v>0</v>
      </c>
      <c r="AE110" s="26">
        <f t="shared" si="137"/>
        <v>0</v>
      </c>
      <c r="AF110" s="26">
        <f t="shared" si="137"/>
        <v>0</v>
      </c>
      <c r="AG110" s="5">
        <f t="shared" si="107"/>
        <v>0</v>
      </c>
      <c r="AH110" s="28" t="str">
        <f t="shared" si="108"/>
        <v/>
      </c>
      <c r="AI110" s="4"/>
      <c r="AJ110" s="5">
        <f t="shared" si="109"/>
        <v>6515</v>
      </c>
    </row>
    <row r="111" ht="13.5" customHeight="1">
      <c r="A111" s="25" t="s">
        <v>140</v>
      </c>
      <c r="B111" s="5">
        <v>0.0</v>
      </c>
      <c r="C111" s="5">
        <v>0.0</v>
      </c>
      <c r="D111" s="5">
        <v>0.0</v>
      </c>
      <c r="E111" s="5">
        <v>0.0</v>
      </c>
      <c r="F111" s="5">
        <v>0.0</v>
      </c>
      <c r="G111" s="5">
        <v>0.0</v>
      </c>
      <c r="H111" s="5">
        <v>0.0</v>
      </c>
      <c r="I111" s="5">
        <v>0.0</v>
      </c>
      <c r="J111" s="27">
        <v>0.0</v>
      </c>
      <c r="K111" s="27">
        <v>0.0</v>
      </c>
      <c r="L111" s="27">
        <v>0.0</v>
      </c>
      <c r="M111" s="27">
        <v>0.0</v>
      </c>
      <c r="N111" s="5">
        <f t="shared" si="104"/>
        <v>0</v>
      </c>
      <c r="O111" s="28" t="str">
        <f t="shared" si="105"/>
        <v/>
      </c>
      <c r="P111" s="5"/>
      <c r="Q111" s="5"/>
      <c r="R111" s="29" t="s">
        <v>34</v>
      </c>
      <c r="S111" s="30">
        <v>0.0</v>
      </c>
      <c r="T111" s="31">
        <v>0.05</v>
      </c>
      <c r="U111" s="26">
        <f t="shared" ref="U111:AF111" si="138">IF($R111="Manual","",IFERROR(IF($R111="YOY Growth",$N111*(1+$T111)/12,$S111/12),""))</f>
        <v>0</v>
      </c>
      <c r="V111" s="26">
        <f t="shared" si="138"/>
        <v>0</v>
      </c>
      <c r="W111" s="26">
        <f t="shared" si="138"/>
        <v>0</v>
      </c>
      <c r="X111" s="26">
        <f t="shared" si="138"/>
        <v>0</v>
      </c>
      <c r="Y111" s="26">
        <f t="shared" si="138"/>
        <v>0</v>
      </c>
      <c r="Z111" s="26">
        <f t="shared" si="138"/>
        <v>0</v>
      </c>
      <c r="AA111" s="26">
        <f t="shared" si="138"/>
        <v>0</v>
      </c>
      <c r="AB111" s="26">
        <f t="shared" si="138"/>
        <v>0</v>
      </c>
      <c r="AC111" s="26">
        <f t="shared" si="138"/>
        <v>0</v>
      </c>
      <c r="AD111" s="26">
        <f t="shared" si="138"/>
        <v>0</v>
      </c>
      <c r="AE111" s="26">
        <f t="shared" si="138"/>
        <v>0</v>
      </c>
      <c r="AF111" s="26">
        <f t="shared" si="138"/>
        <v>0</v>
      </c>
      <c r="AG111" s="5">
        <f t="shared" si="107"/>
        <v>0</v>
      </c>
      <c r="AH111" s="28" t="str">
        <f t="shared" si="108"/>
        <v/>
      </c>
      <c r="AI111" s="4"/>
      <c r="AJ111" s="5">
        <f t="shared" si="109"/>
        <v>0</v>
      </c>
    </row>
    <row r="112" ht="13.5" customHeight="1">
      <c r="A112" s="25" t="s">
        <v>141</v>
      </c>
      <c r="B112" s="5">
        <v>0.0</v>
      </c>
      <c r="C112" s="5">
        <v>0.0</v>
      </c>
      <c r="D112" s="5">
        <v>0.0</v>
      </c>
      <c r="E112" s="5">
        <v>0.0</v>
      </c>
      <c r="F112" s="5">
        <v>0.0</v>
      </c>
      <c r="G112" s="5">
        <v>0.0</v>
      </c>
      <c r="H112" s="5">
        <v>0.0</v>
      </c>
      <c r="I112" s="5">
        <v>0.0</v>
      </c>
      <c r="J112" s="27">
        <v>0.0</v>
      </c>
      <c r="K112" s="27">
        <v>0.0</v>
      </c>
      <c r="L112" s="27">
        <v>0.0</v>
      </c>
      <c r="M112" s="27">
        <v>0.0</v>
      </c>
      <c r="N112" s="5">
        <f t="shared" si="104"/>
        <v>0</v>
      </c>
      <c r="O112" s="28" t="str">
        <f t="shared" si="105"/>
        <v/>
      </c>
      <c r="P112" s="5"/>
      <c r="Q112" s="5"/>
      <c r="R112" s="29" t="s">
        <v>34</v>
      </c>
      <c r="S112" s="30">
        <v>0.0</v>
      </c>
      <c r="T112" s="31">
        <v>0.05</v>
      </c>
      <c r="U112" s="26">
        <f t="shared" ref="U112:AF112" si="139">IF($R112="Manual","",IFERROR(IF($R112="YOY Growth",$N112*(1+$T112)/12,$S112/12),""))</f>
        <v>0</v>
      </c>
      <c r="V112" s="26">
        <f t="shared" si="139"/>
        <v>0</v>
      </c>
      <c r="W112" s="26">
        <f t="shared" si="139"/>
        <v>0</v>
      </c>
      <c r="X112" s="26">
        <f t="shared" si="139"/>
        <v>0</v>
      </c>
      <c r="Y112" s="26">
        <f t="shared" si="139"/>
        <v>0</v>
      </c>
      <c r="Z112" s="26">
        <f t="shared" si="139"/>
        <v>0</v>
      </c>
      <c r="AA112" s="26">
        <f t="shared" si="139"/>
        <v>0</v>
      </c>
      <c r="AB112" s="26">
        <f t="shared" si="139"/>
        <v>0</v>
      </c>
      <c r="AC112" s="26">
        <f t="shared" si="139"/>
        <v>0</v>
      </c>
      <c r="AD112" s="26">
        <f t="shared" si="139"/>
        <v>0</v>
      </c>
      <c r="AE112" s="26">
        <f t="shared" si="139"/>
        <v>0</v>
      </c>
      <c r="AF112" s="26">
        <f t="shared" si="139"/>
        <v>0</v>
      </c>
      <c r="AG112" s="5">
        <f t="shared" si="107"/>
        <v>0</v>
      </c>
      <c r="AH112" s="28" t="str">
        <f t="shared" si="108"/>
        <v/>
      </c>
      <c r="AI112" s="4"/>
      <c r="AJ112" s="5">
        <f t="shared" si="109"/>
        <v>0</v>
      </c>
    </row>
    <row r="113" ht="13.5" customHeight="1">
      <c r="A113" s="25" t="s">
        <v>142</v>
      </c>
      <c r="B113" s="5">
        <v>0.0</v>
      </c>
      <c r="C113" s="5">
        <v>0.0</v>
      </c>
      <c r="D113" s="5">
        <v>0.0</v>
      </c>
      <c r="E113" s="5">
        <v>0.0</v>
      </c>
      <c r="F113" s="5">
        <v>0.0</v>
      </c>
      <c r="G113" s="5">
        <v>0.0</v>
      </c>
      <c r="H113" s="5">
        <v>0.0</v>
      </c>
      <c r="I113" s="5">
        <v>0.0</v>
      </c>
      <c r="J113" s="27">
        <v>0.0</v>
      </c>
      <c r="K113" s="27">
        <v>0.0</v>
      </c>
      <c r="L113" s="27">
        <v>0.0</v>
      </c>
      <c r="M113" s="27">
        <v>0.0</v>
      </c>
      <c r="N113" s="5">
        <f t="shared" si="104"/>
        <v>0</v>
      </c>
      <c r="O113" s="28" t="str">
        <f t="shared" si="105"/>
        <v/>
      </c>
      <c r="P113" s="5"/>
      <c r="Q113" s="5"/>
      <c r="R113" s="29" t="s">
        <v>34</v>
      </c>
      <c r="S113" s="30">
        <v>0.0</v>
      </c>
      <c r="T113" s="31">
        <v>0.05</v>
      </c>
      <c r="U113" s="26">
        <f t="shared" ref="U113:AF113" si="140">IF($R113="Manual","",IFERROR(IF($R113="YOY Growth",$N113*(1+$T113)/12,$S113/12),""))</f>
        <v>0</v>
      </c>
      <c r="V113" s="26">
        <f t="shared" si="140"/>
        <v>0</v>
      </c>
      <c r="W113" s="26">
        <f t="shared" si="140"/>
        <v>0</v>
      </c>
      <c r="X113" s="26">
        <f t="shared" si="140"/>
        <v>0</v>
      </c>
      <c r="Y113" s="26">
        <f t="shared" si="140"/>
        <v>0</v>
      </c>
      <c r="Z113" s="26">
        <f t="shared" si="140"/>
        <v>0</v>
      </c>
      <c r="AA113" s="26">
        <f t="shared" si="140"/>
        <v>0</v>
      </c>
      <c r="AB113" s="26">
        <f t="shared" si="140"/>
        <v>0</v>
      </c>
      <c r="AC113" s="26">
        <f t="shared" si="140"/>
        <v>0</v>
      </c>
      <c r="AD113" s="26">
        <f t="shared" si="140"/>
        <v>0</v>
      </c>
      <c r="AE113" s="26">
        <f t="shared" si="140"/>
        <v>0</v>
      </c>
      <c r="AF113" s="26">
        <f t="shared" si="140"/>
        <v>0</v>
      </c>
      <c r="AG113" s="5">
        <f t="shared" si="107"/>
        <v>0</v>
      </c>
      <c r="AH113" s="28" t="str">
        <f t="shared" si="108"/>
        <v/>
      </c>
      <c r="AI113" s="4"/>
      <c r="AJ113" s="5">
        <f t="shared" si="109"/>
        <v>0</v>
      </c>
    </row>
    <row r="114" ht="13.5" customHeight="1">
      <c r="A114" s="25" t="s">
        <v>143</v>
      </c>
      <c r="B114" s="5">
        <v>0.0</v>
      </c>
      <c r="C114" s="5">
        <v>0.0</v>
      </c>
      <c r="D114" s="5">
        <v>0.0</v>
      </c>
      <c r="E114" s="5">
        <v>0.0</v>
      </c>
      <c r="F114" s="5">
        <v>0.0</v>
      </c>
      <c r="G114" s="5">
        <v>0.0</v>
      </c>
      <c r="H114" s="5">
        <v>0.0</v>
      </c>
      <c r="I114" s="5">
        <v>0.0</v>
      </c>
      <c r="J114" s="27">
        <v>0.0</v>
      </c>
      <c r="K114" s="27">
        <v>0.0</v>
      </c>
      <c r="L114" s="27">
        <v>0.0</v>
      </c>
      <c r="M114" s="27">
        <v>0.0</v>
      </c>
      <c r="N114" s="5">
        <f t="shared" si="104"/>
        <v>0</v>
      </c>
      <c r="O114" s="28" t="str">
        <f t="shared" si="105"/>
        <v/>
      </c>
      <c r="P114" s="5"/>
      <c r="Q114" s="5"/>
      <c r="R114" s="29" t="s">
        <v>34</v>
      </c>
      <c r="S114" s="30">
        <v>0.0</v>
      </c>
      <c r="T114" s="31">
        <v>0.05</v>
      </c>
      <c r="U114" s="26">
        <f t="shared" ref="U114:AF114" si="141">IF($R114="Manual","",IFERROR(IF($R114="YOY Growth",$N114*(1+$T114)/12,$S114/12),""))</f>
        <v>0</v>
      </c>
      <c r="V114" s="26">
        <f t="shared" si="141"/>
        <v>0</v>
      </c>
      <c r="W114" s="26">
        <f t="shared" si="141"/>
        <v>0</v>
      </c>
      <c r="X114" s="26">
        <f t="shared" si="141"/>
        <v>0</v>
      </c>
      <c r="Y114" s="26">
        <f t="shared" si="141"/>
        <v>0</v>
      </c>
      <c r="Z114" s="26">
        <f t="shared" si="141"/>
        <v>0</v>
      </c>
      <c r="AA114" s="26">
        <f t="shared" si="141"/>
        <v>0</v>
      </c>
      <c r="AB114" s="26">
        <f t="shared" si="141"/>
        <v>0</v>
      </c>
      <c r="AC114" s="26">
        <f t="shared" si="141"/>
        <v>0</v>
      </c>
      <c r="AD114" s="26">
        <f t="shared" si="141"/>
        <v>0</v>
      </c>
      <c r="AE114" s="26">
        <f t="shared" si="141"/>
        <v>0</v>
      </c>
      <c r="AF114" s="26">
        <f t="shared" si="141"/>
        <v>0</v>
      </c>
      <c r="AG114" s="5">
        <f t="shared" si="107"/>
        <v>0</v>
      </c>
      <c r="AH114" s="28" t="str">
        <f t="shared" si="108"/>
        <v/>
      </c>
      <c r="AI114" s="4"/>
      <c r="AJ114" s="5">
        <f t="shared" si="109"/>
        <v>0</v>
      </c>
    </row>
    <row r="115" ht="13.5" customHeight="1">
      <c r="A115" s="25" t="s">
        <v>144</v>
      </c>
      <c r="B115" s="5">
        <v>0.0</v>
      </c>
      <c r="C115" s="5">
        <v>0.0</v>
      </c>
      <c r="D115" s="5">
        <v>0.0</v>
      </c>
      <c r="E115" s="5">
        <v>0.0</v>
      </c>
      <c r="F115" s="5">
        <v>0.0</v>
      </c>
      <c r="G115" s="5">
        <v>0.0</v>
      </c>
      <c r="H115" s="5">
        <v>0.0</v>
      </c>
      <c r="I115" s="5">
        <v>0.0</v>
      </c>
      <c r="J115" s="27">
        <v>0.0</v>
      </c>
      <c r="K115" s="27">
        <v>0.0</v>
      </c>
      <c r="L115" s="27">
        <v>0.0</v>
      </c>
      <c r="M115" s="27">
        <v>0.0</v>
      </c>
      <c r="N115" s="5">
        <f t="shared" si="104"/>
        <v>0</v>
      </c>
      <c r="O115" s="28" t="str">
        <f t="shared" si="105"/>
        <v/>
      </c>
      <c r="P115" s="5"/>
      <c r="Q115" s="5"/>
      <c r="R115" s="29" t="s">
        <v>34</v>
      </c>
      <c r="S115" s="30">
        <v>0.0</v>
      </c>
      <c r="T115" s="31">
        <v>0.05</v>
      </c>
      <c r="U115" s="26">
        <f t="shared" ref="U115:AF115" si="142">IF($R115="Manual","",IFERROR(IF($R115="YOY Growth",$N115*(1+$T115)/12,$S115/12),""))</f>
        <v>0</v>
      </c>
      <c r="V115" s="26">
        <f t="shared" si="142"/>
        <v>0</v>
      </c>
      <c r="W115" s="26">
        <f t="shared" si="142"/>
        <v>0</v>
      </c>
      <c r="X115" s="26">
        <f t="shared" si="142"/>
        <v>0</v>
      </c>
      <c r="Y115" s="26">
        <f t="shared" si="142"/>
        <v>0</v>
      </c>
      <c r="Z115" s="26">
        <f t="shared" si="142"/>
        <v>0</v>
      </c>
      <c r="AA115" s="26">
        <f t="shared" si="142"/>
        <v>0</v>
      </c>
      <c r="AB115" s="26">
        <f t="shared" si="142"/>
        <v>0</v>
      </c>
      <c r="AC115" s="26">
        <f t="shared" si="142"/>
        <v>0</v>
      </c>
      <c r="AD115" s="26">
        <f t="shared" si="142"/>
        <v>0</v>
      </c>
      <c r="AE115" s="26">
        <f t="shared" si="142"/>
        <v>0</v>
      </c>
      <c r="AF115" s="26">
        <f t="shared" si="142"/>
        <v>0</v>
      </c>
      <c r="AG115" s="5">
        <f t="shared" si="107"/>
        <v>0</v>
      </c>
      <c r="AH115" s="28" t="str">
        <f t="shared" si="108"/>
        <v/>
      </c>
      <c r="AI115" s="4"/>
      <c r="AJ115" s="5">
        <f t="shared" si="109"/>
        <v>0</v>
      </c>
    </row>
    <row r="116" ht="13.5" customHeight="1">
      <c r="A116" s="33" t="s">
        <v>145</v>
      </c>
      <c r="B116" s="34">
        <f t="shared" ref="B116:M116" si="143">B73+SUM(B74:B80)+B87+SUM(B88:B115)</f>
        <v>46455.18</v>
      </c>
      <c r="C116" s="34">
        <f t="shared" si="143"/>
        <v>41015.37</v>
      </c>
      <c r="D116" s="34">
        <f t="shared" si="143"/>
        <v>74591.09</v>
      </c>
      <c r="E116" s="34">
        <f t="shared" si="143"/>
        <v>102797</v>
      </c>
      <c r="F116" s="34">
        <f t="shared" si="143"/>
        <v>116105.58</v>
      </c>
      <c r="G116" s="34">
        <f t="shared" si="143"/>
        <v>134734.06</v>
      </c>
      <c r="H116" s="34">
        <f t="shared" si="143"/>
        <v>65078.17</v>
      </c>
      <c r="I116" s="34">
        <f t="shared" si="143"/>
        <v>72711.35</v>
      </c>
      <c r="J116" s="34">
        <f t="shared" si="143"/>
        <v>117839</v>
      </c>
      <c r="K116" s="34">
        <f t="shared" si="143"/>
        <v>138733</v>
      </c>
      <c r="L116" s="34">
        <f t="shared" si="143"/>
        <v>144373</v>
      </c>
      <c r="M116" s="34">
        <f t="shared" si="143"/>
        <v>141373</v>
      </c>
      <c r="N116" s="34">
        <f t="shared" si="104"/>
        <v>1195805.8</v>
      </c>
      <c r="O116" s="35" t="str">
        <f t="shared" si="105"/>
        <v/>
      </c>
      <c r="P116" s="5"/>
      <c r="Q116" s="5"/>
      <c r="R116" s="36"/>
      <c r="S116" s="36"/>
      <c r="T116" s="36"/>
      <c r="U116" s="34">
        <f t="shared" ref="U116:AF116" si="144">U73+SUM(U74:U80)+U87+SUM(U88:U115)</f>
        <v>62200.32864</v>
      </c>
      <c r="V116" s="34">
        <f t="shared" si="144"/>
        <v>62200.32864</v>
      </c>
      <c r="W116" s="34">
        <f t="shared" si="144"/>
        <v>62200.32864</v>
      </c>
      <c r="X116" s="34">
        <f t="shared" si="144"/>
        <v>62200.32864</v>
      </c>
      <c r="Y116" s="34">
        <f t="shared" si="144"/>
        <v>62200.32864</v>
      </c>
      <c r="Z116" s="34">
        <f t="shared" si="144"/>
        <v>62200.32864</v>
      </c>
      <c r="AA116" s="34">
        <f t="shared" si="144"/>
        <v>62200.32864</v>
      </c>
      <c r="AB116" s="34">
        <f t="shared" si="144"/>
        <v>62200.32864</v>
      </c>
      <c r="AC116" s="34">
        <f t="shared" si="144"/>
        <v>62200.32864</v>
      </c>
      <c r="AD116" s="34">
        <f t="shared" si="144"/>
        <v>64066.3385</v>
      </c>
      <c r="AE116" s="34">
        <f t="shared" si="144"/>
        <v>64066.3385</v>
      </c>
      <c r="AF116" s="34">
        <f t="shared" si="144"/>
        <v>64066.3385</v>
      </c>
      <c r="AG116" s="34">
        <f t="shared" si="107"/>
        <v>752001.9732</v>
      </c>
      <c r="AH116" s="35" t="str">
        <f t="shared" si="108"/>
        <v/>
      </c>
      <c r="AI116" s="4"/>
      <c r="AJ116" s="34">
        <f t="shared" si="109"/>
        <v>443803.8268</v>
      </c>
    </row>
    <row r="117" ht="13.5" customHeight="1">
      <c r="A117" s="52" t="s">
        <v>146</v>
      </c>
      <c r="B117" s="34">
        <f t="shared" ref="B117:M117" si="145">B64-B116</f>
        <v>-56010.4</v>
      </c>
      <c r="C117" s="34">
        <f t="shared" si="145"/>
        <v>-46181.75</v>
      </c>
      <c r="D117" s="34">
        <f t="shared" si="145"/>
        <v>-83484.13</v>
      </c>
      <c r="E117" s="34">
        <f t="shared" si="145"/>
        <v>-109548.93</v>
      </c>
      <c r="F117" s="34">
        <f t="shared" si="145"/>
        <v>-133089.38</v>
      </c>
      <c r="G117" s="34">
        <f t="shared" si="145"/>
        <v>-138267.06</v>
      </c>
      <c r="H117" s="34">
        <f t="shared" si="145"/>
        <v>-68900.93</v>
      </c>
      <c r="I117" s="34">
        <f t="shared" si="145"/>
        <v>-79794.05</v>
      </c>
      <c r="J117" s="34">
        <f t="shared" si="145"/>
        <v>-134139</v>
      </c>
      <c r="K117" s="34">
        <f t="shared" si="145"/>
        <v>-155033</v>
      </c>
      <c r="L117" s="34">
        <f t="shared" si="145"/>
        <v>-156273</v>
      </c>
      <c r="M117" s="34">
        <f t="shared" si="145"/>
        <v>-151073</v>
      </c>
      <c r="N117" s="34">
        <f t="shared" si="104"/>
        <v>-1311794.63</v>
      </c>
      <c r="O117" s="35" t="str">
        <f t="shared" si="105"/>
        <v/>
      </c>
      <c r="P117" s="5"/>
      <c r="Q117" s="5"/>
      <c r="R117" s="36"/>
      <c r="S117" s="36"/>
      <c r="T117" s="36"/>
      <c r="U117" s="34">
        <f t="shared" ref="U117:AF117" si="146">U64-U116</f>
        <v>-62200.32864</v>
      </c>
      <c r="V117" s="34">
        <f t="shared" si="146"/>
        <v>-62200.32864</v>
      </c>
      <c r="W117" s="34">
        <f t="shared" si="146"/>
        <v>-62200.32864</v>
      </c>
      <c r="X117" s="34">
        <f t="shared" si="146"/>
        <v>-62200.32864</v>
      </c>
      <c r="Y117" s="34">
        <f t="shared" si="146"/>
        <v>-62200.32864</v>
      </c>
      <c r="Z117" s="34">
        <f t="shared" si="146"/>
        <v>-62200.32864</v>
      </c>
      <c r="AA117" s="34">
        <f t="shared" si="146"/>
        <v>-62200.32864</v>
      </c>
      <c r="AB117" s="34">
        <f t="shared" si="146"/>
        <v>-62200.32864</v>
      </c>
      <c r="AC117" s="34">
        <f t="shared" si="146"/>
        <v>-62200.32864</v>
      </c>
      <c r="AD117" s="34">
        <f t="shared" si="146"/>
        <v>-64066.3385</v>
      </c>
      <c r="AE117" s="34">
        <f t="shared" si="146"/>
        <v>-64066.3385</v>
      </c>
      <c r="AF117" s="34">
        <f t="shared" si="146"/>
        <v>-64066.3385</v>
      </c>
      <c r="AG117" s="34">
        <f t="shared" si="107"/>
        <v>-752001.9732</v>
      </c>
      <c r="AH117" s="35" t="str">
        <f t="shared" si="108"/>
        <v/>
      </c>
      <c r="AI117" s="4"/>
      <c r="AJ117" s="34">
        <f>AG117-N117</f>
        <v>559792.6568</v>
      </c>
    </row>
    <row r="118" ht="13.5" customHeight="1">
      <c r="A118" s="23" t="s">
        <v>147</v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28"/>
      <c r="P118" s="5"/>
      <c r="Q118" s="5"/>
      <c r="R118" s="36"/>
      <c r="S118" s="36"/>
      <c r="T118" s="36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28"/>
      <c r="AI118" s="4"/>
      <c r="AJ118" s="5"/>
    </row>
    <row r="119" ht="13.5" customHeight="1">
      <c r="A119" s="24" t="s">
        <v>148</v>
      </c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28"/>
      <c r="P119" s="5"/>
      <c r="Q119" s="5"/>
      <c r="R119" s="36"/>
      <c r="S119" s="36"/>
      <c r="T119" s="36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28"/>
      <c r="AI119" s="4"/>
      <c r="AJ119" s="5"/>
    </row>
    <row r="120" ht="13.5" customHeight="1">
      <c r="A120" s="25" t="s">
        <v>149</v>
      </c>
      <c r="B120" s="5">
        <v>0.0</v>
      </c>
      <c r="C120" s="5">
        <v>0.0</v>
      </c>
      <c r="D120" s="5">
        <v>0.0</v>
      </c>
      <c r="E120" s="5">
        <v>0.0</v>
      </c>
      <c r="F120" s="5">
        <v>0.0</v>
      </c>
      <c r="G120" s="5">
        <v>0.0</v>
      </c>
      <c r="H120" s="5">
        <v>0.0</v>
      </c>
      <c r="I120" s="5">
        <v>0.0</v>
      </c>
      <c r="J120" s="27">
        <v>0.0</v>
      </c>
      <c r="K120" s="27">
        <v>0.0</v>
      </c>
      <c r="L120" s="27">
        <v>0.0</v>
      </c>
      <c r="M120" s="27">
        <v>0.0</v>
      </c>
      <c r="N120" s="5">
        <f t="shared" ref="N120:N122" si="148">SUM(B120:M120)</f>
        <v>0</v>
      </c>
      <c r="O120" s="28" t="str">
        <f t="shared" ref="O120:O122" si="149">IFERROR(N120/N$16,"")</f>
        <v/>
      </c>
      <c r="P120" s="5"/>
      <c r="Q120" s="5"/>
      <c r="R120" s="29" t="s">
        <v>34</v>
      </c>
      <c r="S120" s="30">
        <v>0.0</v>
      </c>
      <c r="T120" s="31">
        <v>0.05</v>
      </c>
      <c r="U120" s="26">
        <f t="shared" ref="U120:AF120" si="147">IF($R120="Manual","",IFERROR(IF($R120="YOY Growth",$N120*(1+$T120)/12,$S120/12),""))</f>
        <v>0</v>
      </c>
      <c r="V120" s="26">
        <f t="shared" si="147"/>
        <v>0</v>
      </c>
      <c r="W120" s="26">
        <f t="shared" si="147"/>
        <v>0</v>
      </c>
      <c r="X120" s="26">
        <f t="shared" si="147"/>
        <v>0</v>
      </c>
      <c r="Y120" s="26">
        <f t="shared" si="147"/>
        <v>0</v>
      </c>
      <c r="Z120" s="26">
        <f t="shared" si="147"/>
        <v>0</v>
      </c>
      <c r="AA120" s="26">
        <f t="shared" si="147"/>
        <v>0</v>
      </c>
      <c r="AB120" s="26">
        <f t="shared" si="147"/>
        <v>0</v>
      </c>
      <c r="AC120" s="26">
        <f t="shared" si="147"/>
        <v>0</v>
      </c>
      <c r="AD120" s="26">
        <f t="shared" si="147"/>
        <v>0</v>
      </c>
      <c r="AE120" s="26">
        <f t="shared" si="147"/>
        <v>0</v>
      </c>
      <c r="AF120" s="26">
        <f t="shared" si="147"/>
        <v>0</v>
      </c>
      <c r="AG120" s="5">
        <f t="shared" ref="AG120:AG122" si="151">SUM(U120:AF120)</f>
        <v>0</v>
      </c>
      <c r="AH120" s="28" t="str">
        <f t="shared" ref="AH120:AH122" si="152">IFERROR(AG120/AG$16,"")</f>
        <v/>
      </c>
      <c r="AI120" s="4"/>
      <c r="AJ120" s="5">
        <f t="shared" ref="AJ120:AJ122" si="153">AG120-N120</f>
        <v>0</v>
      </c>
    </row>
    <row r="121" ht="13.5" customHeight="1">
      <c r="A121" s="25" t="s">
        <v>151</v>
      </c>
      <c r="B121" s="5">
        <v>0.0</v>
      </c>
      <c r="C121" s="5">
        <v>0.0</v>
      </c>
      <c r="D121" s="5">
        <v>0.0</v>
      </c>
      <c r="E121" s="5">
        <v>0.0</v>
      </c>
      <c r="F121" s="5">
        <v>0.0</v>
      </c>
      <c r="G121" s="5">
        <v>0.0</v>
      </c>
      <c r="H121" s="5">
        <v>0.0</v>
      </c>
      <c r="I121" s="5">
        <v>0.0</v>
      </c>
      <c r="J121" s="27">
        <v>0.0</v>
      </c>
      <c r="K121" s="27">
        <v>0.0</v>
      </c>
      <c r="L121" s="27">
        <v>0.0</v>
      </c>
      <c r="M121" s="27">
        <v>0.0</v>
      </c>
      <c r="N121" s="5">
        <f t="shared" si="148"/>
        <v>0</v>
      </c>
      <c r="O121" s="28" t="str">
        <f t="shared" si="149"/>
        <v/>
      </c>
      <c r="P121" s="5"/>
      <c r="Q121" s="5"/>
      <c r="R121" s="29" t="s">
        <v>34</v>
      </c>
      <c r="S121" s="30">
        <v>0.0</v>
      </c>
      <c r="T121" s="31">
        <v>0.05</v>
      </c>
      <c r="U121" s="26">
        <f t="shared" ref="U121:AF121" si="150">IF($R121="Manual","",IFERROR(IF($R121="YOY Growth",$N121*(1+$T121)/12,$S121/12),""))</f>
        <v>0</v>
      </c>
      <c r="V121" s="26">
        <f t="shared" si="150"/>
        <v>0</v>
      </c>
      <c r="W121" s="26">
        <f t="shared" si="150"/>
        <v>0</v>
      </c>
      <c r="X121" s="26">
        <f t="shared" si="150"/>
        <v>0</v>
      </c>
      <c r="Y121" s="26">
        <f t="shared" si="150"/>
        <v>0</v>
      </c>
      <c r="Z121" s="26">
        <f t="shared" si="150"/>
        <v>0</v>
      </c>
      <c r="AA121" s="26">
        <f t="shared" si="150"/>
        <v>0</v>
      </c>
      <c r="AB121" s="26">
        <f t="shared" si="150"/>
        <v>0</v>
      </c>
      <c r="AC121" s="26">
        <f t="shared" si="150"/>
        <v>0</v>
      </c>
      <c r="AD121" s="26">
        <f t="shared" si="150"/>
        <v>0</v>
      </c>
      <c r="AE121" s="26">
        <f t="shared" si="150"/>
        <v>0</v>
      </c>
      <c r="AF121" s="26">
        <f t="shared" si="150"/>
        <v>0</v>
      </c>
      <c r="AG121" s="5">
        <f t="shared" si="151"/>
        <v>0</v>
      </c>
      <c r="AH121" s="28" t="str">
        <f t="shared" si="152"/>
        <v/>
      </c>
      <c r="AI121" s="4"/>
      <c r="AJ121" s="5">
        <f t="shared" si="153"/>
        <v>0</v>
      </c>
    </row>
    <row r="122" ht="13.5" customHeight="1">
      <c r="A122" s="33" t="s">
        <v>152</v>
      </c>
      <c r="B122" s="34">
        <f t="shared" ref="B122:M122" si="154">SUM(B120:B121)</f>
        <v>0</v>
      </c>
      <c r="C122" s="34">
        <f t="shared" si="154"/>
        <v>0</v>
      </c>
      <c r="D122" s="34">
        <f t="shared" si="154"/>
        <v>0</v>
      </c>
      <c r="E122" s="34">
        <f t="shared" si="154"/>
        <v>0</v>
      </c>
      <c r="F122" s="34">
        <f t="shared" si="154"/>
        <v>0</v>
      </c>
      <c r="G122" s="34">
        <f t="shared" si="154"/>
        <v>0</v>
      </c>
      <c r="H122" s="34">
        <f t="shared" si="154"/>
        <v>0</v>
      </c>
      <c r="I122" s="34">
        <f t="shared" si="154"/>
        <v>0</v>
      </c>
      <c r="J122" s="34">
        <f t="shared" si="154"/>
        <v>0</v>
      </c>
      <c r="K122" s="34">
        <f t="shared" si="154"/>
        <v>0</v>
      </c>
      <c r="L122" s="34">
        <f t="shared" si="154"/>
        <v>0</v>
      </c>
      <c r="M122" s="34">
        <f t="shared" si="154"/>
        <v>0</v>
      </c>
      <c r="N122" s="34">
        <f t="shared" si="148"/>
        <v>0</v>
      </c>
      <c r="O122" s="35" t="str">
        <f t="shared" si="149"/>
        <v/>
      </c>
      <c r="P122" s="5"/>
      <c r="Q122" s="5"/>
      <c r="R122" s="36"/>
      <c r="S122" s="36"/>
      <c r="T122" s="36"/>
      <c r="U122" s="34">
        <f t="shared" ref="U122:AF122" si="155">SUM(U120:U121)</f>
        <v>0</v>
      </c>
      <c r="V122" s="34">
        <f t="shared" si="155"/>
        <v>0</v>
      </c>
      <c r="W122" s="34">
        <f t="shared" si="155"/>
        <v>0</v>
      </c>
      <c r="X122" s="34">
        <f t="shared" si="155"/>
        <v>0</v>
      </c>
      <c r="Y122" s="34">
        <f t="shared" si="155"/>
        <v>0</v>
      </c>
      <c r="Z122" s="34">
        <f t="shared" si="155"/>
        <v>0</v>
      </c>
      <c r="AA122" s="34">
        <f t="shared" si="155"/>
        <v>0</v>
      </c>
      <c r="AB122" s="34">
        <f t="shared" si="155"/>
        <v>0</v>
      </c>
      <c r="AC122" s="34">
        <f t="shared" si="155"/>
        <v>0</v>
      </c>
      <c r="AD122" s="34">
        <f t="shared" si="155"/>
        <v>0</v>
      </c>
      <c r="AE122" s="34">
        <f t="shared" si="155"/>
        <v>0</v>
      </c>
      <c r="AF122" s="34">
        <f t="shared" si="155"/>
        <v>0</v>
      </c>
      <c r="AG122" s="34">
        <f t="shared" si="151"/>
        <v>0</v>
      </c>
      <c r="AH122" s="35" t="str">
        <f t="shared" si="152"/>
        <v/>
      </c>
      <c r="AI122" s="4"/>
      <c r="AJ122" s="34">
        <f t="shared" si="153"/>
        <v>0</v>
      </c>
    </row>
    <row r="123" ht="13.5" customHeight="1">
      <c r="A123" s="24" t="s">
        <v>153</v>
      </c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28"/>
      <c r="P123" s="5"/>
      <c r="Q123" s="5"/>
      <c r="R123" s="36"/>
      <c r="S123" s="36"/>
      <c r="T123" s="36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28"/>
      <c r="AI123" s="4"/>
      <c r="AJ123" s="5"/>
    </row>
    <row r="124" ht="13.5" customHeight="1">
      <c r="A124" s="48" t="s">
        <v>154</v>
      </c>
      <c r="B124" s="5">
        <v>0.0</v>
      </c>
      <c r="C124" s="5">
        <v>0.0</v>
      </c>
      <c r="D124" s="5">
        <v>0.0</v>
      </c>
      <c r="E124" s="5">
        <v>0.0</v>
      </c>
      <c r="F124" s="5">
        <v>0.0</v>
      </c>
      <c r="G124" s="5">
        <v>0.0</v>
      </c>
      <c r="H124" s="5">
        <v>0.0</v>
      </c>
      <c r="I124" s="5">
        <v>0.0</v>
      </c>
      <c r="J124" s="27"/>
      <c r="K124" s="27"/>
      <c r="L124" s="27"/>
      <c r="M124" s="27"/>
      <c r="N124" s="5">
        <v>0.0</v>
      </c>
      <c r="O124" s="28" t="str">
        <f t="shared" ref="O124:O126" si="157">IFERROR(N124/N$16,"")</f>
        <v/>
      </c>
      <c r="P124" s="5"/>
      <c r="Q124" s="5"/>
      <c r="R124" s="29" t="s">
        <v>34</v>
      </c>
      <c r="S124" s="30">
        <v>0.0</v>
      </c>
      <c r="T124" s="31">
        <v>0.05</v>
      </c>
      <c r="U124" s="26">
        <f t="shared" ref="U124:AF124" si="156">IF($R124="Manual","",IFERROR(IF($R124="YOY Growth",$N124*(1+$T124)/12,$S124/12),""))</f>
        <v>0</v>
      </c>
      <c r="V124" s="26">
        <f t="shared" si="156"/>
        <v>0</v>
      </c>
      <c r="W124" s="26">
        <f t="shared" si="156"/>
        <v>0</v>
      </c>
      <c r="X124" s="26">
        <f t="shared" si="156"/>
        <v>0</v>
      </c>
      <c r="Y124" s="26">
        <f t="shared" si="156"/>
        <v>0</v>
      </c>
      <c r="Z124" s="26">
        <f t="shared" si="156"/>
        <v>0</v>
      </c>
      <c r="AA124" s="26">
        <f t="shared" si="156"/>
        <v>0</v>
      </c>
      <c r="AB124" s="26">
        <f t="shared" si="156"/>
        <v>0</v>
      </c>
      <c r="AC124" s="26">
        <f t="shared" si="156"/>
        <v>0</v>
      </c>
      <c r="AD124" s="26">
        <f t="shared" si="156"/>
        <v>0</v>
      </c>
      <c r="AE124" s="26">
        <f t="shared" si="156"/>
        <v>0</v>
      </c>
      <c r="AF124" s="26">
        <f t="shared" si="156"/>
        <v>0</v>
      </c>
      <c r="AG124" s="5">
        <f t="shared" ref="AG124:AG126" si="159">SUM(U124:AF124)</f>
        <v>0</v>
      </c>
      <c r="AH124" s="28" t="str">
        <f t="shared" ref="AH124:AH126" si="160">IFERROR(AG124/AG$16,"")</f>
        <v/>
      </c>
      <c r="AI124" s="4"/>
      <c r="AJ124" s="5">
        <f t="shared" ref="AJ124:AJ126" si="161">N124-AG124</f>
        <v>0</v>
      </c>
    </row>
    <row r="125" ht="13.5" customHeight="1">
      <c r="A125" s="25" t="s">
        <v>155</v>
      </c>
      <c r="B125" s="5">
        <v>0.0</v>
      </c>
      <c r="C125" s="5">
        <v>0.0</v>
      </c>
      <c r="D125" s="5">
        <v>0.0</v>
      </c>
      <c r="E125" s="5">
        <v>0.0</v>
      </c>
      <c r="F125" s="5">
        <v>0.0</v>
      </c>
      <c r="G125" s="5">
        <v>0.0</v>
      </c>
      <c r="H125" s="5">
        <v>0.0</v>
      </c>
      <c r="I125" s="5">
        <v>0.0</v>
      </c>
      <c r="J125" s="27">
        <v>0.0</v>
      </c>
      <c r="K125" s="27">
        <v>0.0</v>
      </c>
      <c r="L125" s="27">
        <v>0.0</v>
      </c>
      <c r="M125" s="27">
        <v>0.0</v>
      </c>
      <c r="N125" s="5">
        <f t="shared" ref="N125:N126" si="162">SUM(B125:M125)</f>
        <v>0</v>
      </c>
      <c r="O125" s="28" t="str">
        <f t="shared" si="157"/>
        <v/>
      </c>
      <c r="P125" s="5"/>
      <c r="Q125" s="5"/>
      <c r="R125" s="29" t="s">
        <v>34</v>
      </c>
      <c r="S125" s="30">
        <v>0.0</v>
      </c>
      <c r="T125" s="31">
        <v>0.05</v>
      </c>
      <c r="U125" s="26">
        <f t="shared" ref="U125:AF125" si="158">IF($R125="Manual","",IFERROR(IF($R125="YOY Growth",$N125*(1+$T125)/12,$S125/12),""))</f>
        <v>0</v>
      </c>
      <c r="V125" s="26">
        <f t="shared" si="158"/>
        <v>0</v>
      </c>
      <c r="W125" s="26">
        <f t="shared" si="158"/>
        <v>0</v>
      </c>
      <c r="X125" s="26">
        <f t="shared" si="158"/>
        <v>0</v>
      </c>
      <c r="Y125" s="26">
        <f t="shared" si="158"/>
        <v>0</v>
      </c>
      <c r="Z125" s="26">
        <f t="shared" si="158"/>
        <v>0</v>
      </c>
      <c r="AA125" s="26">
        <f t="shared" si="158"/>
        <v>0</v>
      </c>
      <c r="AB125" s="26">
        <f t="shared" si="158"/>
        <v>0</v>
      </c>
      <c r="AC125" s="26">
        <f t="shared" si="158"/>
        <v>0</v>
      </c>
      <c r="AD125" s="26">
        <f t="shared" si="158"/>
        <v>0</v>
      </c>
      <c r="AE125" s="26">
        <f t="shared" si="158"/>
        <v>0</v>
      </c>
      <c r="AF125" s="26">
        <f t="shared" si="158"/>
        <v>0</v>
      </c>
      <c r="AG125" s="5">
        <f t="shared" si="159"/>
        <v>0</v>
      </c>
      <c r="AH125" s="28" t="str">
        <f t="shared" si="160"/>
        <v/>
      </c>
      <c r="AI125" s="4"/>
      <c r="AJ125" s="5">
        <f t="shared" si="161"/>
        <v>0</v>
      </c>
    </row>
    <row r="126" ht="13.5" customHeight="1">
      <c r="A126" s="25" t="s">
        <v>156</v>
      </c>
      <c r="B126" s="5">
        <v>0.0</v>
      </c>
      <c r="C126" s="5">
        <v>0.0</v>
      </c>
      <c r="D126" s="5">
        <v>0.0</v>
      </c>
      <c r="E126" s="5">
        <v>0.0</v>
      </c>
      <c r="F126" s="5">
        <v>0.0</v>
      </c>
      <c r="G126" s="5">
        <v>0.0</v>
      </c>
      <c r="H126" s="5">
        <v>0.0</v>
      </c>
      <c r="I126" s="5">
        <v>0.0</v>
      </c>
      <c r="J126" s="27">
        <v>0.0</v>
      </c>
      <c r="K126" s="27">
        <v>0.0</v>
      </c>
      <c r="L126" s="27">
        <v>0.0</v>
      </c>
      <c r="M126" s="27">
        <v>0.0</v>
      </c>
      <c r="N126" s="5">
        <f t="shared" si="162"/>
        <v>0</v>
      </c>
      <c r="O126" s="28" t="str">
        <f t="shared" si="157"/>
        <v/>
      </c>
      <c r="P126" s="5"/>
      <c r="Q126" s="5"/>
      <c r="R126" s="29" t="s">
        <v>34</v>
      </c>
      <c r="S126" s="30">
        <v>0.0</v>
      </c>
      <c r="T126" s="31">
        <v>0.05</v>
      </c>
      <c r="U126" s="26">
        <f t="shared" ref="U126:AF126" si="163">IF($R126="Manual","",IFERROR(IF($R126="YOY Growth",$N126*(1+$T126)/12,$S126/12),""))</f>
        <v>0</v>
      </c>
      <c r="V126" s="26">
        <f t="shared" si="163"/>
        <v>0</v>
      </c>
      <c r="W126" s="26">
        <f t="shared" si="163"/>
        <v>0</v>
      </c>
      <c r="X126" s="26">
        <f t="shared" si="163"/>
        <v>0</v>
      </c>
      <c r="Y126" s="26">
        <f t="shared" si="163"/>
        <v>0</v>
      </c>
      <c r="Z126" s="26">
        <f t="shared" si="163"/>
        <v>0</v>
      </c>
      <c r="AA126" s="26">
        <f t="shared" si="163"/>
        <v>0</v>
      </c>
      <c r="AB126" s="26">
        <f t="shared" si="163"/>
        <v>0</v>
      </c>
      <c r="AC126" s="26">
        <f t="shared" si="163"/>
        <v>0</v>
      </c>
      <c r="AD126" s="26">
        <f t="shared" si="163"/>
        <v>0</v>
      </c>
      <c r="AE126" s="26">
        <f t="shared" si="163"/>
        <v>0</v>
      </c>
      <c r="AF126" s="26">
        <f t="shared" si="163"/>
        <v>0</v>
      </c>
      <c r="AG126" s="5">
        <f t="shared" si="159"/>
        <v>0</v>
      </c>
      <c r="AH126" s="28" t="str">
        <f t="shared" si="160"/>
        <v/>
      </c>
      <c r="AI126" s="4"/>
      <c r="AJ126" s="5">
        <f t="shared" si="161"/>
        <v>0</v>
      </c>
    </row>
    <row r="127" ht="13.5" customHeight="1">
      <c r="A127" s="25" t="s">
        <v>157</v>
      </c>
      <c r="B127" s="5">
        <v>0.0</v>
      </c>
      <c r="C127" s="5">
        <v>0.0</v>
      </c>
      <c r="D127" s="5">
        <v>0.0</v>
      </c>
      <c r="E127" s="5">
        <v>0.0</v>
      </c>
      <c r="F127" s="5">
        <v>0.0</v>
      </c>
      <c r="G127" s="5">
        <v>0.0</v>
      </c>
      <c r="H127" s="5">
        <v>0.0</v>
      </c>
      <c r="I127" s="5">
        <v>0.0</v>
      </c>
      <c r="J127" s="27"/>
      <c r="K127" s="27"/>
      <c r="L127" s="27"/>
      <c r="M127" s="27"/>
      <c r="N127" s="5"/>
      <c r="O127" s="28"/>
      <c r="P127" s="5"/>
      <c r="Q127" s="5"/>
      <c r="R127" s="29" t="s">
        <v>34</v>
      </c>
      <c r="S127" s="30">
        <v>0.0</v>
      </c>
      <c r="T127" s="31">
        <v>0.05</v>
      </c>
      <c r="U127" s="26">
        <f t="shared" ref="U127:AF127" si="164">IF($R127="Manual","",IFERROR(IF($R127="YOY Growth",$N127*(1+$T127)/12,$S127/12),""))</f>
        <v>0</v>
      </c>
      <c r="V127" s="26">
        <f t="shared" si="164"/>
        <v>0</v>
      </c>
      <c r="W127" s="26">
        <f t="shared" si="164"/>
        <v>0</v>
      </c>
      <c r="X127" s="26">
        <f t="shared" si="164"/>
        <v>0</v>
      </c>
      <c r="Y127" s="26">
        <f t="shared" si="164"/>
        <v>0</v>
      </c>
      <c r="Z127" s="26">
        <f t="shared" si="164"/>
        <v>0</v>
      </c>
      <c r="AA127" s="26">
        <f t="shared" si="164"/>
        <v>0</v>
      </c>
      <c r="AB127" s="26">
        <f t="shared" si="164"/>
        <v>0</v>
      </c>
      <c r="AC127" s="26">
        <f t="shared" si="164"/>
        <v>0</v>
      </c>
      <c r="AD127" s="26">
        <f t="shared" si="164"/>
        <v>0</v>
      </c>
      <c r="AE127" s="26">
        <f t="shared" si="164"/>
        <v>0</v>
      </c>
      <c r="AF127" s="26">
        <f t="shared" si="164"/>
        <v>0</v>
      </c>
      <c r="AG127" s="5"/>
      <c r="AH127" s="28"/>
      <c r="AI127" s="4"/>
      <c r="AJ127" s="5"/>
    </row>
    <row r="128" ht="13.5" customHeight="1">
      <c r="A128" s="25" t="s">
        <v>158</v>
      </c>
      <c r="B128" s="5">
        <v>0.0</v>
      </c>
      <c r="C128" s="5">
        <v>0.0</v>
      </c>
      <c r="D128" s="5">
        <v>0.0</v>
      </c>
      <c r="E128" s="5">
        <v>0.0</v>
      </c>
      <c r="F128" s="5">
        <v>0.0</v>
      </c>
      <c r="G128" s="5">
        <v>0.0</v>
      </c>
      <c r="H128" s="5">
        <v>0.0</v>
      </c>
      <c r="I128" s="5">
        <v>0.0</v>
      </c>
      <c r="J128" s="27">
        <v>0.0</v>
      </c>
      <c r="K128" s="27">
        <v>0.0</v>
      </c>
      <c r="L128" s="27">
        <v>0.0</v>
      </c>
      <c r="M128" s="27">
        <v>0.0</v>
      </c>
      <c r="N128" s="5">
        <f t="shared" ref="N128:N132" si="166">SUM(B128:M128)</f>
        <v>0</v>
      </c>
      <c r="O128" s="28" t="str">
        <f t="shared" ref="O128:O132" si="167">IFERROR(N128/N$16,"")</f>
        <v/>
      </c>
      <c r="P128" s="5"/>
      <c r="Q128" s="5"/>
      <c r="R128" s="29" t="s">
        <v>34</v>
      </c>
      <c r="S128" s="30">
        <v>0.0</v>
      </c>
      <c r="T128" s="31">
        <v>0.05</v>
      </c>
      <c r="U128" s="26">
        <f t="shared" ref="U128:AF128" si="165">IF($R128="Manual","",IFERROR(IF($R128="YOY Growth",$N128*(1+$T128)/12,$S128/12),""))</f>
        <v>0</v>
      </c>
      <c r="V128" s="26">
        <f t="shared" si="165"/>
        <v>0</v>
      </c>
      <c r="W128" s="26">
        <f t="shared" si="165"/>
        <v>0</v>
      </c>
      <c r="X128" s="26">
        <f t="shared" si="165"/>
        <v>0</v>
      </c>
      <c r="Y128" s="26">
        <f t="shared" si="165"/>
        <v>0</v>
      </c>
      <c r="Z128" s="26">
        <f t="shared" si="165"/>
        <v>0</v>
      </c>
      <c r="AA128" s="26">
        <f t="shared" si="165"/>
        <v>0</v>
      </c>
      <c r="AB128" s="26">
        <f t="shared" si="165"/>
        <v>0</v>
      </c>
      <c r="AC128" s="26">
        <f t="shared" si="165"/>
        <v>0</v>
      </c>
      <c r="AD128" s="26">
        <f t="shared" si="165"/>
        <v>0</v>
      </c>
      <c r="AE128" s="26">
        <f t="shared" si="165"/>
        <v>0</v>
      </c>
      <c r="AF128" s="26">
        <f t="shared" si="165"/>
        <v>0</v>
      </c>
      <c r="AG128" s="5">
        <f t="shared" ref="AG128:AG132" si="169">SUM(U128:AF128)</f>
        <v>0</v>
      </c>
      <c r="AH128" s="28" t="str">
        <f t="shared" ref="AH128:AH132" si="170">IFERROR(AG128/AG$16,"")</f>
        <v/>
      </c>
      <c r="AI128" s="4"/>
      <c r="AJ128" s="5">
        <f t="shared" ref="AJ128:AJ130" si="171">N128-AG128</f>
        <v>0</v>
      </c>
    </row>
    <row r="129" ht="13.5" customHeight="1">
      <c r="A129" s="25" t="s">
        <v>159</v>
      </c>
      <c r="B129" s="5">
        <v>0.0</v>
      </c>
      <c r="C129" s="5">
        <v>0.0</v>
      </c>
      <c r="D129" s="5">
        <v>0.0</v>
      </c>
      <c r="E129" s="5">
        <v>0.0</v>
      </c>
      <c r="F129" s="5">
        <v>0.0</v>
      </c>
      <c r="G129" s="5">
        <v>0.0</v>
      </c>
      <c r="H129" s="5">
        <v>0.0</v>
      </c>
      <c r="I129" s="5">
        <v>0.0</v>
      </c>
      <c r="J129" s="27">
        <v>0.0</v>
      </c>
      <c r="K129" s="27">
        <v>0.0</v>
      </c>
      <c r="L129" s="27">
        <v>0.0</v>
      </c>
      <c r="M129" s="27">
        <v>0.0</v>
      </c>
      <c r="N129" s="5">
        <f t="shared" si="166"/>
        <v>0</v>
      </c>
      <c r="O129" s="28" t="str">
        <f t="shared" si="167"/>
        <v/>
      </c>
      <c r="P129" s="5"/>
      <c r="Q129" s="5"/>
      <c r="R129" s="29" t="s">
        <v>34</v>
      </c>
      <c r="S129" s="30">
        <v>0.0</v>
      </c>
      <c r="T129" s="31">
        <v>0.05</v>
      </c>
      <c r="U129" s="26">
        <f t="shared" ref="U129:AF129" si="168">IF($R129="Manual","",IFERROR(IF($R129="YOY Growth",$N129*(1+$T129)/12,$S129/12),""))</f>
        <v>0</v>
      </c>
      <c r="V129" s="26">
        <f t="shared" si="168"/>
        <v>0</v>
      </c>
      <c r="W129" s="26">
        <f t="shared" si="168"/>
        <v>0</v>
      </c>
      <c r="X129" s="26">
        <f t="shared" si="168"/>
        <v>0</v>
      </c>
      <c r="Y129" s="26">
        <f t="shared" si="168"/>
        <v>0</v>
      </c>
      <c r="Z129" s="26">
        <f t="shared" si="168"/>
        <v>0</v>
      </c>
      <c r="AA129" s="26">
        <f t="shared" si="168"/>
        <v>0</v>
      </c>
      <c r="AB129" s="26">
        <f t="shared" si="168"/>
        <v>0</v>
      </c>
      <c r="AC129" s="26">
        <f t="shared" si="168"/>
        <v>0</v>
      </c>
      <c r="AD129" s="26">
        <f t="shared" si="168"/>
        <v>0</v>
      </c>
      <c r="AE129" s="26">
        <f t="shared" si="168"/>
        <v>0</v>
      </c>
      <c r="AF129" s="26">
        <f t="shared" si="168"/>
        <v>0</v>
      </c>
      <c r="AG129" s="5">
        <f t="shared" si="169"/>
        <v>0</v>
      </c>
      <c r="AH129" s="28" t="str">
        <f t="shared" si="170"/>
        <v/>
      </c>
      <c r="AI129" s="4"/>
      <c r="AJ129" s="5">
        <f t="shared" si="171"/>
        <v>0</v>
      </c>
    </row>
    <row r="130" ht="13.5" customHeight="1">
      <c r="A130" s="33" t="s">
        <v>160</v>
      </c>
      <c r="B130" s="34">
        <f t="shared" ref="B130:M130" si="172">SUM(B124:B129)</f>
        <v>0</v>
      </c>
      <c r="C130" s="34">
        <f t="shared" si="172"/>
        <v>0</v>
      </c>
      <c r="D130" s="34">
        <f t="shared" si="172"/>
        <v>0</v>
      </c>
      <c r="E130" s="34">
        <f t="shared" si="172"/>
        <v>0</v>
      </c>
      <c r="F130" s="34">
        <f t="shared" si="172"/>
        <v>0</v>
      </c>
      <c r="G130" s="34">
        <f t="shared" si="172"/>
        <v>0</v>
      </c>
      <c r="H130" s="34">
        <f t="shared" si="172"/>
        <v>0</v>
      </c>
      <c r="I130" s="34">
        <f t="shared" si="172"/>
        <v>0</v>
      </c>
      <c r="J130" s="34">
        <f t="shared" si="172"/>
        <v>0</v>
      </c>
      <c r="K130" s="34">
        <f t="shared" si="172"/>
        <v>0</v>
      </c>
      <c r="L130" s="34">
        <f t="shared" si="172"/>
        <v>0</v>
      </c>
      <c r="M130" s="34">
        <f t="shared" si="172"/>
        <v>0</v>
      </c>
      <c r="N130" s="34">
        <f t="shared" si="166"/>
        <v>0</v>
      </c>
      <c r="O130" s="35" t="str">
        <f t="shared" si="167"/>
        <v/>
      </c>
      <c r="P130" s="5"/>
      <c r="Q130" s="5"/>
      <c r="R130" s="36"/>
      <c r="S130" s="36"/>
      <c r="T130" s="36"/>
      <c r="U130" s="34">
        <f t="shared" ref="U130:AF130" si="173">SUM(U124:U129)</f>
        <v>0</v>
      </c>
      <c r="V130" s="34">
        <f t="shared" si="173"/>
        <v>0</v>
      </c>
      <c r="W130" s="34">
        <f t="shared" si="173"/>
        <v>0</v>
      </c>
      <c r="X130" s="34">
        <f t="shared" si="173"/>
        <v>0</v>
      </c>
      <c r="Y130" s="34">
        <f t="shared" si="173"/>
        <v>0</v>
      </c>
      <c r="Z130" s="34">
        <f t="shared" si="173"/>
        <v>0</v>
      </c>
      <c r="AA130" s="34">
        <f t="shared" si="173"/>
        <v>0</v>
      </c>
      <c r="AB130" s="34">
        <f t="shared" si="173"/>
        <v>0</v>
      </c>
      <c r="AC130" s="34">
        <f t="shared" si="173"/>
        <v>0</v>
      </c>
      <c r="AD130" s="34">
        <f t="shared" si="173"/>
        <v>0</v>
      </c>
      <c r="AE130" s="34">
        <f t="shared" si="173"/>
        <v>0</v>
      </c>
      <c r="AF130" s="34">
        <f t="shared" si="173"/>
        <v>0</v>
      </c>
      <c r="AG130" s="34">
        <f t="shared" si="169"/>
        <v>0</v>
      </c>
      <c r="AH130" s="35" t="str">
        <f t="shared" si="170"/>
        <v/>
      </c>
      <c r="AI130" s="4"/>
      <c r="AJ130" s="34">
        <f t="shared" si="171"/>
        <v>0</v>
      </c>
    </row>
    <row r="131" ht="13.5" customHeight="1">
      <c r="A131" s="52" t="s">
        <v>161</v>
      </c>
      <c r="B131" s="34">
        <f t="shared" ref="B131:M131" si="174">B122-B130</f>
        <v>0</v>
      </c>
      <c r="C131" s="34">
        <f t="shared" si="174"/>
        <v>0</v>
      </c>
      <c r="D131" s="34">
        <f t="shared" si="174"/>
        <v>0</v>
      </c>
      <c r="E131" s="34">
        <f t="shared" si="174"/>
        <v>0</v>
      </c>
      <c r="F131" s="34">
        <f t="shared" si="174"/>
        <v>0</v>
      </c>
      <c r="G131" s="34">
        <f t="shared" si="174"/>
        <v>0</v>
      </c>
      <c r="H131" s="34">
        <f t="shared" si="174"/>
        <v>0</v>
      </c>
      <c r="I131" s="34">
        <f t="shared" si="174"/>
        <v>0</v>
      </c>
      <c r="J131" s="34">
        <f t="shared" si="174"/>
        <v>0</v>
      </c>
      <c r="K131" s="34">
        <f t="shared" si="174"/>
        <v>0</v>
      </c>
      <c r="L131" s="34">
        <f t="shared" si="174"/>
        <v>0</v>
      </c>
      <c r="M131" s="34">
        <f t="shared" si="174"/>
        <v>0</v>
      </c>
      <c r="N131" s="34">
        <f t="shared" si="166"/>
        <v>0</v>
      </c>
      <c r="O131" s="35" t="str">
        <f t="shared" si="167"/>
        <v/>
      </c>
      <c r="P131" s="5"/>
      <c r="Q131" s="5"/>
      <c r="R131" s="36"/>
      <c r="S131" s="36"/>
      <c r="T131" s="36"/>
      <c r="U131" s="34">
        <f t="shared" ref="U131:AF131" si="175">U122-U130</f>
        <v>0</v>
      </c>
      <c r="V131" s="34">
        <f t="shared" si="175"/>
        <v>0</v>
      </c>
      <c r="W131" s="34">
        <f t="shared" si="175"/>
        <v>0</v>
      </c>
      <c r="X131" s="34">
        <f t="shared" si="175"/>
        <v>0</v>
      </c>
      <c r="Y131" s="34">
        <f t="shared" si="175"/>
        <v>0</v>
      </c>
      <c r="Z131" s="34">
        <f t="shared" si="175"/>
        <v>0</v>
      </c>
      <c r="AA131" s="34">
        <f t="shared" si="175"/>
        <v>0</v>
      </c>
      <c r="AB131" s="34">
        <f t="shared" si="175"/>
        <v>0</v>
      </c>
      <c r="AC131" s="34">
        <f t="shared" si="175"/>
        <v>0</v>
      </c>
      <c r="AD131" s="34">
        <f t="shared" si="175"/>
        <v>0</v>
      </c>
      <c r="AE131" s="34">
        <f t="shared" si="175"/>
        <v>0</v>
      </c>
      <c r="AF131" s="34">
        <f t="shared" si="175"/>
        <v>0</v>
      </c>
      <c r="AG131" s="34">
        <f t="shared" si="169"/>
        <v>0</v>
      </c>
      <c r="AH131" s="35" t="str">
        <f t="shared" si="170"/>
        <v/>
      </c>
      <c r="AI131" s="4"/>
      <c r="AJ131" s="34">
        <f t="shared" ref="AJ131:AJ132" si="178">AG131-N131</f>
        <v>0</v>
      </c>
    </row>
    <row r="132" ht="13.5" customHeight="1">
      <c r="A132" s="52" t="s">
        <v>162</v>
      </c>
      <c r="B132" s="53">
        <f t="shared" ref="B132:M132" si="176">B117+B131</f>
        <v>-56010.4</v>
      </c>
      <c r="C132" s="53">
        <f t="shared" si="176"/>
        <v>-46181.75</v>
      </c>
      <c r="D132" s="53">
        <f t="shared" si="176"/>
        <v>-83484.13</v>
      </c>
      <c r="E132" s="53">
        <f t="shared" si="176"/>
        <v>-109548.93</v>
      </c>
      <c r="F132" s="53">
        <f t="shared" si="176"/>
        <v>-133089.38</v>
      </c>
      <c r="G132" s="53">
        <f t="shared" si="176"/>
        <v>-138267.06</v>
      </c>
      <c r="H132" s="53">
        <f t="shared" si="176"/>
        <v>-68900.93</v>
      </c>
      <c r="I132" s="53">
        <f t="shared" si="176"/>
        <v>-79794.05</v>
      </c>
      <c r="J132" s="53">
        <f t="shared" si="176"/>
        <v>-134139</v>
      </c>
      <c r="K132" s="53">
        <f t="shared" si="176"/>
        <v>-155033</v>
      </c>
      <c r="L132" s="53">
        <f t="shared" si="176"/>
        <v>-156273</v>
      </c>
      <c r="M132" s="53">
        <f t="shared" si="176"/>
        <v>-151073</v>
      </c>
      <c r="N132" s="53">
        <f t="shared" si="166"/>
        <v>-1311794.63</v>
      </c>
      <c r="O132" s="54" t="str">
        <f t="shared" si="167"/>
        <v/>
      </c>
      <c r="P132" s="5"/>
      <c r="Q132" s="5"/>
      <c r="R132" s="36"/>
      <c r="S132" s="36"/>
      <c r="T132" s="36"/>
      <c r="U132" s="53">
        <f t="shared" ref="U132:AF132" si="177">U117+U131</f>
        <v>-62200.32864</v>
      </c>
      <c r="V132" s="53">
        <f t="shared" si="177"/>
        <v>-62200.32864</v>
      </c>
      <c r="W132" s="53">
        <f t="shared" si="177"/>
        <v>-62200.32864</v>
      </c>
      <c r="X132" s="53">
        <f t="shared" si="177"/>
        <v>-62200.32864</v>
      </c>
      <c r="Y132" s="53">
        <f t="shared" si="177"/>
        <v>-62200.32864</v>
      </c>
      <c r="Z132" s="53">
        <f t="shared" si="177"/>
        <v>-62200.32864</v>
      </c>
      <c r="AA132" s="53">
        <f t="shared" si="177"/>
        <v>-62200.32864</v>
      </c>
      <c r="AB132" s="53">
        <f t="shared" si="177"/>
        <v>-62200.32864</v>
      </c>
      <c r="AC132" s="53">
        <f t="shared" si="177"/>
        <v>-62200.32864</v>
      </c>
      <c r="AD132" s="53">
        <f t="shared" si="177"/>
        <v>-64066.3385</v>
      </c>
      <c r="AE132" s="53">
        <f t="shared" si="177"/>
        <v>-64066.3385</v>
      </c>
      <c r="AF132" s="53">
        <f t="shared" si="177"/>
        <v>-64066.3385</v>
      </c>
      <c r="AG132" s="53">
        <f t="shared" si="169"/>
        <v>-752001.9732</v>
      </c>
      <c r="AH132" s="54" t="str">
        <f t="shared" si="170"/>
        <v/>
      </c>
      <c r="AI132" s="4"/>
      <c r="AJ132" s="53">
        <f t="shared" si="178"/>
        <v>559792.6568</v>
      </c>
    </row>
    <row r="133" ht="13.5" customHeight="1">
      <c r="A133" s="4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36"/>
      <c r="S133" s="36"/>
      <c r="T133" s="36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  <c r="AE133" s="55"/>
      <c r="AF133" s="55"/>
      <c r="AG133" s="28"/>
      <c r="AH133" s="5"/>
      <c r="AI133" s="4"/>
      <c r="AJ133" s="4"/>
    </row>
    <row r="134" ht="13.5" customHeight="1">
      <c r="A134" s="4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28"/>
      <c r="P134" s="5"/>
      <c r="Q134" s="5"/>
      <c r="R134" s="36"/>
      <c r="S134" s="36"/>
      <c r="T134" s="36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4"/>
      <c r="AJ134" s="4"/>
    </row>
    <row r="135" ht="13.5" customHeight="1">
      <c r="A135" s="4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28"/>
      <c r="P135" s="5"/>
      <c r="Q135" s="5"/>
      <c r="R135" s="36"/>
      <c r="S135" s="36"/>
      <c r="T135" s="36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4"/>
      <c r="AJ135" s="4"/>
    </row>
    <row r="136" ht="13.5" customHeight="1">
      <c r="A136" s="4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28"/>
      <c r="P136" s="5"/>
      <c r="Q136" s="5"/>
      <c r="R136" s="36"/>
      <c r="S136" s="36"/>
      <c r="T136" s="36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4"/>
      <c r="AJ136" s="4"/>
    </row>
    <row r="137" ht="13.5" customHeight="1">
      <c r="A137" s="25" t="s">
        <v>163</v>
      </c>
      <c r="B137" s="5">
        <f t="shared" ref="B137:N137" si="179">SUMIF($A$9:$A$132,"*"&amp;$A137&amp;"*",B$9:B$132)</f>
        <v>38333.32</v>
      </c>
      <c r="C137" s="5">
        <f t="shared" si="179"/>
        <v>27897.23</v>
      </c>
      <c r="D137" s="5">
        <f t="shared" si="179"/>
        <v>38333.32</v>
      </c>
      <c r="E137" s="5">
        <f t="shared" si="179"/>
        <v>48324.65</v>
      </c>
      <c r="F137" s="5">
        <f t="shared" si="179"/>
        <v>69698.22</v>
      </c>
      <c r="G137" s="5">
        <f t="shared" si="179"/>
        <v>57128.18</v>
      </c>
      <c r="H137" s="5">
        <f t="shared" si="179"/>
        <v>57596.54</v>
      </c>
      <c r="I137" s="5">
        <f t="shared" si="179"/>
        <v>62503.19</v>
      </c>
      <c r="J137" s="5">
        <f t="shared" si="179"/>
        <v>97900</v>
      </c>
      <c r="K137" s="5">
        <f t="shared" si="179"/>
        <v>116100</v>
      </c>
      <c r="L137" s="5">
        <f t="shared" si="179"/>
        <v>118400</v>
      </c>
      <c r="M137" s="5">
        <f t="shared" si="179"/>
        <v>118400</v>
      </c>
      <c r="N137" s="5">
        <f t="shared" si="179"/>
        <v>850614.65</v>
      </c>
      <c r="O137" s="28"/>
      <c r="P137" s="4"/>
      <c r="Q137" s="4"/>
      <c r="R137" s="36"/>
      <c r="S137" s="36"/>
      <c r="T137" s="36"/>
      <c r="U137" s="5">
        <f t="shared" ref="U137:AG137" si="180">SUMIF($A$9:$A$132,"*"&amp;$A137&amp;"*",U$9:U$132)</f>
        <v>55889.25</v>
      </c>
      <c r="V137" s="5">
        <f t="shared" si="180"/>
        <v>55889.25</v>
      </c>
      <c r="W137" s="5">
        <f t="shared" si="180"/>
        <v>55889.25</v>
      </c>
      <c r="X137" s="5">
        <f t="shared" si="180"/>
        <v>55889.25</v>
      </c>
      <c r="Y137" s="5">
        <f t="shared" si="180"/>
        <v>55889.25</v>
      </c>
      <c r="Z137" s="5">
        <f t="shared" si="180"/>
        <v>55889.25</v>
      </c>
      <c r="AA137" s="5">
        <f t="shared" si="180"/>
        <v>55889.25</v>
      </c>
      <c r="AB137" s="5">
        <f t="shared" si="180"/>
        <v>55889.25</v>
      </c>
      <c r="AC137" s="5">
        <f t="shared" si="180"/>
        <v>55889.25</v>
      </c>
      <c r="AD137" s="5">
        <f t="shared" si="180"/>
        <v>57565.9275</v>
      </c>
      <c r="AE137" s="5">
        <f t="shared" si="180"/>
        <v>57565.9275</v>
      </c>
      <c r="AF137" s="5">
        <f t="shared" si="180"/>
        <v>57565.9275</v>
      </c>
      <c r="AG137" s="5">
        <f t="shared" si="180"/>
        <v>675701.0325</v>
      </c>
      <c r="AH137" s="28"/>
      <c r="AI137" s="4"/>
      <c r="AJ137" s="5"/>
    </row>
    <row r="138" ht="13.5" customHeight="1">
      <c r="A138" s="25" t="s">
        <v>164</v>
      </c>
      <c r="B138" s="5">
        <f t="shared" ref="B138:N138" si="181">SUMIF($A$9:$A$132,"*"&amp;$A138&amp;"*",B$9:B$132)</f>
        <v>0</v>
      </c>
      <c r="C138" s="5">
        <f t="shared" si="181"/>
        <v>0</v>
      </c>
      <c r="D138" s="5">
        <f t="shared" si="181"/>
        <v>0</v>
      </c>
      <c r="E138" s="5">
        <f t="shared" si="181"/>
        <v>0</v>
      </c>
      <c r="F138" s="5">
        <f t="shared" si="181"/>
        <v>0</v>
      </c>
      <c r="G138" s="5">
        <f t="shared" si="181"/>
        <v>0</v>
      </c>
      <c r="H138" s="5">
        <f t="shared" si="181"/>
        <v>0</v>
      </c>
      <c r="I138" s="5">
        <f t="shared" si="181"/>
        <v>0</v>
      </c>
      <c r="J138" s="5">
        <f t="shared" si="181"/>
        <v>0</v>
      </c>
      <c r="K138" s="5">
        <f t="shared" si="181"/>
        <v>0</v>
      </c>
      <c r="L138" s="5">
        <f t="shared" si="181"/>
        <v>0</v>
      </c>
      <c r="M138" s="5">
        <f t="shared" si="181"/>
        <v>0</v>
      </c>
      <c r="N138" s="5">
        <f t="shared" si="181"/>
        <v>0</v>
      </c>
      <c r="O138" s="5"/>
      <c r="P138" s="5"/>
      <c r="Q138" s="5"/>
      <c r="R138" s="36"/>
      <c r="S138" s="36"/>
      <c r="T138" s="36"/>
      <c r="U138" s="5">
        <f t="shared" ref="U138:AG138" si="182">SUMIF($A$9:$A$132,"*"&amp;$A138&amp;"*",U$9:U$132)</f>
        <v>0</v>
      </c>
      <c r="V138" s="5">
        <f t="shared" si="182"/>
        <v>0</v>
      </c>
      <c r="W138" s="5">
        <f t="shared" si="182"/>
        <v>0</v>
      </c>
      <c r="X138" s="5">
        <f t="shared" si="182"/>
        <v>0</v>
      </c>
      <c r="Y138" s="5">
        <f t="shared" si="182"/>
        <v>0</v>
      </c>
      <c r="Z138" s="5">
        <f t="shared" si="182"/>
        <v>0</v>
      </c>
      <c r="AA138" s="5">
        <f t="shared" si="182"/>
        <v>0</v>
      </c>
      <c r="AB138" s="5">
        <f t="shared" si="182"/>
        <v>0</v>
      </c>
      <c r="AC138" s="5">
        <f t="shared" si="182"/>
        <v>0</v>
      </c>
      <c r="AD138" s="5">
        <f t="shared" si="182"/>
        <v>0</v>
      </c>
      <c r="AE138" s="5">
        <f t="shared" si="182"/>
        <v>0</v>
      </c>
      <c r="AF138" s="5">
        <f t="shared" si="182"/>
        <v>0</v>
      </c>
      <c r="AG138" s="5">
        <f t="shared" si="182"/>
        <v>0</v>
      </c>
      <c r="AH138" s="5"/>
      <c r="AI138" s="4"/>
      <c r="AJ138" s="4"/>
    </row>
    <row r="139" ht="13.5" customHeight="1">
      <c r="A139" s="25" t="s">
        <v>165</v>
      </c>
      <c r="B139" s="5">
        <f t="shared" ref="B139:N139" si="183">SUMIF($A$9:$A$132,"*"&amp;$A139&amp;"*",B$9:B$132)</f>
        <v>2025.41</v>
      </c>
      <c r="C139" s="5">
        <f t="shared" si="183"/>
        <v>6652.05</v>
      </c>
      <c r="D139" s="5">
        <f t="shared" si="183"/>
        <v>1617.41</v>
      </c>
      <c r="E139" s="5">
        <f t="shared" si="183"/>
        <v>1966.43</v>
      </c>
      <c r="F139" s="5">
        <f t="shared" si="183"/>
        <v>2481.03</v>
      </c>
      <c r="G139" s="5">
        <f t="shared" si="183"/>
        <v>1978.27</v>
      </c>
      <c r="H139" s="5">
        <f t="shared" si="183"/>
        <v>1940.51</v>
      </c>
      <c r="I139" s="5">
        <f t="shared" si="183"/>
        <v>3746.33</v>
      </c>
      <c r="J139" s="5">
        <f t="shared" si="183"/>
        <v>3916</v>
      </c>
      <c r="K139" s="5">
        <f t="shared" si="183"/>
        <v>4644</v>
      </c>
      <c r="L139" s="5">
        <f t="shared" si="183"/>
        <v>4736</v>
      </c>
      <c r="M139" s="5">
        <f t="shared" si="183"/>
        <v>4736</v>
      </c>
      <c r="N139" s="5">
        <f t="shared" si="183"/>
        <v>40439.44</v>
      </c>
      <c r="O139" s="5"/>
      <c r="P139" s="5"/>
      <c r="Q139" s="5"/>
      <c r="R139" s="36"/>
      <c r="S139" s="36"/>
      <c r="T139" s="36"/>
      <c r="U139" s="5">
        <f t="shared" ref="U139:AG139" si="184">SUMIF($A$9:$A$132,"*"&amp;$A139&amp;"*",U$9:U$132)</f>
        <v>2274.249226</v>
      </c>
      <c r="V139" s="5">
        <f t="shared" si="184"/>
        <v>2274.249226</v>
      </c>
      <c r="W139" s="5">
        <f t="shared" si="184"/>
        <v>2274.249226</v>
      </c>
      <c r="X139" s="5">
        <f t="shared" si="184"/>
        <v>2274.249226</v>
      </c>
      <c r="Y139" s="5">
        <f t="shared" si="184"/>
        <v>2274.249226</v>
      </c>
      <c r="Z139" s="5">
        <f t="shared" si="184"/>
        <v>2274.249226</v>
      </c>
      <c r="AA139" s="5">
        <f t="shared" si="184"/>
        <v>2274.249226</v>
      </c>
      <c r="AB139" s="5">
        <f t="shared" si="184"/>
        <v>2274.249226</v>
      </c>
      <c r="AC139" s="5">
        <f t="shared" si="184"/>
        <v>2274.249226</v>
      </c>
      <c r="AD139" s="5">
        <f t="shared" si="184"/>
        <v>2342.476703</v>
      </c>
      <c r="AE139" s="5">
        <f t="shared" si="184"/>
        <v>2342.476703</v>
      </c>
      <c r="AF139" s="5">
        <f t="shared" si="184"/>
        <v>2342.476703</v>
      </c>
      <c r="AG139" s="5">
        <f t="shared" si="184"/>
        <v>27495.67315</v>
      </c>
      <c r="AH139" s="5"/>
      <c r="AI139" s="4"/>
      <c r="AJ139" s="5"/>
    </row>
    <row r="140" ht="13.5" customHeight="1">
      <c r="A140" s="25" t="s">
        <v>166</v>
      </c>
      <c r="B140" s="5">
        <f t="shared" ref="B140:N140" si="185">SUMIF($A$9:$A$132,"*"&amp;$A140&amp;"*",B$9:B$132)</f>
        <v>2047.73</v>
      </c>
      <c r="C140" s="5">
        <f t="shared" si="185"/>
        <v>5252.34</v>
      </c>
      <c r="D140" s="5">
        <f t="shared" si="185"/>
        <v>3981.87</v>
      </c>
      <c r="E140" s="5">
        <f t="shared" si="185"/>
        <v>4255.59</v>
      </c>
      <c r="F140" s="5">
        <f t="shared" si="185"/>
        <v>4157.09</v>
      </c>
      <c r="G140" s="5">
        <f t="shared" si="185"/>
        <v>4325.33</v>
      </c>
      <c r="H140" s="5">
        <f t="shared" si="185"/>
        <v>3959.5</v>
      </c>
      <c r="I140" s="5">
        <f t="shared" si="185"/>
        <v>3814.97</v>
      </c>
      <c r="J140" s="5">
        <f t="shared" si="185"/>
        <v>10573</v>
      </c>
      <c r="K140" s="5">
        <f t="shared" si="185"/>
        <v>12539</v>
      </c>
      <c r="L140" s="5">
        <f t="shared" si="185"/>
        <v>12787</v>
      </c>
      <c r="M140" s="5">
        <f t="shared" si="185"/>
        <v>12787</v>
      </c>
      <c r="N140" s="5">
        <f t="shared" si="185"/>
        <v>80480.42</v>
      </c>
      <c r="O140" s="5"/>
      <c r="P140" s="5"/>
      <c r="Q140" s="5"/>
      <c r="R140" s="36"/>
      <c r="S140" s="36"/>
      <c r="T140" s="36"/>
      <c r="U140" s="5">
        <f t="shared" ref="U140:AG140" si="186">SUMIF($A$9:$A$132,"*"&amp;$A140&amp;"*",U$9:U$132)</f>
        <v>4036.82941</v>
      </c>
      <c r="V140" s="5">
        <f t="shared" si="186"/>
        <v>4036.82941</v>
      </c>
      <c r="W140" s="5">
        <f t="shared" si="186"/>
        <v>4036.82941</v>
      </c>
      <c r="X140" s="5">
        <f t="shared" si="186"/>
        <v>4036.82941</v>
      </c>
      <c r="Y140" s="5">
        <f t="shared" si="186"/>
        <v>4036.82941</v>
      </c>
      <c r="Z140" s="5">
        <f t="shared" si="186"/>
        <v>4036.82941</v>
      </c>
      <c r="AA140" s="5">
        <f t="shared" si="186"/>
        <v>4036.82941</v>
      </c>
      <c r="AB140" s="5">
        <f t="shared" si="186"/>
        <v>4036.82941</v>
      </c>
      <c r="AC140" s="5">
        <f t="shared" si="186"/>
        <v>4036.82941</v>
      </c>
      <c r="AD140" s="5">
        <f t="shared" si="186"/>
        <v>4157.934292</v>
      </c>
      <c r="AE140" s="5">
        <f t="shared" si="186"/>
        <v>4157.934292</v>
      </c>
      <c r="AF140" s="5">
        <f t="shared" si="186"/>
        <v>4157.934292</v>
      </c>
      <c r="AG140" s="5">
        <f t="shared" si="186"/>
        <v>48805.26757</v>
      </c>
      <c r="AH140" s="5"/>
      <c r="AI140" s="4"/>
      <c r="AJ140" s="5"/>
    </row>
    <row r="141" ht="13.5" customHeight="1">
      <c r="A141" s="4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36"/>
      <c r="S141" s="36"/>
      <c r="T141" s="36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4"/>
      <c r="AJ141" s="5"/>
    </row>
    <row r="142" ht="13.5" customHeight="1">
      <c r="A142" s="4" t="s">
        <v>167</v>
      </c>
      <c r="B142" s="28">
        <f t="shared" ref="B142:N142" si="187">IFERROR(SUM(B139:B140)/SUM(B137:B138),"")</f>
        <v>0.106255863</v>
      </c>
      <c r="C142" s="28">
        <f t="shared" si="187"/>
        <v>0.4267230116</v>
      </c>
      <c r="D142" s="28">
        <f t="shared" si="187"/>
        <v>0.1460682247</v>
      </c>
      <c r="E142" s="28">
        <f t="shared" si="187"/>
        <v>0.1287545797</v>
      </c>
      <c r="F142" s="28">
        <f t="shared" si="187"/>
        <v>0.09524088277</v>
      </c>
      <c r="G142" s="28">
        <f t="shared" si="187"/>
        <v>0.1103413412</v>
      </c>
      <c r="H142" s="28">
        <f t="shared" si="187"/>
        <v>0.1024368825</v>
      </c>
      <c r="I142" s="28">
        <f t="shared" si="187"/>
        <v>0.1209746255</v>
      </c>
      <c r="J142" s="28">
        <f t="shared" si="187"/>
        <v>0.1479979571</v>
      </c>
      <c r="K142" s="28">
        <f t="shared" si="187"/>
        <v>0.1480017227</v>
      </c>
      <c r="L142" s="28">
        <f t="shared" si="187"/>
        <v>0.1479983108</v>
      </c>
      <c r="M142" s="28">
        <f t="shared" si="187"/>
        <v>0.1479983108</v>
      </c>
      <c r="N142" s="28">
        <f t="shared" si="187"/>
        <v>0.1421558634</v>
      </c>
      <c r="O142" s="28"/>
      <c r="P142" s="28"/>
      <c r="Q142" s="28"/>
      <c r="R142" s="36"/>
      <c r="S142" s="36"/>
      <c r="T142" s="36"/>
      <c r="U142" s="28">
        <f t="shared" ref="U142:AG142" si="188">IFERROR(SUM(U139:U140)/SUM(U137:U138),"")</f>
        <v>0.1129211545</v>
      </c>
      <c r="V142" s="28">
        <f t="shared" si="188"/>
        <v>0.1129211545</v>
      </c>
      <c r="W142" s="28">
        <f t="shared" si="188"/>
        <v>0.1129211545</v>
      </c>
      <c r="X142" s="28">
        <f t="shared" si="188"/>
        <v>0.1129211545</v>
      </c>
      <c r="Y142" s="28">
        <f t="shared" si="188"/>
        <v>0.1129211545</v>
      </c>
      <c r="Z142" s="28">
        <f t="shared" si="188"/>
        <v>0.1129211545</v>
      </c>
      <c r="AA142" s="28">
        <f t="shared" si="188"/>
        <v>0.1129211545</v>
      </c>
      <c r="AB142" s="28">
        <f t="shared" si="188"/>
        <v>0.1129211545</v>
      </c>
      <c r="AC142" s="28">
        <f t="shared" si="188"/>
        <v>0.1129211545</v>
      </c>
      <c r="AD142" s="28">
        <f t="shared" si="188"/>
        <v>0.1129211545</v>
      </c>
      <c r="AE142" s="28">
        <f t="shared" si="188"/>
        <v>0.1129211545</v>
      </c>
      <c r="AF142" s="28">
        <f t="shared" si="188"/>
        <v>0.1129211545</v>
      </c>
      <c r="AG142" s="28">
        <f t="shared" si="188"/>
        <v>0.1129211545</v>
      </c>
      <c r="AH142" s="28"/>
      <c r="AI142" s="28"/>
      <c r="AJ142" s="28"/>
    </row>
    <row r="143" ht="13.5" customHeight="1">
      <c r="A143" s="4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28"/>
      <c r="P143" s="5"/>
      <c r="Q143" s="5"/>
      <c r="R143" s="36"/>
      <c r="S143" s="36"/>
      <c r="T143" s="36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4"/>
    </row>
    <row r="144" ht="13.5" customHeight="1">
      <c r="A144" s="4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28"/>
      <c r="P144" s="5"/>
      <c r="Q144" s="5"/>
      <c r="R144" s="36"/>
      <c r="S144" s="36"/>
      <c r="T144" s="36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4"/>
      <c r="AJ144" s="4"/>
    </row>
    <row r="145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28"/>
      <c r="P145" s="4"/>
      <c r="Q145" s="4"/>
      <c r="R145" s="56"/>
      <c r="S145" s="56"/>
      <c r="T145" s="56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8"/>
      <c r="P146" s="4"/>
      <c r="Q146" s="4"/>
      <c r="R146" s="56"/>
      <c r="S146" s="56"/>
      <c r="T146" s="56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28"/>
      <c r="P147" s="4"/>
      <c r="Q147" s="4"/>
      <c r="R147" s="56"/>
      <c r="S147" s="56"/>
      <c r="T147" s="56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28"/>
      <c r="P148" s="4"/>
      <c r="Q148" s="4"/>
      <c r="R148" s="56"/>
      <c r="S148" s="56"/>
      <c r="T148" s="56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28"/>
      <c r="P149" s="4"/>
      <c r="Q149" s="4"/>
      <c r="R149" s="56"/>
      <c r="S149" s="56"/>
      <c r="T149" s="56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28"/>
      <c r="P150" s="4"/>
      <c r="Q150" s="4"/>
      <c r="R150" s="56"/>
      <c r="S150" s="56"/>
      <c r="T150" s="56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28"/>
      <c r="P151" s="4"/>
      <c r="Q151" s="4"/>
      <c r="R151" s="56"/>
      <c r="S151" s="56"/>
      <c r="T151" s="56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28"/>
      <c r="P152" s="4"/>
      <c r="Q152" s="4"/>
      <c r="R152" s="56"/>
      <c r="S152" s="56"/>
      <c r="T152" s="56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28"/>
      <c r="P153" s="4"/>
      <c r="Q153" s="4"/>
      <c r="R153" s="56"/>
      <c r="S153" s="56"/>
      <c r="T153" s="56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28"/>
      <c r="P154" s="4"/>
      <c r="Q154" s="4"/>
      <c r="R154" s="56"/>
      <c r="S154" s="56"/>
      <c r="T154" s="56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28"/>
      <c r="P155" s="4"/>
      <c r="Q155" s="4"/>
      <c r="R155" s="56"/>
      <c r="S155" s="56"/>
      <c r="T155" s="56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28"/>
      <c r="P156" s="4"/>
      <c r="Q156" s="4"/>
      <c r="R156" s="56"/>
      <c r="S156" s="56"/>
      <c r="T156" s="56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28"/>
      <c r="P157" s="4"/>
      <c r="Q157" s="4"/>
      <c r="R157" s="56"/>
      <c r="S157" s="56"/>
      <c r="T157" s="56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28"/>
      <c r="P158" s="4"/>
      <c r="Q158" s="4"/>
      <c r="R158" s="56"/>
      <c r="S158" s="56"/>
      <c r="T158" s="56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28"/>
      <c r="P159" s="4"/>
      <c r="Q159" s="4"/>
      <c r="R159" s="56"/>
      <c r="S159" s="56"/>
      <c r="T159" s="56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28"/>
      <c r="P160" s="4"/>
      <c r="Q160" s="4"/>
      <c r="R160" s="56"/>
      <c r="S160" s="56"/>
      <c r="T160" s="56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28"/>
      <c r="P161" s="4"/>
      <c r="Q161" s="4"/>
      <c r="R161" s="56"/>
      <c r="S161" s="56"/>
      <c r="T161" s="56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28"/>
      <c r="P162" s="4"/>
      <c r="Q162" s="4"/>
      <c r="R162" s="56"/>
      <c r="S162" s="56"/>
      <c r="T162" s="56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28"/>
      <c r="P163" s="4"/>
      <c r="Q163" s="4"/>
      <c r="R163" s="56"/>
      <c r="S163" s="56"/>
      <c r="T163" s="56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28"/>
      <c r="P164" s="4"/>
      <c r="Q164" s="4"/>
      <c r="R164" s="56"/>
      <c r="S164" s="56"/>
      <c r="T164" s="56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28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28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8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28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28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8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28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28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8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28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28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8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28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28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28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28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28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28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28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28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28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28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28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28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28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28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28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28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28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28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28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28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28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28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28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28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</row>
    <row r="293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</row>
    <row r="294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</row>
    <row r="295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</row>
    <row r="29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</row>
    <row r="297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</row>
    <row r="298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</row>
    <row r="299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</row>
    <row r="300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</row>
    <row r="301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</row>
    <row r="302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</row>
    <row r="303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</row>
    <row r="304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</row>
    <row r="305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</row>
    <row r="30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</row>
    <row r="307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</row>
    <row r="308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</row>
    <row r="309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</row>
    <row r="310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</row>
    <row r="311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</row>
    <row r="312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</row>
    <row r="313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</row>
    <row r="314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</row>
    <row r="315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</row>
    <row r="31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</row>
    <row r="317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</row>
    <row r="318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</row>
    <row r="319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</row>
    <row r="320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</row>
    <row r="321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</row>
    <row r="322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</row>
    <row r="323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</row>
    <row r="324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</row>
    <row r="325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</row>
    <row r="3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</row>
    <row r="327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</row>
    <row r="328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</row>
    <row r="329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</row>
    <row r="330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</row>
    <row r="331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</row>
    <row r="332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</row>
    <row r="333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</row>
    <row r="334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</row>
    <row r="335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</row>
    <row r="33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</row>
    <row r="337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</row>
    <row r="338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</row>
    <row r="339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</row>
    <row r="340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</row>
    <row r="341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</row>
    <row r="342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</row>
    <row r="343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</row>
    <row r="344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</row>
    <row r="345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</row>
    <row r="34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</row>
    <row r="347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</row>
    <row r="348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</row>
    <row r="349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</row>
    <row r="350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</row>
    <row r="351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</row>
    <row r="352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</row>
    <row r="353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</row>
    <row r="354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</row>
    <row r="355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</row>
    <row r="35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</row>
    <row r="357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</row>
    <row r="358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</row>
    <row r="359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</row>
    <row r="360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</row>
    <row r="361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</row>
    <row r="362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</row>
    <row r="363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</row>
    <row r="364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</row>
    <row r="365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</row>
    <row r="36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</row>
    <row r="367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</row>
    <row r="368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</row>
    <row r="369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</row>
    <row r="370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</row>
    <row r="371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</row>
    <row r="372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</row>
    <row r="373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</row>
    <row r="374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</row>
    <row r="375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</row>
    <row r="37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</row>
    <row r="377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</row>
    <row r="378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</row>
    <row r="379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</row>
    <row r="380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</row>
    <row r="381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</row>
    <row r="382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</row>
    <row r="383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</row>
    <row r="384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</row>
    <row r="385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</row>
    <row r="38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</row>
    <row r="387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</row>
    <row r="388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</row>
    <row r="389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</row>
    <row r="390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</row>
    <row r="391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</row>
    <row r="392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</row>
    <row r="393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</row>
    <row r="394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</row>
    <row r="395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</row>
    <row r="39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</row>
    <row r="397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</row>
    <row r="398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</row>
    <row r="399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</row>
    <row r="400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</row>
    <row r="401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</row>
    <row r="402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</row>
    <row r="403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</row>
    <row r="404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</row>
    <row r="405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</row>
    <row r="40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</row>
    <row r="407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</row>
    <row r="408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</row>
    <row r="409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</row>
    <row r="410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</row>
    <row r="411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</row>
    <row r="412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</row>
    <row r="413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</row>
    <row r="414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</row>
    <row r="415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</row>
    <row r="41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</row>
    <row r="417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</row>
    <row r="418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</row>
    <row r="419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</row>
    <row r="420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</row>
    <row r="421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</row>
    <row r="422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</row>
    <row r="423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</row>
    <row r="424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</row>
    <row r="425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</row>
    <row r="4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</row>
    <row r="427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</row>
    <row r="428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</row>
    <row r="429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</row>
    <row r="430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</row>
    <row r="431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</row>
    <row r="432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</row>
    <row r="433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</row>
    <row r="434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</row>
    <row r="435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</row>
    <row r="43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</row>
    <row r="437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</row>
    <row r="438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</row>
    <row r="439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</row>
    <row r="440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</row>
    <row r="441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</row>
    <row r="442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</row>
    <row r="443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</row>
    <row r="444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</row>
    <row r="445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</row>
    <row r="44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</row>
    <row r="447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</row>
    <row r="448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</row>
    <row r="449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</row>
    <row r="450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</row>
    <row r="451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</row>
    <row r="452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</row>
    <row r="453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</row>
    <row r="454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</row>
    <row r="455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</row>
    <row r="45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</row>
    <row r="457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</row>
    <row r="458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</row>
    <row r="459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</row>
    <row r="460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</row>
    <row r="461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</row>
    <row r="462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</row>
    <row r="463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</row>
    <row r="464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</row>
    <row r="465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</row>
    <row r="46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</row>
    <row r="467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</row>
    <row r="468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</row>
    <row r="469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</row>
    <row r="470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</row>
    <row r="471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</row>
    <row r="472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</row>
    <row r="473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</row>
    <row r="474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</row>
    <row r="475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</row>
    <row r="47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</row>
    <row r="477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</row>
    <row r="478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</row>
    <row r="479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</row>
    <row r="480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</row>
    <row r="481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</row>
    <row r="482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</row>
    <row r="483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</row>
    <row r="484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</row>
    <row r="485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</row>
    <row r="48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</row>
    <row r="487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</row>
    <row r="488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</row>
    <row r="489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</row>
    <row r="490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</row>
    <row r="491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</row>
    <row r="492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</row>
    <row r="493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</row>
    <row r="494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</row>
    <row r="495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</row>
    <row r="49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</row>
    <row r="497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</row>
    <row r="498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</row>
    <row r="499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</row>
    <row r="500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</row>
    <row r="501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</row>
    <row r="502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</row>
    <row r="503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</row>
    <row r="504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</row>
    <row r="505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</row>
    <row r="50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</row>
    <row r="507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</row>
    <row r="508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</row>
    <row r="509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</row>
    <row r="510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</row>
    <row r="511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</row>
    <row r="512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</row>
    <row r="513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</row>
    <row r="514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</row>
    <row r="515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</row>
    <row r="51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</row>
    <row r="517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</row>
    <row r="518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</row>
    <row r="519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</row>
    <row r="520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</row>
    <row r="521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</row>
    <row r="522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</row>
    <row r="523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</row>
    <row r="524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</row>
    <row r="525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</row>
    <row r="5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</row>
    <row r="527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</row>
    <row r="528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</row>
    <row r="529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</row>
    <row r="530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</row>
    <row r="531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</row>
    <row r="532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</row>
    <row r="533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</row>
    <row r="534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</row>
    <row r="535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</row>
    <row r="53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</row>
    <row r="537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</row>
    <row r="538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</row>
    <row r="539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</row>
    <row r="540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</row>
    <row r="541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</row>
    <row r="542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</row>
    <row r="543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</row>
    <row r="544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</row>
    <row r="545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</row>
    <row r="54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</row>
    <row r="547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</row>
    <row r="548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</row>
    <row r="549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</row>
    <row r="550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</row>
    <row r="551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</row>
    <row r="552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</row>
    <row r="553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</row>
    <row r="554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</row>
    <row r="555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</row>
    <row r="55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</row>
    <row r="557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</row>
    <row r="558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</row>
    <row r="559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</row>
    <row r="560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</row>
    <row r="561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</row>
    <row r="562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</row>
    <row r="563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</row>
    <row r="564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</row>
    <row r="565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</row>
    <row r="56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</row>
    <row r="567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</row>
    <row r="568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</row>
    <row r="569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</row>
    <row r="570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</row>
    <row r="571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</row>
    <row r="572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</row>
    <row r="573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</row>
    <row r="574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</row>
    <row r="575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</row>
    <row r="57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</row>
    <row r="577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</row>
    <row r="578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</row>
    <row r="579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</row>
    <row r="580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</row>
    <row r="581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</row>
    <row r="582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</row>
    <row r="583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</row>
    <row r="584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</row>
    <row r="585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</row>
    <row r="58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</row>
    <row r="587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</row>
    <row r="588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</row>
    <row r="589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</row>
    <row r="590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</row>
    <row r="591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</row>
    <row r="592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</row>
    <row r="593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</row>
    <row r="594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</row>
    <row r="595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</row>
    <row r="59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</row>
    <row r="597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</row>
    <row r="598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</row>
    <row r="599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</row>
    <row r="600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</row>
    <row r="601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</row>
    <row r="602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</row>
    <row r="603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</row>
    <row r="604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</row>
    <row r="605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</row>
    <row r="60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</row>
    <row r="607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</row>
    <row r="608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</row>
    <row r="609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</row>
    <row r="610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</row>
    <row r="611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</row>
    <row r="612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</row>
    <row r="613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</row>
    <row r="614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</row>
    <row r="615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</row>
    <row r="61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</row>
    <row r="617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</row>
    <row r="618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</row>
    <row r="619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</row>
    <row r="620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</row>
    <row r="621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</row>
    <row r="622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</row>
    <row r="623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</row>
    <row r="624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</row>
    <row r="625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</row>
    <row r="6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</row>
    <row r="627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</row>
    <row r="628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</row>
    <row r="629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</row>
    <row r="630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</row>
    <row r="631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</row>
    <row r="632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</row>
    <row r="633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</row>
    <row r="634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</row>
    <row r="635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</row>
    <row r="63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</row>
    <row r="637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</row>
    <row r="638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</row>
    <row r="639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</row>
    <row r="640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</row>
    <row r="641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</row>
    <row r="642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</row>
    <row r="643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</row>
    <row r="644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</row>
    <row r="645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</row>
    <row r="64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</row>
    <row r="647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</row>
    <row r="648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</row>
    <row r="649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</row>
    <row r="650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</row>
    <row r="651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</row>
    <row r="652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</row>
    <row r="653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</row>
    <row r="654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</row>
    <row r="655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</row>
    <row r="65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</row>
    <row r="657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</row>
    <row r="658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</row>
    <row r="659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</row>
    <row r="660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</row>
    <row r="661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</row>
    <row r="662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</row>
    <row r="663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</row>
    <row r="664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</row>
    <row r="665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</row>
    <row r="66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</row>
    <row r="667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</row>
    <row r="668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</row>
    <row r="669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</row>
    <row r="670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</row>
    <row r="671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</row>
    <row r="672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</row>
    <row r="673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</row>
    <row r="674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</row>
    <row r="675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</row>
    <row r="67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</row>
    <row r="677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</row>
    <row r="678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</row>
    <row r="679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</row>
    <row r="680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</row>
    <row r="681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</row>
    <row r="682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</row>
    <row r="683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</row>
    <row r="684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</row>
    <row r="685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</row>
    <row r="68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</row>
    <row r="687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</row>
    <row r="688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</row>
    <row r="689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</row>
    <row r="690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</row>
    <row r="691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</row>
    <row r="692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</row>
    <row r="693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</row>
    <row r="694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</row>
    <row r="695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</row>
    <row r="69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</row>
    <row r="697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</row>
    <row r="698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</row>
    <row r="699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</row>
    <row r="700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</row>
    <row r="701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</row>
    <row r="702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</row>
    <row r="703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</row>
    <row r="704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</row>
    <row r="705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</row>
    <row r="70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</row>
    <row r="707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</row>
    <row r="708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</row>
    <row r="709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</row>
    <row r="710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</row>
    <row r="711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</row>
    <row r="712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</row>
    <row r="713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</row>
    <row r="714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</row>
    <row r="715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</row>
    <row r="71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</row>
    <row r="717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</row>
    <row r="718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</row>
    <row r="719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</row>
    <row r="720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</row>
    <row r="721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</row>
    <row r="722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</row>
    <row r="723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</row>
    <row r="724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</row>
    <row r="725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</row>
    <row r="7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</row>
    <row r="727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</row>
    <row r="728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</row>
    <row r="729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</row>
    <row r="730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</row>
    <row r="731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</row>
    <row r="732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</row>
    <row r="733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</row>
    <row r="734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</row>
    <row r="735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</row>
    <row r="73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</row>
    <row r="737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</row>
    <row r="738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</row>
    <row r="739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</row>
    <row r="740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</row>
    <row r="741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</row>
    <row r="742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</row>
    <row r="743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</row>
    <row r="744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</row>
    <row r="745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</row>
    <row r="74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</row>
    <row r="747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</row>
    <row r="748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</row>
    <row r="749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</row>
    <row r="750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</row>
    <row r="751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</row>
    <row r="752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</row>
    <row r="753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</row>
    <row r="754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</row>
    <row r="755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</row>
    <row r="75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</row>
    <row r="757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</row>
    <row r="758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</row>
    <row r="759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</row>
    <row r="760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</row>
    <row r="761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</row>
    <row r="762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</row>
    <row r="763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</row>
    <row r="764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</row>
    <row r="765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</row>
    <row r="76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</row>
    <row r="767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</row>
    <row r="768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</row>
    <row r="769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</row>
    <row r="770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</row>
    <row r="771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</row>
    <row r="772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</row>
    <row r="773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</row>
    <row r="774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</row>
    <row r="775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</row>
    <row r="77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</row>
    <row r="777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</row>
    <row r="778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</row>
    <row r="779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</row>
    <row r="780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</row>
    <row r="781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</row>
    <row r="782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</row>
    <row r="783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</row>
    <row r="784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</row>
    <row r="785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</row>
    <row r="78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</row>
    <row r="787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</row>
    <row r="788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</row>
    <row r="789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</row>
    <row r="790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</row>
    <row r="791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</row>
    <row r="792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</row>
    <row r="793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</row>
    <row r="794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</row>
    <row r="795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</row>
    <row r="79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</row>
    <row r="797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</row>
    <row r="798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</row>
    <row r="799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</row>
    <row r="800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</row>
    <row r="801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</row>
    <row r="802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</row>
    <row r="803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</row>
    <row r="804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</row>
    <row r="805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</row>
    <row r="80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</row>
    <row r="807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</row>
    <row r="808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</row>
    <row r="809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</row>
    <row r="810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</row>
    <row r="811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</row>
    <row r="812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</row>
    <row r="813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</row>
    <row r="814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</row>
    <row r="815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</row>
    <row r="81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</row>
    <row r="817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</row>
    <row r="818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</row>
    <row r="819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</row>
    <row r="820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</row>
    <row r="821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</row>
    <row r="822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</row>
    <row r="823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</row>
    <row r="824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</row>
    <row r="825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</row>
    <row r="8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</row>
    <row r="827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</row>
    <row r="828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</row>
    <row r="829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</row>
    <row r="830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</row>
    <row r="831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</row>
    <row r="832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</row>
    <row r="833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</row>
    <row r="834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</row>
    <row r="835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</row>
    <row r="83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</row>
    <row r="837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</row>
    <row r="838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</row>
    <row r="839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</row>
    <row r="840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</row>
    <row r="841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</row>
    <row r="842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</row>
    <row r="843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</row>
    <row r="844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</row>
    <row r="845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</row>
    <row r="84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</row>
    <row r="847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</row>
    <row r="848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</row>
    <row r="849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</row>
    <row r="850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</row>
    <row r="851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</row>
    <row r="852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</row>
    <row r="853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</row>
    <row r="854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</row>
    <row r="855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</row>
    <row r="85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</row>
    <row r="857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</row>
    <row r="858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</row>
    <row r="859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</row>
    <row r="860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</row>
    <row r="861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</row>
    <row r="862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</row>
    <row r="863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</row>
    <row r="864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</row>
    <row r="865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</row>
    <row r="86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</row>
    <row r="867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</row>
    <row r="868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</row>
    <row r="869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</row>
    <row r="870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</row>
    <row r="871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</row>
    <row r="872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</row>
    <row r="873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</row>
    <row r="874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</row>
    <row r="875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</row>
    <row r="87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</row>
    <row r="877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</row>
    <row r="878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</row>
    <row r="879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</row>
    <row r="880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</row>
    <row r="881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</row>
    <row r="882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</row>
    <row r="883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</row>
    <row r="884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</row>
    <row r="885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</row>
    <row r="88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</row>
    <row r="887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</row>
    <row r="888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</row>
    <row r="889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</row>
    <row r="890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</row>
    <row r="891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</row>
    <row r="892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</row>
    <row r="893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</row>
    <row r="894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</row>
    <row r="895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</row>
    <row r="89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</row>
    <row r="897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</row>
    <row r="898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</row>
    <row r="899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</row>
    <row r="900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</row>
    <row r="901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</row>
    <row r="902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</row>
    <row r="903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</row>
    <row r="904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</row>
    <row r="905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</row>
    <row r="90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</row>
    <row r="907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</row>
    <row r="908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</row>
    <row r="909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</row>
    <row r="910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</row>
    <row r="911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</row>
    <row r="912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</row>
    <row r="913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</row>
    <row r="914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</row>
    <row r="915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</row>
    <row r="91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</row>
    <row r="917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</row>
    <row r="918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</row>
    <row r="919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</row>
    <row r="920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</row>
    <row r="921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</row>
    <row r="922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</row>
    <row r="923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</row>
    <row r="924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</row>
    <row r="925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</row>
    <row r="9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</row>
    <row r="927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</row>
    <row r="928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</row>
    <row r="929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</row>
    <row r="930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</row>
    <row r="931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</row>
    <row r="932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</row>
    <row r="933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</row>
    <row r="934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</row>
    <row r="935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</row>
    <row r="93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</row>
    <row r="937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</row>
    <row r="938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</row>
    <row r="939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</row>
    <row r="940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</row>
    <row r="941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</row>
    <row r="942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</row>
    <row r="943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</row>
    <row r="944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</row>
    <row r="945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</row>
    <row r="94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</row>
    <row r="947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</row>
    <row r="948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</row>
    <row r="949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</row>
    <row r="950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</row>
    <row r="951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</row>
    <row r="952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</row>
    <row r="953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</row>
    <row r="954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</row>
    <row r="955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</row>
    <row r="95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</row>
    <row r="957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</row>
    <row r="958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</row>
    <row r="959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</row>
    <row r="960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</row>
    <row r="961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</row>
    <row r="962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</row>
    <row r="963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</row>
    <row r="964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</row>
    <row r="965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</row>
    <row r="96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</row>
    <row r="967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</row>
    <row r="968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</row>
    <row r="969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</row>
    <row r="970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</row>
    <row r="971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</row>
    <row r="972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</row>
    <row r="973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</row>
    <row r="974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</row>
    <row r="975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</row>
    <row r="97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</row>
    <row r="977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</row>
    <row r="978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</row>
    <row r="979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</row>
    <row r="980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</row>
    <row r="981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</row>
    <row r="982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</row>
    <row r="983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</row>
    <row r="984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</row>
    <row r="985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</row>
    <row r="98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</row>
    <row r="987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</row>
    <row r="988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</row>
    <row r="989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</row>
    <row r="990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</row>
    <row r="991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</row>
    <row r="992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</row>
    <row r="993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</row>
    <row r="994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</row>
    <row r="995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</row>
    <row r="996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</row>
    <row r="997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</row>
    <row r="998" ht="13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</row>
    <row r="999" ht="13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</row>
    <row r="1000" ht="13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</row>
  </sheetData>
  <conditionalFormatting sqref="S12:S13">
    <cfRule type="expression" dxfId="0" priority="1">
      <formula>AND(NOT(ISFORMULA(S12)),ISNUMBER(S12))</formula>
    </cfRule>
  </conditionalFormatting>
  <conditionalFormatting sqref="S15">
    <cfRule type="expression" dxfId="0" priority="2">
      <formula>AND(NOT(ISFORMULA(S15)),ISNUMBER(S15))</formula>
    </cfRule>
  </conditionalFormatting>
  <conditionalFormatting sqref="S19:S22">
    <cfRule type="expression" dxfId="0" priority="3">
      <formula>AND(NOT(ISFORMULA(S19)),ISNUMBER(S19))</formula>
    </cfRule>
  </conditionalFormatting>
  <conditionalFormatting sqref="S24:S26">
    <cfRule type="expression" dxfId="0" priority="4">
      <formula>AND(NOT(ISFORMULA(S24)),ISNUMBER(S24))</formula>
    </cfRule>
  </conditionalFormatting>
  <conditionalFormatting sqref="S28:S31">
    <cfRule type="expression" dxfId="0" priority="5">
      <formula>AND(NOT(ISFORMULA(S28)),ISNUMBER(S28))</formula>
    </cfRule>
  </conditionalFormatting>
  <conditionalFormatting sqref="S38:S42">
    <cfRule type="expression" dxfId="0" priority="6">
      <formula>AND(NOT(ISFORMULA(S38)),ISNUMBER(S38))</formula>
    </cfRule>
  </conditionalFormatting>
  <conditionalFormatting sqref="S44:S50">
    <cfRule type="expression" dxfId="0" priority="7">
      <formula>AND(NOT(ISFORMULA(S44)),ISNUMBER(S44))</formula>
    </cfRule>
  </conditionalFormatting>
  <conditionalFormatting sqref="S58:S60">
    <cfRule type="expression" dxfId="0" priority="8">
      <formula>AND(NOT(ISFORMULA(S58)),ISNUMBER(S58))</formula>
    </cfRule>
  </conditionalFormatting>
  <conditionalFormatting sqref="S62">
    <cfRule type="expression" dxfId="0" priority="9">
      <formula>AND(NOT(ISFORMULA(S62)),ISNUMBER(S62))</formula>
    </cfRule>
  </conditionalFormatting>
  <conditionalFormatting sqref="S70:S72">
    <cfRule type="expression" dxfId="0" priority="10">
      <formula>AND(NOT(ISFORMULA(S70)),ISNUMBER(S70))</formula>
    </cfRule>
  </conditionalFormatting>
  <conditionalFormatting sqref="S74:S80">
    <cfRule type="expression" dxfId="0" priority="11">
      <formula>AND(NOT(ISFORMULA(S74)),ISNUMBER(S74))</formula>
    </cfRule>
  </conditionalFormatting>
  <conditionalFormatting sqref="S82:S86">
    <cfRule type="expression" dxfId="0" priority="12">
      <formula>AND(NOT(ISFORMULA(S82)),ISNUMBER(S82))</formula>
    </cfRule>
  </conditionalFormatting>
  <conditionalFormatting sqref="S88:S115">
    <cfRule type="expression" dxfId="0" priority="13">
      <formula>AND(NOT(ISFORMULA(S88)),ISNUMBER(S88))</formula>
    </cfRule>
  </conditionalFormatting>
  <conditionalFormatting sqref="S120:S121">
    <cfRule type="expression" dxfId="0" priority="14">
      <formula>AND(NOT(ISFORMULA(S120)),ISNUMBER(S120))</formula>
    </cfRule>
  </conditionalFormatting>
  <conditionalFormatting sqref="S124:S129">
    <cfRule type="expression" dxfId="0" priority="15">
      <formula>AND(NOT(ISFORMULA(S124)),ISNUMBER(S124))</formula>
    </cfRule>
  </conditionalFormatting>
  <dataValidations>
    <dataValidation type="decimal" allowBlank="1" showInputMessage="1" showErrorMessage="1" prompt="Numbers only - Please enter a number (no text)." sqref="S12:AF13 S15:AF15 S19:AF22 S24:AF26 S28:AF31 S38:AF42 S44:AF50 S58:AF60 S62:AF62 S70:AF72 S74:AF80 S82:AF86 S88:AF115 S120:AF121 S124:AF129">
      <formula1>-1.0E15</formula1>
      <formula2>1.0E15</formula2>
    </dataValidation>
    <dataValidation type="list" allowBlank="1" showErrorMessage="1" sqref="R12:R13 R15 R19:R22 R24:R26 R28:R31 R38:R42 R44:R50 R58:R60 R62 R70:R72 R74:R80 R82:R86 R88:R115 R120:R121 R124:R129">
      <formula1>"Even,YOY Growth,Manual"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3E5A1"/>
    <pageSetUpPr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 outlineLevelCol="1"/>
  <cols>
    <col customWidth="1" min="1" max="1" width="54.71"/>
    <col customWidth="1" min="2" max="13" width="11.29" outlineLevel="1"/>
    <col customWidth="1" min="14" max="14" width="14.29"/>
    <col customWidth="1" min="15" max="15" width="12.71"/>
    <col customWidth="1" min="16" max="17" width="6.71"/>
    <col customWidth="1" min="18" max="18" width="15.0"/>
    <col customWidth="1" min="19" max="19" width="13.71"/>
    <col customWidth="1" min="20" max="20" width="12.71"/>
    <col customWidth="1" min="21" max="32" width="11.29" outlineLevel="1"/>
    <col customWidth="1" min="33" max="33" width="14.29"/>
    <col customWidth="1" min="34" max="34" width="12.71"/>
    <col customWidth="1" min="35" max="35" width="7.43"/>
    <col customWidth="1" min="36" max="36" width="13.14"/>
  </cols>
  <sheetData>
    <row r="1" ht="13.5" customHeight="1">
      <c r="A1" s="2" t="s">
        <v>170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4"/>
      <c r="AH1" s="4"/>
      <c r="AI1" s="4"/>
      <c r="AJ1" s="4"/>
    </row>
    <row r="2" ht="13.5" customHeight="1">
      <c r="A2" s="7" t="s">
        <v>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4"/>
      <c r="AH2" s="4"/>
      <c r="AI2" s="4"/>
      <c r="AJ2" s="4"/>
    </row>
    <row r="3" ht="13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ht="13.5" customHeight="1">
      <c r="A4" s="9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13.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4"/>
      <c r="AH5" s="4"/>
      <c r="AI5" s="4"/>
      <c r="AJ5" s="4"/>
    </row>
    <row r="6" ht="13.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13.5" customHeight="1">
      <c r="A7" s="11"/>
      <c r="B7" s="12" t="s">
        <v>5</v>
      </c>
      <c r="C7" s="12" t="s">
        <v>5</v>
      </c>
      <c r="D7" s="12" t="s">
        <v>5</v>
      </c>
      <c r="E7" s="12" t="s">
        <v>5</v>
      </c>
      <c r="F7" s="12" t="s">
        <v>5</v>
      </c>
      <c r="G7" s="12" t="s">
        <v>5</v>
      </c>
      <c r="H7" s="12" t="s">
        <v>5</v>
      </c>
      <c r="I7" s="12" t="s">
        <v>5</v>
      </c>
      <c r="J7" s="13" t="s">
        <v>6</v>
      </c>
      <c r="K7" s="13" t="s">
        <v>6</v>
      </c>
      <c r="L7" s="13" t="s">
        <v>6</v>
      </c>
      <c r="M7" s="13" t="s">
        <v>6</v>
      </c>
      <c r="N7" s="13" t="s">
        <v>6</v>
      </c>
      <c r="O7" s="13" t="s">
        <v>6</v>
      </c>
      <c r="P7" s="4"/>
      <c r="Q7" s="4"/>
      <c r="R7" s="15"/>
      <c r="S7" s="16" t="s">
        <v>8</v>
      </c>
      <c r="T7" s="16" t="s">
        <v>9</v>
      </c>
      <c r="U7" s="14" t="s">
        <v>7</v>
      </c>
      <c r="V7" s="14" t="s">
        <v>7</v>
      </c>
      <c r="W7" s="14" t="s">
        <v>7</v>
      </c>
      <c r="X7" s="14" t="s">
        <v>7</v>
      </c>
      <c r="Y7" s="14" t="s">
        <v>7</v>
      </c>
      <c r="Z7" s="14" t="s">
        <v>7</v>
      </c>
      <c r="AA7" s="14" t="s">
        <v>7</v>
      </c>
      <c r="AB7" s="14" t="s">
        <v>7</v>
      </c>
      <c r="AC7" s="14" t="s">
        <v>7</v>
      </c>
      <c r="AD7" s="14" t="s">
        <v>7</v>
      </c>
      <c r="AE7" s="14" t="s">
        <v>7</v>
      </c>
      <c r="AF7" s="14" t="s">
        <v>7</v>
      </c>
      <c r="AG7" s="14" t="s">
        <v>7</v>
      </c>
      <c r="AH7" s="14" t="s">
        <v>7</v>
      </c>
      <c r="AI7" s="4"/>
      <c r="AJ7" s="17" t="s">
        <v>9</v>
      </c>
    </row>
    <row r="8" ht="13.5" customHeight="1">
      <c r="A8" s="11" t="s">
        <v>10</v>
      </c>
      <c r="B8" s="18" t="s">
        <v>11</v>
      </c>
      <c r="C8" s="18" t="s">
        <v>12</v>
      </c>
      <c r="D8" s="18" t="s">
        <v>13</v>
      </c>
      <c r="E8" s="18" t="s">
        <v>14</v>
      </c>
      <c r="F8" s="18" t="s">
        <v>15</v>
      </c>
      <c r="G8" s="18" t="s">
        <v>16</v>
      </c>
      <c r="H8" s="18" t="s">
        <v>17</v>
      </c>
      <c r="I8" s="18" t="s">
        <v>18</v>
      </c>
      <c r="J8" s="18" t="s">
        <v>19</v>
      </c>
      <c r="K8" s="18" t="s">
        <v>20</v>
      </c>
      <c r="L8" s="18" t="s">
        <v>21</v>
      </c>
      <c r="M8" s="18" t="s">
        <v>22</v>
      </c>
      <c r="N8" s="12">
        <v>2026.0</v>
      </c>
      <c r="O8" s="12" t="s">
        <v>23</v>
      </c>
      <c r="P8" s="4"/>
      <c r="Q8" s="4"/>
      <c r="R8" s="15" t="s">
        <v>27</v>
      </c>
      <c r="S8" s="16" t="s">
        <v>28</v>
      </c>
      <c r="T8" s="16" t="s">
        <v>29</v>
      </c>
      <c r="U8" s="19" t="s">
        <v>11</v>
      </c>
      <c r="V8" s="19" t="s">
        <v>12</v>
      </c>
      <c r="W8" s="19" t="s">
        <v>13</v>
      </c>
      <c r="X8" s="19" t="s">
        <v>14</v>
      </c>
      <c r="Y8" s="19" t="s">
        <v>15</v>
      </c>
      <c r="Z8" s="19" t="s">
        <v>16</v>
      </c>
      <c r="AA8" s="19" t="s">
        <v>17</v>
      </c>
      <c r="AB8" s="19" t="s">
        <v>18</v>
      </c>
      <c r="AC8" s="19" t="s">
        <v>19</v>
      </c>
      <c r="AD8" s="19" t="s">
        <v>20</v>
      </c>
      <c r="AE8" s="19" t="s">
        <v>21</v>
      </c>
      <c r="AF8" s="19" t="s">
        <v>22</v>
      </c>
      <c r="AG8" s="21" t="s">
        <v>25</v>
      </c>
      <c r="AH8" s="14" t="s">
        <v>23</v>
      </c>
      <c r="AI8" s="4"/>
      <c r="AJ8" s="22" t="s">
        <v>26</v>
      </c>
    </row>
    <row r="9" ht="13.5" customHeight="1">
      <c r="A9" s="23" t="s">
        <v>30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4"/>
      <c r="AI9" s="4"/>
      <c r="AJ9" s="4"/>
    </row>
    <row r="10" ht="13.5" customHeight="1">
      <c r="A10" s="24" t="s">
        <v>31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4"/>
      <c r="AI10" s="4"/>
      <c r="AJ10" s="4"/>
    </row>
    <row r="11" ht="13.5" customHeight="1">
      <c r="A11" s="24" t="s">
        <v>32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4"/>
      <c r="AI11" s="4"/>
      <c r="AJ11" s="4"/>
    </row>
    <row r="12" ht="13.5" customHeight="1">
      <c r="A12" s="25" t="s">
        <v>33</v>
      </c>
      <c r="B12" s="5">
        <v>0.0</v>
      </c>
      <c r="C12" s="5">
        <v>0.0</v>
      </c>
      <c r="D12" s="5">
        <v>0.0</v>
      </c>
      <c r="E12" s="5">
        <v>0.0</v>
      </c>
      <c r="F12" s="5">
        <v>0.0</v>
      </c>
      <c r="G12" s="5">
        <v>0.0</v>
      </c>
      <c r="H12" s="5">
        <v>0.0</v>
      </c>
      <c r="I12" s="5">
        <v>0.0</v>
      </c>
      <c r="J12" s="26"/>
      <c r="K12" s="26"/>
      <c r="L12" s="26"/>
      <c r="M12" s="26"/>
      <c r="N12" s="5">
        <f t="shared" ref="N12:N16" si="2">SUM(B12:M12)</f>
        <v>0</v>
      </c>
      <c r="O12" s="28" t="str">
        <f t="shared" ref="O12:O13" si="3">IFERROR(N12/N$16,"")</f>
        <v/>
      </c>
      <c r="P12" s="5"/>
      <c r="Q12" s="5"/>
      <c r="R12" s="29" t="s">
        <v>34</v>
      </c>
      <c r="S12" s="30"/>
      <c r="T12" s="31">
        <v>0.05</v>
      </c>
      <c r="U12" s="26">
        <f t="shared" ref="U12:AF12" si="1">IF($R12="Manual","",IFERROR(IF($R12="YOY Growth",$N12*(1+$T12)/12,$S12/12),""))</f>
        <v>0</v>
      </c>
      <c r="V12" s="26">
        <f t="shared" si="1"/>
        <v>0</v>
      </c>
      <c r="W12" s="26">
        <f t="shared" si="1"/>
        <v>0</v>
      </c>
      <c r="X12" s="26">
        <f t="shared" si="1"/>
        <v>0</v>
      </c>
      <c r="Y12" s="26">
        <f t="shared" si="1"/>
        <v>0</v>
      </c>
      <c r="Z12" s="26">
        <f t="shared" si="1"/>
        <v>0</v>
      </c>
      <c r="AA12" s="26">
        <f t="shared" si="1"/>
        <v>0</v>
      </c>
      <c r="AB12" s="26">
        <f t="shared" si="1"/>
        <v>0</v>
      </c>
      <c r="AC12" s="26">
        <f t="shared" si="1"/>
        <v>0</v>
      </c>
      <c r="AD12" s="26">
        <f t="shared" si="1"/>
        <v>0</v>
      </c>
      <c r="AE12" s="26">
        <f t="shared" si="1"/>
        <v>0</v>
      </c>
      <c r="AF12" s="26">
        <f t="shared" si="1"/>
        <v>0</v>
      </c>
      <c r="AG12" s="5">
        <f t="shared" ref="AG12:AG16" si="5">SUM(U12:AF12)</f>
        <v>0</v>
      </c>
      <c r="AH12" s="28" t="str">
        <f t="shared" ref="AH12:AH13" si="6">IFERROR(AG12/AG$16,"")</f>
        <v/>
      </c>
      <c r="AI12" s="4"/>
      <c r="AJ12" s="5">
        <f t="shared" ref="AJ12:AJ16" si="7">AG12-N12</f>
        <v>0</v>
      </c>
    </row>
    <row r="13" ht="13.5" customHeight="1">
      <c r="A13" s="25" t="s">
        <v>35</v>
      </c>
      <c r="B13" s="5">
        <v>0.0</v>
      </c>
      <c r="C13" s="5">
        <v>0.0</v>
      </c>
      <c r="D13" s="5">
        <v>0.0</v>
      </c>
      <c r="E13" s="5">
        <v>0.0</v>
      </c>
      <c r="F13" s="5">
        <v>0.0</v>
      </c>
      <c r="G13" s="5">
        <v>0.0</v>
      </c>
      <c r="H13" s="5">
        <v>0.0</v>
      </c>
      <c r="I13" s="5">
        <v>0.0</v>
      </c>
      <c r="J13" s="26"/>
      <c r="K13" s="26"/>
      <c r="L13" s="26"/>
      <c r="M13" s="26"/>
      <c r="N13" s="5">
        <f t="shared" si="2"/>
        <v>0</v>
      </c>
      <c r="O13" s="28" t="str">
        <f t="shared" si="3"/>
        <v/>
      </c>
      <c r="P13" s="5"/>
      <c r="Q13" s="5"/>
      <c r="R13" s="29" t="s">
        <v>34</v>
      </c>
      <c r="S13" s="30">
        <v>0.0</v>
      </c>
      <c r="T13" s="31">
        <v>0.05</v>
      </c>
      <c r="U13" s="26">
        <f t="shared" ref="U13:AF13" si="4">IF($R13="Manual","",IFERROR(IF($R13="YOY Growth",$N13*(1+$T13)/12,$S13/12),""))</f>
        <v>0</v>
      </c>
      <c r="V13" s="26">
        <f t="shared" si="4"/>
        <v>0</v>
      </c>
      <c r="W13" s="26">
        <f t="shared" si="4"/>
        <v>0</v>
      </c>
      <c r="X13" s="26">
        <f t="shared" si="4"/>
        <v>0</v>
      </c>
      <c r="Y13" s="26">
        <f t="shared" si="4"/>
        <v>0</v>
      </c>
      <c r="Z13" s="26">
        <f t="shared" si="4"/>
        <v>0</v>
      </c>
      <c r="AA13" s="26">
        <f t="shared" si="4"/>
        <v>0</v>
      </c>
      <c r="AB13" s="26">
        <f t="shared" si="4"/>
        <v>0</v>
      </c>
      <c r="AC13" s="26">
        <f t="shared" si="4"/>
        <v>0</v>
      </c>
      <c r="AD13" s="26">
        <f t="shared" si="4"/>
        <v>0</v>
      </c>
      <c r="AE13" s="26">
        <f t="shared" si="4"/>
        <v>0</v>
      </c>
      <c r="AF13" s="26">
        <f t="shared" si="4"/>
        <v>0</v>
      </c>
      <c r="AG13" s="5">
        <f t="shared" si="5"/>
        <v>0</v>
      </c>
      <c r="AH13" s="28" t="str">
        <f t="shared" si="6"/>
        <v/>
      </c>
      <c r="AI13" s="4"/>
      <c r="AJ13" s="5">
        <f t="shared" si="7"/>
        <v>0</v>
      </c>
    </row>
    <row r="14" ht="13.5" customHeight="1">
      <c r="A14" s="33" t="s">
        <v>36</v>
      </c>
      <c r="B14" s="34">
        <f t="shared" ref="B14:M14" si="8">SUM(B12:B13)</f>
        <v>0</v>
      </c>
      <c r="C14" s="34">
        <f t="shared" si="8"/>
        <v>0</v>
      </c>
      <c r="D14" s="34">
        <f t="shared" si="8"/>
        <v>0</v>
      </c>
      <c r="E14" s="34">
        <f t="shared" si="8"/>
        <v>0</v>
      </c>
      <c r="F14" s="34">
        <f t="shared" si="8"/>
        <v>0</v>
      </c>
      <c r="G14" s="34">
        <f t="shared" si="8"/>
        <v>0</v>
      </c>
      <c r="H14" s="34">
        <f t="shared" si="8"/>
        <v>0</v>
      </c>
      <c r="I14" s="34">
        <f t="shared" si="8"/>
        <v>0</v>
      </c>
      <c r="J14" s="34">
        <f t="shared" si="8"/>
        <v>0</v>
      </c>
      <c r="K14" s="34">
        <f t="shared" si="8"/>
        <v>0</v>
      </c>
      <c r="L14" s="34">
        <f t="shared" si="8"/>
        <v>0</v>
      </c>
      <c r="M14" s="34">
        <f t="shared" si="8"/>
        <v>0</v>
      </c>
      <c r="N14" s="34">
        <f t="shared" si="2"/>
        <v>0</v>
      </c>
      <c r="O14" s="35">
        <f>SUM(O12:O13)</f>
        <v>0</v>
      </c>
      <c r="P14" s="5"/>
      <c r="Q14" s="5"/>
      <c r="R14" s="36"/>
      <c r="S14" s="36"/>
      <c r="T14" s="36"/>
      <c r="U14" s="34">
        <f t="shared" ref="U14:AF14" si="9">SUM(U12:U13)</f>
        <v>0</v>
      </c>
      <c r="V14" s="34">
        <f t="shared" si="9"/>
        <v>0</v>
      </c>
      <c r="W14" s="34">
        <f t="shared" si="9"/>
        <v>0</v>
      </c>
      <c r="X14" s="34">
        <f t="shared" si="9"/>
        <v>0</v>
      </c>
      <c r="Y14" s="34">
        <f t="shared" si="9"/>
        <v>0</v>
      </c>
      <c r="Z14" s="34">
        <f t="shared" si="9"/>
        <v>0</v>
      </c>
      <c r="AA14" s="34">
        <f t="shared" si="9"/>
        <v>0</v>
      </c>
      <c r="AB14" s="34">
        <f t="shared" si="9"/>
        <v>0</v>
      </c>
      <c r="AC14" s="34">
        <f t="shared" si="9"/>
        <v>0</v>
      </c>
      <c r="AD14" s="34">
        <f t="shared" si="9"/>
        <v>0</v>
      </c>
      <c r="AE14" s="34">
        <f t="shared" si="9"/>
        <v>0</v>
      </c>
      <c r="AF14" s="34">
        <f t="shared" si="9"/>
        <v>0</v>
      </c>
      <c r="AG14" s="34">
        <f t="shared" si="5"/>
        <v>0</v>
      </c>
      <c r="AH14" s="35">
        <f>SUM(AH12:AH13)</f>
        <v>0</v>
      </c>
      <c r="AI14" s="4"/>
      <c r="AJ14" s="34">
        <f t="shared" si="7"/>
        <v>0</v>
      </c>
    </row>
    <row r="15" ht="13.5" customHeight="1">
      <c r="A15" s="25" t="s">
        <v>37</v>
      </c>
      <c r="B15" s="5">
        <v>0.0</v>
      </c>
      <c r="C15" s="5">
        <v>0.0</v>
      </c>
      <c r="D15" s="5">
        <v>0.0</v>
      </c>
      <c r="E15" s="5">
        <v>0.0</v>
      </c>
      <c r="F15" s="5">
        <v>0.0</v>
      </c>
      <c r="G15" s="5">
        <v>0.0</v>
      </c>
      <c r="H15" s="5">
        <v>0.0</v>
      </c>
      <c r="I15" s="5">
        <v>0.0</v>
      </c>
      <c r="J15" s="26"/>
      <c r="K15" s="26"/>
      <c r="L15" s="26"/>
      <c r="M15" s="26"/>
      <c r="N15" s="5">
        <f t="shared" si="2"/>
        <v>0</v>
      </c>
      <c r="O15" s="28" t="str">
        <f>IFERROR(N15/N$16,"")</f>
        <v/>
      </c>
      <c r="P15" s="5"/>
      <c r="Q15" s="5"/>
      <c r="R15" s="29" t="s">
        <v>34</v>
      </c>
      <c r="S15" s="30">
        <v>0.0</v>
      </c>
      <c r="T15" s="31">
        <v>0.05</v>
      </c>
      <c r="U15" s="26">
        <f t="shared" ref="U15:AF15" si="10">IF($R15="Manual","",IFERROR(IF($R15="YOY Growth",$N15*(1+$T15)/12,$S15/12),""))</f>
        <v>0</v>
      </c>
      <c r="V15" s="26">
        <f t="shared" si="10"/>
        <v>0</v>
      </c>
      <c r="W15" s="26">
        <f t="shared" si="10"/>
        <v>0</v>
      </c>
      <c r="X15" s="26">
        <f t="shared" si="10"/>
        <v>0</v>
      </c>
      <c r="Y15" s="26">
        <f t="shared" si="10"/>
        <v>0</v>
      </c>
      <c r="Z15" s="26">
        <f t="shared" si="10"/>
        <v>0</v>
      </c>
      <c r="AA15" s="26">
        <f t="shared" si="10"/>
        <v>0</v>
      </c>
      <c r="AB15" s="26">
        <f t="shared" si="10"/>
        <v>0</v>
      </c>
      <c r="AC15" s="26">
        <f t="shared" si="10"/>
        <v>0</v>
      </c>
      <c r="AD15" s="26">
        <f t="shared" si="10"/>
        <v>0</v>
      </c>
      <c r="AE15" s="26">
        <f t="shared" si="10"/>
        <v>0</v>
      </c>
      <c r="AF15" s="26">
        <f t="shared" si="10"/>
        <v>0</v>
      </c>
      <c r="AG15" s="5">
        <f t="shared" si="5"/>
        <v>0</v>
      </c>
      <c r="AH15" s="28" t="str">
        <f>IFERROR(AG15/AG$16,"")</f>
        <v/>
      </c>
      <c r="AI15" s="4"/>
      <c r="AJ15" s="5">
        <f t="shared" si="7"/>
        <v>0</v>
      </c>
    </row>
    <row r="16" ht="13.5" customHeight="1">
      <c r="A16" s="33" t="s">
        <v>38</v>
      </c>
      <c r="B16" s="34">
        <f t="shared" ref="B16:M16" si="11">B14+B15</f>
        <v>0</v>
      </c>
      <c r="C16" s="34">
        <f t="shared" si="11"/>
        <v>0</v>
      </c>
      <c r="D16" s="34">
        <f t="shared" si="11"/>
        <v>0</v>
      </c>
      <c r="E16" s="34">
        <f t="shared" si="11"/>
        <v>0</v>
      </c>
      <c r="F16" s="34">
        <f t="shared" si="11"/>
        <v>0</v>
      </c>
      <c r="G16" s="34">
        <f t="shared" si="11"/>
        <v>0</v>
      </c>
      <c r="H16" s="34">
        <f t="shared" si="11"/>
        <v>0</v>
      </c>
      <c r="I16" s="34">
        <f t="shared" si="11"/>
        <v>0</v>
      </c>
      <c r="J16" s="34">
        <f t="shared" si="11"/>
        <v>0</v>
      </c>
      <c r="K16" s="34">
        <f t="shared" si="11"/>
        <v>0</v>
      </c>
      <c r="L16" s="34">
        <f t="shared" si="11"/>
        <v>0</v>
      </c>
      <c r="M16" s="34">
        <f t="shared" si="11"/>
        <v>0</v>
      </c>
      <c r="N16" s="34">
        <f t="shared" si="2"/>
        <v>0</v>
      </c>
      <c r="O16" s="35">
        <f>SUM(O14:O15)</f>
        <v>0</v>
      </c>
      <c r="P16" s="5"/>
      <c r="Q16" s="5"/>
      <c r="R16" s="36"/>
      <c r="S16" s="36"/>
      <c r="T16" s="36"/>
      <c r="U16" s="34">
        <f t="shared" ref="U16:AF16" si="12">U14+U15</f>
        <v>0</v>
      </c>
      <c r="V16" s="34">
        <f t="shared" si="12"/>
        <v>0</v>
      </c>
      <c r="W16" s="34">
        <f t="shared" si="12"/>
        <v>0</v>
      </c>
      <c r="X16" s="34">
        <f t="shared" si="12"/>
        <v>0</v>
      </c>
      <c r="Y16" s="34">
        <f t="shared" si="12"/>
        <v>0</v>
      </c>
      <c r="Z16" s="34">
        <f t="shared" si="12"/>
        <v>0</v>
      </c>
      <c r="AA16" s="34">
        <f t="shared" si="12"/>
        <v>0</v>
      </c>
      <c r="AB16" s="34">
        <f t="shared" si="12"/>
        <v>0</v>
      </c>
      <c r="AC16" s="34">
        <f t="shared" si="12"/>
        <v>0</v>
      </c>
      <c r="AD16" s="34">
        <f t="shared" si="12"/>
        <v>0</v>
      </c>
      <c r="AE16" s="34">
        <f t="shared" si="12"/>
        <v>0</v>
      </c>
      <c r="AF16" s="34">
        <f t="shared" si="12"/>
        <v>0</v>
      </c>
      <c r="AG16" s="34">
        <f t="shared" si="5"/>
        <v>0</v>
      </c>
      <c r="AH16" s="35">
        <f>SUM(AH14:AH15)</f>
        <v>0</v>
      </c>
      <c r="AI16" s="4"/>
      <c r="AJ16" s="34">
        <f t="shared" si="7"/>
        <v>0</v>
      </c>
    </row>
    <row r="17" ht="13.5" customHeight="1">
      <c r="A17" s="24" t="s">
        <v>39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28"/>
      <c r="P17" s="5"/>
      <c r="Q17" s="5"/>
      <c r="R17" s="36"/>
      <c r="S17" s="36"/>
      <c r="T17" s="36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28"/>
      <c r="AI17" s="4"/>
      <c r="AJ17" s="5"/>
    </row>
    <row r="18" ht="13.5" customHeight="1">
      <c r="A18" s="24" t="s">
        <v>40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28"/>
      <c r="P18" s="5"/>
      <c r="Q18" s="5"/>
      <c r="R18" s="36"/>
      <c r="S18" s="36"/>
      <c r="T18" s="36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28"/>
      <c r="AI18" s="4"/>
      <c r="AJ18" s="5"/>
    </row>
    <row r="19" ht="13.5" customHeight="1">
      <c r="A19" s="25" t="s">
        <v>41</v>
      </c>
      <c r="B19" s="5">
        <v>0.0</v>
      </c>
      <c r="C19" s="5">
        <v>0.0</v>
      </c>
      <c r="D19" s="5">
        <v>0.0</v>
      </c>
      <c r="E19" s="5">
        <v>0.0</v>
      </c>
      <c r="F19" s="5">
        <v>0.0</v>
      </c>
      <c r="G19" s="5">
        <v>0.0</v>
      </c>
      <c r="H19" s="5">
        <v>0.0</v>
      </c>
      <c r="I19" s="5">
        <v>0.0</v>
      </c>
      <c r="J19" s="26"/>
      <c r="K19" s="26"/>
      <c r="L19" s="26"/>
      <c r="M19" s="26"/>
      <c r="N19" s="5">
        <f t="shared" ref="N19:N22" si="14">SUM(B19:M19)</f>
        <v>0</v>
      </c>
      <c r="O19" s="28" t="str">
        <f t="shared" ref="O19:O22" si="15">IFERROR(N19/N$16,"")</f>
        <v/>
      </c>
      <c r="P19" s="5"/>
      <c r="Q19" s="5"/>
      <c r="R19" s="29" t="s">
        <v>34</v>
      </c>
      <c r="S19" s="30">
        <v>0.0</v>
      </c>
      <c r="T19" s="31">
        <v>0.05</v>
      </c>
      <c r="U19" s="26">
        <f t="shared" ref="U19:AF19" si="13">IF($R19="Manual","",IFERROR(IF($R19="YOY Growth",$N19*(1+$T19)/12,$S19/12),""))</f>
        <v>0</v>
      </c>
      <c r="V19" s="26">
        <f t="shared" si="13"/>
        <v>0</v>
      </c>
      <c r="W19" s="26">
        <f t="shared" si="13"/>
        <v>0</v>
      </c>
      <c r="X19" s="26">
        <f t="shared" si="13"/>
        <v>0</v>
      </c>
      <c r="Y19" s="26">
        <f t="shared" si="13"/>
        <v>0</v>
      </c>
      <c r="Z19" s="26">
        <f t="shared" si="13"/>
        <v>0</v>
      </c>
      <c r="AA19" s="26">
        <f t="shared" si="13"/>
        <v>0</v>
      </c>
      <c r="AB19" s="26">
        <f t="shared" si="13"/>
        <v>0</v>
      </c>
      <c r="AC19" s="26">
        <f t="shared" si="13"/>
        <v>0</v>
      </c>
      <c r="AD19" s="26">
        <f t="shared" si="13"/>
        <v>0</v>
      </c>
      <c r="AE19" s="26">
        <f t="shared" si="13"/>
        <v>0</v>
      </c>
      <c r="AF19" s="26">
        <f t="shared" si="13"/>
        <v>0</v>
      </c>
      <c r="AG19" s="5">
        <f t="shared" ref="AG19:AG22" si="17">SUM(U19:AF19)</f>
        <v>0</v>
      </c>
      <c r="AH19" s="28" t="str">
        <f t="shared" ref="AH19:AH22" si="18">IFERROR(AG19/AG$16,"")</f>
        <v/>
      </c>
      <c r="AI19" s="4"/>
      <c r="AJ19" s="5">
        <f t="shared" ref="AJ19:AJ22" si="19">N19-AG19</f>
        <v>0</v>
      </c>
    </row>
    <row r="20" ht="13.5" customHeight="1">
      <c r="A20" s="25" t="s">
        <v>42</v>
      </c>
      <c r="B20" s="5">
        <v>0.0</v>
      </c>
      <c r="C20" s="5">
        <v>0.0</v>
      </c>
      <c r="D20" s="5">
        <v>0.0</v>
      </c>
      <c r="E20" s="5">
        <v>0.0</v>
      </c>
      <c r="F20" s="5">
        <v>0.0</v>
      </c>
      <c r="G20" s="5">
        <v>0.0</v>
      </c>
      <c r="H20" s="5">
        <v>0.0</v>
      </c>
      <c r="I20" s="5">
        <v>0.0</v>
      </c>
      <c r="J20" s="26"/>
      <c r="K20" s="26"/>
      <c r="L20" s="26"/>
      <c r="M20" s="26"/>
      <c r="N20" s="5">
        <f t="shared" si="14"/>
        <v>0</v>
      </c>
      <c r="O20" s="28" t="str">
        <f t="shared" si="15"/>
        <v/>
      </c>
      <c r="P20" s="5"/>
      <c r="Q20" s="5"/>
      <c r="R20" s="29" t="s">
        <v>34</v>
      </c>
      <c r="S20" s="30">
        <v>0.0</v>
      </c>
      <c r="T20" s="31">
        <v>0.05</v>
      </c>
      <c r="U20" s="26">
        <f t="shared" ref="U20:AF20" si="16">IF($R20="Manual","",IFERROR(IF($R20="YOY Growth",$N20*(1+$T20)/12,$S20/12),""))</f>
        <v>0</v>
      </c>
      <c r="V20" s="26">
        <f t="shared" si="16"/>
        <v>0</v>
      </c>
      <c r="W20" s="26">
        <f t="shared" si="16"/>
        <v>0</v>
      </c>
      <c r="X20" s="26">
        <f t="shared" si="16"/>
        <v>0</v>
      </c>
      <c r="Y20" s="26">
        <f t="shared" si="16"/>
        <v>0</v>
      </c>
      <c r="Z20" s="26">
        <f t="shared" si="16"/>
        <v>0</v>
      </c>
      <c r="AA20" s="26">
        <f t="shared" si="16"/>
        <v>0</v>
      </c>
      <c r="AB20" s="26">
        <f t="shared" si="16"/>
        <v>0</v>
      </c>
      <c r="AC20" s="26">
        <f t="shared" si="16"/>
        <v>0</v>
      </c>
      <c r="AD20" s="26">
        <f t="shared" si="16"/>
        <v>0</v>
      </c>
      <c r="AE20" s="26">
        <f t="shared" si="16"/>
        <v>0</v>
      </c>
      <c r="AF20" s="26">
        <f t="shared" si="16"/>
        <v>0</v>
      </c>
      <c r="AG20" s="5">
        <f t="shared" si="17"/>
        <v>0</v>
      </c>
      <c r="AH20" s="28" t="str">
        <f t="shared" si="18"/>
        <v/>
      </c>
      <c r="AI20" s="4"/>
      <c r="AJ20" s="5">
        <f t="shared" si="19"/>
        <v>0</v>
      </c>
    </row>
    <row r="21" ht="13.5" customHeight="1">
      <c r="A21" s="25" t="s">
        <v>43</v>
      </c>
      <c r="B21" s="5">
        <v>0.0</v>
      </c>
      <c r="C21" s="5">
        <v>0.0</v>
      </c>
      <c r="D21" s="5">
        <v>0.0</v>
      </c>
      <c r="E21" s="5">
        <v>0.0</v>
      </c>
      <c r="F21" s="5">
        <v>0.0</v>
      </c>
      <c r="G21" s="5">
        <v>0.0</v>
      </c>
      <c r="H21" s="5">
        <v>0.0</v>
      </c>
      <c r="I21" s="5">
        <v>0.0</v>
      </c>
      <c r="J21" s="26"/>
      <c r="K21" s="26"/>
      <c r="L21" s="26"/>
      <c r="M21" s="26"/>
      <c r="N21" s="5">
        <f t="shared" si="14"/>
        <v>0</v>
      </c>
      <c r="O21" s="28" t="str">
        <f t="shared" si="15"/>
        <v/>
      </c>
      <c r="P21" s="5"/>
      <c r="Q21" s="5"/>
      <c r="R21" s="29" t="s">
        <v>34</v>
      </c>
      <c r="S21" s="30">
        <v>0.0</v>
      </c>
      <c r="T21" s="31">
        <v>0.05</v>
      </c>
      <c r="U21" s="26">
        <f t="shared" ref="U21:AF21" si="20">IF($R21="Manual","",IFERROR(IF($R21="YOY Growth",$N21*(1+$T21)/12,$S21/12),""))</f>
        <v>0</v>
      </c>
      <c r="V21" s="26">
        <f t="shared" si="20"/>
        <v>0</v>
      </c>
      <c r="W21" s="26">
        <f t="shared" si="20"/>
        <v>0</v>
      </c>
      <c r="X21" s="26">
        <f t="shared" si="20"/>
        <v>0</v>
      </c>
      <c r="Y21" s="26">
        <f t="shared" si="20"/>
        <v>0</v>
      </c>
      <c r="Z21" s="26">
        <f t="shared" si="20"/>
        <v>0</v>
      </c>
      <c r="AA21" s="26">
        <f t="shared" si="20"/>
        <v>0</v>
      </c>
      <c r="AB21" s="26">
        <f t="shared" si="20"/>
        <v>0</v>
      </c>
      <c r="AC21" s="26">
        <f t="shared" si="20"/>
        <v>0</v>
      </c>
      <c r="AD21" s="26">
        <f t="shared" si="20"/>
        <v>0</v>
      </c>
      <c r="AE21" s="26">
        <f t="shared" si="20"/>
        <v>0</v>
      </c>
      <c r="AF21" s="26">
        <f t="shared" si="20"/>
        <v>0</v>
      </c>
      <c r="AG21" s="5">
        <f t="shared" si="17"/>
        <v>0</v>
      </c>
      <c r="AH21" s="28" t="str">
        <f t="shared" si="18"/>
        <v/>
      </c>
      <c r="AI21" s="4"/>
      <c r="AJ21" s="5">
        <f t="shared" si="19"/>
        <v>0</v>
      </c>
    </row>
    <row r="22" ht="13.5" customHeight="1">
      <c r="A22" s="25" t="s">
        <v>44</v>
      </c>
      <c r="B22" s="5">
        <v>0.0</v>
      </c>
      <c r="C22" s="5">
        <v>0.0</v>
      </c>
      <c r="D22" s="5">
        <v>0.0</v>
      </c>
      <c r="E22" s="5">
        <v>0.0</v>
      </c>
      <c r="F22" s="5">
        <v>0.0</v>
      </c>
      <c r="G22" s="5">
        <v>0.0</v>
      </c>
      <c r="H22" s="5">
        <v>0.0</v>
      </c>
      <c r="I22" s="5">
        <v>0.0</v>
      </c>
      <c r="J22" s="26"/>
      <c r="K22" s="26"/>
      <c r="L22" s="26"/>
      <c r="M22" s="26"/>
      <c r="N22" s="5">
        <f t="shared" si="14"/>
        <v>0</v>
      </c>
      <c r="O22" s="28" t="str">
        <f t="shared" si="15"/>
        <v/>
      </c>
      <c r="P22" s="5"/>
      <c r="Q22" s="5"/>
      <c r="R22" s="29" t="s">
        <v>34</v>
      </c>
      <c r="S22" s="30">
        <v>0.0</v>
      </c>
      <c r="T22" s="31">
        <v>0.05</v>
      </c>
      <c r="U22" s="26">
        <f t="shared" ref="U22:AF22" si="21">IF($R22="Manual","",IFERROR(IF($R22="YOY Growth",$N22*(1+$T22)/12,$S22/12),""))</f>
        <v>0</v>
      </c>
      <c r="V22" s="26">
        <f t="shared" si="21"/>
        <v>0</v>
      </c>
      <c r="W22" s="26">
        <f t="shared" si="21"/>
        <v>0</v>
      </c>
      <c r="X22" s="26">
        <f t="shared" si="21"/>
        <v>0</v>
      </c>
      <c r="Y22" s="26">
        <f t="shared" si="21"/>
        <v>0</v>
      </c>
      <c r="Z22" s="26">
        <f t="shared" si="21"/>
        <v>0</v>
      </c>
      <c r="AA22" s="26">
        <f t="shared" si="21"/>
        <v>0</v>
      </c>
      <c r="AB22" s="26">
        <f t="shared" si="21"/>
        <v>0</v>
      </c>
      <c r="AC22" s="26">
        <f t="shared" si="21"/>
        <v>0</v>
      </c>
      <c r="AD22" s="26">
        <f t="shared" si="21"/>
        <v>0</v>
      </c>
      <c r="AE22" s="26">
        <f t="shared" si="21"/>
        <v>0</v>
      </c>
      <c r="AF22" s="26">
        <f t="shared" si="21"/>
        <v>0</v>
      </c>
      <c r="AG22" s="5">
        <f t="shared" si="17"/>
        <v>0</v>
      </c>
      <c r="AH22" s="28" t="str">
        <f t="shared" si="18"/>
        <v/>
      </c>
      <c r="AI22" s="4"/>
      <c r="AJ22" s="5">
        <f t="shared" si="19"/>
        <v>0</v>
      </c>
    </row>
    <row r="23" ht="13.5" customHeight="1">
      <c r="A23" s="24" t="s">
        <v>45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28"/>
      <c r="P23" s="5"/>
      <c r="Q23" s="5"/>
      <c r="R23" s="36"/>
      <c r="S23" s="36"/>
      <c r="T23" s="36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28"/>
      <c r="AI23" s="4"/>
      <c r="AJ23" s="5"/>
    </row>
    <row r="24" ht="13.5" customHeight="1">
      <c r="A24" s="25" t="s">
        <v>45</v>
      </c>
      <c r="B24" s="5">
        <v>0.0</v>
      </c>
      <c r="C24" s="5">
        <v>0.0</v>
      </c>
      <c r="D24" s="5">
        <v>0.0</v>
      </c>
      <c r="E24" s="5">
        <v>0.0</v>
      </c>
      <c r="F24" s="5">
        <v>0.0</v>
      </c>
      <c r="G24" s="5">
        <v>0.0</v>
      </c>
      <c r="H24" s="5">
        <v>0.0</v>
      </c>
      <c r="I24" s="5">
        <v>0.0</v>
      </c>
      <c r="J24" s="27">
        <v>0.0</v>
      </c>
      <c r="K24" s="27">
        <v>0.0</v>
      </c>
      <c r="L24" s="27">
        <v>0.0</v>
      </c>
      <c r="M24" s="27">
        <v>0.0</v>
      </c>
      <c r="N24" s="5">
        <f t="shared" ref="N24:N31" si="23">SUM(B24:M24)</f>
        <v>0</v>
      </c>
      <c r="O24" s="28" t="str">
        <f t="shared" ref="O24:O31" si="24">IFERROR(N24/N$16,"")</f>
        <v/>
      </c>
      <c r="P24" s="5"/>
      <c r="Q24" s="5"/>
      <c r="R24" s="29" t="s">
        <v>34</v>
      </c>
      <c r="S24" s="30">
        <v>0.0</v>
      </c>
      <c r="T24" s="31">
        <v>0.05</v>
      </c>
      <c r="U24" s="26">
        <f t="shared" ref="U24:AF24" si="22">IF($R24="Manual","",IFERROR(IF($R24="YOY Growth",$N24*(1+$T24)/12,$S24/12),""))</f>
        <v>0</v>
      </c>
      <c r="V24" s="26">
        <f t="shared" si="22"/>
        <v>0</v>
      </c>
      <c r="W24" s="26">
        <f t="shared" si="22"/>
        <v>0</v>
      </c>
      <c r="X24" s="26">
        <f t="shared" si="22"/>
        <v>0</v>
      </c>
      <c r="Y24" s="26">
        <f t="shared" si="22"/>
        <v>0</v>
      </c>
      <c r="Z24" s="26">
        <f t="shared" si="22"/>
        <v>0</v>
      </c>
      <c r="AA24" s="26">
        <f t="shared" si="22"/>
        <v>0</v>
      </c>
      <c r="AB24" s="26">
        <f t="shared" si="22"/>
        <v>0</v>
      </c>
      <c r="AC24" s="26">
        <f t="shared" si="22"/>
        <v>0</v>
      </c>
      <c r="AD24" s="26">
        <f t="shared" si="22"/>
        <v>0</v>
      </c>
      <c r="AE24" s="26">
        <f t="shared" si="22"/>
        <v>0</v>
      </c>
      <c r="AF24" s="26">
        <f t="shared" si="22"/>
        <v>0</v>
      </c>
      <c r="AG24" s="5">
        <f t="shared" ref="AG24:AG31" si="26">SUM(U24:AF24)</f>
        <v>0</v>
      </c>
      <c r="AH24" s="28" t="str">
        <f t="shared" ref="AH24:AH31" si="27">IFERROR(AG24/AG$16,"")</f>
        <v/>
      </c>
      <c r="AI24" s="4"/>
      <c r="AJ24" s="5">
        <f t="shared" ref="AJ24:AJ31" si="28">N24-AG24</f>
        <v>0</v>
      </c>
    </row>
    <row r="25" ht="13.5" customHeight="1">
      <c r="A25" s="25" t="s">
        <v>46</v>
      </c>
      <c r="B25" s="5">
        <v>0.0</v>
      </c>
      <c r="C25" s="5">
        <v>0.0</v>
      </c>
      <c r="D25" s="5">
        <v>0.0</v>
      </c>
      <c r="E25" s="5">
        <v>0.0</v>
      </c>
      <c r="F25" s="5">
        <v>0.0</v>
      </c>
      <c r="G25" s="5">
        <v>0.0</v>
      </c>
      <c r="H25" s="5">
        <v>0.0</v>
      </c>
      <c r="I25" s="5">
        <v>0.0</v>
      </c>
      <c r="J25" s="27">
        <v>0.0</v>
      </c>
      <c r="K25" s="27">
        <v>0.0</v>
      </c>
      <c r="L25" s="27">
        <v>0.0</v>
      </c>
      <c r="M25" s="27">
        <v>0.0</v>
      </c>
      <c r="N25" s="5">
        <f t="shared" si="23"/>
        <v>0</v>
      </c>
      <c r="O25" s="28" t="str">
        <f t="shared" si="24"/>
        <v/>
      </c>
      <c r="P25" s="5"/>
      <c r="Q25" s="5"/>
      <c r="R25" s="29" t="s">
        <v>34</v>
      </c>
      <c r="S25" s="30">
        <v>0.0</v>
      </c>
      <c r="T25" s="31">
        <v>0.05</v>
      </c>
      <c r="U25" s="26">
        <f t="shared" ref="U25:AF25" si="25">IF($R25="Manual","",IFERROR(IF($R25="YOY Growth",$N25*(1+$T25)/12,$S25/12),""))</f>
        <v>0</v>
      </c>
      <c r="V25" s="26">
        <f t="shared" si="25"/>
        <v>0</v>
      </c>
      <c r="W25" s="26">
        <f t="shared" si="25"/>
        <v>0</v>
      </c>
      <c r="X25" s="26">
        <f t="shared" si="25"/>
        <v>0</v>
      </c>
      <c r="Y25" s="26">
        <f t="shared" si="25"/>
        <v>0</v>
      </c>
      <c r="Z25" s="26">
        <f t="shared" si="25"/>
        <v>0</v>
      </c>
      <c r="AA25" s="26">
        <f t="shared" si="25"/>
        <v>0</v>
      </c>
      <c r="AB25" s="26">
        <f t="shared" si="25"/>
        <v>0</v>
      </c>
      <c r="AC25" s="26">
        <f t="shared" si="25"/>
        <v>0</v>
      </c>
      <c r="AD25" s="26">
        <f t="shared" si="25"/>
        <v>0</v>
      </c>
      <c r="AE25" s="26">
        <f t="shared" si="25"/>
        <v>0</v>
      </c>
      <c r="AF25" s="26">
        <f t="shared" si="25"/>
        <v>0</v>
      </c>
      <c r="AG25" s="5">
        <f t="shared" si="26"/>
        <v>0</v>
      </c>
      <c r="AH25" s="28" t="str">
        <f t="shared" si="27"/>
        <v/>
      </c>
      <c r="AI25" s="4"/>
      <c r="AJ25" s="5">
        <f t="shared" si="28"/>
        <v>0</v>
      </c>
    </row>
    <row r="26" ht="13.5" customHeight="1">
      <c r="A26" s="25" t="s">
        <v>47</v>
      </c>
      <c r="B26" s="5">
        <v>0.0</v>
      </c>
      <c r="C26" s="5">
        <v>0.0</v>
      </c>
      <c r="D26" s="5">
        <v>0.0</v>
      </c>
      <c r="E26" s="5">
        <v>0.0</v>
      </c>
      <c r="F26" s="5">
        <v>0.0</v>
      </c>
      <c r="G26" s="5">
        <v>0.0</v>
      </c>
      <c r="H26" s="5">
        <v>0.0</v>
      </c>
      <c r="I26" s="5">
        <v>0.0</v>
      </c>
      <c r="J26" s="27">
        <v>0.0</v>
      </c>
      <c r="K26" s="27">
        <v>0.0</v>
      </c>
      <c r="L26" s="27">
        <v>0.0</v>
      </c>
      <c r="M26" s="27">
        <v>0.0</v>
      </c>
      <c r="N26" s="5">
        <f t="shared" si="23"/>
        <v>0</v>
      </c>
      <c r="O26" s="28" t="str">
        <f t="shared" si="24"/>
        <v/>
      </c>
      <c r="P26" s="5"/>
      <c r="Q26" s="5"/>
      <c r="R26" s="29" t="s">
        <v>34</v>
      </c>
      <c r="S26" s="30">
        <v>0.0</v>
      </c>
      <c r="T26" s="31">
        <v>0.05</v>
      </c>
      <c r="U26" s="26">
        <f t="shared" ref="U26:AF26" si="29">IF($R26="Manual","",IFERROR(IF($R26="YOY Growth",$N26*(1+$T26)/12,$S26/12),""))</f>
        <v>0</v>
      </c>
      <c r="V26" s="26">
        <f t="shared" si="29"/>
        <v>0</v>
      </c>
      <c r="W26" s="26">
        <f t="shared" si="29"/>
        <v>0</v>
      </c>
      <c r="X26" s="26">
        <f t="shared" si="29"/>
        <v>0</v>
      </c>
      <c r="Y26" s="26">
        <f t="shared" si="29"/>
        <v>0</v>
      </c>
      <c r="Z26" s="26">
        <f t="shared" si="29"/>
        <v>0</v>
      </c>
      <c r="AA26" s="26">
        <f t="shared" si="29"/>
        <v>0</v>
      </c>
      <c r="AB26" s="26">
        <f t="shared" si="29"/>
        <v>0</v>
      </c>
      <c r="AC26" s="26">
        <f t="shared" si="29"/>
        <v>0</v>
      </c>
      <c r="AD26" s="26">
        <f t="shared" si="29"/>
        <v>0</v>
      </c>
      <c r="AE26" s="26">
        <f t="shared" si="29"/>
        <v>0</v>
      </c>
      <c r="AF26" s="26">
        <f t="shared" si="29"/>
        <v>0</v>
      </c>
      <c r="AG26" s="5">
        <f t="shared" si="26"/>
        <v>0</v>
      </c>
      <c r="AH26" s="28" t="str">
        <f t="shared" si="27"/>
        <v/>
      </c>
      <c r="AI26" s="4"/>
      <c r="AJ26" s="5">
        <f t="shared" si="28"/>
        <v>0</v>
      </c>
    </row>
    <row r="27" ht="13.5" customHeight="1">
      <c r="A27" s="33" t="s">
        <v>48</v>
      </c>
      <c r="B27" s="34">
        <f t="shared" ref="B27:M27" si="30">SUM(B24:B26)</f>
        <v>0</v>
      </c>
      <c r="C27" s="34">
        <f t="shared" si="30"/>
        <v>0</v>
      </c>
      <c r="D27" s="34">
        <f t="shared" si="30"/>
        <v>0</v>
      </c>
      <c r="E27" s="34">
        <f t="shared" si="30"/>
        <v>0</v>
      </c>
      <c r="F27" s="34">
        <f t="shared" si="30"/>
        <v>0</v>
      </c>
      <c r="G27" s="34">
        <f t="shared" si="30"/>
        <v>0</v>
      </c>
      <c r="H27" s="34">
        <f t="shared" si="30"/>
        <v>0</v>
      </c>
      <c r="I27" s="34">
        <f t="shared" si="30"/>
        <v>0</v>
      </c>
      <c r="J27" s="34">
        <f t="shared" si="30"/>
        <v>0</v>
      </c>
      <c r="K27" s="34">
        <f t="shared" si="30"/>
        <v>0</v>
      </c>
      <c r="L27" s="34">
        <f t="shared" si="30"/>
        <v>0</v>
      </c>
      <c r="M27" s="34">
        <f t="shared" si="30"/>
        <v>0</v>
      </c>
      <c r="N27" s="34">
        <f t="shared" si="23"/>
        <v>0</v>
      </c>
      <c r="O27" s="35" t="str">
        <f t="shared" si="24"/>
        <v/>
      </c>
      <c r="P27" s="5"/>
      <c r="Q27" s="5"/>
      <c r="R27" s="36"/>
      <c r="S27" s="36"/>
      <c r="T27" s="36"/>
      <c r="U27" s="34">
        <f t="shared" ref="U27:AF27" si="31">SUM(U24:U26)</f>
        <v>0</v>
      </c>
      <c r="V27" s="34">
        <f t="shared" si="31"/>
        <v>0</v>
      </c>
      <c r="W27" s="34">
        <f t="shared" si="31"/>
        <v>0</v>
      </c>
      <c r="X27" s="34">
        <f t="shared" si="31"/>
        <v>0</v>
      </c>
      <c r="Y27" s="34">
        <f t="shared" si="31"/>
        <v>0</v>
      </c>
      <c r="Z27" s="34">
        <f t="shared" si="31"/>
        <v>0</v>
      </c>
      <c r="AA27" s="34">
        <f t="shared" si="31"/>
        <v>0</v>
      </c>
      <c r="AB27" s="34">
        <f t="shared" si="31"/>
        <v>0</v>
      </c>
      <c r="AC27" s="34">
        <f t="shared" si="31"/>
        <v>0</v>
      </c>
      <c r="AD27" s="34">
        <f t="shared" si="31"/>
        <v>0</v>
      </c>
      <c r="AE27" s="34">
        <f t="shared" si="31"/>
        <v>0</v>
      </c>
      <c r="AF27" s="34">
        <f t="shared" si="31"/>
        <v>0</v>
      </c>
      <c r="AG27" s="34">
        <f t="shared" si="26"/>
        <v>0</v>
      </c>
      <c r="AH27" s="35" t="str">
        <f t="shared" si="27"/>
        <v/>
      </c>
      <c r="AI27" s="4"/>
      <c r="AJ27" s="34">
        <f t="shared" si="28"/>
        <v>0</v>
      </c>
    </row>
    <row r="28" ht="13.5" customHeight="1">
      <c r="A28" s="25" t="s">
        <v>49</v>
      </c>
      <c r="B28" s="5">
        <v>39.88</v>
      </c>
      <c r="C28" s="5">
        <v>1540.02</v>
      </c>
      <c r="D28" s="5">
        <v>137.24</v>
      </c>
      <c r="E28" s="5">
        <v>42.45</v>
      </c>
      <c r="F28" s="5">
        <v>0.0</v>
      </c>
      <c r="G28" s="5">
        <v>232.93</v>
      </c>
      <c r="H28" s="5">
        <v>375.64</v>
      </c>
      <c r="I28" s="5">
        <v>5222.07</v>
      </c>
      <c r="J28" s="27">
        <v>0.0</v>
      </c>
      <c r="K28" s="27">
        <v>0.0</v>
      </c>
      <c r="L28" s="27">
        <v>0.0</v>
      </c>
      <c r="M28" s="27">
        <v>0.0</v>
      </c>
      <c r="N28" s="5">
        <f t="shared" si="23"/>
        <v>7590.23</v>
      </c>
      <c r="O28" s="28" t="str">
        <f t="shared" si="24"/>
        <v/>
      </c>
      <c r="P28" s="5"/>
      <c r="Q28" s="5"/>
      <c r="R28" s="29" t="s">
        <v>34</v>
      </c>
      <c r="S28" s="30">
        <v>0.0</v>
      </c>
      <c r="T28" s="31">
        <v>0.05</v>
      </c>
      <c r="U28" s="26">
        <f t="shared" ref="U28:AF28" si="32">IF($R28="Manual","",IFERROR(IF($R28="YOY Growth",$N28*(1+$T28)/12,$S28/12),""))</f>
        <v>0</v>
      </c>
      <c r="V28" s="26">
        <f t="shared" si="32"/>
        <v>0</v>
      </c>
      <c r="W28" s="26">
        <f t="shared" si="32"/>
        <v>0</v>
      </c>
      <c r="X28" s="26">
        <f t="shared" si="32"/>
        <v>0</v>
      </c>
      <c r="Y28" s="26">
        <f t="shared" si="32"/>
        <v>0</v>
      </c>
      <c r="Z28" s="26">
        <f t="shared" si="32"/>
        <v>0</v>
      </c>
      <c r="AA28" s="26">
        <f t="shared" si="32"/>
        <v>0</v>
      </c>
      <c r="AB28" s="26">
        <f t="shared" si="32"/>
        <v>0</v>
      </c>
      <c r="AC28" s="26">
        <f t="shared" si="32"/>
        <v>0</v>
      </c>
      <c r="AD28" s="26">
        <f t="shared" si="32"/>
        <v>0</v>
      </c>
      <c r="AE28" s="26">
        <f t="shared" si="32"/>
        <v>0</v>
      </c>
      <c r="AF28" s="26">
        <f t="shared" si="32"/>
        <v>0</v>
      </c>
      <c r="AG28" s="5">
        <f t="shared" si="26"/>
        <v>0</v>
      </c>
      <c r="AH28" s="28" t="str">
        <f t="shared" si="27"/>
        <v/>
      </c>
      <c r="AI28" s="4"/>
      <c r="AJ28" s="5">
        <f t="shared" si="28"/>
        <v>7590.23</v>
      </c>
    </row>
    <row r="29" ht="13.5" customHeight="1">
      <c r="A29" s="25" t="s">
        <v>51</v>
      </c>
      <c r="B29" s="5">
        <v>0.0</v>
      </c>
      <c r="C29" s="5">
        <v>0.0</v>
      </c>
      <c r="D29" s="5">
        <v>0.0</v>
      </c>
      <c r="E29" s="5">
        <v>0.0</v>
      </c>
      <c r="F29" s="5">
        <v>0.0</v>
      </c>
      <c r="G29" s="5">
        <v>0.0</v>
      </c>
      <c r="H29" s="5">
        <v>0.0</v>
      </c>
      <c r="I29" s="5">
        <v>0.0</v>
      </c>
      <c r="J29" s="27">
        <v>0.0</v>
      </c>
      <c r="K29" s="27">
        <v>0.0</v>
      </c>
      <c r="L29" s="27">
        <v>0.0</v>
      </c>
      <c r="M29" s="27">
        <v>0.0</v>
      </c>
      <c r="N29" s="5">
        <f t="shared" si="23"/>
        <v>0</v>
      </c>
      <c r="O29" s="28" t="str">
        <f t="shared" si="24"/>
        <v/>
      </c>
      <c r="P29" s="5"/>
      <c r="Q29" s="5"/>
      <c r="R29" s="29" t="s">
        <v>34</v>
      </c>
      <c r="S29" s="30">
        <v>0.0</v>
      </c>
      <c r="T29" s="31">
        <v>0.05</v>
      </c>
      <c r="U29" s="26">
        <f t="shared" ref="U29:AF29" si="33">IF($R29="Manual","",IFERROR(IF($R29="YOY Growth",$N29*(1+$T29)/12,$S29/12),""))</f>
        <v>0</v>
      </c>
      <c r="V29" s="26">
        <f t="shared" si="33"/>
        <v>0</v>
      </c>
      <c r="W29" s="26">
        <f t="shared" si="33"/>
        <v>0</v>
      </c>
      <c r="X29" s="26">
        <f t="shared" si="33"/>
        <v>0</v>
      </c>
      <c r="Y29" s="26">
        <f t="shared" si="33"/>
        <v>0</v>
      </c>
      <c r="Z29" s="26">
        <f t="shared" si="33"/>
        <v>0</v>
      </c>
      <c r="AA29" s="26">
        <f t="shared" si="33"/>
        <v>0</v>
      </c>
      <c r="AB29" s="26">
        <f t="shared" si="33"/>
        <v>0</v>
      </c>
      <c r="AC29" s="26">
        <f t="shared" si="33"/>
        <v>0</v>
      </c>
      <c r="AD29" s="26">
        <f t="shared" si="33"/>
        <v>0</v>
      </c>
      <c r="AE29" s="26">
        <f t="shared" si="33"/>
        <v>0</v>
      </c>
      <c r="AF29" s="26">
        <f t="shared" si="33"/>
        <v>0</v>
      </c>
      <c r="AG29" s="5">
        <f t="shared" si="26"/>
        <v>0</v>
      </c>
      <c r="AH29" s="28" t="str">
        <f t="shared" si="27"/>
        <v/>
      </c>
      <c r="AI29" s="4"/>
      <c r="AJ29" s="5">
        <f t="shared" si="28"/>
        <v>0</v>
      </c>
    </row>
    <row r="30" ht="13.5" customHeight="1">
      <c r="A30" s="25" t="s">
        <v>53</v>
      </c>
      <c r="B30" s="5">
        <v>0.0</v>
      </c>
      <c r="C30" s="5">
        <v>0.0</v>
      </c>
      <c r="D30" s="5">
        <v>0.0</v>
      </c>
      <c r="E30" s="5">
        <v>0.0</v>
      </c>
      <c r="F30" s="5">
        <v>0.0</v>
      </c>
      <c r="G30" s="5">
        <v>0.0</v>
      </c>
      <c r="H30" s="5">
        <v>0.0</v>
      </c>
      <c r="I30" s="5">
        <v>0.0</v>
      </c>
      <c r="J30" s="27">
        <v>0.0</v>
      </c>
      <c r="K30" s="27">
        <v>0.0</v>
      </c>
      <c r="L30" s="27">
        <v>0.0</v>
      </c>
      <c r="M30" s="27">
        <v>0.0</v>
      </c>
      <c r="N30" s="5">
        <f t="shared" si="23"/>
        <v>0</v>
      </c>
      <c r="O30" s="28" t="str">
        <f t="shared" si="24"/>
        <v/>
      </c>
      <c r="P30" s="5"/>
      <c r="Q30" s="5"/>
      <c r="R30" s="29" t="s">
        <v>34</v>
      </c>
      <c r="S30" s="30">
        <v>0.0</v>
      </c>
      <c r="T30" s="31">
        <v>0.05</v>
      </c>
      <c r="U30" s="26">
        <f t="shared" ref="U30:AF30" si="34">IF($R30="Manual","",IFERROR(IF($R30="YOY Growth",$N30*(1+$T30)/12,$S30/12),""))</f>
        <v>0</v>
      </c>
      <c r="V30" s="26">
        <f t="shared" si="34"/>
        <v>0</v>
      </c>
      <c r="W30" s="26">
        <f t="shared" si="34"/>
        <v>0</v>
      </c>
      <c r="X30" s="26">
        <f t="shared" si="34"/>
        <v>0</v>
      </c>
      <c r="Y30" s="26">
        <f t="shared" si="34"/>
        <v>0</v>
      </c>
      <c r="Z30" s="26">
        <f t="shared" si="34"/>
        <v>0</v>
      </c>
      <c r="AA30" s="26">
        <f t="shared" si="34"/>
        <v>0</v>
      </c>
      <c r="AB30" s="26">
        <f t="shared" si="34"/>
        <v>0</v>
      </c>
      <c r="AC30" s="26">
        <f t="shared" si="34"/>
        <v>0</v>
      </c>
      <c r="AD30" s="26">
        <f t="shared" si="34"/>
        <v>0</v>
      </c>
      <c r="AE30" s="26">
        <f t="shared" si="34"/>
        <v>0</v>
      </c>
      <c r="AF30" s="26">
        <f t="shared" si="34"/>
        <v>0</v>
      </c>
      <c r="AG30" s="5">
        <f t="shared" si="26"/>
        <v>0</v>
      </c>
      <c r="AH30" s="28" t="str">
        <f t="shared" si="27"/>
        <v/>
      </c>
      <c r="AI30" s="4"/>
      <c r="AJ30" s="5">
        <f t="shared" si="28"/>
        <v>0</v>
      </c>
    </row>
    <row r="31" ht="13.5" customHeight="1">
      <c r="A31" s="25" t="s">
        <v>54</v>
      </c>
      <c r="B31" s="5">
        <v>0.0</v>
      </c>
      <c r="C31" s="5">
        <v>0.0</v>
      </c>
      <c r="D31" s="5">
        <v>0.0</v>
      </c>
      <c r="E31" s="5">
        <v>0.0</v>
      </c>
      <c r="F31" s="5">
        <v>0.0</v>
      </c>
      <c r="G31" s="5">
        <v>0.0</v>
      </c>
      <c r="H31" s="5">
        <v>0.0</v>
      </c>
      <c r="I31" s="5">
        <v>0.0</v>
      </c>
      <c r="J31" s="27">
        <v>0.0</v>
      </c>
      <c r="K31" s="27">
        <v>0.0</v>
      </c>
      <c r="L31" s="27">
        <v>0.0</v>
      </c>
      <c r="M31" s="27">
        <v>0.0</v>
      </c>
      <c r="N31" s="5">
        <f t="shared" si="23"/>
        <v>0</v>
      </c>
      <c r="O31" s="28" t="str">
        <f t="shared" si="24"/>
        <v/>
      </c>
      <c r="P31" s="5"/>
      <c r="Q31" s="5"/>
      <c r="R31" s="29" t="s">
        <v>34</v>
      </c>
      <c r="S31" s="30">
        <v>0.0</v>
      </c>
      <c r="T31" s="31">
        <v>0.05</v>
      </c>
      <c r="U31" s="26">
        <f t="shared" ref="U31:AF31" si="35">IF($R31="Manual","",IFERROR(IF($R31="YOY Growth",$N31*(1+$T31)/12,$S31/12),""))</f>
        <v>0</v>
      </c>
      <c r="V31" s="26">
        <f t="shared" si="35"/>
        <v>0</v>
      </c>
      <c r="W31" s="26">
        <f t="shared" si="35"/>
        <v>0</v>
      </c>
      <c r="X31" s="26">
        <f t="shared" si="35"/>
        <v>0</v>
      </c>
      <c r="Y31" s="26">
        <f t="shared" si="35"/>
        <v>0</v>
      </c>
      <c r="Z31" s="26">
        <f t="shared" si="35"/>
        <v>0</v>
      </c>
      <c r="AA31" s="26">
        <f t="shared" si="35"/>
        <v>0</v>
      </c>
      <c r="AB31" s="26">
        <f t="shared" si="35"/>
        <v>0</v>
      </c>
      <c r="AC31" s="26">
        <f t="shared" si="35"/>
        <v>0</v>
      </c>
      <c r="AD31" s="26">
        <f t="shared" si="35"/>
        <v>0</v>
      </c>
      <c r="AE31" s="26">
        <f t="shared" si="35"/>
        <v>0</v>
      </c>
      <c r="AF31" s="26">
        <f t="shared" si="35"/>
        <v>0</v>
      </c>
      <c r="AG31" s="5">
        <f t="shared" si="26"/>
        <v>0</v>
      </c>
      <c r="AH31" s="28" t="str">
        <f t="shared" si="27"/>
        <v/>
      </c>
      <c r="AI31" s="4"/>
      <c r="AJ31" s="5">
        <f t="shared" si="28"/>
        <v>0</v>
      </c>
    </row>
    <row r="32" ht="13.5" customHeight="1">
      <c r="A32" s="24" t="s">
        <v>55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28"/>
      <c r="P32" s="5"/>
      <c r="Q32" s="5"/>
      <c r="R32" s="36"/>
      <c r="S32" s="36"/>
      <c r="T32" s="36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28"/>
      <c r="AI32" s="4"/>
      <c r="AJ32" s="5"/>
    </row>
    <row r="33" ht="13.5" customHeight="1">
      <c r="A33" s="25" t="s">
        <v>56</v>
      </c>
      <c r="B33" s="5">
        <v>0.0</v>
      </c>
      <c r="C33" s="5">
        <v>0.0</v>
      </c>
      <c r="D33" s="5">
        <v>65376.84</v>
      </c>
      <c r="E33" s="5">
        <v>0.0</v>
      </c>
      <c r="F33" s="5">
        <v>0.0</v>
      </c>
      <c r="G33" s="5">
        <v>0.0</v>
      </c>
      <c r="H33" s="5">
        <v>0.0</v>
      </c>
      <c r="I33" s="5">
        <v>0.0</v>
      </c>
      <c r="J33" s="27">
        <v>0.0</v>
      </c>
      <c r="K33" s="27">
        <v>0.0</v>
      </c>
      <c r="L33" s="27">
        <v>0.0</v>
      </c>
      <c r="M33" s="27">
        <v>0.0</v>
      </c>
      <c r="N33" s="5">
        <f t="shared" ref="N33:N42" si="36">SUM(B33:M33)</f>
        <v>65376.84</v>
      </c>
      <c r="O33" s="28" t="str">
        <f t="shared" ref="O33:O42" si="37">IFERROR(N33/N$16,"")</f>
        <v/>
      </c>
      <c r="P33" s="5"/>
      <c r="Q33" s="5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5">
        <f t="shared" ref="AG33:AG42" si="38">SUM(U33:AF33)</f>
        <v>0</v>
      </c>
      <c r="AH33" s="28" t="str">
        <f t="shared" ref="AH33:AH42" si="39">IFERROR(AG33/AG$16,"")</f>
        <v/>
      </c>
      <c r="AI33" s="4"/>
      <c r="AJ33" s="5">
        <f t="shared" ref="AJ33:AJ42" si="40">N33-AG33</f>
        <v>65376.84</v>
      </c>
    </row>
    <row r="34" ht="13.5" customHeight="1">
      <c r="A34" s="25" t="s">
        <v>57</v>
      </c>
      <c r="B34" s="5">
        <v>0.0</v>
      </c>
      <c r="C34" s="5">
        <v>0.0</v>
      </c>
      <c r="D34" s="5">
        <v>2360.75</v>
      </c>
      <c r="E34" s="5">
        <v>0.0</v>
      </c>
      <c r="F34" s="5">
        <v>0.0</v>
      </c>
      <c r="G34" s="5">
        <v>0.0</v>
      </c>
      <c r="H34" s="5">
        <v>0.0</v>
      </c>
      <c r="I34" s="5">
        <v>0.0</v>
      </c>
      <c r="J34" s="27">
        <v>0.0</v>
      </c>
      <c r="K34" s="27">
        <v>0.0</v>
      </c>
      <c r="L34" s="27">
        <v>0.0</v>
      </c>
      <c r="M34" s="27">
        <v>0.0</v>
      </c>
      <c r="N34" s="5">
        <f t="shared" si="36"/>
        <v>2360.75</v>
      </c>
      <c r="O34" s="28" t="str">
        <f t="shared" si="37"/>
        <v/>
      </c>
      <c r="P34" s="5"/>
      <c r="Q34" s="5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5">
        <f t="shared" si="38"/>
        <v>0</v>
      </c>
      <c r="AH34" s="28" t="str">
        <f t="shared" si="39"/>
        <v/>
      </c>
      <c r="AI34" s="4"/>
      <c r="AJ34" s="5">
        <f t="shared" si="40"/>
        <v>2360.75</v>
      </c>
    </row>
    <row r="35" ht="13.5" customHeight="1">
      <c r="A35" s="25" t="s">
        <v>58</v>
      </c>
      <c r="B35" s="5">
        <v>-54670.96</v>
      </c>
      <c r="C35" s="5">
        <v>0.0</v>
      </c>
      <c r="D35" s="5">
        <v>-1593.15</v>
      </c>
      <c r="E35" s="5">
        <v>0.0</v>
      </c>
      <c r="F35" s="5">
        <v>0.0</v>
      </c>
      <c r="G35" s="5">
        <v>0.0</v>
      </c>
      <c r="H35" s="5">
        <v>0.0</v>
      </c>
      <c r="I35" s="5">
        <v>0.0</v>
      </c>
      <c r="J35" s="27">
        <v>0.0</v>
      </c>
      <c r="K35" s="27">
        <v>0.0</v>
      </c>
      <c r="L35" s="27">
        <v>0.0</v>
      </c>
      <c r="M35" s="27">
        <v>0.0</v>
      </c>
      <c r="N35" s="5">
        <f t="shared" si="36"/>
        <v>-56264.11</v>
      </c>
      <c r="O35" s="28" t="str">
        <f t="shared" si="37"/>
        <v/>
      </c>
      <c r="P35" s="5"/>
      <c r="Q35" s="5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5">
        <f t="shared" si="38"/>
        <v>0</v>
      </c>
      <c r="AH35" s="28" t="str">
        <f t="shared" si="39"/>
        <v/>
      </c>
      <c r="AI35" s="4"/>
      <c r="AJ35" s="5">
        <f t="shared" si="40"/>
        <v>-56264.11</v>
      </c>
    </row>
    <row r="36" ht="13.5" customHeight="1">
      <c r="A36" s="33" t="s">
        <v>59</v>
      </c>
      <c r="B36" s="34">
        <f t="shared" ref="B36:M36" si="41">SUM(B33:B35)</f>
        <v>-54670.96</v>
      </c>
      <c r="C36" s="34">
        <f t="shared" si="41"/>
        <v>0</v>
      </c>
      <c r="D36" s="34">
        <f t="shared" si="41"/>
        <v>66144.44</v>
      </c>
      <c r="E36" s="34">
        <f t="shared" si="41"/>
        <v>0</v>
      </c>
      <c r="F36" s="34">
        <f t="shared" si="41"/>
        <v>0</v>
      </c>
      <c r="G36" s="34">
        <f t="shared" si="41"/>
        <v>0</v>
      </c>
      <c r="H36" s="34">
        <f t="shared" si="41"/>
        <v>0</v>
      </c>
      <c r="I36" s="34">
        <f t="shared" si="41"/>
        <v>0</v>
      </c>
      <c r="J36" s="34">
        <f t="shared" si="41"/>
        <v>0</v>
      </c>
      <c r="K36" s="34">
        <f t="shared" si="41"/>
        <v>0</v>
      </c>
      <c r="L36" s="34">
        <f t="shared" si="41"/>
        <v>0</v>
      </c>
      <c r="M36" s="34">
        <f t="shared" si="41"/>
        <v>0</v>
      </c>
      <c r="N36" s="34">
        <f t="shared" si="36"/>
        <v>11473.48</v>
      </c>
      <c r="O36" s="35" t="str">
        <f t="shared" si="37"/>
        <v/>
      </c>
      <c r="P36" s="5"/>
      <c r="Q36" s="5"/>
      <c r="R36" s="36"/>
      <c r="S36" s="36"/>
      <c r="T36" s="36"/>
      <c r="U36" s="34">
        <f t="shared" ref="U36:AF36" si="42">SUM(U33:U35)</f>
        <v>0</v>
      </c>
      <c r="V36" s="34">
        <f t="shared" si="42"/>
        <v>0</v>
      </c>
      <c r="W36" s="34">
        <f t="shared" si="42"/>
        <v>0</v>
      </c>
      <c r="X36" s="34">
        <f t="shared" si="42"/>
        <v>0</v>
      </c>
      <c r="Y36" s="34">
        <f t="shared" si="42"/>
        <v>0</v>
      </c>
      <c r="Z36" s="34">
        <f t="shared" si="42"/>
        <v>0</v>
      </c>
      <c r="AA36" s="34">
        <f t="shared" si="42"/>
        <v>0</v>
      </c>
      <c r="AB36" s="34">
        <f t="shared" si="42"/>
        <v>0</v>
      </c>
      <c r="AC36" s="34">
        <f t="shared" si="42"/>
        <v>0</v>
      </c>
      <c r="AD36" s="34">
        <f t="shared" si="42"/>
        <v>0</v>
      </c>
      <c r="AE36" s="34">
        <f t="shared" si="42"/>
        <v>0</v>
      </c>
      <c r="AF36" s="34">
        <f t="shared" si="42"/>
        <v>0</v>
      </c>
      <c r="AG36" s="34">
        <f t="shared" si="38"/>
        <v>0</v>
      </c>
      <c r="AH36" s="35" t="str">
        <f t="shared" si="39"/>
        <v/>
      </c>
      <c r="AI36" s="4"/>
      <c r="AJ36" s="34">
        <f t="shared" si="40"/>
        <v>11473.48</v>
      </c>
    </row>
    <row r="37" ht="13.5" customHeight="1">
      <c r="A37" s="33" t="s">
        <v>60</v>
      </c>
      <c r="B37" s="34">
        <f t="shared" ref="B37:M37" si="43">B19+B22+B27+B28+B29+B30+B31+B36+B20+B21</f>
        <v>-54631.08</v>
      </c>
      <c r="C37" s="34">
        <f t="shared" si="43"/>
        <v>1540.02</v>
      </c>
      <c r="D37" s="34">
        <f t="shared" si="43"/>
        <v>66281.68</v>
      </c>
      <c r="E37" s="34">
        <f t="shared" si="43"/>
        <v>42.45</v>
      </c>
      <c r="F37" s="34">
        <f t="shared" si="43"/>
        <v>0</v>
      </c>
      <c r="G37" s="34">
        <f t="shared" si="43"/>
        <v>232.93</v>
      </c>
      <c r="H37" s="34">
        <f t="shared" si="43"/>
        <v>375.64</v>
      </c>
      <c r="I37" s="34">
        <f t="shared" si="43"/>
        <v>5222.07</v>
      </c>
      <c r="J37" s="34">
        <f t="shared" si="43"/>
        <v>0</v>
      </c>
      <c r="K37" s="34">
        <f t="shared" si="43"/>
        <v>0</v>
      </c>
      <c r="L37" s="34">
        <f t="shared" si="43"/>
        <v>0</v>
      </c>
      <c r="M37" s="34">
        <f t="shared" si="43"/>
        <v>0</v>
      </c>
      <c r="N37" s="34">
        <f t="shared" si="36"/>
        <v>19063.71</v>
      </c>
      <c r="O37" s="35" t="str">
        <f t="shared" si="37"/>
        <v/>
      </c>
      <c r="P37" s="5"/>
      <c r="Q37" s="5"/>
      <c r="R37" s="36"/>
      <c r="S37" s="36"/>
      <c r="T37" s="36"/>
      <c r="U37" s="34">
        <f t="shared" ref="U37:AF37" si="44">U19+U22+U27+U28+U29+U30+U31+U36+U20+U21</f>
        <v>0</v>
      </c>
      <c r="V37" s="34">
        <f t="shared" si="44"/>
        <v>0</v>
      </c>
      <c r="W37" s="34">
        <f t="shared" si="44"/>
        <v>0</v>
      </c>
      <c r="X37" s="34">
        <f t="shared" si="44"/>
        <v>0</v>
      </c>
      <c r="Y37" s="34">
        <f t="shared" si="44"/>
        <v>0</v>
      </c>
      <c r="Z37" s="34">
        <f t="shared" si="44"/>
        <v>0</v>
      </c>
      <c r="AA37" s="34">
        <f t="shared" si="44"/>
        <v>0</v>
      </c>
      <c r="AB37" s="34">
        <f t="shared" si="44"/>
        <v>0</v>
      </c>
      <c r="AC37" s="34">
        <f t="shared" si="44"/>
        <v>0</v>
      </c>
      <c r="AD37" s="34">
        <f t="shared" si="44"/>
        <v>0</v>
      </c>
      <c r="AE37" s="34">
        <f t="shared" si="44"/>
        <v>0</v>
      </c>
      <c r="AF37" s="34">
        <f t="shared" si="44"/>
        <v>0</v>
      </c>
      <c r="AG37" s="34">
        <f t="shared" si="38"/>
        <v>0</v>
      </c>
      <c r="AH37" s="35" t="str">
        <f t="shared" si="39"/>
        <v/>
      </c>
      <c r="AI37" s="4"/>
      <c r="AJ37" s="34">
        <f t="shared" si="40"/>
        <v>19063.71</v>
      </c>
    </row>
    <row r="38" ht="13.5" customHeight="1">
      <c r="A38" s="25" t="s">
        <v>61</v>
      </c>
      <c r="B38" s="5">
        <v>0.0</v>
      </c>
      <c r="C38" s="5">
        <v>0.0</v>
      </c>
      <c r="D38" s="5">
        <v>0.0</v>
      </c>
      <c r="E38" s="5">
        <v>0.0</v>
      </c>
      <c r="F38" s="5">
        <v>0.0</v>
      </c>
      <c r="G38" s="5">
        <v>0.0</v>
      </c>
      <c r="H38" s="5">
        <v>0.0</v>
      </c>
      <c r="I38" s="5">
        <v>0.0</v>
      </c>
      <c r="J38" s="27">
        <v>0.0</v>
      </c>
      <c r="K38" s="27">
        <v>0.0</v>
      </c>
      <c r="L38" s="27">
        <v>0.0</v>
      </c>
      <c r="M38" s="27">
        <v>0.0</v>
      </c>
      <c r="N38" s="5">
        <f t="shared" si="36"/>
        <v>0</v>
      </c>
      <c r="O38" s="28" t="str">
        <f t="shared" si="37"/>
        <v/>
      </c>
      <c r="P38" s="5"/>
      <c r="Q38" s="5"/>
      <c r="R38" s="29" t="s">
        <v>34</v>
      </c>
      <c r="S38" s="30">
        <v>0.0</v>
      </c>
      <c r="T38" s="31">
        <v>0.05</v>
      </c>
      <c r="U38" s="26">
        <f t="shared" ref="U38:AF38" si="45">IF($R38="Manual","",IFERROR(IF($R38="YOY Growth",$N38*(1+$T38)/12,$S38/12),""))</f>
        <v>0</v>
      </c>
      <c r="V38" s="26">
        <f t="shared" si="45"/>
        <v>0</v>
      </c>
      <c r="W38" s="26">
        <f t="shared" si="45"/>
        <v>0</v>
      </c>
      <c r="X38" s="26">
        <f t="shared" si="45"/>
        <v>0</v>
      </c>
      <c r="Y38" s="26">
        <f t="shared" si="45"/>
        <v>0</v>
      </c>
      <c r="Z38" s="26">
        <f t="shared" si="45"/>
        <v>0</v>
      </c>
      <c r="AA38" s="26">
        <f t="shared" si="45"/>
        <v>0</v>
      </c>
      <c r="AB38" s="26">
        <f t="shared" si="45"/>
        <v>0</v>
      </c>
      <c r="AC38" s="26">
        <f t="shared" si="45"/>
        <v>0</v>
      </c>
      <c r="AD38" s="26">
        <f t="shared" si="45"/>
        <v>0</v>
      </c>
      <c r="AE38" s="26">
        <f t="shared" si="45"/>
        <v>0</v>
      </c>
      <c r="AF38" s="26">
        <f t="shared" si="45"/>
        <v>0</v>
      </c>
      <c r="AG38" s="5">
        <f t="shared" si="38"/>
        <v>0</v>
      </c>
      <c r="AH38" s="28" t="str">
        <f t="shared" si="39"/>
        <v/>
      </c>
      <c r="AI38" s="4"/>
      <c r="AJ38" s="5">
        <f t="shared" si="40"/>
        <v>0</v>
      </c>
    </row>
    <row r="39" ht="13.5" customHeight="1">
      <c r="A39" s="25" t="s">
        <v>63</v>
      </c>
      <c r="B39" s="5">
        <v>0.0</v>
      </c>
      <c r="C39" s="5">
        <v>0.0</v>
      </c>
      <c r="D39" s="5">
        <v>0.0</v>
      </c>
      <c r="E39" s="5">
        <v>0.0</v>
      </c>
      <c r="F39" s="5">
        <v>0.0</v>
      </c>
      <c r="G39" s="5">
        <v>0.0</v>
      </c>
      <c r="H39" s="5">
        <v>0.0</v>
      </c>
      <c r="I39" s="5">
        <v>4693.58</v>
      </c>
      <c r="J39" s="27">
        <v>0.0</v>
      </c>
      <c r="K39" s="27">
        <v>0.0</v>
      </c>
      <c r="L39" s="27">
        <v>0.0</v>
      </c>
      <c r="M39" s="27">
        <v>0.0</v>
      </c>
      <c r="N39" s="5">
        <f t="shared" si="36"/>
        <v>4693.58</v>
      </c>
      <c r="O39" s="28" t="str">
        <f t="shared" si="37"/>
        <v/>
      </c>
      <c r="P39" s="5"/>
      <c r="Q39" s="5"/>
      <c r="R39" s="29" t="s">
        <v>34</v>
      </c>
      <c r="S39" s="30">
        <v>0.0</v>
      </c>
      <c r="T39" s="31">
        <v>0.05</v>
      </c>
      <c r="U39" s="26">
        <f t="shared" ref="U39:AF39" si="46">IF($R39="Manual","",IFERROR(IF($R39="YOY Growth",$N39*(1+$T39)/12,$S39/12),""))</f>
        <v>0</v>
      </c>
      <c r="V39" s="26">
        <f t="shared" si="46"/>
        <v>0</v>
      </c>
      <c r="W39" s="26">
        <f t="shared" si="46"/>
        <v>0</v>
      </c>
      <c r="X39" s="26">
        <f t="shared" si="46"/>
        <v>0</v>
      </c>
      <c r="Y39" s="26">
        <f t="shared" si="46"/>
        <v>0</v>
      </c>
      <c r="Z39" s="26">
        <f t="shared" si="46"/>
        <v>0</v>
      </c>
      <c r="AA39" s="26">
        <f t="shared" si="46"/>
        <v>0</v>
      </c>
      <c r="AB39" s="26">
        <f t="shared" si="46"/>
        <v>0</v>
      </c>
      <c r="AC39" s="26">
        <f t="shared" si="46"/>
        <v>0</v>
      </c>
      <c r="AD39" s="26">
        <f t="shared" si="46"/>
        <v>0</v>
      </c>
      <c r="AE39" s="26">
        <f t="shared" si="46"/>
        <v>0</v>
      </c>
      <c r="AF39" s="26">
        <f t="shared" si="46"/>
        <v>0</v>
      </c>
      <c r="AG39" s="5">
        <f t="shared" si="38"/>
        <v>0</v>
      </c>
      <c r="AH39" s="28" t="str">
        <f t="shared" si="39"/>
        <v/>
      </c>
      <c r="AI39" s="4"/>
      <c r="AJ39" s="5">
        <f t="shared" si="40"/>
        <v>4693.58</v>
      </c>
    </row>
    <row r="40" ht="13.5" customHeight="1">
      <c r="A40" s="25" t="s">
        <v>65</v>
      </c>
      <c r="B40" s="5">
        <v>0.0</v>
      </c>
      <c r="C40" s="5">
        <v>0.0</v>
      </c>
      <c r="D40" s="5">
        <v>0.0</v>
      </c>
      <c r="E40" s="5">
        <v>0.0</v>
      </c>
      <c r="F40" s="5">
        <v>0.0</v>
      </c>
      <c r="G40" s="5">
        <v>0.0</v>
      </c>
      <c r="H40" s="5">
        <v>0.0</v>
      </c>
      <c r="I40" s="5">
        <v>0.0</v>
      </c>
      <c r="J40" s="27">
        <v>0.0</v>
      </c>
      <c r="K40" s="27">
        <v>0.0</v>
      </c>
      <c r="L40" s="27">
        <v>0.0</v>
      </c>
      <c r="M40" s="27">
        <v>0.0</v>
      </c>
      <c r="N40" s="5">
        <f t="shared" si="36"/>
        <v>0</v>
      </c>
      <c r="O40" s="28" t="str">
        <f t="shared" si="37"/>
        <v/>
      </c>
      <c r="P40" s="5"/>
      <c r="Q40" s="5"/>
      <c r="R40" s="29" t="s">
        <v>34</v>
      </c>
      <c r="S40" s="30">
        <v>0.0</v>
      </c>
      <c r="T40" s="31">
        <v>0.05</v>
      </c>
      <c r="U40" s="26">
        <f t="shared" ref="U40:AF40" si="47">IF($R40="Manual","",IFERROR(IF($R40="YOY Growth",$N40*(1+$T40)/12,$S40/12),""))</f>
        <v>0</v>
      </c>
      <c r="V40" s="26">
        <f t="shared" si="47"/>
        <v>0</v>
      </c>
      <c r="W40" s="26">
        <f t="shared" si="47"/>
        <v>0</v>
      </c>
      <c r="X40" s="26">
        <f t="shared" si="47"/>
        <v>0</v>
      </c>
      <c r="Y40" s="26">
        <f t="shared" si="47"/>
        <v>0</v>
      </c>
      <c r="Z40" s="26">
        <f t="shared" si="47"/>
        <v>0</v>
      </c>
      <c r="AA40" s="26">
        <f t="shared" si="47"/>
        <v>0</v>
      </c>
      <c r="AB40" s="26">
        <f t="shared" si="47"/>
        <v>0</v>
      </c>
      <c r="AC40" s="26">
        <f t="shared" si="47"/>
        <v>0</v>
      </c>
      <c r="AD40" s="26">
        <f t="shared" si="47"/>
        <v>0</v>
      </c>
      <c r="AE40" s="26">
        <f t="shared" si="47"/>
        <v>0</v>
      </c>
      <c r="AF40" s="26">
        <f t="shared" si="47"/>
        <v>0</v>
      </c>
      <c r="AG40" s="5">
        <f t="shared" si="38"/>
        <v>0</v>
      </c>
      <c r="AH40" s="28" t="str">
        <f t="shared" si="39"/>
        <v/>
      </c>
      <c r="AI40" s="4"/>
      <c r="AJ40" s="5">
        <f t="shared" si="40"/>
        <v>0</v>
      </c>
    </row>
    <row r="41" ht="13.5" customHeight="1">
      <c r="A41" s="25" t="s">
        <v>66</v>
      </c>
      <c r="B41" s="5">
        <v>0.0</v>
      </c>
      <c r="C41" s="5">
        <v>0.0</v>
      </c>
      <c r="D41" s="5">
        <v>0.0</v>
      </c>
      <c r="E41" s="5">
        <v>0.0</v>
      </c>
      <c r="F41" s="5">
        <v>0.0</v>
      </c>
      <c r="G41" s="5">
        <v>0.0</v>
      </c>
      <c r="H41" s="5">
        <v>0.0</v>
      </c>
      <c r="I41" s="5">
        <v>0.0</v>
      </c>
      <c r="J41" s="27"/>
      <c r="K41" s="27"/>
      <c r="L41" s="27"/>
      <c r="M41" s="27"/>
      <c r="N41" s="5">
        <f t="shared" si="36"/>
        <v>0</v>
      </c>
      <c r="O41" s="28" t="str">
        <f t="shared" si="37"/>
        <v/>
      </c>
      <c r="P41" s="5"/>
      <c r="Q41" s="5"/>
      <c r="R41" s="29" t="s">
        <v>34</v>
      </c>
      <c r="S41" s="30">
        <v>0.0</v>
      </c>
      <c r="T41" s="31">
        <v>0.05</v>
      </c>
      <c r="U41" s="26">
        <f t="shared" ref="U41:AF41" si="48">IF($R41="Manual","",IFERROR(IF($R41="YOY Growth",$N41*(1+$T41)/12,$S41/12),""))</f>
        <v>0</v>
      </c>
      <c r="V41" s="26">
        <f t="shared" si="48"/>
        <v>0</v>
      </c>
      <c r="W41" s="26">
        <f t="shared" si="48"/>
        <v>0</v>
      </c>
      <c r="X41" s="26">
        <f t="shared" si="48"/>
        <v>0</v>
      </c>
      <c r="Y41" s="26">
        <f t="shared" si="48"/>
        <v>0</v>
      </c>
      <c r="Z41" s="26">
        <f t="shared" si="48"/>
        <v>0</v>
      </c>
      <c r="AA41" s="26">
        <f t="shared" si="48"/>
        <v>0</v>
      </c>
      <c r="AB41" s="26">
        <f t="shared" si="48"/>
        <v>0</v>
      </c>
      <c r="AC41" s="26">
        <f t="shared" si="48"/>
        <v>0</v>
      </c>
      <c r="AD41" s="26">
        <f t="shared" si="48"/>
        <v>0</v>
      </c>
      <c r="AE41" s="26">
        <f t="shared" si="48"/>
        <v>0</v>
      </c>
      <c r="AF41" s="26">
        <f t="shared" si="48"/>
        <v>0</v>
      </c>
      <c r="AG41" s="5">
        <f t="shared" si="38"/>
        <v>0</v>
      </c>
      <c r="AH41" s="28" t="str">
        <f t="shared" si="39"/>
        <v/>
      </c>
      <c r="AI41" s="4"/>
      <c r="AJ41" s="5">
        <f t="shared" si="40"/>
        <v>0</v>
      </c>
    </row>
    <row r="42" ht="13.5" customHeight="1">
      <c r="A42" s="25" t="s">
        <v>67</v>
      </c>
      <c r="B42" s="5">
        <v>0.0</v>
      </c>
      <c r="C42" s="5">
        <v>0.0</v>
      </c>
      <c r="D42" s="5">
        <v>0.0</v>
      </c>
      <c r="E42" s="5">
        <v>0.0</v>
      </c>
      <c r="F42" s="5">
        <v>0.0</v>
      </c>
      <c r="G42" s="5">
        <v>0.0</v>
      </c>
      <c r="H42" s="5">
        <v>0.0</v>
      </c>
      <c r="I42" s="5">
        <v>0.0</v>
      </c>
      <c r="J42" s="27">
        <v>0.0</v>
      </c>
      <c r="K42" s="27">
        <v>0.0</v>
      </c>
      <c r="L42" s="27">
        <v>0.0</v>
      </c>
      <c r="M42" s="27">
        <v>0.0</v>
      </c>
      <c r="N42" s="5">
        <f t="shared" si="36"/>
        <v>0</v>
      </c>
      <c r="O42" s="28" t="str">
        <f t="shared" si="37"/>
        <v/>
      </c>
      <c r="P42" s="5"/>
      <c r="Q42" s="5"/>
      <c r="R42" s="29" t="s">
        <v>34</v>
      </c>
      <c r="S42" s="30">
        <v>0.0</v>
      </c>
      <c r="T42" s="31">
        <v>0.05</v>
      </c>
      <c r="U42" s="26">
        <f t="shared" ref="U42:AF42" si="49">IF($R42="Manual","",IFERROR(IF($R42="YOY Growth",$N42*(1+$T42)/12,$S42/12),""))</f>
        <v>0</v>
      </c>
      <c r="V42" s="26">
        <f t="shared" si="49"/>
        <v>0</v>
      </c>
      <c r="W42" s="26">
        <f t="shared" si="49"/>
        <v>0</v>
      </c>
      <c r="X42" s="26">
        <f t="shared" si="49"/>
        <v>0</v>
      </c>
      <c r="Y42" s="26">
        <f t="shared" si="49"/>
        <v>0</v>
      </c>
      <c r="Z42" s="26">
        <f t="shared" si="49"/>
        <v>0</v>
      </c>
      <c r="AA42" s="26">
        <f t="shared" si="49"/>
        <v>0</v>
      </c>
      <c r="AB42" s="26">
        <f t="shared" si="49"/>
        <v>0</v>
      </c>
      <c r="AC42" s="26">
        <f t="shared" si="49"/>
        <v>0</v>
      </c>
      <c r="AD42" s="26">
        <f t="shared" si="49"/>
        <v>0</v>
      </c>
      <c r="AE42" s="26">
        <f t="shared" si="49"/>
        <v>0</v>
      </c>
      <c r="AF42" s="26">
        <f t="shared" si="49"/>
        <v>0</v>
      </c>
      <c r="AG42" s="5">
        <f t="shared" si="38"/>
        <v>0</v>
      </c>
      <c r="AH42" s="28" t="str">
        <f t="shared" si="39"/>
        <v/>
      </c>
      <c r="AI42" s="4"/>
      <c r="AJ42" s="5">
        <f t="shared" si="40"/>
        <v>0</v>
      </c>
    </row>
    <row r="43" ht="13.5" customHeight="1">
      <c r="A43" s="24" t="s">
        <v>68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28"/>
      <c r="P43" s="5"/>
      <c r="Q43" s="5"/>
      <c r="R43" s="36"/>
      <c r="S43" s="36"/>
      <c r="T43" s="36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28"/>
      <c r="AI43" s="4"/>
      <c r="AJ43" s="5"/>
    </row>
    <row r="44" ht="13.5" customHeight="1">
      <c r="A44" s="25" t="s">
        <v>69</v>
      </c>
      <c r="B44" s="5">
        <v>0.0</v>
      </c>
      <c r="C44" s="5">
        <v>0.0</v>
      </c>
      <c r="D44" s="5">
        <v>0.0</v>
      </c>
      <c r="E44" s="5">
        <v>0.0</v>
      </c>
      <c r="F44" s="5">
        <v>0.0</v>
      </c>
      <c r="G44" s="5">
        <v>0.0</v>
      </c>
      <c r="H44" s="5">
        <v>0.0</v>
      </c>
      <c r="I44" s="5">
        <v>0.0</v>
      </c>
      <c r="J44" s="27">
        <v>0.0</v>
      </c>
      <c r="K44" s="27">
        <v>0.0</v>
      </c>
      <c r="L44" s="27">
        <v>0.0</v>
      </c>
      <c r="M44" s="27">
        <v>0.0</v>
      </c>
      <c r="N44" s="5">
        <f t="shared" ref="N44:N50" si="51">SUM(B44:M44)</f>
        <v>0</v>
      </c>
      <c r="O44" s="28" t="str">
        <f t="shared" ref="O44:O50" si="52">IFERROR(N44/N$16,"")</f>
        <v/>
      </c>
      <c r="P44" s="5"/>
      <c r="Q44" s="5"/>
      <c r="R44" s="29" t="s">
        <v>34</v>
      </c>
      <c r="S44" s="30">
        <v>0.0</v>
      </c>
      <c r="T44" s="31">
        <v>0.05</v>
      </c>
      <c r="U44" s="26">
        <f t="shared" ref="U44:AF44" si="50">IF($R44="Manual","",IFERROR(IF($R44="YOY Growth",$N44*(1+$T44)/12,$S44/12),""))</f>
        <v>0</v>
      </c>
      <c r="V44" s="26">
        <f t="shared" si="50"/>
        <v>0</v>
      </c>
      <c r="W44" s="26">
        <f t="shared" si="50"/>
        <v>0</v>
      </c>
      <c r="X44" s="26">
        <f t="shared" si="50"/>
        <v>0</v>
      </c>
      <c r="Y44" s="26">
        <f t="shared" si="50"/>
        <v>0</v>
      </c>
      <c r="Z44" s="26">
        <f t="shared" si="50"/>
        <v>0</v>
      </c>
      <c r="AA44" s="26">
        <f t="shared" si="50"/>
        <v>0</v>
      </c>
      <c r="AB44" s="26">
        <f t="shared" si="50"/>
        <v>0</v>
      </c>
      <c r="AC44" s="26">
        <f t="shared" si="50"/>
        <v>0</v>
      </c>
      <c r="AD44" s="26">
        <f t="shared" si="50"/>
        <v>0</v>
      </c>
      <c r="AE44" s="26">
        <f t="shared" si="50"/>
        <v>0</v>
      </c>
      <c r="AF44" s="26">
        <f t="shared" si="50"/>
        <v>0</v>
      </c>
      <c r="AG44" s="5">
        <f t="shared" ref="AG44:AG50" si="54">SUM(U44:AF44)</f>
        <v>0</v>
      </c>
      <c r="AH44" s="28" t="str">
        <f t="shared" ref="AH44:AH50" si="55">IFERROR(AG44/AG$16,"")</f>
        <v/>
      </c>
      <c r="AI44" s="4"/>
      <c r="AJ44" s="5">
        <f t="shared" ref="AJ44:AJ50" si="56">N44-AG44</f>
        <v>0</v>
      </c>
    </row>
    <row r="45" ht="13.5" customHeight="1">
      <c r="A45" s="25" t="s">
        <v>70</v>
      </c>
      <c r="B45" s="5">
        <v>0.0</v>
      </c>
      <c r="C45" s="5">
        <v>0.0</v>
      </c>
      <c r="D45" s="5">
        <v>0.0</v>
      </c>
      <c r="E45" s="5">
        <v>0.0</v>
      </c>
      <c r="F45" s="5">
        <v>0.0</v>
      </c>
      <c r="G45" s="5">
        <v>0.0</v>
      </c>
      <c r="H45" s="5">
        <v>0.0</v>
      </c>
      <c r="I45" s="5">
        <v>0.0</v>
      </c>
      <c r="J45" s="27">
        <v>0.0</v>
      </c>
      <c r="K45" s="27">
        <v>0.0</v>
      </c>
      <c r="L45" s="27">
        <v>0.0</v>
      </c>
      <c r="M45" s="27">
        <v>0.0</v>
      </c>
      <c r="N45" s="5">
        <f t="shared" si="51"/>
        <v>0</v>
      </c>
      <c r="O45" s="28" t="str">
        <f t="shared" si="52"/>
        <v/>
      </c>
      <c r="P45" s="5"/>
      <c r="Q45" s="5"/>
      <c r="R45" s="29" t="s">
        <v>34</v>
      </c>
      <c r="S45" s="30">
        <v>0.0</v>
      </c>
      <c r="T45" s="31">
        <v>0.05</v>
      </c>
      <c r="U45" s="26">
        <f t="shared" ref="U45:AF45" si="53">IF($R45="Manual","",IFERROR(IF($R45="YOY Growth",$N45*(1+$T45)/12,$S45/12),""))</f>
        <v>0</v>
      </c>
      <c r="V45" s="26">
        <f t="shared" si="53"/>
        <v>0</v>
      </c>
      <c r="W45" s="26">
        <f t="shared" si="53"/>
        <v>0</v>
      </c>
      <c r="X45" s="26">
        <f t="shared" si="53"/>
        <v>0</v>
      </c>
      <c r="Y45" s="26">
        <f t="shared" si="53"/>
        <v>0</v>
      </c>
      <c r="Z45" s="26">
        <f t="shared" si="53"/>
        <v>0</v>
      </c>
      <c r="AA45" s="26">
        <f t="shared" si="53"/>
        <v>0</v>
      </c>
      <c r="AB45" s="26">
        <f t="shared" si="53"/>
        <v>0</v>
      </c>
      <c r="AC45" s="26">
        <f t="shared" si="53"/>
        <v>0</v>
      </c>
      <c r="AD45" s="26">
        <f t="shared" si="53"/>
        <v>0</v>
      </c>
      <c r="AE45" s="26">
        <f t="shared" si="53"/>
        <v>0</v>
      </c>
      <c r="AF45" s="26">
        <f t="shared" si="53"/>
        <v>0</v>
      </c>
      <c r="AG45" s="5">
        <f t="shared" si="54"/>
        <v>0</v>
      </c>
      <c r="AH45" s="28" t="str">
        <f t="shared" si="55"/>
        <v/>
      </c>
      <c r="AI45" s="4"/>
      <c r="AJ45" s="5">
        <f t="shared" si="56"/>
        <v>0</v>
      </c>
    </row>
    <row r="46" ht="13.5" customHeight="1">
      <c r="A46" s="25" t="s">
        <v>71</v>
      </c>
      <c r="B46" s="5">
        <v>0.0</v>
      </c>
      <c r="C46" s="5">
        <v>0.0</v>
      </c>
      <c r="D46" s="5">
        <v>0.0</v>
      </c>
      <c r="E46" s="5">
        <v>0.0</v>
      </c>
      <c r="F46" s="5">
        <v>0.0</v>
      </c>
      <c r="G46" s="5">
        <v>0.0</v>
      </c>
      <c r="H46" s="5">
        <v>0.0</v>
      </c>
      <c r="I46" s="5">
        <v>0.0</v>
      </c>
      <c r="J46" s="27">
        <v>0.0</v>
      </c>
      <c r="K46" s="27">
        <v>0.0</v>
      </c>
      <c r="L46" s="27">
        <v>0.0</v>
      </c>
      <c r="M46" s="27">
        <v>0.0</v>
      </c>
      <c r="N46" s="5">
        <f t="shared" si="51"/>
        <v>0</v>
      </c>
      <c r="O46" s="28" t="str">
        <f t="shared" si="52"/>
        <v/>
      </c>
      <c r="P46" s="5"/>
      <c r="Q46" s="5"/>
      <c r="R46" s="29" t="s">
        <v>34</v>
      </c>
      <c r="S46" s="30">
        <v>0.0</v>
      </c>
      <c r="T46" s="31">
        <v>0.05</v>
      </c>
      <c r="U46" s="26">
        <f t="shared" ref="U46:AF46" si="57">IF($R46="Manual","",IFERROR(IF($R46="YOY Growth",$N46*(1+$T46)/12,$S46/12),""))</f>
        <v>0</v>
      </c>
      <c r="V46" s="26">
        <f t="shared" si="57"/>
        <v>0</v>
      </c>
      <c r="W46" s="26">
        <f t="shared" si="57"/>
        <v>0</v>
      </c>
      <c r="X46" s="26">
        <f t="shared" si="57"/>
        <v>0</v>
      </c>
      <c r="Y46" s="26">
        <f t="shared" si="57"/>
        <v>0</v>
      </c>
      <c r="Z46" s="26">
        <f t="shared" si="57"/>
        <v>0</v>
      </c>
      <c r="AA46" s="26">
        <f t="shared" si="57"/>
        <v>0</v>
      </c>
      <c r="AB46" s="26">
        <f t="shared" si="57"/>
        <v>0</v>
      </c>
      <c r="AC46" s="26">
        <f t="shared" si="57"/>
        <v>0</v>
      </c>
      <c r="AD46" s="26">
        <f t="shared" si="57"/>
        <v>0</v>
      </c>
      <c r="AE46" s="26">
        <f t="shared" si="57"/>
        <v>0</v>
      </c>
      <c r="AF46" s="26">
        <f t="shared" si="57"/>
        <v>0</v>
      </c>
      <c r="AG46" s="5">
        <f t="shared" si="54"/>
        <v>0</v>
      </c>
      <c r="AH46" s="28" t="str">
        <f t="shared" si="55"/>
        <v/>
      </c>
      <c r="AI46" s="4"/>
      <c r="AJ46" s="5">
        <f t="shared" si="56"/>
        <v>0</v>
      </c>
    </row>
    <row r="47" ht="13.5" customHeight="1">
      <c r="A47" s="25" t="s">
        <v>72</v>
      </c>
      <c r="B47" s="5">
        <v>0.0</v>
      </c>
      <c r="C47" s="5">
        <v>0.0</v>
      </c>
      <c r="D47" s="5">
        <v>0.0</v>
      </c>
      <c r="E47" s="5">
        <v>0.0</v>
      </c>
      <c r="F47" s="5">
        <v>0.0</v>
      </c>
      <c r="G47" s="5">
        <v>0.0</v>
      </c>
      <c r="H47" s="5">
        <v>0.0</v>
      </c>
      <c r="I47" s="5">
        <v>0.0</v>
      </c>
      <c r="J47" s="27">
        <v>0.0</v>
      </c>
      <c r="K47" s="27">
        <v>0.0</v>
      </c>
      <c r="L47" s="27">
        <v>0.0</v>
      </c>
      <c r="M47" s="27">
        <v>0.0</v>
      </c>
      <c r="N47" s="5">
        <f t="shared" si="51"/>
        <v>0</v>
      </c>
      <c r="O47" s="28" t="str">
        <f t="shared" si="52"/>
        <v/>
      </c>
      <c r="P47" s="5"/>
      <c r="Q47" s="5"/>
      <c r="R47" s="29" t="s">
        <v>34</v>
      </c>
      <c r="S47" s="30">
        <v>0.0</v>
      </c>
      <c r="T47" s="31">
        <v>0.05</v>
      </c>
      <c r="U47" s="26">
        <f t="shared" ref="U47:AF47" si="58">IF($R47="Manual","",IFERROR(IF($R47="YOY Growth",$N47*(1+$T47)/12,$S47/12),""))</f>
        <v>0</v>
      </c>
      <c r="V47" s="26">
        <f t="shared" si="58"/>
        <v>0</v>
      </c>
      <c r="W47" s="26">
        <f t="shared" si="58"/>
        <v>0</v>
      </c>
      <c r="X47" s="26">
        <f t="shared" si="58"/>
        <v>0</v>
      </c>
      <c r="Y47" s="26">
        <f t="shared" si="58"/>
        <v>0</v>
      </c>
      <c r="Z47" s="26">
        <f t="shared" si="58"/>
        <v>0</v>
      </c>
      <c r="AA47" s="26">
        <f t="shared" si="58"/>
        <v>0</v>
      </c>
      <c r="AB47" s="26">
        <f t="shared" si="58"/>
        <v>0</v>
      </c>
      <c r="AC47" s="26">
        <f t="shared" si="58"/>
        <v>0</v>
      </c>
      <c r="AD47" s="26">
        <f t="shared" si="58"/>
        <v>0</v>
      </c>
      <c r="AE47" s="26">
        <f t="shared" si="58"/>
        <v>0</v>
      </c>
      <c r="AF47" s="26">
        <f t="shared" si="58"/>
        <v>0</v>
      </c>
      <c r="AG47" s="5">
        <f t="shared" si="54"/>
        <v>0</v>
      </c>
      <c r="AH47" s="28" t="str">
        <f t="shared" si="55"/>
        <v/>
      </c>
      <c r="AI47" s="4"/>
      <c r="AJ47" s="5">
        <f t="shared" si="56"/>
        <v>0</v>
      </c>
    </row>
    <row r="48" ht="13.5" customHeight="1">
      <c r="A48" s="25" t="s">
        <v>73</v>
      </c>
      <c r="B48" s="5">
        <v>0.0</v>
      </c>
      <c r="C48" s="5">
        <v>0.0</v>
      </c>
      <c r="D48" s="5">
        <v>0.0</v>
      </c>
      <c r="E48" s="5">
        <v>0.0</v>
      </c>
      <c r="F48" s="5">
        <v>0.0</v>
      </c>
      <c r="G48" s="5">
        <v>0.0</v>
      </c>
      <c r="H48" s="5">
        <v>0.0</v>
      </c>
      <c r="I48" s="5">
        <v>0.0</v>
      </c>
      <c r="J48" s="27">
        <v>0.0</v>
      </c>
      <c r="K48" s="27">
        <v>0.0</v>
      </c>
      <c r="L48" s="27">
        <v>0.0</v>
      </c>
      <c r="M48" s="27">
        <v>0.0</v>
      </c>
      <c r="N48" s="5">
        <f t="shared" si="51"/>
        <v>0</v>
      </c>
      <c r="O48" s="28" t="str">
        <f t="shared" si="52"/>
        <v/>
      </c>
      <c r="P48" s="5"/>
      <c r="Q48" s="5"/>
      <c r="R48" s="29" t="s">
        <v>34</v>
      </c>
      <c r="S48" s="30">
        <v>0.0</v>
      </c>
      <c r="T48" s="31">
        <v>0.05</v>
      </c>
      <c r="U48" s="26">
        <f t="shared" ref="U48:AF48" si="59">IF($R48="Manual","",IFERROR(IF($R48="YOY Growth",$N48*(1+$T48)/12,$S48/12),""))</f>
        <v>0</v>
      </c>
      <c r="V48" s="26">
        <f t="shared" si="59"/>
        <v>0</v>
      </c>
      <c r="W48" s="26">
        <f t="shared" si="59"/>
        <v>0</v>
      </c>
      <c r="X48" s="26">
        <f t="shared" si="59"/>
        <v>0</v>
      </c>
      <c r="Y48" s="26">
        <f t="shared" si="59"/>
        <v>0</v>
      </c>
      <c r="Z48" s="26">
        <f t="shared" si="59"/>
        <v>0</v>
      </c>
      <c r="AA48" s="26">
        <f t="shared" si="59"/>
        <v>0</v>
      </c>
      <c r="AB48" s="26">
        <f t="shared" si="59"/>
        <v>0</v>
      </c>
      <c r="AC48" s="26">
        <f t="shared" si="59"/>
        <v>0</v>
      </c>
      <c r="AD48" s="26">
        <f t="shared" si="59"/>
        <v>0</v>
      </c>
      <c r="AE48" s="26">
        <f t="shared" si="59"/>
        <v>0</v>
      </c>
      <c r="AF48" s="26">
        <f t="shared" si="59"/>
        <v>0</v>
      </c>
      <c r="AG48" s="5">
        <f t="shared" si="54"/>
        <v>0</v>
      </c>
      <c r="AH48" s="28" t="str">
        <f t="shared" si="55"/>
        <v/>
      </c>
      <c r="AI48" s="4"/>
      <c r="AJ48" s="5">
        <f t="shared" si="56"/>
        <v>0</v>
      </c>
    </row>
    <row r="49" ht="13.5" customHeight="1">
      <c r="A49" s="25" t="s">
        <v>74</v>
      </c>
      <c r="B49" s="5">
        <v>0.0</v>
      </c>
      <c r="C49" s="5">
        <v>0.0</v>
      </c>
      <c r="D49" s="5">
        <v>0.0</v>
      </c>
      <c r="E49" s="5">
        <v>0.0</v>
      </c>
      <c r="F49" s="5">
        <v>0.0</v>
      </c>
      <c r="G49" s="5">
        <v>0.0</v>
      </c>
      <c r="H49" s="5">
        <v>0.0</v>
      </c>
      <c r="I49" s="5">
        <v>0.0</v>
      </c>
      <c r="J49" s="27">
        <v>0.0</v>
      </c>
      <c r="K49" s="27">
        <v>0.0</v>
      </c>
      <c r="L49" s="27">
        <v>0.0</v>
      </c>
      <c r="M49" s="27">
        <v>0.0</v>
      </c>
      <c r="N49" s="5">
        <f t="shared" si="51"/>
        <v>0</v>
      </c>
      <c r="O49" s="28" t="str">
        <f t="shared" si="52"/>
        <v/>
      </c>
      <c r="P49" s="5"/>
      <c r="Q49" s="5"/>
      <c r="R49" s="29" t="s">
        <v>34</v>
      </c>
      <c r="S49" s="30">
        <v>0.0</v>
      </c>
      <c r="T49" s="31">
        <v>0.05</v>
      </c>
      <c r="U49" s="26">
        <f t="shared" ref="U49:AF49" si="60">IF($R49="Manual","",IFERROR(IF($R49="YOY Growth",$N49*(1+$T49)/12,$S49/12),""))</f>
        <v>0</v>
      </c>
      <c r="V49" s="26">
        <f t="shared" si="60"/>
        <v>0</v>
      </c>
      <c r="W49" s="26">
        <f t="shared" si="60"/>
        <v>0</v>
      </c>
      <c r="X49" s="26">
        <f t="shared" si="60"/>
        <v>0</v>
      </c>
      <c r="Y49" s="26">
        <f t="shared" si="60"/>
        <v>0</v>
      </c>
      <c r="Z49" s="26">
        <f t="shared" si="60"/>
        <v>0</v>
      </c>
      <c r="AA49" s="26">
        <f t="shared" si="60"/>
        <v>0</v>
      </c>
      <c r="AB49" s="26">
        <f t="shared" si="60"/>
        <v>0</v>
      </c>
      <c r="AC49" s="26">
        <f t="shared" si="60"/>
        <v>0</v>
      </c>
      <c r="AD49" s="26">
        <f t="shared" si="60"/>
        <v>0</v>
      </c>
      <c r="AE49" s="26">
        <f t="shared" si="60"/>
        <v>0</v>
      </c>
      <c r="AF49" s="26">
        <f t="shared" si="60"/>
        <v>0</v>
      </c>
      <c r="AG49" s="5">
        <f t="shared" si="54"/>
        <v>0</v>
      </c>
      <c r="AH49" s="28" t="str">
        <f t="shared" si="55"/>
        <v/>
      </c>
      <c r="AI49" s="4"/>
      <c r="AJ49" s="5">
        <f t="shared" si="56"/>
        <v>0</v>
      </c>
    </row>
    <row r="50" ht="13.5" customHeight="1">
      <c r="A50" s="25" t="s">
        <v>75</v>
      </c>
      <c r="B50" s="5">
        <v>0.0</v>
      </c>
      <c r="C50" s="5">
        <v>0.0</v>
      </c>
      <c r="D50" s="5">
        <v>0.0</v>
      </c>
      <c r="E50" s="5">
        <v>0.0</v>
      </c>
      <c r="F50" s="5">
        <v>0.0</v>
      </c>
      <c r="G50" s="5">
        <v>0.0</v>
      </c>
      <c r="H50" s="5">
        <v>0.0</v>
      </c>
      <c r="I50" s="5">
        <v>0.0</v>
      </c>
      <c r="J50" s="27">
        <v>0.0</v>
      </c>
      <c r="K50" s="27">
        <v>0.0</v>
      </c>
      <c r="L50" s="27">
        <v>0.0</v>
      </c>
      <c r="M50" s="27">
        <v>0.0</v>
      </c>
      <c r="N50" s="5">
        <f t="shared" si="51"/>
        <v>0</v>
      </c>
      <c r="O50" s="28" t="str">
        <f t="shared" si="52"/>
        <v/>
      </c>
      <c r="P50" s="5"/>
      <c r="Q50" s="5"/>
      <c r="R50" s="29" t="s">
        <v>34</v>
      </c>
      <c r="S50" s="30">
        <v>0.0</v>
      </c>
      <c r="T50" s="31">
        <v>0.05</v>
      </c>
      <c r="U50" s="26">
        <f t="shared" ref="U50:AF50" si="61">IF($R50="Manual","",IFERROR(IF($R50="YOY Growth",$N50*(1+$T50)/12,$S50/12),""))</f>
        <v>0</v>
      </c>
      <c r="V50" s="26">
        <f t="shared" si="61"/>
        <v>0</v>
      </c>
      <c r="W50" s="26">
        <f t="shared" si="61"/>
        <v>0</v>
      </c>
      <c r="X50" s="26">
        <f t="shared" si="61"/>
        <v>0</v>
      </c>
      <c r="Y50" s="26">
        <f t="shared" si="61"/>
        <v>0</v>
      </c>
      <c r="Z50" s="26">
        <f t="shared" si="61"/>
        <v>0</v>
      </c>
      <c r="AA50" s="26">
        <f t="shared" si="61"/>
        <v>0</v>
      </c>
      <c r="AB50" s="26">
        <f t="shared" si="61"/>
        <v>0</v>
      </c>
      <c r="AC50" s="26">
        <f t="shared" si="61"/>
        <v>0</v>
      </c>
      <c r="AD50" s="26">
        <f t="shared" si="61"/>
        <v>0</v>
      </c>
      <c r="AE50" s="26">
        <f t="shared" si="61"/>
        <v>0</v>
      </c>
      <c r="AF50" s="26">
        <f t="shared" si="61"/>
        <v>0</v>
      </c>
      <c r="AG50" s="5">
        <f t="shared" si="54"/>
        <v>0</v>
      </c>
      <c r="AH50" s="28" t="str">
        <f t="shared" si="55"/>
        <v/>
      </c>
      <c r="AI50" s="4"/>
      <c r="AJ50" s="5">
        <f t="shared" si="56"/>
        <v>0</v>
      </c>
    </row>
    <row r="51" ht="13.5" customHeight="1">
      <c r="A51" s="24" t="s">
        <v>76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28"/>
      <c r="P51" s="5"/>
      <c r="Q51" s="5"/>
      <c r="R51" s="36"/>
      <c r="S51" s="36"/>
      <c r="T51" s="36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28"/>
      <c r="AI51" s="4"/>
      <c r="AJ51" s="5"/>
    </row>
    <row r="52" ht="13.5" customHeight="1">
      <c r="A52" s="25" t="s">
        <v>77</v>
      </c>
      <c r="B52" s="5">
        <v>0.0</v>
      </c>
      <c r="C52" s="5">
        <v>0.0</v>
      </c>
      <c r="D52" s="5">
        <v>0.0</v>
      </c>
      <c r="E52" s="5">
        <v>0.0</v>
      </c>
      <c r="F52" s="5">
        <v>0.0</v>
      </c>
      <c r="G52" s="5">
        <v>0.0</v>
      </c>
      <c r="H52" s="5">
        <v>0.0</v>
      </c>
      <c r="I52" s="5">
        <v>0.0</v>
      </c>
      <c r="J52" s="27">
        <v>0.0</v>
      </c>
      <c r="K52" s="27">
        <v>0.0</v>
      </c>
      <c r="L52" s="27">
        <v>0.0</v>
      </c>
      <c r="M52" s="27">
        <v>0.0</v>
      </c>
      <c r="N52" s="5">
        <f t="shared" ref="N52:N56" si="62">SUM(B52:M52)</f>
        <v>0</v>
      </c>
      <c r="O52" s="28" t="str">
        <f t="shared" ref="O52:O56" si="63">IFERROR(N52/N$16,"")</f>
        <v/>
      </c>
      <c r="P52" s="5"/>
      <c r="Q52" s="5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5">
        <f t="shared" ref="AG52:AG56" si="64">SUM(U52:AF52)</f>
        <v>0</v>
      </c>
      <c r="AH52" s="28" t="str">
        <f t="shared" ref="AH52:AH56" si="65">IFERROR(AG52/AG$16,"")</f>
        <v/>
      </c>
      <c r="AI52" s="4"/>
      <c r="AJ52" s="5">
        <f t="shared" ref="AJ52:AJ56" si="66">N52-AG52</f>
        <v>0</v>
      </c>
    </row>
    <row r="53" ht="13.5" customHeight="1">
      <c r="A53" s="25" t="s">
        <v>78</v>
      </c>
      <c r="B53" s="5">
        <v>0.0</v>
      </c>
      <c r="C53" s="5">
        <v>0.0</v>
      </c>
      <c r="D53" s="5">
        <v>0.0</v>
      </c>
      <c r="E53" s="5">
        <v>0.0</v>
      </c>
      <c r="F53" s="5">
        <v>0.0</v>
      </c>
      <c r="G53" s="5">
        <v>0.0</v>
      </c>
      <c r="H53" s="5">
        <v>0.0</v>
      </c>
      <c r="I53" s="5">
        <v>0.0</v>
      </c>
      <c r="J53" s="27">
        <v>0.0</v>
      </c>
      <c r="K53" s="27">
        <v>0.0</v>
      </c>
      <c r="L53" s="27">
        <v>0.0</v>
      </c>
      <c r="M53" s="27">
        <v>0.0</v>
      </c>
      <c r="N53" s="5">
        <f t="shared" si="62"/>
        <v>0</v>
      </c>
      <c r="O53" s="28" t="str">
        <f t="shared" si="63"/>
        <v/>
      </c>
      <c r="P53" s="5"/>
      <c r="Q53" s="5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5">
        <f t="shared" si="64"/>
        <v>0</v>
      </c>
      <c r="AH53" s="28" t="str">
        <f t="shared" si="65"/>
        <v/>
      </c>
      <c r="AI53" s="4"/>
      <c r="AJ53" s="5">
        <f t="shared" si="66"/>
        <v>0</v>
      </c>
    </row>
    <row r="54" ht="13.5" customHeight="1">
      <c r="A54" s="25" t="s">
        <v>79</v>
      </c>
      <c r="B54" s="5">
        <v>0.0</v>
      </c>
      <c r="C54" s="5">
        <v>0.0</v>
      </c>
      <c r="D54" s="5">
        <v>0.0</v>
      </c>
      <c r="E54" s="5">
        <v>0.0</v>
      </c>
      <c r="F54" s="5">
        <v>0.0</v>
      </c>
      <c r="G54" s="5">
        <v>0.0</v>
      </c>
      <c r="H54" s="5">
        <v>0.0</v>
      </c>
      <c r="I54" s="5">
        <v>0.0</v>
      </c>
      <c r="J54" s="27">
        <v>0.0</v>
      </c>
      <c r="K54" s="27">
        <v>0.0</v>
      </c>
      <c r="L54" s="27">
        <v>0.0</v>
      </c>
      <c r="M54" s="27">
        <v>0.0</v>
      </c>
      <c r="N54" s="5">
        <f t="shared" si="62"/>
        <v>0</v>
      </c>
      <c r="O54" s="28" t="str">
        <f t="shared" si="63"/>
        <v/>
      </c>
      <c r="P54" s="5"/>
      <c r="Q54" s="5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5">
        <f t="shared" si="64"/>
        <v>0</v>
      </c>
      <c r="AH54" s="28" t="str">
        <f t="shared" si="65"/>
        <v/>
      </c>
      <c r="AI54" s="4"/>
      <c r="AJ54" s="5">
        <f t="shared" si="66"/>
        <v>0</v>
      </c>
    </row>
    <row r="55" ht="13.5" customHeight="1">
      <c r="A55" s="33" t="s">
        <v>80</v>
      </c>
      <c r="B55" s="34">
        <f t="shared" ref="B55:M55" si="67">SUM(B52:B54)</f>
        <v>0</v>
      </c>
      <c r="C55" s="34">
        <f t="shared" si="67"/>
        <v>0</v>
      </c>
      <c r="D55" s="34">
        <f t="shared" si="67"/>
        <v>0</v>
      </c>
      <c r="E55" s="34">
        <f t="shared" si="67"/>
        <v>0</v>
      </c>
      <c r="F55" s="34">
        <f t="shared" si="67"/>
        <v>0</v>
      </c>
      <c r="G55" s="34">
        <f t="shared" si="67"/>
        <v>0</v>
      </c>
      <c r="H55" s="34">
        <f t="shared" si="67"/>
        <v>0</v>
      </c>
      <c r="I55" s="34">
        <f t="shared" si="67"/>
        <v>0</v>
      </c>
      <c r="J55" s="34">
        <f t="shared" si="67"/>
        <v>0</v>
      </c>
      <c r="K55" s="34">
        <f t="shared" si="67"/>
        <v>0</v>
      </c>
      <c r="L55" s="34">
        <f t="shared" si="67"/>
        <v>0</v>
      </c>
      <c r="M55" s="34">
        <f t="shared" si="67"/>
        <v>0</v>
      </c>
      <c r="N55" s="34">
        <f t="shared" si="62"/>
        <v>0</v>
      </c>
      <c r="O55" s="35" t="str">
        <f t="shared" si="63"/>
        <v/>
      </c>
      <c r="P55" s="5"/>
      <c r="Q55" s="5"/>
      <c r="R55" s="45"/>
      <c r="S55" s="45"/>
      <c r="T55" s="45"/>
      <c r="U55" s="34">
        <f t="shared" ref="U55:AF55" si="68">SUM(U52:U54)</f>
        <v>0</v>
      </c>
      <c r="V55" s="34">
        <f t="shared" si="68"/>
        <v>0</v>
      </c>
      <c r="W55" s="34">
        <f t="shared" si="68"/>
        <v>0</v>
      </c>
      <c r="X55" s="34">
        <f t="shared" si="68"/>
        <v>0</v>
      </c>
      <c r="Y55" s="34">
        <f t="shared" si="68"/>
        <v>0</v>
      </c>
      <c r="Z55" s="34">
        <f t="shared" si="68"/>
        <v>0</v>
      </c>
      <c r="AA55" s="34">
        <f t="shared" si="68"/>
        <v>0</v>
      </c>
      <c r="AB55" s="34">
        <f t="shared" si="68"/>
        <v>0</v>
      </c>
      <c r="AC55" s="34">
        <f t="shared" si="68"/>
        <v>0</v>
      </c>
      <c r="AD55" s="34">
        <f t="shared" si="68"/>
        <v>0</v>
      </c>
      <c r="AE55" s="34">
        <f t="shared" si="68"/>
        <v>0</v>
      </c>
      <c r="AF55" s="34">
        <f t="shared" si="68"/>
        <v>0</v>
      </c>
      <c r="AG55" s="34">
        <f t="shared" si="64"/>
        <v>0</v>
      </c>
      <c r="AH55" s="35" t="str">
        <f t="shared" si="65"/>
        <v/>
      </c>
      <c r="AI55" s="4"/>
      <c r="AJ55" s="34">
        <f t="shared" si="66"/>
        <v>0</v>
      </c>
    </row>
    <row r="56" ht="13.5" customHeight="1">
      <c r="A56" s="33" t="s">
        <v>81</v>
      </c>
      <c r="B56" s="34">
        <f t="shared" ref="B56:M56" si="69">B44+B45+B46+B47+B48+B49+B50+B55</f>
        <v>0</v>
      </c>
      <c r="C56" s="34">
        <f t="shared" si="69"/>
        <v>0</v>
      </c>
      <c r="D56" s="34">
        <f t="shared" si="69"/>
        <v>0</v>
      </c>
      <c r="E56" s="34">
        <f t="shared" si="69"/>
        <v>0</v>
      </c>
      <c r="F56" s="34">
        <f t="shared" si="69"/>
        <v>0</v>
      </c>
      <c r="G56" s="34">
        <f t="shared" si="69"/>
        <v>0</v>
      </c>
      <c r="H56" s="34">
        <f t="shared" si="69"/>
        <v>0</v>
      </c>
      <c r="I56" s="34">
        <f t="shared" si="69"/>
        <v>0</v>
      </c>
      <c r="J56" s="34">
        <f t="shared" si="69"/>
        <v>0</v>
      </c>
      <c r="K56" s="34">
        <f t="shared" si="69"/>
        <v>0</v>
      </c>
      <c r="L56" s="34">
        <f t="shared" si="69"/>
        <v>0</v>
      </c>
      <c r="M56" s="34">
        <f t="shared" si="69"/>
        <v>0</v>
      </c>
      <c r="N56" s="34">
        <f t="shared" si="62"/>
        <v>0</v>
      </c>
      <c r="O56" s="35" t="str">
        <f t="shared" si="63"/>
        <v/>
      </c>
      <c r="P56" s="5"/>
      <c r="Q56" s="5"/>
      <c r="R56" s="36"/>
      <c r="S56" s="36"/>
      <c r="T56" s="36"/>
      <c r="U56" s="34">
        <f t="shared" ref="U56:AF56" si="70">U44+U45+U46+U47+U48+U49+U50+U55</f>
        <v>0</v>
      </c>
      <c r="V56" s="34">
        <f t="shared" si="70"/>
        <v>0</v>
      </c>
      <c r="W56" s="34">
        <f t="shared" si="70"/>
        <v>0</v>
      </c>
      <c r="X56" s="34">
        <f t="shared" si="70"/>
        <v>0</v>
      </c>
      <c r="Y56" s="34">
        <f t="shared" si="70"/>
        <v>0</v>
      </c>
      <c r="Z56" s="34">
        <f t="shared" si="70"/>
        <v>0</v>
      </c>
      <c r="AA56" s="34">
        <f t="shared" si="70"/>
        <v>0</v>
      </c>
      <c r="AB56" s="34">
        <f t="shared" si="70"/>
        <v>0</v>
      </c>
      <c r="AC56" s="34">
        <f t="shared" si="70"/>
        <v>0</v>
      </c>
      <c r="AD56" s="34">
        <f t="shared" si="70"/>
        <v>0</v>
      </c>
      <c r="AE56" s="34">
        <f t="shared" si="70"/>
        <v>0</v>
      </c>
      <c r="AF56" s="34">
        <f t="shared" si="70"/>
        <v>0</v>
      </c>
      <c r="AG56" s="34">
        <f t="shared" si="64"/>
        <v>0</v>
      </c>
      <c r="AH56" s="35" t="str">
        <f t="shared" si="65"/>
        <v/>
      </c>
      <c r="AI56" s="4"/>
      <c r="AJ56" s="34">
        <f t="shared" si="66"/>
        <v>0</v>
      </c>
    </row>
    <row r="57" ht="13.5" customHeight="1">
      <c r="A57" s="24" t="s">
        <v>82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28"/>
      <c r="P57" s="5"/>
      <c r="Q57" s="5"/>
      <c r="R57" s="36"/>
      <c r="S57" s="36"/>
      <c r="T57" s="36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28"/>
      <c r="AI57" s="4"/>
      <c r="AJ57" s="5"/>
    </row>
    <row r="58" ht="13.5" customHeight="1">
      <c r="A58" s="25" t="s">
        <v>83</v>
      </c>
      <c r="B58" s="5">
        <v>0.0</v>
      </c>
      <c r="C58" s="5">
        <v>0.0</v>
      </c>
      <c r="D58" s="5">
        <v>0.0</v>
      </c>
      <c r="E58" s="5">
        <v>34.99</v>
      </c>
      <c r="F58" s="5">
        <v>0.0</v>
      </c>
      <c r="G58" s="5">
        <v>0.0</v>
      </c>
      <c r="H58" s="5">
        <v>0.0</v>
      </c>
      <c r="I58" s="5">
        <v>0.0</v>
      </c>
      <c r="J58" s="27">
        <v>0.0</v>
      </c>
      <c r="K58" s="27">
        <v>0.0</v>
      </c>
      <c r="L58" s="27">
        <v>0.0</v>
      </c>
      <c r="M58" s="27">
        <v>0.0</v>
      </c>
      <c r="N58" s="5">
        <f t="shared" ref="N58:N64" si="72">SUM(B58:M58)</f>
        <v>34.99</v>
      </c>
      <c r="O58" s="28" t="str">
        <f t="shared" ref="O58:O64" si="73">IFERROR(N58/N$16,"")</f>
        <v/>
      </c>
      <c r="P58" s="5"/>
      <c r="Q58" s="5"/>
      <c r="R58" s="29" t="s">
        <v>34</v>
      </c>
      <c r="S58" s="30">
        <v>0.0</v>
      </c>
      <c r="T58" s="31">
        <v>0.05</v>
      </c>
      <c r="U58" s="26">
        <f t="shared" ref="U58:AF58" si="71">IF($R58="Manual","",IFERROR(IF($R58="YOY Growth",$N58*(1+$T58)/12,$S58/12),""))</f>
        <v>0</v>
      </c>
      <c r="V58" s="26">
        <f t="shared" si="71"/>
        <v>0</v>
      </c>
      <c r="W58" s="26">
        <f t="shared" si="71"/>
        <v>0</v>
      </c>
      <c r="X58" s="26">
        <f t="shared" si="71"/>
        <v>0</v>
      </c>
      <c r="Y58" s="26">
        <f t="shared" si="71"/>
        <v>0</v>
      </c>
      <c r="Z58" s="26">
        <f t="shared" si="71"/>
        <v>0</v>
      </c>
      <c r="AA58" s="26">
        <f t="shared" si="71"/>
        <v>0</v>
      </c>
      <c r="AB58" s="26">
        <f t="shared" si="71"/>
        <v>0</v>
      </c>
      <c r="AC58" s="26">
        <f t="shared" si="71"/>
        <v>0</v>
      </c>
      <c r="AD58" s="26">
        <f t="shared" si="71"/>
        <v>0</v>
      </c>
      <c r="AE58" s="26">
        <f t="shared" si="71"/>
        <v>0</v>
      </c>
      <c r="AF58" s="26">
        <f t="shared" si="71"/>
        <v>0</v>
      </c>
      <c r="AG58" s="5">
        <f t="shared" ref="AG58:AG64" si="75">SUM(U58:AF58)</f>
        <v>0</v>
      </c>
      <c r="AH58" s="28" t="str">
        <f t="shared" ref="AH58:AH64" si="76">IFERROR(AG58/AG$16,"")</f>
        <v/>
      </c>
      <c r="AI58" s="4"/>
      <c r="AJ58" s="5">
        <f t="shared" ref="AJ58:AJ63" si="77">N58-AG58</f>
        <v>34.99</v>
      </c>
    </row>
    <row r="59" ht="13.5" customHeight="1">
      <c r="A59" s="25" t="s">
        <v>84</v>
      </c>
      <c r="B59" s="5">
        <v>0.0</v>
      </c>
      <c r="C59" s="5">
        <v>0.0</v>
      </c>
      <c r="D59" s="5">
        <v>0.0</v>
      </c>
      <c r="E59" s="5">
        <v>0.0</v>
      </c>
      <c r="F59" s="5">
        <v>0.0</v>
      </c>
      <c r="G59" s="5">
        <v>0.0</v>
      </c>
      <c r="H59" s="5">
        <v>0.0</v>
      </c>
      <c r="I59" s="5">
        <v>0.0</v>
      </c>
      <c r="J59" s="27">
        <v>0.0</v>
      </c>
      <c r="K59" s="27">
        <v>0.0</v>
      </c>
      <c r="L59" s="27">
        <v>0.0</v>
      </c>
      <c r="M59" s="27">
        <v>0.0</v>
      </c>
      <c r="N59" s="5">
        <f t="shared" si="72"/>
        <v>0</v>
      </c>
      <c r="O59" s="28" t="str">
        <f t="shared" si="73"/>
        <v/>
      </c>
      <c r="P59" s="5"/>
      <c r="Q59" s="5"/>
      <c r="R59" s="29" t="s">
        <v>34</v>
      </c>
      <c r="S59" s="30">
        <v>0.0</v>
      </c>
      <c r="T59" s="31">
        <v>0.05</v>
      </c>
      <c r="U59" s="26">
        <f t="shared" ref="U59:AF59" si="74">IF($R59="Manual","",IFERROR(IF($R59="YOY Growth",$N59*(1+$T59)/12,$S59/12),""))</f>
        <v>0</v>
      </c>
      <c r="V59" s="26">
        <f t="shared" si="74"/>
        <v>0</v>
      </c>
      <c r="W59" s="26">
        <f t="shared" si="74"/>
        <v>0</v>
      </c>
      <c r="X59" s="26">
        <f t="shared" si="74"/>
        <v>0</v>
      </c>
      <c r="Y59" s="26">
        <f t="shared" si="74"/>
        <v>0</v>
      </c>
      <c r="Z59" s="26">
        <f t="shared" si="74"/>
        <v>0</v>
      </c>
      <c r="AA59" s="26">
        <f t="shared" si="74"/>
        <v>0</v>
      </c>
      <c r="AB59" s="26">
        <f t="shared" si="74"/>
        <v>0</v>
      </c>
      <c r="AC59" s="26">
        <f t="shared" si="74"/>
        <v>0</v>
      </c>
      <c r="AD59" s="26">
        <f t="shared" si="74"/>
        <v>0</v>
      </c>
      <c r="AE59" s="26">
        <f t="shared" si="74"/>
        <v>0</v>
      </c>
      <c r="AF59" s="26">
        <f t="shared" si="74"/>
        <v>0</v>
      </c>
      <c r="AG59" s="5">
        <f t="shared" si="75"/>
        <v>0</v>
      </c>
      <c r="AH59" s="28" t="str">
        <f t="shared" si="76"/>
        <v/>
      </c>
      <c r="AI59" s="4"/>
      <c r="AJ59" s="5">
        <f t="shared" si="77"/>
        <v>0</v>
      </c>
    </row>
    <row r="60" ht="13.5" customHeight="1">
      <c r="A60" s="25" t="s">
        <v>85</v>
      </c>
      <c r="B60" s="5">
        <v>0.0</v>
      </c>
      <c r="C60" s="5">
        <v>0.0</v>
      </c>
      <c r="D60" s="5">
        <v>0.0</v>
      </c>
      <c r="E60" s="5">
        <v>0.0</v>
      </c>
      <c r="F60" s="5">
        <v>0.0</v>
      </c>
      <c r="G60" s="5">
        <v>0.0</v>
      </c>
      <c r="H60" s="5">
        <v>0.0</v>
      </c>
      <c r="I60" s="5">
        <v>321.5</v>
      </c>
      <c r="J60" s="27">
        <v>0.0</v>
      </c>
      <c r="K60" s="27">
        <v>0.0</v>
      </c>
      <c r="L60" s="27">
        <v>0.0</v>
      </c>
      <c r="M60" s="27">
        <v>0.0</v>
      </c>
      <c r="N60" s="5">
        <f t="shared" si="72"/>
        <v>321.5</v>
      </c>
      <c r="O60" s="28" t="str">
        <f t="shared" si="73"/>
        <v/>
      </c>
      <c r="P60" s="5"/>
      <c r="Q60" s="5"/>
      <c r="R60" s="29" t="s">
        <v>34</v>
      </c>
      <c r="S60" s="30">
        <v>0.0</v>
      </c>
      <c r="T60" s="31">
        <v>0.05</v>
      </c>
      <c r="U60" s="26">
        <f t="shared" ref="U60:AF60" si="78">IF($R60="Manual","",IFERROR(IF($R60="YOY Growth",$N60*(1+$T60)/12,$S60/12),""))</f>
        <v>0</v>
      </c>
      <c r="V60" s="26">
        <f t="shared" si="78"/>
        <v>0</v>
      </c>
      <c r="W60" s="26">
        <f t="shared" si="78"/>
        <v>0</v>
      </c>
      <c r="X60" s="26">
        <f t="shared" si="78"/>
        <v>0</v>
      </c>
      <c r="Y60" s="26">
        <f t="shared" si="78"/>
        <v>0</v>
      </c>
      <c r="Z60" s="26">
        <f t="shared" si="78"/>
        <v>0</v>
      </c>
      <c r="AA60" s="26">
        <f t="shared" si="78"/>
        <v>0</v>
      </c>
      <c r="AB60" s="26">
        <f t="shared" si="78"/>
        <v>0</v>
      </c>
      <c r="AC60" s="26">
        <f t="shared" si="78"/>
        <v>0</v>
      </c>
      <c r="AD60" s="26">
        <f t="shared" si="78"/>
        <v>0</v>
      </c>
      <c r="AE60" s="26">
        <f t="shared" si="78"/>
        <v>0</v>
      </c>
      <c r="AF60" s="26">
        <f t="shared" si="78"/>
        <v>0</v>
      </c>
      <c r="AG60" s="5">
        <f t="shared" si="75"/>
        <v>0</v>
      </c>
      <c r="AH60" s="28" t="str">
        <f t="shared" si="76"/>
        <v/>
      </c>
      <c r="AI60" s="4"/>
      <c r="AJ60" s="5">
        <f t="shared" si="77"/>
        <v>321.5</v>
      </c>
    </row>
    <row r="61" ht="13.5" customHeight="1">
      <c r="A61" s="33" t="s">
        <v>86</v>
      </c>
      <c r="B61" s="46">
        <f t="shared" ref="B61:M61" si="79">SUM(B58:B60)</f>
        <v>0</v>
      </c>
      <c r="C61" s="46">
        <f t="shared" si="79"/>
        <v>0</v>
      </c>
      <c r="D61" s="46">
        <f t="shared" si="79"/>
        <v>0</v>
      </c>
      <c r="E61" s="46">
        <f t="shared" si="79"/>
        <v>34.99</v>
      </c>
      <c r="F61" s="46">
        <f t="shared" si="79"/>
        <v>0</v>
      </c>
      <c r="G61" s="46">
        <f t="shared" si="79"/>
        <v>0</v>
      </c>
      <c r="H61" s="46">
        <f t="shared" si="79"/>
        <v>0</v>
      </c>
      <c r="I61" s="46">
        <f t="shared" si="79"/>
        <v>321.5</v>
      </c>
      <c r="J61" s="46">
        <f t="shared" si="79"/>
        <v>0</v>
      </c>
      <c r="K61" s="46">
        <f t="shared" si="79"/>
        <v>0</v>
      </c>
      <c r="L61" s="46">
        <f t="shared" si="79"/>
        <v>0</v>
      </c>
      <c r="M61" s="46">
        <f t="shared" si="79"/>
        <v>0</v>
      </c>
      <c r="N61" s="46">
        <f t="shared" si="72"/>
        <v>356.49</v>
      </c>
      <c r="O61" s="47" t="str">
        <f t="shared" si="73"/>
        <v/>
      </c>
      <c r="P61" s="5"/>
      <c r="Q61" s="5"/>
      <c r="R61" s="36"/>
      <c r="S61" s="36"/>
      <c r="T61" s="36"/>
      <c r="U61" s="46">
        <f t="shared" ref="U61:AF61" si="80">SUM(U58:U60)</f>
        <v>0</v>
      </c>
      <c r="V61" s="46">
        <f t="shared" si="80"/>
        <v>0</v>
      </c>
      <c r="W61" s="46">
        <f t="shared" si="80"/>
        <v>0</v>
      </c>
      <c r="X61" s="46">
        <f t="shared" si="80"/>
        <v>0</v>
      </c>
      <c r="Y61" s="46">
        <f t="shared" si="80"/>
        <v>0</v>
      </c>
      <c r="Z61" s="46">
        <f t="shared" si="80"/>
        <v>0</v>
      </c>
      <c r="AA61" s="46">
        <f t="shared" si="80"/>
        <v>0</v>
      </c>
      <c r="AB61" s="46">
        <f t="shared" si="80"/>
        <v>0</v>
      </c>
      <c r="AC61" s="46">
        <f t="shared" si="80"/>
        <v>0</v>
      </c>
      <c r="AD61" s="46">
        <f t="shared" si="80"/>
        <v>0</v>
      </c>
      <c r="AE61" s="46">
        <f t="shared" si="80"/>
        <v>0</v>
      </c>
      <c r="AF61" s="46">
        <f t="shared" si="80"/>
        <v>0</v>
      </c>
      <c r="AG61" s="46">
        <f t="shared" si="75"/>
        <v>0</v>
      </c>
      <c r="AH61" s="47" t="str">
        <f t="shared" si="76"/>
        <v/>
      </c>
      <c r="AI61" s="4"/>
      <c r="AJ61" s="34">
        <f t="shared" si="77"/>
        <v>356.49</v>
      </c>
    </row>
    <row r="62" ht="13.5" customHeight="1">
      <c r="A62" s="48" t="s">
        <v>87</v>
      </c>
      <c r="B62" s="5">
        <v>0.0</v>
      </c>
      <c r="C62" s="5">
        <v>0.0</v>
      </c>
      <c r="D62" s="5">
        <v>0.0</v>
      </c>
      <c r="E62" s="5">
        <v>0.0</v>
      </c>
      <c r="F62" s="5">
        <v>0.0</v>
      </c>
      <c r="G62" s="5">
        <v>0.0</v>
      </c>
      <c r="H62" s="5">
        <v>0.0</v>
      </c>
      <c r="I62" s="5">
        <v>0.0</v>
      </c>
      <c r="J62" s="27">
        <v>0.0</v>
      </c>
      <c r="K62" s="27">
        <v>0.0</v>
      </c>
      <c r="L62" s="27">
        <v>0.0</v>
      </c>
      <c r="M62" s="27">
        <v>0.0</v>
      </c>
      <c r="N62" s="5">
        <f t="shared" si="72"/>
        <v>0</v>
      </c>
      <c r="O62" s="28" t="str">
        <f t="shared" si="73"/>
        <v/>
      </c>
      <c r="P62" s="5"/>
      <c r="Q62" s="5"/>
      <c r="R62" s="29" t="s">
        <v>34</v>
      </c>
      <c r="S62" s="30">
        <v>0.0</v>
      </c>
      <c r="T62" s="31">
        <v>0.05</v>
      </c>
      <c r="U62" s="26">
        <f t="shared" ref="U62:AF62" si="81">IF($R62="Manual","",IFERROR(IF($R62="YOY Growth",$N62*(1+$T62)/12,$S62/12),""))</f>
        <v>0</v>
      </c>
      <c r="V62" s="26">
        <f t="shared" si="81"/>
        <v>0</v>
      </c>
      <c r="W62" s="26">
        <f t="shared" si="81"/>
        <v>0</v>
      </c>
      <c r="X62" s="26">
        <f t="shared" si="81"/>
        <v>0</v>
      </c>
      <c r="Y62" s="26">
        <f t="shared" si="81"/>
        <v>0</v>
      </c>
      <c r="Z62" s="26">
        <f t="shared" si="81"/>
        <v>0</v>
      </c>
      <c r="AA62" s="26">
        <f t="shared" si="81"/>
        <v>0</v>
      </c>
      <c r="AB62" s="26">
        <f t="shared" si="81"/>
        <v>0</v>
      </c>
      <c r="AC62" s="26">
        <f t="shared" si="81"/>
        <v>0</v>
      </c>
      <c r="AD62" s="26">
        <f t="shared" si="81"/>
        <v>0</v>
      </c>
      <c r="AE62" s="26">
        <f t="shared" si="81"/>
        <v>0</v>
      </c>
      <c r="AF62" s="26">
        <f t="shared" si="81"/>
        <v>0</v>
      </c>
      <c r="AG62" s="5">
        <f t="shared" si="75"/>
        <v>0</v>
      </c>
      <c r="AH62" s="28" t="str">
        <f t="shared" si="76"/>
        <v/>
      </c>
      <c r="AI62" s="4"/>
      <c r="AJ62" s="5">
        <f t="shared" si="77"/>
        <v>0</v>
      </c>
    </row>
    <row r="63" ht="13.5" customHeight="1">
      <c r="A63" s="33" t="s">
        <v>88</v>
      </c>
      <c r="B63" s="34">
        <f t="shared" ref="B63:M63" si="82">B37+B38+B39+B40+B41+B42+B56+B61+B62</f>
        <v>-54631.08</v>
      </c>
      <c r="C63" s="34">
        <f t="shared" si="82"/>
        <v>1540.02</v>
      </c>
      <c r="D63" s="34">
        <f t="shared" si="82"/>
        <v>66281.68</v>
      </c>
      <c r="E63" s="34">
        <f t="shared" si="82"/>
        <v>77.44</v>
      </c>
      <c r="F63" s="34">
        <f t="shared" si="82"/>
        <v>0</v>
      </c>
      <c r="G63" s="34">
        <f t="shared" si="82"/>
        <v>232.93</v>
      </c>
      <c r="H63" s="34">
        <f t="shared" si="82"/>
        <v>375.64</v>
      </c>
      <c r="I63" s="34">
        <f t="shared" si="82"/>
        <v>10237.15</v>
      </c>
      <c r="J63" s="34">
        <f t="shared" si="82"/>
        <v>0</v>
      </c>
      <c r="K63" s="34">
        <f t="shared" si="82"/>
        <v>0</v>
      </c>
      <c r="L63" s="34">
        <f t="shared" si="82"/>
        <v>0</v>
      </c>
      <c r="M63" s="34">
        <f t="shared" si="82"/>
        <v>0</v>
      </c>
      <c r="N63" s="34">
        <f t="shared" si="72"/>
        <v>24113.78</v>
      </c>
      <c r="O63" s="35" t="str">
        <f t="shared" si="73"/>
        <v/>
      </c>
      <c r="P63" s="5"/>
      <c r="Q63" s="5"/>
      <c r="R63" s="36"/>
      <c r="S63" s="36"/>
      <c r="T63" s="36"/>
      <c r="U63" s="34">
        <f t="shared" ref="U63:AF63" si="83">U37+U38+U39+U40+U41+U42+U56+U61+U62</f>
        <v>0</v>
      </c>
      <c r="V63" s="34">
        <f t="shared" si="83"/>
        <v>0</v>
      </c>
      <c r="W63" s="34">
        <f t="shared" si="83"/>
        <v>0</v>
      </c>
      <c r="X63" s="34">
        <f t="shared" si="83"/>
        <v>0</v>
      </c>
      <c r="Y63" s="34">
        <f t="shared" si="83"/>
        <v>0</v>
      </c>
      <c r="Z63" s="34">
        <f t="shared" si="83"/>
        <v>0</v>
      </c>
      <c r="AA63" s="34">
        <f t="shared" si="83"/>
        <v>0</v>
      </c>
      <c r="AB63" s="34">
        <f t="shared" si="83"/>
        <v>0</v>
      </c>
      <c r="AC63" s="34">
        <f t="shared" si="83"/>
        <v>0</v>
      </c>
      <c r="AD63" s="34">
        <f t="shared" si="83"/>
        <v>0</v>
      </c>
      <c r="AE63" s="34">
        <f t="shared" si="83"/>
        <v>0</v>
      </c>
      <c r="AF63" s="34">
        <f t="shared" si="83"/>
        <v>0</v>
      </c>
      <c r="AG63" s="34">
        <f t="shared" si="75"/>
        <v>0</v>
      </c>
      <c r="AH63" s="35" t="str">
        <f t="shared" si="76"/>
        <v/>
      </c>
      <c r="AI63" s="4"/>
      <c r="AJ63" s="34">
        <f t="shared" si="77"/>
        <v>24113.78</v>
      </c>
    </row>
    <row r="64" ht="13.5" customHeight="1">
      <c r="A64" s="49" t="s">
        <v>89</v>
      </c>
      <c r="B64" s="34">
        <f t="shared" ref="B64:M64" si="84">B16-B63</f>
        <v>54631.08</v>
      </c>
      <c r="C64" s="34">
        <f t="shared" si="84"/>
        <v>-1540.02</v>
      </c>
      <c r="D64" s="34">
        <f t="shared" si="84"/>
        <v>-66281.68</v>
      </c>
      <c r="E64" s="34">
        <f t="shared" si="84"/>
        <v>-77.44</v>
      </c>
      <c r="F64" s="34">
        <f t="shared" si="84"/>
        <v>0</v>
      </c>
      <c r="G64" s="34">
        <f t="shared" si="84"/>
        <v>-232.93</v>
      </c>
      <c r="H64" s="34">
        <f t="shared" si="84"/>
        <v>-375.64</v>
      </c>
      <c r="I64" s="34">
        <f t="shared" si="84"/>
        <v>-10237.15</v>
      </c>
      <c r="J64" s="34">
        <f t="shared" si="84"/>
        <v>0</v>
      </c>
      <c r="K64" s="34">
        <f t="shared" si="84"/>
        <v>0</v>
      </c>
      <c r="L64" s="34">
        <f t="shared" si="84"/>
        <v>0</v>
      </c>
      <c r="M64" s="34">
        <f t="shared" si="84"/>
        <v>0</v>
      </c>
      <c r="N64" s="34">
        <f t="shared" si="72"/>
        <v>-24113.78</v>
      </c>
      <c r="O64" s="35" t="str">
        <f t="shared" si="73"/>
        <v/>
      </c>
      <c r="P64" s="5"/>
      <c r="Q64" s="5"/>
      <c r="R64" s="36"/>
      <c r="S64" s="36"/>
      <c r="T64" s="36"/>
      <c r="U64" s="34">
        <f t="shared" ref="U64:AF64" si="85">U16-U63</f>
        <v>0</v>
      </c>
      <c r="V64" s="34">
        <f t="shared" si="85"/>
        <v>0</v>
      </c>
      <c r="W64" s="34">
        <f t="shared" si="85"/>
        <v>0</v>
      </c>
      <c r="X64" s="34">
        <f t="shared" si="85"/>
        <v>0</v>
      </c>
      <c r="Y64" s="34">
        <f t="shared" si="85"/>
        <v>0</v>
      </c>
      <c r="Z64" s="34">
        <f t="shared" si="85"/>
        <v>0</v>
      </c>
      <c r="AA64" s="34">
        <f t="shared" si="85"/>
        <v>0</v>
      </c>
      <c r="AB64" s="34">
        <f t="shared" si="85"/>
        <v>0</v>
      </c>
      <c r="AC64" s="34">
        <f t="shared" si="85"/>
        <v>0</v>
      </c>
      <c r="AD64" s="34">
        <f t="shared" si="85"/>
        <v>0</v>
      </c>
      <c r="AE64" s="34">
        <f t="shared" si="85"/>
        <v>0</v>
      </c>
      <c r="AF64" s="34">
        <f t="shared" si="85"/>
        <v>0</v>
      </c>
      <c r="AG64" s="34">
        <f t="shared" si="75"/>
        <v>0</v>
      </c>
      <c r="AH64" s="35" t="str">
        <f t="shared" si="76"/>
        <v/>
      </c>
      <c r="AI64" s="4"/>
      <c r="AJ64" s="34">
        <f>AG64-N64</f>
        <v>24113.78</v>
      </c>
    </row>
    <row r="65" ht="13.5" customHeight="1">
      <c r="A65" s="24" t="s">
        <v>90</v>
      </c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5"/>
      <c r="Q65" s="5"/>
      <c r="R65" s="36"/>
      <c r="S65" s="36"/>
      <c r="T65" s="36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4"/>
      <c r="AJ65" s="28"/>
    </row>
    <row r="66" ht="13.5" customHeight="1">
      <c r="A66" s="24" t="s">
        <v>91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28"/>
      <c r="P66" s="5"/>
      <c r="Q66" s="5"/>
      <c r="R66" s="36"/>
      <c r="S66" s="36"/>
      <c r="T66" s="36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28"/>
      <c r="AI66" s="4"/>
      <c r="AJ66" s="5"/>
    </row>
    <row r="67" ht="13.5" customHeight="1">
      <c r="A67" s="25" t="s">
        <v>92</v>
      </c>
      <c r="B67" s="5">
        <v>73651.56</v>
      </c>
      <c r="C67" s="5">
        <v>27724.99</v>
      </c>
      <c r="D67" s="5">
        <v>28018.64</v>
      </c>
      <c r="E67" s="5">
        <v>30558.3</v>
      </c>
      <c r="F67" s="5">
        <v>91088.28</v>
      </c>
      <c r="G67" s="5">
        <v>90396.46</v>
      </c>
      <c r="H67" s="5">
        <v>94365.88</v>
      </c>
      <c r="I67" s="5">
        <v>103467.64</v>
      </c>
      <c r="J67" s="27">
        <v>122800.0</v>
      </c>
      <c r="K67" s="27">
        <v>125500.0</v>
      </c>
      <c r="L67" s="27">
        <v>125500.0</v>
      </c>
      <c r="M67" s="27">
        <v>135100.0</v>
      </c>
      <c r="N67" s="5">
        <f t="shared" ref="N67:N80" si="86">SUM(B67:M67)</f>
        <v>1048171.75</v>
      </c>
      <c r="O67" s="28" t="str">
        <f t="shared" ref="O67:O80" si="87">IFERROR(N67/N$16,"")</f>
        <v/>
      </c>
      <c r="P67" s="5"/>
      <c r="Q67" s="5"/>
      <c r="R67" s="50"/>
      <c r="S67" s="50"/>
      <c r="T67" s="50"/>
      <c r="U67" s="50">
        <v>89166.25</v>
      </c>
      <c r="V67" s="50">
        <v>89166.25</v>
      </c>
      <c r="W67" s="50">
        <v>89166.25</v>
      </c>
      <c r="X67" s="50">
        <v>89166.25</v>
      </c>
      <c r="Y67" s="50">
        <v>89166.25</v>
      </c>
      <c r="Z67" s="50">
        <v>89166.25</v>
      </c>
      <c r="AA67" s="50">
        <v>89166.25</v>
      </c>
      <c r="AB67" s="50">
        <v>89166.25</v>
      </c>
      <c r="AC67" s="50">
        <v>89166.25</v>
      </c>
      <c r="AD67" s="50">
        <v>91841.2375</v>
      </c>
      <c r="AE67" s="50">
        <v>91841.2375</v>
      </c>
      <c r="AF67" s="50">
        <v>91841.2375</v>
      </c>
      <c r="AG67" s="5">
        <f t="shared" ref="AG67:AG80" si="88">SUM(U67:AF67)</f>
        <v>1078019.963</v>
      </c>
      <c r="AH67" s="28" t="str">
        <f t="shared" ref="AH67:AH80" si="89">IFERROR(AG67/AG$16,"")</f>
        <v/>
      </c>
      <c r="AI67" s="4"/>
      <c r="AJ67" s="5">
        <f t="shared" ref="AJ67:AJ80" si="90">N67-AG67</f>
        <v>-29848.2125</v>
      </c>
    </row>
    <row r="68" ht="13.5" customHeight="1">
      <c r="A68" s="25" t="s">
        <v>93</v>
      </c>
      <c r="B68" s="5">
        <v>3695.16</v>
      </c>
      <c r="C68" s="5">
        <v>1055.23</v>
      </c>
      <c r="D68" s="5">
        <v>1011.75</v>
      </c>
      <c r="E68" s="5">
        <v>1042.87</v>
      </c>
      <c r="F68" s="5">
        <v>3064.28</v>
      </c>
      <c r="G68" s="5">
        <v>3071.67</v>
      </c>
      <c r="H68" s="5">
        <v>3332.95</v>
      </c>
      <c r="I68" s="5">
        <v>4964.72</v>
      </c>
      <c r="J68" s="27">
        <v>4421.0</v>
      </c>
      <c r="K68" s="27">
        <v>4518.0</v>
      </c>
      <c r="L68" s="27">
        <v>4518.0</v>
      </c>
      <c r="M68" s="27">
        <v>4864.0</v>
      </c>
      <c r="N68" s="5">
        <f t="shared" si="86"/>
        <v>39559.63</v>
      </c>
      <c r="O68" s="28" t="str">
        <f t="shared" si="87"/>
        <v/>
      </c>
      <c r="P68" s="5"/>
      <c r="Q68" s="5"/>
      <c r="R68" s="50"/>
      <c r="S68" s="50"/>
      <c r="T68" s="50"/>
      <c r="U68" s="50">
        <v>3184.5424875966064</v>
      </c>
      <c r="V68" s="50">
        <v>3184.5424875966064</v>
      </c>
      <c r="W68" s="50">
        <v>3184.5424875966064</v>
      </c>
      <c r="X68" s="50">
        <v>3184.5424875966064</v>
      </c>
      <c r="Y68" s="50">
        <v>3184.5424875966064</v>
      </c>
      <c r="Z68" s="50">
        <v>3184.5424875966064</v>
      </c>
      <c r="AA68" s="50">
        <v>3184.5424875966064</v>
      </c>
      <c r="AB68" s="50">
        <v>3184.5424875966064</v>
      </c>
      <c r="AC68" s="50">
        <v>3184.5424875966064</v>
      </c>
      <c r="AD68" s="50">
        <v>3280.0787622245048</v>
      </c>
      <c r="AE68" s="50">
        <v>3280.0787622245048</v>
      </c>
      <c r="AF68" s="50">
        <v>3280.0787622245048</v>
      </c>
      <c r="AG68" s="5">
        <f t="shared" si="88"/>
        <v>38501.11868</v>
      </c>
      <c r="AH68" s="28" t="str">
        <f t="shared" si="89"/>
        <v/>
      </c>
      <c r="AI68" s="4"/>
      <c r="AJ68" s="5">
        <f t="shared" si="90"/>
        <v>1058.511325</v>
      </c>
    </row>
    <row r="69" ht="13.5" customHeight="1">
      <c r="A69" s="25" t="s">
        <v>94</v>
      </c>
      <c r="B69" s="5">
        <v>61159.6</v>
      </c>
      <c r="C69" s="5">
        <v>17771.74</v>
      </c>
      <c r="D69" s="5">
        <v>10616.78</v>
      </c>
      <c r="E69" s="5">
        <v>10961.94</v>
      </c>
      <c r="F69" s="5">
        <v>5752.25</v>
      </c>
      <c r="G69" s="5">
        <v>7975.89</v>
      </c>
      <c r="H69" s="5">
        <v>7066.98</v>
      </c>
      <c r="I69" s="5">
        <v>11912.99</v>
      </c>
      <c r="J69" s="27">
        <v>8842.0</v>
      </c>
      <c r="K69" s="27">
        <v>9036.0</v>
      </c>
      <c r="L69" s="27">
        <v>9036.0</v>
      </c>
      <c r="M69" s="27">
        <v>9727.0</v>
      </c>
      <c r="N69" s="5">
        <f t="shared" si="86"/>
        <v>169859.17</v>
      </c>
      <c r="O69" s="28" t="str">
        <f t="shared" si="87"/>
        <v/>
      </c>
      <c r="P69" s="5"/>
      <c r="Q69" s="5"/>
      <c r="R69" s="50"/>
      <c r="S69" s="50"/>
      <c r="T69" s="50"/>
      <c r="U69" s="50">
        <v>7867.345709251225</v>
      </c>
      <c r="V69" s="50">
        <v>7867.345709251225</v>
      </c>
      <c r="W69" s="50">
        <v>7867.345709251225</v>
      </c>
      <c r="X69" s="50">
        <v>7867.345709251225</v>
      </c>
      <c r="Y69" s="50">
        <v>7867.345709251225</v>
      </c>
      <c r="Z69" s="50">
        <v>7867.345709251225</v>
      </c>
      <c r="AA69" s="50">
        <v>7867.345709251225</v>
      </c>
      <c r="AB69" s="50">
        <v>7867.345709251225</v>
      </c>
      <c r="AC69" s="50">
        <v>7867.345709251225</v>
      </c>
      <c r="AD69" s="50">
        <v>8103.366080528763</v>
      </c>
      <c r="AE69" s="50">
        <v>8103.366080528763</v>
      </c>
      <c r="AF69" s="50">
        <v>8103.366080528763</v>
      </c>
      <c r="AG69" s="5">
        <f t="shared" si="88"/>
        <v>95116.20962</v>
      </c>
      <c r="AH69" s="28" t="str">
        <f t="shared" si="89"/>
        <v/>
      </c>
      <c r="AI69" s="4"/>
      <c r="AJ69" s="5">
        <f t="shared" si="90"/>
        <v>74742.96038</v>
      </c>
    </row>
    <row r="70" ht="13.5" customHeight="1">
      <c r="A70" s="25" t="s">
        <v>95</v>
      </c>
      <c r="B70" s="5">
        <v>0.0</v>
      </c>
      <c r="C70" s="5">
        <v>0.0</v>
      </c>
      <c r="D70" s="5">
        <v>0.0</v>
      </c>
      <c r="E70" s="5">
        <v>0.0</v>
      </c>
      <c r="F70" s="5">
        <v>0.0</v>
      </c>
      <c r="G70" s="5">
        <v>0.0</v>
      </c>
      <c r="H70" s="5">
        <v>0.0</v>
      </c>
      <c r="I70" s="5">
        <v>0.0</v>
      </c>
      <c r="J70" s="27">
        <v>0.0</v>
      </c>
      <c r="K70" s="27">
        <v>0.0</v>
      </c>
      <c r="L70" s="27">
        <v>0.0</v>
      </c>
      <c r="M70" s="27">
        <v>0.0</v>
      </c>
      <c r="N70" s="5">
        <f t="shared" si="86"/>
        <v>0</v>
      </c>
      <c r="O70" s="28" t="str">
        <f t="shared" si="87"/>
        <v/>
      </c>
      <c r="P70" s="5"/>
      <c r="Q70" s="5"/>
      <c r="R70" s="29" t="s">
        <v>34</v>
      </c>
      <c r="S70" s="30">
        <v>0.0</v>
      </c>
      <c r="T70" s="31">
        <v>0.05</v>
      </c>
      <c r="U70" s="26">
        <f t="shared" ref="U70:AF70" si="91">IF($R70="Manual","",IFERROR(IF($R70="YOY Growth",$N70*(1+$T70)/12,$S70/12),""))</f>
        <v>0</v>
      </c>
      <c r="V70" s="26">
        <f t="shared" si="91"/>
        <v>0</v>
      </c>
      <c r="W70" s="26">
        <f t="shared" si="91"/>
        <v>0</v>
      </c>
      <c r="X70" s="26">
        <f t="shared" si="91"/>
        <v>0</v>
      </c>
      <c r="Y70" s="26">
        <f t="shared" si="91"/>
        <v>0</v>
      </c>
      <c r="Z70" s="26">
        <f t="shared" si="91"/>
        <v>0</v>
      </c>
      <c r="AA70" s="26">
        <f t="shared" si="91"/>
        <v>0</v>
      </c>
      <c r="AB70" s="26">
        <f t="shared" si="91"/>
        <v>0</v>
      </c>
      <c r="AC70" s="26">
        <f t="shared" si="91"/>
        <v>0</v>
      </c>
      <c r="AD70" s="26">
        <f t="shared" si="91"/>
        <v>0</v>
      </c>
      <c r="AE70" s="26">
        <f t="shared" si="91"/>
        <v>0</v>
      </c>
      <c r="AF70" s="26">
        <f t="shared" si="91"/>
        <v>0</v>
      </c>
      <c r="AG70" s="5">
        <f t="shared" si="88"/>
        <v>0</v>
      </c>
      <c r="AH70" s="28" t="str">
        <f t="shared" si="89"/>
        <v/>
      </c>
      <c r="AI70" s="4"/>
      <c r="AJ70" s="5">
        <f t="shared" si="90"/>
        <v>0</v>
      </c>
    </row>
    <row r="71" ht="13.5" customHeight="1">
      <c r="A71" s="25" t="s">
        <v>96</v>
      </c>
      <c r="B71" s="5">
        <v>0.0</v>
      </c>
      <c r="C71" s="5">
        <v>0.0</v>
      </c>
      <c r="D71" s="5">
        <v>0.0</v>
      </c>
      <c r="E71" s="5">
        <v>0.0</v>
      </c>
      <c r="F71" s="5">
        <v>0.0</v>
      </c>
      <c r="G71" s="5">
        <v>0.0</v>
      </c>
      <c r="H71" s="5">
        <v>0.0</v>
      </c>
      <c r="I71" s="5">
        <v>0.0</v>
      </c>
      <c r="J71" s="27">
        <v>0.0</v>
      </c>
      <c r="K71" s="27">
        <v>0.0</v>
      </c>
      <c r="L71" s="27">
        <v>0.0</v>
      </c>
      <c r="M71" s="27">
        <v>0.0</v>
      </c>
      <c r="N71" s="5">
        <f t="shared" si="86"/>
        <v>0</v>
      </c>
      <c r="O71" s="28" t="str">
        <f t="shared" si="87"/>
        <v/>
      </c>
      <c r="P71" s="5"/>
      <c r="Q71" s="5"/>
      <c r="R71" s="29" t="s">
        <v>34</v>
      </c>
      <c r="S71" s="30">
        <v>0.0</v>
      </c>
      <c r="T71" s="31">
        <v>0.05</v>
      </c>
      <c r="U71" s="26">
        <f t="shared" ref="U71:AF71" si="92">IF($R71="Manual","",IFERROR(IF($R71="YOY Growth",$N71*(1+$T71)/12,$S71/12),""))</f>
        <v>0</v>
      </c>
      <c r="V71" s="26">
        <f t="shared" si="92"/>
        <v>0</v>
      </c>
      <c r="W71" s="26">
        <f t="shared" si="92"/>
        <v>0</v>
      </c>
      <c r="X71" s="26">
        <f t="shared" si="92"/>
        <v>0</v>
      </c>
      <c r="Y71" s="26">
        <f t="shared" si="92"/>
        <v>0</v>
      </c>
      <c r="Z71" s="26">
        <f t="shared" si="92"/>
        <v>0</v>
      </c>
      <c r="AA71" s="26">
        <f t="shared" si="92"/>
        <v>0</v>
      </c>
      <c r="AB71" s="26">
        <f t="shared" si="92"/>
        <v>0</v>
      </c>
      <c r="AC71" s="26">
        <f t="shared" si="92"/>
        <v>0</v>
      </c>
      <c r="AD71" s="26">
        <f t="shared" si="92"/>
        <v>0</v>
      </c>
      <c r="AE71" s="26">
        <f t="shared" si="92"/>
        <v>0</v>
      </c>
      <c r="AF71" s="26">
        <f t="shared" si="92"/>
        <v>0</v>
      </c>
      <c r="AG71" s="5">
        <f t="shared" si="88"/>
        <v>0</v>
      </c>
      <c r="AH71" s="28" t="str">
        <f t="shared" si="89"/>
        <v/>
      </c>
      <c r="AI71" s="4"/>
      <c r="AJ71" s="5">
        <f t="shared" si="90"/>
        <v>0</v>
      </c>
    </row>
    <row r="72" ht="13.5" customHeight="1">
      <c r="A72" s="25" t="s">
        <v>97</v>
      </c>
      <c r="B72" s="5">
        <v>0.0</v>
      </c>
      <c r="C72" s="5">
        <v>0.0</v>
      </c>
      <c r="D72" s="5">
        <v>0.0</v>
      </c>
      <c r="E72" s="5">
        <v>0.0</v>
      </c>
      <c r="F72" s="5">
        <v>0.0</v>
      </c>
      <c r="G72" s="5">
        <v>0.0</v>
      </c>
      <c r="H72" s="5">
        <v>0.0</v>
      </c>
      <c r="I72" s="5">
        <v>0.0</v>
      </c>
      <c r="J72" s="27">
        <v>0.0</v>
      </c>
      <c r="K72" s="27">
        <v>0.0</v>
      </c>
      <c r="L72" s="27">
        <v>0.0</v>
      </c>
      <c r="M72" s="27">
        <v>0.0</v>
      </c>
      <c r="N72" s="5">
        <f t="shared" si="86"/>
        <v>0</v>
      </c>
      <c r="O72" s="28" t="str">
        <f t="shared" si="87"/>
        <v/>
      </c>
      <c r="P72" s="5"/>
      <c r="Q72" s="5"/>
      <c r="R72" s="29" t="s">
        <v>34</v>
      </c>
      <c r="S72" s="30">
        <v>0.0</v>
      </c>
      <c r="T72" s="31">
        <v>0.05</v>
      </c>
      <c r="U72" s="26">
        <f t="shared" ref="U72:AF72" si="93">IF($R72="Manual","",IFERROR(IF($R72="YOY Growth",$N72*(1+$T72)/12,$S72/12),""))</f>
        <v>0</v>
      </c>
      <c r="V72" s="26">
        <f t="shared" si="93"/>
        <v>0</v>
      </c>
      <c r="W72" s="26">
        <f t="shared" si="93"/>
        <v>0</v>
      </c>
      <c r="X72" s="26">
        <f t="shared" si="93"/>
        <v>0</v>
      </c>
      <c r="Y72" s="26">
        <f t="shared" si="93"/>
        <v>0</v>
      </c>
      <c r="Z72" s="26">
        <f t="shared" si="93"/>
        <v>0</v>
      </c>
      <c r="AA72" s="26">
        <f t="shared" si="93"/>
        <v>0</v>
      </c>
      <c r="AB72" s="26">
        <f t="shared" si="93"/>
        <v>0</v>
      </c>
      <c r="AC72" s="26">
        <f t="shared" si="93"/>
        <v>0</v>
      </c>
      <c r="AD72" s="26">
        <f t="shared" si="93"/>
        <v>0</v>
      </c>
      <c r="AE72" s="26">
        <f t="shared" si="93"/>
        <v>0</v>
      </c>
      <c r="AF72" s="26">
        <f t="shared" si="93"/>
        <v>0</v>
      </c>
      <c r="AG72" s="5">
        <f t="shared" si="88"/>
        <v>0</v>
      </c>
      <c r="AH72" s="28" t="str">
        <f t="shared" si="89"/>
        <v/>
      </c>
      <c r="AI72" s="4"/>
      <c r="AJ72" s="5">
        <f t="shared" si="90"/>
        <v>0</v>
      </c>
    </row>
    <row r="73" ht="13.5" customHeight="1">
      <c r="A73" s="33" t="s">
        <v>98</v>
      </c>
      <c r="B73" s="34">
        <f t="shared" ref="B73:M73" si="94">SUM(B67:B72)</f>
        <v>138506.32</v>
      </c>
      <c r="C73" s="34">
        <f t="shared" si="94"/>
        <v>46551.96</v>
      </c>
      <c r="D73" s="34">
        <f t="shared" si="94"/>
        <v>39647.17</v>
      </c>
      <c r="E73" s="34">
        <f t="shared" si="94"/>
        <v>42563.11</v>
      </c>
      <c r="F73" s="34">
        <f t="shared" si="94"/>
        <v>99904.81</v>
      </c>
      <c r="G73" s="34">
        <f t="shared" si="94"/>
        <v>101444.02</v>
      </c>
      <c r="H73" s="34">
        <f t="shared" si="94"/>
        <v>104765.81</v>
      </c>
      <c r="I73" s="34">
        <f t="shared" si="94"/>
        <v>120345.35</v>
      </c>
      <c r="J73" s="34">
        <f t="shared" si="94"/>
        <v>136063</v>
      </c>
      <c r="K73" s="34">
        <f t="shared" si="94"/>
        <v>139054</v>
      </c>
      <c r="L73" s="34">
        <f t="shared" si="94"/>
        <v>139054</v>
      </c>
      <c r="M73" s="34">
        <f t="shared" si="94"/>
        <v>149691</v>
      </c>
      <c r="N73" s="34">
        <f t="shared" si="86"/>
        <v>1257590.55</v>
      </c>
      <c r="O73" s="35" t="str">
        <f t="shared" si="87"/>
        <v/>
      </c>
      <c r="P73" s="5"/>
      <c r="Q73" s="5"/>
      <c r="R73" s="36"/>
      <c r="S73" s="36"/>
      <c r="T73" s="36"/>
      <c r="U73" s="34">
        <f t="shared" ref="U73:AF73" si="95">SUM(U67:U72)</f>
        <v>100218.1382</v>
      </c>
      <c r="V73" s="34">
        <f t="shared" si="95"/>
        <v>100218.1382</v>
      </c>
      <c r="W73" s="34">
        <f t="shared" si="95"/>
        <v>100218.1382</v>
      </c>
      <c r="X73" s="34">
        <f t="shared" si="95"/>
        <v>100218.1382</v>
      </c>
      <c r="Y73" s="34">
        <f t="shared" si="95"/>
        <v>100218.1382</v>
      </c>
      <c r="Z73" s="34">
        <f t="shared" si="95"/>
        <v>100218.1382</v>
      </c>
      <c r="AA73" s="34">
        <f t="shared" si="95"/>
        <v>100218.1382</v>
      </c>
      <c r="AB73" s="34">
        <f t="shared" si="95"/>
        <v>100218.1382</v>
      </c>
      <c r="AC73" s="34">
        <f t="shared" si="95"/>
        <v>100218.1382</v>
      </c>
      <c r="AD73" s="34">
        <f t="shared" si="95"/>
        <v>103224.6823</v>
      </c>
      <c r="AE73" s="34">
        <f t="shared" si="95"/>
        <v>103224.6823</v>
      </c>
      <c r="AF73" s="34">
        <f t="shared" si="95"/>
        <v>103224.6823</v>
      </c>
      <c r="AG73" s="34">
        <f t="shared" si="88"/>
        <v>1211637.291</v>
      </c>
      <c r="AH73" s="35" t="str">
        <f t="shared" si="89"/>
        <v/>
      </c>
      <c r="AI73" s="4"/>
      <c r="AJ73" s="34">
        <f t="shared" si="90"/>
        <v>45953.2592</v>
      </c>
    </row>
    <row r="74" ht="13.5" customHeight="1">
      <c r="A74" s="25" t="s">
        <v>99</v>
      </c>
      <c r="B74" s="5">
        <v>0.0</v>
      </c>
      <c r="C74" s="5">
        <v>0.0</v>
      </c>
      <c r="D74" s="5">
        <v>0.0</v>
      </c>
      <c r="E74" s="5">
        <v>235.12</v>
      </c>
      <c r="F74" s="5">
        <v>0.0</v>
      </c>
      <c r="G74" s="5">
        <v>0.0</v>
      </c>
      <c r="H74" s="5">
        <v>0.0</v>
      </c>
      <c r="I74" s="5">
        <v>0.0</v>
      </c>
      <c r="J74" s="27">
        <v>500.0</v>
      </c>
      <c r="K74" s="27">
        <v>500.0</v>
      </c>
      <c r="L74" s="27">
        <v>500.0</v>
      </c>
      <c r="M74" s="27">
        <v>500.0</v>
      </c>
      <c r="N74" s="5">
        <f t="shared" si="86"/>
        <v>2235.12</v>
      </c>
      <c r="O74" s="28" t="str">
        <f t="shared" si="87"/>
        <v/>
      </c>
      <c r="P74" s="5"/>
      <c r="Q74" s="5"/>
      <c r="R74" s="29" t="s">
        <v>34</v>
      </c>
      <c r="S74" s="38">
        <v>6000.0</v>
      </c>
      <c r="T74" s="31">
        <v>0.05</v>
      </c>
      <c r="U74" s="26">
        <f t="shared" ref="U74:V74" si="96">IF($R74="Manual","",IFERROR(IF($R74="YOY Growth",$N74*(1+$T74)/12,$S74/12),""))</f>
        <v>500</v>
      </c>
      <c r="V74" s="26">
        <f t="shared" si="96"/>
        <v>500</v>
      </c>
      <c r="W74" s="63">
        <v>1500.0</v>
      </c>
      <c r="X74" s="63">
        <v>1500.0</v>
      </c>
      <c r="Y74" s="63">
        <v>2000.0</v>
      </c>
      <c r="Z74" s="63">
        <v>2000.0</v>
      </c>
      <c r="AA74" s="63">
        <v>2500.0</v>
      </c>
      <c r="AB74" s="63">
        <v>2500.0</v>
      </c>
      <c r="AC74" s="63">
        <v>3000.0</v>
      </c>
      <c r="AD74" s="63">
        <v>3000.0</v>
      </c>
      <c r="AE74" s="63">
        <v>3500.0</v>
      </c>
      <c r="AF74" s="63">
        <v>4000.0</v>
      </c>
      <c r="AG74" s="5">
        <f t="shared" si="88"/>
        <v>26500</v>
      </c>
      <c r="AH74" s="28" t="str">
        <f t="shared" si="89"/>
        <v/>
      </c>
      <c r="AI74" s="20" t="s">
        <v>171</v>
      </c>
      <c r="AJ74" s="5">
        <f t="shared" si="90"/>
        <v>-24264.88</v>
      </c>
    </row>
    <row r="75" ht="13.5" customHeight="1">
      <c r="A75" s="25" t="s">
        <v>100</v>
      </c>
      <c r="B75" s="5">
        <v>0.0</v>
      </c>
      <c r="C75" s="5">
        <v>0.0</v>
      </c>
      <c r="D75" s="5">
        <v>0.0</v>
      </c>
      <c r="E75" s="5">
        <v>20.0</v>
      </c>
      <c r="F75" s="5">
        <v>0.0</v>
      </c>
      <c r="G75" s="5">
        <v>0.0</v>
      </c>
      <c r="H75" s="5">
        <v>0.0</v>
      </c>
      <c r="I75" s="5">
        <v>232.33</v>
      </c>
      <c r="J75" s="27">
        <v>0.0</v>
      </c>
      <c r="K75" s="27">
        <v>0.0</v>
      </c>
      <c r="L75" s="27">
        <v>0.0</v>
      </c>
      <c r="M75" s="27">
        <v>0.0</v>
      </c>
      <c r="N75" s="5">
        <f t="shared" si="86"/>
        <v>252.33</v>
      </c>
      <c r="O75" s="28" t="str">
        <f t="shared" si="87"/>
        <v/>
      </c>
      <c r="P75" s="5"/>
      <c r="Q75" s="5"/>
      <c r="R75" s="29" t="s">
        <v>34</v>
      </c>
      <c r="S75" s="30">
        <v>0.0</v>
      </c>
      <c r="T75" s="31">
        <v>0.05</v>
      </c>
      <c r="U75" s="26">
        <f t="shared" ref="U75:AF75" si="97">IF($R75="Manual","",IFERROR(IF($R75="YOY Growth",$N75*(1+$T75)/12,$S75/12),""))</f>
        <v>0</v>
      </c>
      <c r="V75" s="26">
        <f t="shared" si="97"/>
        <v>0</v>
      </c>
      <c r="W75" s="26">
        <f t="shared" si="97"/>
        <v>0</v>
      </c>
      <c r="X75" s="26">
        <f t="shared" si="97"/>
        <v>0</v>
      </c>
      <c r="Y75" s="26">
        <f t="shared" si="97"/>
        <v>0</v>
      </c>
      <c r="Z75" s="26">
        <f t="shared" si="97"/>
        <v>0</v>
      </c>
      <c r="AA75" s="26">
        <f t="shared" si="97"/>
        <v>0</v>
      </c>
      <c r="AB75" s="26">
        <f t="shared" si="97"/>
        <v>0</v>
      </c>
      <c r="AC75" s="26">
        <f t="shared" si="97"/>
        <v>0</v>
      </c>
      <c r="AD75" s="26">
        <f t="shared" si="97"/>
        <v>0</v>
      </c>
      <c r="AE75" s="26">
        <f t="shared" si="97"/>
        <v>0</v>
      </c>
      <c r="AF75" s="26">
        <f t="shared" si="97"/>
        <v>0</v>
      </c>
      <c r="AG75" s="5">
        <f t="shared" si="88"/>
        <v>0</v>
      </c>
      <c r="AH75" s="28" t="str">
        <f t="shared" si="89"/>
        <v/>
      </c>
      <c r="AI75" s="4"/>
      <c r="AJ75" s="5">
        <f t="shared" si="90"/>
        <v>252.33</v>
      </c>
    </row>
    <row r="76" ht="13.5" customHeight="1">
      <c r="A76" s="25" t="s">
        <v>101</v>
      </c>
      <c r="B76" s="5">
        <v>68.3</v>
      </c>
      <c r="C76" s="5">
        <v>0.0</v>
      </c>
      <c r="D76" s="5">
        <v>0.0</v>
      </c>
      <c r="E76" s="5">
        <v>0.0</v>
      </c>
      <c r="F76" s="5">
        <v>0.0</v>
      </c>
      <c r="G76" s="5">
        <v>0.0</v>
      </c>
      <c r="H76" s="5">
        <v>0.0</v>
      </c>
      <c r="I76" s="5">
        <v>119.7</v>
      </c>
      <c r="J76" s="27">
        <v>100.0</v>
      </c>
      <c r="K76" s="27">
        <v>100.0</v>
      </c>
      <c r="L76" s="27">
        <v>100.0</v>
      </c>
      <c r="M76" s="27">
        <v>100.0</v>
      </c>
      <c r="N76" s="5">
        <f t="shared" si="86"/>
        <v>588</v>
      </c>
      <c r="O76" s="28" t="str">
        <f t="shared" si="87"/>
        <v/>
      </c>
      <c r="P76" s="5"/>
      <c r="Q76" s="5"/>
      <c r="R76" s="29" t="s">
        <v>34</v>
      </c>
      <c r="S76" s="38">
        <v>1200.0</v>
      </c>
      <c r="T76" s="31">
        <v>0.05</v>
      </c>
      <c r="U76" s="26">
        <f t="shared" ref="U76:V76" si="98">IF($R76="Manual","",IFERROR(IF($R76="YOY Growth",$N76*(1+$T76)/12,$S76/12),""))</f>
        <v>100</v>
      </c>
      <c r="V76" s="26">
        <f t="shared" si="98"/>
        <v>100</v>
      </c>
      <c r="W76" s="63">
        <v>300.0</v>
      </c>
      <c r="X76" s="26">
        <f t="shared" ref="X76:AF76" si="99">IF($R76="Manual","",IFERROR(IF($R76="YOY Growth",$N76*(1+$T76)/12,$S76/12),""))*(X74/$V$74)</f>
        <v>300</v>
      </c>
      <c r="Y76" s="26">
        <f t="shared" si="99"/>
        <v>400</v>
      </c>
      <c r="Z76" s="26">
        <f t="shared" si="99"/>
        <v>400</v>
      </c>
      <c r="AA76" s="26">
        <f t="shared" si="99"/>
        <v>500</v>
      </c>
      <c r="AB76" s="26">
        <f t="shared" si="99"/>
        <v>500</v>
      </c>
      <c r="AC76" s="26">
        <f t="shared" si="99"/>
        <v>600</v>
      </c>
      <c r="AD76" s="26">
        <f t="shared" si="99"/>
        <v>600</v>
      </c>
      <c r="AE76" s="26">
        <f t="shared" si="99"/>
        <v>700</v>
      </c>
      <c r="AF76" s="26">
        <f t="shared" si="99"/>
        <v>800</v>
      </c>
      <c r="AG76" s="5">
        <f t="shared" si="88"/>
        <v>5300</v>
      </c>
      <c r="AH76" s="28" t="str">
        <f t="shared" si="89"/>
        <v/>
      </c>
      <c r="AI76" s="4"/>
      <c r="AJ76" s="5">
        <f t="shared" si="90"/>
        <v>-4712</v>
      </c>
    </row>
    <row r="77" ht="13.5" customHeight="1">
      <c r="A77" s="25" t="s">
        <v>102</v>
      </c>
      <c r="B77" s="5">
        <v>0.0</v>
      </c>
      <c r="C77" s="5">
        <v>0.0</v>
      </c>
      <c r="D77" s="5">
        <v>0.0</v>
      </c>
      <c r="E77" s="5">
        <v>0.0</v>
      </c>
      <c r="F77" s="5">
        <v>0.0</v>
      </c>
      <c r="G77" s="5">
        <v>0.0</v>
      </c>
      <c r="H77" s="5">
        <v>0.0</v>
      </c>
      <c r="I77" s="5">
        <v>0.0</v>
      </c>
      <c r="J77" s="27">
        <v>0.0</v>
      </c>
      <c r="K77" s="27">
        <v>0.0</v>
      </c>
      <c r="L77" s="27">
        <v>0.0</v>
      </c>
      <c r="M77" s="27">
        <v>0.0</v>
      </c>
      <c r="N77" s="5">
        <f t="shared" si="86"/>
        <v>0</v>
      </c>
      <c r="O77" s="28" t="str">
        <f t="shared" si="87"/>
        <v/>
      </c>
      <c r="P77" s="5"/>
      <c r="Q77" s="5"/>
      <c r="R77" s="29" t="s">
        <v>34</v>
      </c>
      <c r="S77" s="30">
        <v>0.0</v>
      </c>
      <c r="T77" s="31">
        <v>0.05</v>
      </c>
      <c r="U77" s="26">
        <f t="shared" ref="U77:AF77" si="100">IF($R77="Manual","",IFERROR(IF($R77="YOY Growth",$N77*(1+$T77)/12,$S77/12),""))</f>
        <v>0</v>
      </c>
      <c r="V77" s="26">
        <f t="shared" si="100"/>
        <v>0</v>
      </c>
      <c r="W77" s="26">
        <f t="shared" si="100"/>
        <v>0</v>
      </c>
      <c r="X77" s="26">
        <f t="shared" si="100"/>
        <v>0</v>
      </c>
      <c r="Y77" s="26">
        <f t="shared" si="100"/>
        <v>0</v>
      </c>
      <c r="Z77" s="26">
        <f t="shared" si="100"/>
        <v>0</v>
      </c>
      <c r="AA77" s="26">
        <f t="shared" si="100"/>
        <v>0</v>
      </c>
      <c r="AB77" s="26">
        <f t="shared" si="100"/>
        <v>0</v>
      </c>
      <c r="AC77" s="26">
        <f t="shared" si="100"/>
        <v>0</v>
      </c>
      <c r="AD77" s="26">
        <f t="shared" si="100"/>
        <v>0</v>
      </c>
      <c r="AE77" s="26">
        <f t="shared" si="100"/>
        <v>0</v>
      </c>
      <c r="AF77" s="26">
        <f t="shared" si="100"/>
        <v>0</v>
      </c>
      <c r="AG77" s="5">
        <f t="shared" si="88"/>
        <v>0</v>
      </c>
      <c r="AH77" s="28" t="str">
        <f t="shared" si="89"/>
        <v/>
      </c>
      <c r="AI77" s="4"/>
      <c r="AJ77" s="5">
        <f t="shared" si="90"/>
        <v>0</v>
      </c>
    </row>
    <row r="78" ht="13.5" customHeight="1">
      <c r="A78" s="25" t="s">
        <v>103</v>
      </c>
      <c r="B78" s="5">
        <v>0.0</v>
      </c>
      <c r="C78" s="5">
        <v>0.0</v>
      </c>
      <c r="D78" s="5">
        <v>0.0</v>
      </c>
      <c r="E78" s="5">
        <v>0.0</v>
      </c>
      <c r="F78" s="5">
        <v>0.0</v>
      </c>
      <c r="G78" s="5">
        <v>0.0</v>
      </c>
      <c r="H78" s="5">
        <v>0.0</v>
      </c>
      <c r="I78" s="5">
        <v>0.0</v>
      </c>
      <c r="J78" s="27">
        <v>300.0</v>
      </c>
      <c r="K78" s="27">
        <v>300.0</v>
      </c>
      <c r="L78" s="27">
        <v>300.0</v>
      </c>
      <c r="M78" s="27">
        <v>300.0</v>
      </c>
      <c r="N78" s="5">
        <f t="shared" si="86"/>
        <v>1200</v>
      </c>
      <c r="O78" s="28" t="str">
        <f t="shared" si="87"/>
        <v/>
      </c>
      <c r="P78" s="5"/>
      <c r="Q78" s="5"/>
      <c r="R78" s="29" t="s">
        <v>34</v>
      </c>
      <c r="S78" s="38"/>
      <c r="T78" s="31">
        <v>0.05</v>
      </c>
      <c r="U78" s="26">
        <f t="shared" ref="U78:AF78" si="101">IF($R78="Manual","",IFERROR(IF($R78="YOY Growth",$N78*(1+$T78)/12,$S78/12),""))</f>
        <v>0</v>
      </c>
      <c r="V78" s="26">
        <f t="shared" si="101"/>
        <v>0</v>
      </c>
      <c r="W78" s="26">
        <f t="shared" si="101"/>
        <v>0</v>
      </c>
      <c r="X78" s="26">
        <f t="shared" si="101"/>
        <v>0</v>
      </c>
      <c r="Y78" s="26">
        <f t="shared" si="101"/>
        <v>0</v>
      </c>
      <c r="Z78" s="26">
        <f t="shared" si="101"/>
        <v>0</v>
      </c>
      <c r="AA78" s="26">
        <f t="shared" si="101"/>
        <v>0</v>
      </c>
      <c r="AB78" s="26">
        <f t="shared" si="101"/>
        <v>0</v>
      </c>
      <c r="AC78" s="26">
        <f t="shared" si="101"/>
        <v>0</v>
      </c>
      <c r="AD78" s="26">
        <f t="shared" si="101"/>
        <v>0</v>
      </c>
      <c r="AE78" s="26">
        <f t="shared" si="101"/>
        <v>0</v>
      </c>
      <c r="AF78" s="26">
        <f t="shared" si="101"/>
        <v>0</v>
      </c>
      <c r="AG78" s="5">
        <f t="shared" si="88"/>
        <v>0</v>
      </c>
      <c r="AH78" s="28" t="str">
        <f t="shared" si="89"/>
        <v/>
      </c>
      <c r="AI78" s="4"/>
      <c r="AJ78" s="5">
        <f t="shared" si="90"/>
        <v>1200</v>
      </c>
    </row>
    <row r="79" ht="13.5" customHeight="1">
      <c r="A79" s="25" t="s">
        <v>104</v>
      </c>
      <c r="B79" s="5">
        <v>0.0</v>
      </c>
      <c r="C79" s="5">
        <v>0.0</v>
      </c>
      <c r="D79" s="5">
        <v>0.0</v>
      </c>
      <c r="E79" s="5">
        <v>0.0</v>
      </c>
      <c r="F79" s="5">
        <v>0.0</v>
      </c>
      <c r="G79" s="5">
        <v>0.0</v>
      </c>
      <c r="H79" s="5">
        <v>0.0</v>
      </c>
      <c r="I79" s="5">
        <v>0.0</v>
      </c>
      <c r="J79" s="27">
        <v>0.0</v>
      </c>
      <c r="K79" s="27">
        <v>0.0</v>
      </c>
      <c r="L79" s="27">
        <v>0.0</v>
      </c>
      <c r="M79" s="27">
        <v>0.0</v>
      </c>
      <c r="N79" s="5">
        <f t="shared" si="86"/>
        <v>0</v>
      </c>
      <c r="O79" s="28" t="str">
        <f t="shared" si="87"/>
        <v/>
      </c>
      <c r="P79" s="5"/>
      <c r="Q79" s="5"/>
      <c r="R79" s="29" t="s">
        <v>34</v>
      </c>
      <c r="S79" s="30">
        <v>0.0</v>
      </c>
      <c r="T79" s="31">
        <v>0.05</v>
      </c>
      <c r="U79" s="26">
        <f t="shared" ref="U79:AF79" si="102">IF($R79="Manual","",IFERROR(IF($R79="YOY Growth",$N79*(1+$T79)/12,$S79/12),""))</f>
        <v>0</v>
      </c>
      <c r="V79" s="26">
        <f t="shared" si="102"/>
        <v>0</v>
      </c>
      <c r="W79" s="26">
        <f t="shared" si="102"/>
        <v>0</v>
      </c>
      <c r="X79" s="26">
        <f t="shared" si="102"/>
        <v>0</v>
      </c>
      <c r="Y79" s="26">
        <f t="shared" si="102"/>
        <v>0</v>
      </c>
      <c r="Z79" s="26">
        <f t="shared" si="102"/>
        <v>0</v>
      </c>
      <c r="AA79" s="26">
        <f t="shared" si="102"/>
        <v>0</v>
      </c>
      <c r="AB79" s="26">
        <f t="shared" si="102"/>
        <v>0</v>
      </c>
      <c r="AC79" s="26">
        <f t="shared" si="102"/>
        <v>0</v>
      </c>
      <c r="AD79" s="26">
        <f t="shared" si="102"/>
        <v>0</v>
      </c>
      <c r="AE79" s="26">
        <f t="shared" si="102"/>
        <v>0</v>
      </c>
      <c r="AF79" s="26">
        <f t="shared" si="102"/>
        <v>0</v>
      </c>
      <c r="AG79" s="5">
        <f t="shared" si="88"/>
        <v>0</v>
      </c>
      <c r="AH79" s="28" t="str">
        <f t="shared" si="89"/>
        <v/>
      </c>
      <c r="AI79" s="4"/>
      <c r="AJ79" s="5">
        <f t="shared" si="90"/>
        <v>0</v>
      </c>
    </row>
    <row r="80" ht="13.5" customHeight="1">
      <c r="A80" s="25" t="s">
        <v>105</v>
      </c>
      <c r="B80" s="5">
        <v>34.99</v>
      </c>
      <c r="C80" s="5">
        <v>60.0</v>
      </c>
      <c r="D80" s="5">
        <v>220.0</v>
      </c>
      <c r="E80" s="5">
        <v>240.0</v>
      </c>
      <c r="F80" s="5">
        <v>34.99</v>
      </c>
      <c r="G80" s="5">
        <v>0.0</v>
      </c>
      <c r="H80" s="5">
        <v>0.0</v>
      </c>
      <c r="I80" s="5">
        <v>0.0</v>
      </c>
      <c r="J80" s="27">
        <v>150.0</v>
      </c>
      <c r="K80" s="27">
        <v>150.0</v>
      </c>
      <c r="L80" s="27">
        <v>150.0</v>
      </c>
      <c r="M80" s="27">
        <v>150.0</v>
      </c>
      <c r="N80" s="5">
        <f t="shared" si="86"/>
        <v>1189.98</v>
      </c>
      <c r="O80" s="28" t="str">
        <f t="shared" si="87"/>
        <v/>
      </c>
      <c r="P80" s="5"/>
      <c r="Q80" s="5"/>
      <c r="R80" s="29" t="s">
        <v>34</v>
      </c>
      <c r="S80" s="38">
        <v>1800.0</v>
      </c>
      <c r="T80" s="31">
        <v>0.05</v>
      </c>
      <c r="U80" s="26">
        <f t="shared" ref="U80:AF80" si="103">IF($R80="Manual","",IFERROR(IF($R80="YOY Growth",$N80*(1+$T80)/12,$S80/12),""))</f>
        <v>150</v>
      </c>
      <c r="V80" s="26">
        <f t="shared" si="103"/>
        <v>150</v>
      </c>
      <c r="W80" s="26">
        <f t="shared" si="103"/>
        <v>150</v>
      </c>
      <c r="X80" s="26">
        <f t="shared" si="103"/>
        <v>150</v>
      </c>
      <c r="Y80" s="26">
        <f t="shared" si="103"/>
        <v>150</v>
      </c>
      <c r="Z80" s="26">
        <f t="shared" si="103"/>
        <v>150</v>
      </c>
      <c r="AA80" s="26">
        <f t="shared" si="103"/>
        <v>150</v>
      </c>
      <c r="AB80" s="26">
        <f t="shared" si="103"/>
        <v>150</v>
      </c>
      <c r="AC80" s="26">
        <f t="shared" si="103"/>
        <v>150</v>
      </c>
      <c r="AD80" s="26">
        <f t="shared" si="103"/>
        <v>150</v>
      </c>
      <c r="AE80" s="26">
        <f t="shared" si="103"/>
        <v>150</v>
      </c>
      <c r="AF80" s="26">
        <f t="shared" si="103"/>
        <v>150</v>
      </c>
      <c r="AG80" s="5">
        <f t="shared" si="88"/>
        <v>1800</v>
      </c>
      <c r="AH80" s="28" t="str">
        <f t="shared" si="89"/>
        <v/>
      </c>
      <c r="AI80" s="4"/>
      <c r="AJ80" s="5">
        <f t="shared" si="90"/>
        <v>-610.02</v>
      </c>
    </row>
    <row r="81" ht="13.5" customHeight="1">
      <c r="A81" s="24" t="s">
        <v>106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28"/>
      <c r="P81" s="5"/>
      <c r="Q81" s="5"/>
      <c r="R81" s="36"/>
      <c r="S81" s="36"/>
      <c r="T81" s="36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28"/>
      <c r="AI81" s="4"/>
      <c r="AJ81" s="5"/>
    </row>
    <row r="82" ht="13.5" customHeight="1">
      <c r="A82" s="25" t="s">
        <v>107</v>
      </c>
      <c r="B82" s="5">
        <v>0.0</v>
      </c>
      <c r="C82" s="5">
        <v>0.0</v>
      </c>
      <c r="D82" s="5">
        <v>0.0</v>
      </c>
      <c r="E82" s="5">
        <v>0.0</v>
      </c>
      <c r="F82" s="5">
        <v>0.0</v>
      </c>
      <c r="G82" s="5">
        <v>0.0</v>
      </c>
      <c r="H82" s="5">
        <v>0.0</v>
      </c>
      <c r="I82" s="5">
        <v>0.0</v>
      </c>
      <c r="J82" s="27">
        <v>0.0</v>
      </c>
      <c r="K82" s="27">
        <v>0.0</v>
      </c>
      <c r="L82" s="27">
        <v>0.0</v>
      </c>
      <c r="M82" s="27">
        <v>0.0</v>
      </c>
      <c r="N82" s="5">
        <f t="shared" ref="N82:N117" si="105">SUM(B82:M82)</f>
        <v>0</v>
      </c>
      <c r="O82" s="28" t="str">
        <f t="shared" ref="O82:O117" si="106">IFERROR(N82/N$16,"")</f>
        <v/>
      </c>
      <c r="P82" s="5"/>
      <c r="Q82" s="5"/>
      <c r="R82" s="29" t="s">
        <v>34</v>
      </c>
      <c r="S82" s="30">
        <v>0.0</v>
      </c>
      <c r="T82" s="31">
        <v>0.05</v>
      </c>
      <c r="U82" s="26">
        <f t="shared" ref="U82:AF82" si="104">IF($R82="Manual","",IFERROR(IF($R82="YOY Growth",$N82*(1+$T82)/12,$S82/12),""))</f>
        <v>0</v>
      </c>
      <c r="V82" s="26">
        <f t="shared" si="104"/>
        <v>0</v>
      </c>
      <c r="W82" s="26">
        <f t="shared" si="104"/>
        <v>0</v>
      </c>
      <c r="X82" s="26">
        <f t="shared" si="104"/>
        <v>0</v>
      </c>
      <c r="Y82" s="26">
        <f t="shared" si="104"/>
        <v>0</v>
      </c>
      <c r="Z82" s="26">
        <f t="shared" si="104"/>
        <v>0</v>
      </c>
      <c r="AA82" s="26">
        <f t="shared" si="104"/>
        <v>0</v>
      </c>
      <c r="AB82" s="26">
        <f t="shared" si="104"/>
        <v>0</v>
      </c>
      <c r="AC82" s="26">
        <f t="shared" si="104"/>
        <v>0</v>
      </c>
      <c r="AD82" s="26">
        <f t="shared" si="104"/>
        <v>0</v>
      </c>
      <c r="AE82" s="26">
        <f t="shared" si="104"/>
        <v>0</v>
      </c>
      <c r="AF82" s="26">
        <f t="shared" si="104"/>
        <v>0</v>
      </c>
      <c r="AG82" s="5">
        <f t="shared" ref="AG82:AG117" si="108">SUM(U82:AF82)</f>
        <v>0</v>
      </c>
      <c r="AH82" s="28" t="str">
        <f t="shared" ref="AH82:AH117" si="109">IFERROR(AG82/AG$16,"")</f>
        <v/>
      </c>
      <c r="AI82" s="4"/>
      <c r="AJ82" s="5">
        <f t="shared" ref="AJ82:AJ116" si="110">N82-AG82</f>
        <v>0</v>
      </c>
    </row>
    <row r="83" ht="13.5" customHeight="1">
      <c r="A83" s="25" t="s">
        <v>108</v>
      </c>
      <c r="B83" s="5">
        <v>0.0</v>
      </c>
      <c r="C83" s="5">
        <v>0.0</v>
      </c>
      <c r="D83" s="5">
        <v>0.0</v>
      </c>
      <c r="E83" s="5">
        <v>0.0</v>
      </c>
      <c r="F83" s="5">
        <v>0.0</v>
      </c>
      <c r="G83" s="5">
        <v>0.0</v>
      </c>
      <c r="H83" s="5">
        <v>0.0</v>
      </c>
      <c r="I83" s="5">
        <v>0.0</v>
      </c>
      <c r="J83" s="27">
        <v>0.0</v>
      </c>
      <c r="K83" s="27">
        <v>0.0</v>
      </c>
      <c r="L83" s="27">
        <v>0.0</v>
      </c>
      <c r="M83" s="27">
        <v>0.0</v>
      </c>
      <c r="N83" s="5">
        <f t="shared" si="105"/>
        <v>0</v>
      </c>
      <c r="O83" s="28" t="str">
        <f t="shared" si="106"/>
        <v/>
      </c>
      <c r="P83" s="5"/>
      <c r="Q83" s="5"/>
      <c r="R83" s="29" t="s">
        <v>34</v>
      </c>
      <c r="S83" s="30">
        <v>0.0</v>
      </c>
      <c r="T83" s="31">
        <v>0.05</v>
      </c>
      <c r="U83" s="26">
        <f t="shared" ref="U83:AF83" si="107">IF($R83="Manual","",IFERROR(IF($R83="YOY Growth",$N83*(1+$T83)/12,$S83/12),""))</f>
        <v>0</v>
      </c>
      <c r="V83" s="26">
        <f t="shared" si="107"/>
        <v>0</v>
      </c>
      <c r="W83" s="26">
        <f t="shared" si="107"/>
        <v>0</v>
      </c>
      <c r="X83" s="26">
        <f t="shared" si="107"/>
        <v>0</v>
      </c>
      <c r="Y83" s="26">
        <f t="shared" si="107"/>
        <v>0</v>
      </c>
      <c r="Z83" s="26">
        <f t="shared" si="107"/>
        <v>0</v>
      </c>
      <c r="AA83" s="26">
        <f t="shared" si="107"/>
        <v>0</v>
      </c>
      <c r="AB83" s="26">
        <f t="shared" si="107"/>
        <v>0</v>
      </c>
      <c r="AC83" s="26">
        <f t="shared" si="107"/>
        <v>0</v>
      </c>
      <c r="AD83" s="26">
        <f t="shared" si="107"/>
        <v>0</v>
      </c>
      <c r="AE83" s="26">
        <f t="shared" si="107"/>
        <v>0</v>
      </c>
      <c r="AF83" s="26">
        <f t="shared" si="107"/>
        <v>0</v>
      </c>
      <c r="AG83" s="5">
        <f t="shared" si="108"/>
        <v>0</v>
      </c>
      <c r="AH83" s="28" t="str">
        <f t="shared" si="109"/>
        <v/>
      </c>
      <c r="AI83" s="4"/>
      <c r="AJ83" s="5">
        <f t="shared" si="110"/>
        <v>0</v>
      </c>
    </row>
    <row r="84" ht="13.5" customHeight="1">
      <c r="A84" s="25" t="s">
        <v>109</v>
      </c>
      <c r="B84" s="5">
        <v>0.0</v>
      </c>
      <c r="C84" s="5">
        <v>0.0</v>
      </c>
      <c r="D84" s="5">
        <v>0.0</v>
      </c>
      <c r="E84" s="5">
        <v>0.0</v>
      </c>
      <c r="F84" s="5">
        <v>0.0</v>
      </c>
      <c r="G84" s="5">
        <v>0.0</v>
      </c>
      <c r="H84" s="5">
        <v>0.0</v>
      </c>
      <c r="I84" s="5">
        <v>0.0</v>
      </c>
      <c r="J84" s="27">
        <v>0.0</v>
      </c>
      <c r="K84" s="27">
        <v>0.0</v>
      </c>
      <c r="L84" s="27">
        <v>0.0</v>
      </c>
      <c r="M84" s="27">
        <v>0.0</v>
      </c>
      <c r="N84" s="5">
        <f t="shared" si="105"/>
        <v>0</v>
      </c>
      <c r="O84" s="28" t="str">
        <f t="shared" si="106"/>
        <v/>
      </c>
      <c r="P84" s="5"/>
      <c r="Q84" s="5"/>
      <c r="R84" s="29" t="s">
        <v>34</v>
      </c>
      <c r="S84" s="30">
        <v>0.0</v>
      </c>
      <c r="T84" s="31">
        <v>0.05</v>
      </c>
      <c r="U84" s="26">
        <f t="shared" ref="U84:AF84" si="111">IF($R84="Manual","",IFERROR(IF($R84="YOY Growth",$N84*(1+$T84)/12,$S84/12),""))</f>
        <v>0</v>
      </c>
      <c r="V84" s="26">
        <f t="shared" si="111"/>
        <v>0</v>
      </c>
      <c r="W84" s="26">
        <f t="shared" si="111"/>
        <v>0</v>
      </c>
      <c r="X84" s="26">
        <f t="shared" si="111"/>
        <v>0</v>
      </c>
      <c r="Y84" s="26">
        <f t="shared" si="111"/>
        <v>0</v>
      </c>
      <c r="Z84" s="26">
        <f t="shared" si="111"/>
        <v>0</v>
      </c>
      <c r="AA84" s="26">
        <f t="shared" si="111"/>
        <v>0</v>
      </c>
      <c r="AB84" s="26">
        <f t="shared" si="111"/>
        <v>0</v>
      </c>
      <c r="AC84" s="26">
        <f t="shared" si="111"/>
        <v>0</v>
      </c>
      <c r="AD84" s="26">
        <f t="shared" si="111"/>
        <v>0</v>
      </c>
      <c r="AE84" s="26">
        <f t="shared" si="111"/>
        <v>0</v>
      </c>
      <c r="AF84" s="26">
        <f t="shared" si="111"/>
        <v>0</v>
      </c>
      <c r="AG84" s="5">
        <f t="shared" si="108"/>
        <v>0</v>
      </c>
      <c r="AH84" s="28" t="str">
        <f t="shared" si="109"/>
        <v/>
      </c>
      <c r="AI84" s="4"/>
      <c r="AJ84" s="5">
        <f t="shared" si="110"/>
        <v>0</v>
      </c>
    </row>
    <row r="85" ht="13.5" customHeight="1">
      <c r="A85" s="25" t="s">
        <v>110</v>
      </c>
      <c r="B85" s="5">
        <v>0.0</v>
      </c>
      <c r="C85" s="5">
        <v>0.0</v>
      </c>
      <c r="D85" s="5">
        <v>0.0</v>
      </c>
      <c r="E85" s="5">
        <v>0.0</v>
      </c>
      <c r="F85" s="5">
        <v>0.0</v>
      </c>
      <c r="G85" s="5">
        <v>0.0</v>
      </c>
      <c r="H85" s="5">
        <v>0.0</v>
      </c>
      <c r="I85" s="5">
        <v>0.0</v>
      </c>
      <c r="J85" s="27">
        <v>0.0</v>
      </c>
      <c r="K85" s="27">
        <v>0.0</v>
      </c>
      <c r="L85" s="27">
        <v>0.0</v>
      </c>
      <c r="M85" s="27">
        <v>0.0</v>
      </c>
      <c r="N85" s="5">
        <f t="shared" si="105"/>
        <v>0</v>
      </c>
      <c r="O85" s="28" t="str">
        <f t="shared" si="106"/>
        <v/>
      </c>
      <c r="P85" s="5"/>
      <c r="Q85" s="5"/>
      <c r="R85" s="29" t="s">
        <v>34</v>
      </c>
      <c r="S85" s="30">
        <v>0.0</v>
      </c>
      <c r="T85" s="31">
        <v>0.05</v>
      </c>
      <c r="U85" s="26">
        <f t="shared" ref="U85:AF85" si="112">IF($R85="Manual","",IFERROR(IF($R85="YOY Growth",$N85*(1+$T85)/12,$S85/12),""))</f>
        <v>0</v>
      </c>
      <c r="V85" s="26">
        <f t="shared" si="112"/>
        <v>0</v>
      </c>
      <c r="W85" s="26">
        <f t="shared" si="112"/>
        <v>0</v>
      </c>
      <c r="X85" s="26">
        <f t="shared" si="112"/>
        <v>0</v>
      </c>
      <c r="Y85" s="26">
        <f t="shared" si="112"/>
        <v>0</v>
      </c>
      <c r="Z85" s="26">
        <f t="shared" si="112"/>
        <v>0</v>
      </c>
      <c r="AA85" s="26">
        <f t="shared" si="112"/>
        <v>0</v>
      </c>
      <c r="AB85" s="26">
        <f t="shared" si="112"/>
        <v>0</v>
      </c>
      <c r="AC85" s="26">
        <f t="shared" si="112"/>
        <v>0</v>
      </c>
      <c r="AD85" s="26">
        <f t="shared" si="112"/>
        <v>0</v>
      </c>
      <c r="AE85" s="26">
        <f t="shared" si="112"/>
        <v>0</v>
      </c>
      <c r="AF85" s="26">
        <f t="shared" si="112"/>
        <v>0</v>
      </c>
      <c r="AG85" s="5">
        <f t="shared" si="108"/>
        <v>0</v>
      </c>
      <c r="AH85" s="28" t="str">
        <f t="shared" si="109"/>
        <v/>
      </c>
      <c r="AI85" s="4"/>
      <c r="AJ85" s="5">
        <f t="shared" si="110"/>
        <v>0</v>
      </c>
    </row>
    <row r="86" ht="13.5" customHeight="1">
      <c r="A86" s="25" t="s">
        <v>111</v>
      </c>
      <c r="B86" s="5">
        <v>0.0</v>
      </c>
      <c r="C86" s="5">
        <v>0.0</v>
      </c>
      <c r="D86" s="5">
        <v>0.0</v>
      </c>
      <c r="E86" s="5">
        <v>0.0</v>
      </c>
      <c r="F86" s="5">
        <v>0.0</v>
      </c>
      <c r="G86" s="5">
        <v>0.0</v>
      </c>
      <c r="H86" s="5">
        <v>0.0</v>
      </c>
      <c r="I86" s="5">
        <v>0.0</v>
      </c>
      <c r="J86" s="27">
        <v>0.0</v>
      </c>
      <c r="K86" s="27">
        <v>0.0</v>
      </c>
      <c r="L86" s="27">
        <v>0.0</v>
      </c>
      <c r="M86" s="27">
        <v>0.0</v>
      </c>
      <c r="N86" s="5">
        <f t="shared" si="105"/>
        <v>0</v>
      </c>
      <c r="O86" s="28" t="str">
        <f t="shared" si="106"/>
        <v/>
      </c>
      <c r="P86" s="5"/>
      <c r="Q86" s="5"/>
      <c r="R86" s="29" t="s">
        <v>34</v>
      </c>
      <c r="S86" s="30">
        <v>0.0</v>
      </c>
      <c r="T86" s="31">
        <v>0.05</v>
      </c>
      <c r="U86" s="26">
        <f t="shared" ref="U86:AF86" si="113">IF($R86="Manual","",IFERROR(IF($R86="YOY Growth",$N86*(1+$T86)/12,$S86/12),""))</f>
        <v>0</v>
      </c>
      <c r="V86" s="26">
        <f t="shared" si="113"/>
        <v>0</v>
      </c>
      <c r="W86" s="26">
        <f t="shared" si="113"/>
        <v>0</v>
      </c>
      <c r="X86" s="26">
        <f t="shared" si="113"/>
        <v>0</v>
      </c>
      <c r="Y86" s="26">
        <f t="shared" si="113"/>
        <v>0</v>
      </c>
      <c r="Z86" s="26">
        <f t="shared" si="113"/>
        <v>0</v>
      </c>
      <c r="AA86" s="26">
        <f t="shared" si="113"/>
        <v>0</v>
      </c>
      <c r="AB86" s="26">
        <f t="shared" si="113"/>
        <v>0</v>
      </c>
      <c r="AC86" s="26">
        <f t="shared" si="113"/>
        <v>0</v>
      </c>
      <c r="AD86" s="26">
        <f t="shared" si="113"/>
        <v>0</v>
      </c>
      <c r="AE86" s="26">
        <f t="shared" si="113"/>
        <v>0</v>
      </c>
      <c r="AF86" s="26">
        <f t="shared" si="113"/>
        <v>0</v>
      </c>
      <c r="AG86" s="5">
        <f t="shared" si="108"/>
        <v>0</v>
      </c>
      <c r="AH86" s="28" t="str">
        <f t="shared" si="109"/>
        <v/>
      </c>
      <c r="AI86" s="4"/>
      <c r="AJ86" s="5">
        <f t="shared" si="110"/>
        <v>0</v>
      </c>
    </row>
    <row r="87" ht="13.5" customHeight="1">
      <c r="A87" s="33" t="s">
        <v>112</v>
      </c>
      <c r="B87" s="34">
        <f t="shared" ref="B87:M87" si="114">SUM(B82:B86)</f>
        <v>0</v>
      </c>
      <c r="C87" s="34">
        <f t="shared" si="114"/>
        <v>0</v>
      </c>
      <c r="D87" s="34">
        <f t="shared" si="114"/>
        <v>0</v>
      </c>
      <c r="E87" s="34">
        <f t="shared" si="114"/>
        <v>0</v>
      </c>
      <c r="F87" s="34">
        <f t="shared" si="114"/>
        <v>0</v>
      </c>
      <c r="G87" s="34">
        <f t="shared" si="114"/>
        <v>0</v>
      </c>
      <c r="H87" s="34">
        <f t="shared" si="114"/>
        <v>0</v>
      </c>
      <c r="I87" s="34">
        <f t="shared" si="114"/>
        <v>0</v>
      </c>
      <c r="J87" s="34">
        <f t="shared" si="114"/>
        <v>0</v>
      </c>
      <c r="K87" s="34">
        <f t="shared" si="114"/>
        <v>0</v>
      </c>
      <c r="L87" s="34">
        <f t="shared" si="114"/>
        <v>0</v>
      </c>
      <c r="M87" s="34">
        <f t="shared" si="114"/>
        <v>0</v>
      </c>
      <c r="N87" s="34">
        <f t="shared" si="105"/>
        <v>0</v>
      </c>
      <c r="O87" s="35" t="str">
        <f t="shared" si="106"/>
        <v/>
      </c>
      <c r="P87" s="5"/>
      <c r="Q87" s="5"/>
      <c r="R87" s="36"/>
      <c r="S87" s="36"/>
      <c r="T87" s="36"/>
      <c r="U87" s="34">
        <f t="shared" ref="U87:AF87" si="115">SUM(U82:U86)</f>
        <v>0</v>
      </c>
      <c r="V87" s="34">
        <f t="shared" si="115"/>
        <v>0</v>
      </c>
      <c r="W87" s="34">
        <f t="shared" si="115"/>
        <v>0</v>
      </c>
      <c r="X87" s="34">
        <f t="shared" si="115"/>
        <v>0</v>
      </c>
      <c r="Y87" s="34">
        <f t="shared" si="115"/>
        <v>0</v>
      </c>
      <c r="Z87" s="34">
        <f t="shared" si="115"/>
        <v>0</v>
      </c>
      <c r="AA87" s="34">
        <f t="shared" si="115"/>
        <v>0</v>
      </c>
      <c r="AB87" s="34">
        <f t="shared" si="115"/>
        <v>0</v>
      </c>
      <c r="AC87" s="34">
        <f t="shared" si="115"/>
        <v>0</v>
      </c>
      <c r="AD87" s="34">
        <f t="shared" si="115"/>
        <v>0</v>
      </c>
      <c r="AE87" s="34">
        <f t="shared" si="115"/>
        <v>0</v>
      </c>
      <c r="AF87" s="34">
        <f t="shared" si="115"/>
        <v>0</v>
      </c>
      <c r="AG87" s="34">
        <f t="shared" si="108"/>
        <v>0</v>
      </c>
      <c r="AH87" s="35" t="str">
        <f t="shared" si="109"/>
        <v/>
      </c>
      <c r="AI87" s="4"/>
      <c r="AJ87" s="34">
        <f t="shared" si="110"/>
        <v>0</v>
      </c>
    </row>
    <row r="88" ht="13.5" customHeight="1">
      <c r="A88" s="25" t="s">
        <v>113</v>
      </c>
      <c r="B88" s="5">
        <v>0.0</v>
      </c>
      <c r="C88" s="5">
        <v>0.0</v>
      </c>
      <c r="D88" s="5">
        <v>0.0</v>
      </c>
      <c r="E88" s="5">
        <v>0.0</v>
      </c>
      <c r="F88" s="5">
        <v>0.0</v>
      </c>
      <c r="G88" s="5">
        <v>0.0</v>
      </c>
      <c r="H88" s="5">
        <v>0.0</v>
      </c>
      <c r="I88" s="5">
        <v>0.0</v>
      </c>
      <c r="J88" s="27">
        <v>0.0</v>
      </c>
      <c r="K88" s="27">
        <v>0.0</v>
      </c>
      <c r="L88" s="27">
        <v>0.0</v>
      </c>
      <c r="M88" s="27">
        <v>0.0</v>
      </c>
      <c r="N88" s="5">
        <f t="shared" si="105"/>
        <v>0</v>
      </c>
      <c r="O88" s="28" t="str">
        <f t="shared" si="106"/>
        <v/>
      </c>
      <c r="P88" s="5"/>
      <c r="Q88" s="5"/>
      <c r="R88" s="29" t="s">
        <v>34</v>
      </c>
      <c r="S88" s="30">
        <v>0.0</v>
      </c>
      <c r="T88" s="31">
        <v>0.05</v>
      </c>
      <c r="U88" s="26">
        <f t="shared" ref="U88:AF88" si="116">IF($R88="Manual","",IFERROR(IF($R88="YOY Growth",$N88*(1+$T88)/12,$S88/12),""))</f>
        <v>0</v>
      </c>
      <c r="V88" s="26">
        <f t="shared" si="116"/>
        <v>0</v>
      </c>
      <c r="W88" s="26">
        <f t="shared" si="116"/>
        <v>0</v>
      </c>
      <c r="X88" s="26">
        <f t="shared" si="116"/>
        <v>0</v>
      </c>
      <c r="Y88" s="26">
        <f t="shared" si="116"/>
        <v>0</v>
      </c>
      <c r="Z88" s="26">
        <f t="shared" si="116"/>
        <v>0</v>
      </c>
      <c r="AA88" s="26">
        <f t="shared" si="116"/>
        <v>0</v>
      </c>
      <c r="AB88" s="26">
        <f t="shared" si="116"/>
        <v>0</v>
      </c>
      <c r="AC88" s="26">
        <f t="shared" si="116"/>
        <v>0</v>
      </c>
      <c r="AD88" s="26">
        <f t="shared" si="116"/>
        <v>0</v>
      </c>
      <c r="AE88" s="26">
        <f t="shared" si="116"/>
        <v>0</v>
      </c>
      <c r="AF88" s="26">
        <f t="shared" si="116"/>
        <v>0</v>
      </c>
      <c r="AG88" s="5">
        <f t="shared" si="108"/>
        <v>0</v>
      </c>
      <c r="AH88" s="28" t="str">
        <f t="shared" si="109"/>
        <v/>
      </c>
      <c r="AI88" s="4"/>
      <c r="AJ88" s="5">
        <f t="shared" si="110"/>
        <v>0</v>
      </c>
    </row>
    <row r="89" ht="13.5" customHeight="1">
      <c r="A89" s="25" t="s">
        <v>114</v>
      </c>
      <c r="B89" s="5">
        <v>0.0</v>
      </c>
      <c r="C89" s="5">
        <v>0.0</v>
      </c>
      <c r="D89" s="5">
        <v>0.0</v>
      </c>
      <c r="E89" s="5">
        <v>0.0</v>
      </c>
      <c r="F89" s="5">
        <v>0.0</v>
      </c>
      <c r="G89" s="5">
        <v>0.0</v>
      </c>
      <c r="H89" s="5">
        <v>0.0</v>
      </c>
      <c r="I89" s="5">
        <v>0.0</v>
      </c>
      <c r="J89" s="27">
        <v>0.0</v>
      </c>
      <c r="K89" s="27">
        <v>0.0</v>
      </c>
      <c r="L89" s="27">
        <v>0.0</v>
      </c>
      <c r="M89" s="27">
        <v>0.0</v>
      </c>
      <c r="N89" s="5">
        <f t="shared" si="105"/>
        <v>0</v>
      </c>
      <c r="O89" s="28" t="str">
        <f t="shared" si="106"/>
        <v/>
      </c>
      <c r="P89" s="5"/>
      <c r="Q89" s="5"/>
      <c r="R89" s="29" t="s">
        <v>34</v>
      </c>
      <c r="S89" s="30">
        <v>0.0</v>
      </c>
      <c r="T89" s="31">
        <v>0.05</v>
      </c>
      <c r="U89" s="26">
        <f t="shared" ref="U89:AF89" si="117">IF($R89="Manual","",IFERROR(IF($R89="YOY Growth",$N89*(1+$T89)/12,$S89/12),""))</f>
        <v>0</v>
      </c>
      <c r="V89" s="26">
        <f t="shared" si="117"/>
        <v>0</v>
      </c>
      <c r="W89" s="26">
        <f t="shared" si="117"/>
        <v>0</v>
      </c>
      <c r="X89" s="26">
        <f t="shared" si="117"/>
        <v>0</v>
      </c>
      <c r="Y89" s="26">
        <f t="shared" si="117"/>
        <v>0</v>
      </c>
      <c r="Z89" s="26">
        <f t="shared" si="117"/>
        <v>0</v>
      </c>
      <c r="AA89" s="26">
        <f t="shared" si="117"/>
        <v>0</v>
      </c>
      <c r="AB89" s="26">
        <f t="shared" si="117"/>
        <v>0</v>
      </c>
      <c r="AC89" s="26">
        <f t="shared" si="117"/>
        <v>0</v>
      </c>
      <c r="AD89" s="26">
        <f t="shared" si="117"/>
        <v>0</v>
      </c>
      <c r="AE89" s="26">
        <f t="shared" si="117"/>
        <v>0</v>
      </c>
      <c r="AF89" s="26">
        <f t="shared" si="117"/>
        <v>0</v>
      </c>
      <c r="AG89" s="5">
        <f t="shared" si="108"/>
        <v>0</v>
      </c>
      <c r="AH89" s="28" t="str">
        <f t="shared" si="109"/>
        <v/>
      </c>
      <c r="AI89" s="4"/>
      <c r="AJ89" s="5">
        <f t="shared" si="110"/>
        <v>0</v>
      </c>
    </row>
    <row r="90" ht="13.5" customHeight="1">
      <c r="A90" s="25" t="s">
        <v>115</v>
      </c>
      <c r="B90" s="5">
        <v>0.0</v>
      </c>
      <c r="C90" s="5">
        <v>0.0</v>
      </c>
      <c r="D90" s="5">
        <v>0.0</v>
      </c>
      <c r="E90" s="5">
        <v>0.0</v>
      </c>
      <c r="F90" s="5">
        <v>0.0</v>
      </c>
      <c r="G90" s="5">
        <v>0.0</v>
      </c>
      <c r="H90" s="5">
        <v>0.0</v>
      </c>
      <c r="I90" s="5">
        <v>0.0</v>
      </c>
      <c r="J90" s="27">
        <v>0.0</v>
      </c>
      <c r="K90" s="27">
        <v>0.0</v>
      </c>
      <c r="L90" s="27">
        <v>0.0</v>
      </c>
      <c r="M90" s="27">
        <v>0.0</v>
      </c>
      <c r="N90" s="5">
        <f t="shared" si="105"/>
        <v>0</v>
      </c>
      <c r="O90" s="28" t="str">
        <f t="shared" si="106"/>
        <v/>
      </c>
      <c r="P90" s="5"/>
      <c r="Q90" s="5"/>
      <c r="R90" s="29" t="s">
        <v>34</v>
      </c>
      <c r="S90" s="30">
        <v>0.0</v>
      </c>
      <c r="T90" s="31">
        <v>0.05</v>
      </c>
      <c r="U90" s="26">
        <f t="shared" ref="U90:AF90" si="118">IF($R90="Manual","",IFERROR(IF($R90="YOY Growth",$N90*(1+$T90)/12,$S90/12),""))</f>
        <v>0</v>
      </c>
      <c r="V90" s="26">
        <f t="shared" si="118"/>
        <v>0</v>
      </c>
      <c r="W90" s="26">
        <f t="shared" si="118"/>
        <v>0</v>
      </c>
      <c r="X90" s="26">
        <f t="shared" si="118"/>
        <v>0</v>
      </c>
      <c r="Y90" s="26">
        <f t="shared" si="118"/>
        <v>0</v>
      </c>
      <c r="Z90" s="26">
        <f t="shared" si="118"/>
        <v>0</v>
      </c>
      <c r="AA90" s="26">
        <f t="shared" si="118"/>
        <v>0</v>
      </c>
      <c r="AB90" s="26">
        <f t="shared" si="118"/>
        <v>0</v>
      </c>
      <c r="AC90" s="26">
        <f t="shared" si="118"/>
        <v>0</v>
      </c>
      <c r="AD90" s="26">
        <f t="shared" si="118"/>
        <v>0</v>
      </c>
      <c r="AE90" s="26">
        <f t="shared" si="118"/>
        <v>0</v>
      </c>
      <c r="AF90" s="26">
        <f t="shared" si="118"/>
        <v>0</v>
      </c>
      <c r="AG90" s="5">
        <f t="shared" si="108"/>
        <v>0</v>
      </c>
      <c r="AH90" s="28" t="str">
        <f t="shared" si="109"/>
        <v/>
      </c>
      <c r="AI90" s="4"/>
      <c r="AJ90" s="5">
        <f t="shared" si="110"/>
        <v>0</v>
      </c>
    </row>
    <row r="91" ht="13.5" customHeight="1">
      <c r="A91" s="25" t="s">
        <v>116</v>
      </c>
      <c r="B91" s="5">
        <v>0.0</v>
      </c>
      <c r="C91" s="5">
        <v>0.0</v>
      </c>
      <c r="D91" s="5">
        <v>0.0</v>
      </c>
      <c r="E91" s="5">
        <v>0.0</v>
      </c>
      <c r="F91" s="5">
        <v>0.0</v>
      </c>
      <c r="G91" s="5">
        <v>0.0</v>
      </c>
      <c r="H91" s="5">
        <v>0.0</v>
      </c>
      <c r="I91" s="5">
        <v>0.0</v>
      </c>
      <c r="J91" s="27">
        <v>0.0</v>
      </c>
      <c r="K91" s="27">
        <v>0.0</v>
      </c>
      <c r="L91" s="27">
        <v>0.0</v>
      </c>
      <c r="M91" s="27">
        <v>0.0</v>
      </c>
      <c r="N91" s="5">
        <f t="shared" si="105"/>
        <v>0</v>
      </c>
      <c r="O91" s="28" t="str">
        <f t="shared" si="106"/>
        <v/>
      </c>
      <c r="P91" s="5"/>
      <c r="Q91" s="5"/>
      <c r="R91" s="29" t="s">
        <v>34</v>
      </c>
      <c r="S91" s="30">
        <v>0.0</v>
      </c>
      <c r="T91" s="31">
        <v>0.05</v>
      </c>
      <c r="U91" s="26">
        <f t="shared" ref="U91:AF91" si="119">IF($R91="Manual","",IFERROR(IF($R91="YOY Growth",$N91*(1+$T91)/12,$S91/12),""))</f>
        <v>0</v>
      </c>
      <c r="V91" s="26">
        <f t="shared" si="119"/>
        <v>0</v>
      </c>
      <c r="W91" s="26">
        <f t="shared" si="119"/>
        <v>0</v>
      </c>
      <c r="X91" s="26">
        <f t="shared" si="119"/>
        <v>0</v>
      </c>
      <c r="Y91" s="26">
        <f t="shared" si="119"/>
        <v>0</v>
      </c>
      <c r="Z91" s="26">
        <f t="shared" si="119"/>
        <v>0</v>
      </c>
      <c r="AA91" s="26">
        <f t="shared" si="119"/>
        <v>0</v>
      </c>
      <c r="AB91" s="26">
        <f t="shared" si="119"/>
        <v>0</v>
      </c>
      <c r="AC91" s="26">
        <f t="shared" si="119"/>
        <v>0</v>
      </c>
      <c r="AD91" s="26">
        <f t="shared" si="119"/>
        <v>0</v>
      </c>
      <c r="AE91" s="26">
        <f t="shared" si="119"/>
        <v>0</v>
      </c>
      <c r="AF91" s="26">
        <f t="shared" si="119"/>
        <v>0</v>
      </c>
      <c r="AG91" s="5">
        <f t="shared" si="108"/>
        <v>0</v>
      </c>
      <c r="AH91" s="28" t="str">
        <f t="shared" si="109"/>
        <v/>
      </c>
      <c r="AI91" s="4"/>
      <c r="AJ91" s="5">
        <f t="shared" si="110"/>
        <v>0</v>
      </c>
    </row>
    <row r="92" ht="13.5" customHeight="1">
      <c r="A92" s="25" t="s">
        <v>117</v>
      </c>
      <c r="B92" s="5">
        <v>0.0</v>
      </c>
      <c r="C92" s="5">
        <v>0.0</v>
      </c>
      <c r="D92" s="5">
        <v>0.0</v>
      </c>
      <c r="E92" s="5">
        <v>0.0</v>
      </c>
      <c r="F92" s="5">
        <v>0.0</v>
      </c>
      <c r="G92" s="5">
        <v>34.99</v>
      </c>
      <c r="H92" s="5">
        <v>0.0</v>
      </c>
      <c r="I92" s="5">
        <v>0.0</v>
      </c>
      <c r="J92" s="27">
        <v>0.0</v>
      </c>
      <c r="K92" s="27">
        <v>0.0</v>
      </c>
      <c r="L92" s="27">
        <v>0.0</v>
      </c>
      <c r="M92" s="27">
        <v>0.0</v>
      </c>
      <c r="N92" s="5">
        <f t="shared" si="105"/>
        <v>34.99</v>
      </c>
      <c r="O92" s="28" t="str">
        <f t="shared" si="106"/>
        <v/>
      </c>
      <c r="P92" s="5"/>
      <c r="Q92" s="5"/>
      <c r="R92" s="29" t="s">
        <v>34</v>
      </c>
      <c r="S92" s="30">
        <v>0.0</v>
      </c>
      <c r="T92" s="31">
        <v>0.05</v>
      </c>
      <c r="U92" s="26">
        <f t="shared" ref="U92:AF92" si="120">IF($R92="Manual","",IFERROR(IF($R92="YOY Growth",$N92*(1+$T92)/12,$S92/12),""))</f>
        <v>0</v>
      </c>
      <c r="V92" s="26">
        <f t="shared" si="120"/>
        <v>0</v>
      </c>
      <c r="W92" s="26">
        <f t="shared" si="120"/>
        <v>0</v>
      </c>
      <c r="X92" s="26">
        <f t="shared" si="120"/>
        <v>0</v>
      </c>
      <c r="Y92" s="26">
        <f t="shared" si="120"/>
        <v>0</v>
      </c>
      <c r="Z92" s="26">
        <f t="shared" si="120"/>
        <v>0</v>
      </c>
      <c r="AA92" s="26">
        <f t="shared" si="120"/>
        <v>0</v>
      </c>
      <c r="AB92" s="26">
        <f t="shared" si="120"/>
        <v>0</v>
      </c>
      <c r="AC92" s="26">
        <f t="shared" si="120"/>
        <v>0</v>
      </c>
      <c r="AD92" s="26">
        <f t="shared" si="120"/>
        <v>0</v>
      </c>
      <c r="AE92" s="26">
        <f t="shared" si="120"/>
        <v>0</v>
      </c>
      <c r="AF92" s="26">
        <f t="shared" si="120"/>
        <v>0</v>
      </c>
      <c r="AG92" s="5">
        <f t="shared" si="108"/>
        <v>0</v>
      </c>
      <c r="AH92" s="28" t="str">
        <f t="shared" si="109"/>
        <v/>
      </c>
      <c r="AI92" s="4"/>
      <c r="AJ92" s="5">
        <f t="shared" si="110"/>
        <v>34.99</v>
      </c>
    </row>
    <row r="93" ht="13.5" customHeight="1">
      <c r="A93" s="25" t="s">
        <v>118</v>
      </c>
      <c r="B93" s="5">
        <v>0.0</v>
      </c>
      <c r="C93" s="5">
        <v>303.06</v>
      </c>
      <c r="D93" s="5">
        <v>0.0</v>
      </c>
      <c r="E93" s="5">
        <v>0.0</v>
      </c>
      <c r="F93" s="5">
        <v>0.0</v>
      </c>
      <c r="G93" s="5">
        <v>25.44</v>
      </c>
      <c r="H93" s="5">
        <v>0.0</v>
      </c>
      <c r="I93" s="5">
        <v>19.07</v>
      </c>
      <c r="J93" s="27">
        <v>700.0</v>
      </c>
      <c r="K93" s="27">
        <v>700.0</v>
      </c>
      <c r="L93" s="27">
        <v>700.0</v>
      </c>
      <c r="M93" s="27">
        <v>700.0</v>
      </c>
      <c r="N93" s="5">
        <f t="shared" si="105"/>
        <v>3147.57</v>
      </c>
      <c r="O93" s="28" t="str">
        <f t="shared" si="106"/>
        <v/>
      </c>
      <c r="P93" s="5"/>
      <c r="Q93" s="5"/>
      <c r="R93" s="29" t="s">
        <v>34</v>
      </c>
      <c r="S93" s="38">
        <v>8400.0</v>
      </c>
      <c r="T93" s="31">
        <v>0.05</v>
      </c>
      <c r="U93" s="26">
        <f t="shared" ref="U93:X93" si="121">IF($R93="Manual","",IFERROR(IF($R93="YOY Growth",$N93*(1+$T93)/12,$S93/12),""))</f>
        <v>700</v>
      </c>
      <c r="V93" s="26">
        <f t="shared" si="121"/>
        <v>700</v>
      </c>
      <c r="W93" s="26">
        <f t="shared" si="121"/>
        <v>700</v>
      </c>
      <c r="X93" s="26">
        <f t="shared" si="121"/>
        <v>700</v>
      </c>
      <c r="Y93" s="26">
        <f t="shared" ref="Y93:AE93" si="122">IF($R93="Manual","",IFERROR(IF($R93="YOY Growth",$N93*(1+$T93)/12,$S93/12),""))*Y146</f>
        <v>735</v>
      </c>
      <c r="Z93" s="26">
        <f t="shared" si="122"/>
        <v>770</v>
      </c>
      <c r="AA93" s="26">
        <f t="shared" si="122"/>
        <v>805</v>
      </c>
      <c r="AB93" s="26">
        <f t="shared" si="122"/>
        <v>840</v>
      </c>
      <c r="AC93" s="26">
        <f t="shared" si="122"/>
        <v>875</v>
      </c>
      <c r="AD93" s="26">
        <f t="shared" si="122"/>
        <v>910</v>
      </c>
      <c r="AE93" s="26">
        <f t="shared" si="122"/>
        <v>945</v>
      </c>
      <c r="AF93" s="26">
        <f>IF($R93="Manual","",IFERROR(IF($R93="YOY Growth",$N93*(1+$T93)/12,$S93/12),""))</f>
        <v>700</v>
      </c>
      <c r="AG93" s="5">
        <f t="shared" si="108"/>
        <v>9380</v>
      </c>
      <c r="AH93" s="28" t="str">
        <f t="shared" si="109"/>
        <v/>
      </c>
      <c r="AI93" s="4"/>
      <c r="AJ93" s="5">
        <f t="shared" si="110"/>
        <v>-6232.43</v>
      </c>
    </row>
    <row r="94" ht="13.5" customHeight="1">
      <c r="A94" s="25" t="s">
        <v>119</v>
      </c>
      <c r="B94" s="5">
        <v>0.0</v>
      </c>
      <c r="C94" s="5">
        <v>0.0</v>
      </c>
      <c r="D94" s="5">
        <v>0.0</v>
      </c>
      <c r="E94" s="5">
        <v>0.0</v>
      </c>
      <c r="F94" s="5">
        <v>0.0</v>
      </c>
      <c r="G94" s="5">
        <v>0.0</v>
      </c>
      <c r="H94" s="5">
        <v>0.0</v>
      </c>
      <c r="I94" s="5">
        <v>0.0</v>
      </c>
      <c r="J94" s="27">
        <v>0.0</v>
      </c>
      <c r="K94" s="27">
        <v>0.0</v>
      </c>
      <c r="L94" s="27">
        <v>0.0</v>
      </c>
      <c r="M94" s="27">
        <v>0.0</v>
      </c>
      <c r="N94" s="5">
        <f t="shared" si="105"/>
        <v>0</v>
      </c>
      <c r="O94" s="28" t="str">
        <f t="shared" si="106"/>
        <v/>
      </c>
      <c r="P94" s="5"/>
      <c r="Q94" s="5"/>
      <c r="R94" s="29" t="s">
        <v>34</v>
      </c>
      <c r="S94" s="30">
        <v>0.0</v>
      </c>
      <c r="T94" s="31">
        <v>0.05</v>
      </c>
      <c r="U94" s="26">
        <f t="shared" ref="U94:AF94" si="123">IF($R94="Manual","",IFERROR(IF($R94="YOY Growth",$N94*(1+$T94)/12,$S94/12),""))</f>
        <v>0</v>
      </c>
      <c r="V94" s="26">
        <f t="shared" si="123"/>
        <v>0</v>
      </c>
      <c r="W94" s="26">
        <f t="shared" si="123"/>
        <v>0</v>
      </c>
      <c r="X94" s="26">
        <f t="shared" si="123"/>
        <v>0</v>
      </c>
      <c r="Y94" s="26">
        <f t="shared" si="123"/>
        <v>0</v>
      </c>
      <c r="Z94" s="26">
        <f t="shared" si="123"/>
        <v>0</v>
      </c>
      <c r="AA94" s="26">
        <f t="shared" si="123"/>
        <v>0</v>
      </c>
      <c r="AB94" s="26">
        <f t="shared" si="123"/>
        <v>0</v>
      </c>
      <c r="AC94" s="26">
        <f t="shared" si="123"/>
        <v>0</v>
      </c>
      <c r="AD94" s="26">
        <f t="shared" si="123"/>
        <v>0</v>
      </c>
      <c r="AE94" s="26">
        <f t="shared" si="123"/>
        <v>0</v>
      </c>
      <c r="AF94" s="26">
        <f t="shared" si="123"/>
        <v>0</v>
      </c>
      <c r="AG94" s="5">
        <f t="shared" si="108"/>
        <v>0</v>
      </c>
      <c r="AH94" s="28" t="str">
        <f t="shared" si="109"/>
        <v/>
      </c>
      <c r="AI94" s="4"/>
      <c r="AJ94" s="5">
        <f t="shared" si="110"/>
        <v>0</v>
      </c>
    </row>
    <row r="95" ht="13.5" customHeight="1">
      <c r="A95" s="25" t="s">
        <v>120</v>
      </c>
      <c r="B95" s="5">
        <v>2825.54</v>
      </c>
      <c r="C95" s="5">
        <v>0.0</v>
      </c>
      <c r="D95" s="5">
        <v>1968.65</v>
      </c>
      <c r="E95" s="5">
        <v>2282.91</v>
      </c>
      <c r="F95" s="5">
        <v>2569.77</v>
      </c>
      <c r="G95" s="5">
        <v>274.28</v>
      </c>
      <c r="H95" s="5">
        <v>516.4</v>
      </c>
      <c r="I95" s="5">
        <v>467.43</v>
      </c>
      <c r="J95" s="27">
        <v>2700.0</v>
      </c>
      <c r="K95" s="27">
        <v>2700.0</v>
      </c>
      <c r="L95" s="27">
        <v>2700.0</v>
      </c>
      <c r="M95" s="27">
        <v>2700.0</v>
      </c>
      <c r="N95" s="5">
        <f t="shared" si="105"/>
        <v>21704.98</v>
      </c>
      <c r="O95" s="28" t="str">
        <f t="shared" si="106"/>
        <v/>
      </c>
      <c r="P95" s="5"/>
      <c r="Q95" s="5"/>
      <c r="R95" s="29" t="s">
        <v>34</v>
      </c>
      <c r="S95" s="38">
        <v>32400.0</v>
      </c>
      <c r="T95" s="31">
        <v>0.05</v>
      </c>
      <c r="U95" s="26">
        <f t="shared" ref="U95:X95" si="124">IF($R95="Manual","",IFERROR(IF($R95="YOY Growth",$N95*(1+$T95)/12,$S95/12),""))</f>
        <v>2700</v>
      </c>
      <c r="V95" s="26">
        <f t="shared" si="124"/>
        <v>2700</v>
      </c>
      <c r="W95" s="26">
        <f t="shared" si="124"/>
        <v>2700</v>
      </c>
      <c r="X95" s="26">
        <f t="shared" si="124"/>
        <v>2700</v>
      </c>
      <c r="Y95" s="26">
        <f t="shared" ref="Y95:AE95" si="125">IF($R95="Manual","",IFERROR(IF($R95="YOY Growth",$N95*(1+$T95)/12,$S95/12),""))*Y146</f>
        <v>2835</v>
      </c>
      <c r="Z95" s="26">
        <f t="shared" si="125"/>
        <v>2970</v>
      </c>
      <c r="AA95" s="26">
        <f t="shared" si="125"/>
        <v>3105</v>
      </c>
      <c r="AB95" s="26">
        <f t="shared" si="125"/>
        <v>3240</v>
      </c>
      <c r="AC95" s="26">
        <f t="shared" si="125"/>
        <v>3375</v>
      </c>
      <c r="AD95" s="26">
        <f t="shared" si="125"/>
        <v>3510</v>
      </c>
      <c r="AE95" s="26">
        <f t="shared" si="125"/>
        <v>3645</v>
      </c>
      <c r="AF95" s="26">
        <f>IF($R95="Manual","",IFERROR(IF($R95="YOY Growth",$N95*(1+$T95)/12,$S95/12),""))</f>
        <v>2700</v>
      </c>
      <c r="AG95" s="5">
        <f t="shared" si="108"/>
        <v>36180</v>
      </c>
      <c r="AH95" s="28" t="str">
        <f t="shared" si="109"/>
        <v/>
      </c>
      <c r="AI95" s="4"/>
      <c r="AJ95" s="5">
        <f t="shared" si="110"/>
        <v>-14475.02</v>
      </c>
    </row>
    <row r="96" ht="13.5" customHeight="1">
      <c r="A96" s="25" t="s">
        <v>121</v>
      </c>
      <c r="B96" s="5">
        <v>0.0</v>
      </c>
      <c r="C96" s="5">
        <v>0.0</v>
      </c>
      <c r="D96" s="5">
        <v>0.0</v>
      </c>
      <c r="E96" s="5">
        <v>0.0</v>
      </c>
      <c r="F96" s="5">
        <v>0.0</v>
      </c>
      <c r="G96" s="5">
        <v>0.0</v>
      </c>
      <c r="H96" s="5">
        <v>0.0</v>
      </c>
      <c r="I96" s="5">
        <v>0.0</v>
      </c>
      <c r="J96" s="27">
        <v>0.0</v>
      </c>
      <c r="K96" s="27">
        <v>0.0</v>
      </c>
      <c r="L96" s="27">
        <v>0.0</v>
      </c>
      <c r="M96" s="27">
        <v>0.0</v>
      </c>
      <c r="N96" s="5">
        <f t="shared" si="105"/>
        <v>0</v>
      </c>
      <c r="O96" s="28" t="str">
        <f t="shared" si="106"/>
        <v/>
      </c>
      <c r="P96" s="5"/>
      <c r="Q96" s="5"/>
      <c r="R96" s="29" t="s">
        <v>34</v>
      </c>
      <c r="S96" s="30">
        <v>0.0</v>
      </c>
      <c r="T96" s="31">
        <v>0.05</v>
      </c>
      <c r="U96" s="26">
        <f t="shared" ref="U96:AF96" si="126">IF($R96="Manual","",IFERROR(IF($R96="YOY Growth",$N96*(1+$T96)/12,$S96/12),""))</f>
        <v>0</v>
      </c>
      <c r="V96" s="26">
        <f t="shared" si="126"/>
        <v>0</v>
      </c>
      <c r="W96" s="26">
        <f t="shared" si="126"/>
        <v>0</v>
      </c>
      <c r="X96" s="26">
        <f t="shared" si="126"/>
        <v>0</v>
      </c>
      <c r="Y96" s="26">
        <f t="shared" si="126"/>
        <v>0</v>
      </c>
      <c r="Z96" s="26">
        <f t="shared" si="126"/>
        <v>0</v>
      </c>
      <c r="AA96" s="26">
        <f t="shared" si="126"/>
        <v>0</v>
      </c>
      <c r="AB96" s="26">
        <f t="shared" si="126"/>
        <v>0</v>
      </c>
      <c r="AC96" s="26">
        <f t="shared" si="126"/>
        <v>0</v>
      </c>
      <c r="AD96" s="26">
        <f t="shared" si="126"/>
        <v>0</v>
      </c>
      <c r="AE96" s="26">
        <f t="shared" si="126"/>
        <v>0</v>
      </c>
      <c r="AF96" s="26">
        <f t="shared" si="126"/>
        <v>0</v>
      </c>
      <c r="AG96" s="5">
        <f t="shared" si="108"/>
        <v>0</v>
      </c>
      <c r="AH96" s="28" t="str">
        <f t="shared" si="109"/>
        <v/>
      </c>
      <c r="AI96" s="4"/>
      <c r="AJ96" s="5">
        <f t="shared" si="110"/>
        <v>0</v>
      </c>
    </row>
    <row r="97" ht="13.5" customHeight="1">
      <c r="A97" s="25" t="s">
        <v>122</v>
      </c>
      <c r="B97" s="5">
        <v>0.0</v>
      </c>
      <c r="C97" s="5">
        <v>0.0</v>
      </c>
      <c r="D97" s="5">
        <v>0.0</v>
      </c>
      <c r="E97" s="5">
        <v>0.0</v>
      </c>
      <c r="F97" s="5">
        <v>0.0</v>
      </c>
      <c r="G97" s="5">
        <v>0.0</v>
      </c>
      <c r="H97" s="5">
        <v>0.0</v>
      </c>
      <c r="I97" s="5">
        <v>0.0</v>
      </c>
      <c r="J97" s="27">
        <v>0.0</v>
      </c>
      <c r="K97" s="27">
        <v>0.0</v>
      </c>
      <c r="L97" s="27">
        <v>0.0</v>
      </c>
      <c r="M97" s="27">
        <v>0.0</v>
      </c>
      <c r="N97" s="5">
        <f t="shared" si="105"/>
        <v>0</v>
      </c>
      <c r="O97" s="28" t="str">
        <f t="shared" si="106"/>
        <v/>
      </c>
      <c r="P97" s="5"/>
      <c r="Q97" s="5"/>
      <c r="R97" s="29" t="s">
        <v>34</v>
      </c>
      <c r="S97" s="30">
        <v>0.0</v>
      </c>
      <c r="T97" s="31">
        <v>0.05</v>
      </c>
      <c r="U97" s="26">
        <f t="shared" ref="U97:AF97" si="127">IF($R97="Manual","",IFERROR(IF($R97="YOY Growth",$N97*(1+$T97)/12,$S97/12),""))</f>
        <v>0</v>
      </c>
      <c r="V97" s="26">
        <f t="shared" si="127"/>
        <v>0</v>
      </c>
      <c r="W97" s="26">
        <f t="shared" si="127"/>
        <v>0</v>
      </c>
      <c r="X97" s="26">
        <f t="shared" si="127"/>
        <v>0</v>
      </c>
      <c r="Y97" s="26">
        <f t="shared" si="127"/>
        <v>0</v>
      </c>
      <c r="Z97" s="26">
        <f t="shared" si="127"/>
        <v>0</v>
      </c>
      <c r="AA97" s="26">
        <f t="shared" si="127"/>
        <v>0</v>
      </c>
      <c r="AB97" s="26">
        <f t="shared" si="127"/>
        <v>0</v>
      </c>
      <c r="AC97" s="26">
        <f t="shared" si="127"/>
        <v>0</v>
      </c>
      <c r="AD97" s="26">
        <f t="shared" si="127"/>
        <v>0</v>
      </c>
      <c r="AE97" s="26">
        <f t="shared" si="127"/>
        <v>0</v>
      </c>
      <c r="AF97" s="26">
        <f t="shared" si="127"/>
        <v>0</v>
      </c>
      <c r="AG97" s="5">
        <f t="shared" si="108"/>
        <v>0</v>
      </c>
      <c r="AH97" s="28" t="str">
        <f t="shared" si="109"/>
        <v/>
      </c>
      <c r="AI97" s="4"/>
      <c r="AJ97" s="5">
        <f t="shared" si="110"/>
        <v>0</v>
      </c>
    </row>
    <row r="98" ht="13.5" customHeight="1">
      <c r="A98" s="25" t="s">
        <v>123</v>
      </c>
      <c r="B98" s="5">
        <v>0.0</v>
      </c>
      <c r="C98" s="5">
        <v>0.0</v>
      </c>
      <c r="D98" s="5">
        <v>0.0</v>
      </c>
      <c r="E98" s="5">
        <v>0.0</v>
      </c>
      <c r="F98" s="5">
        <v>0.0</v>
      </c>
      <c r="G98" s="5">
        <v>0.0</v>
      </c>
      <c r="H98" s="5">
        <v>0.0</v>
      </c>
      <c r="I98" s="5">
        <v>0.0</v>
      </c>
      <c r="J98" s="27">
        <v>0.0</v>
      </c>
      <c r="K98" s="27">
        <v>0.0</v>
      </c>
      <c r="L98" s="27">
        <v>0.0</v>
      </c>
      <c r="M98" s="27">
        <v>0.0</v>
      </c>
      <c r="N98" s="5">
        <f t="shared" si="105"/>
        <v>0</v>
      </c>
      <c r="O98" s="28" t="str">
        <f t="shared" si="106"/>
        <v/>
      </c>
      <c r="P98" s="5"/>
      <c r="Q98" s="5"/>
      <c r="R98" s="29" t="s">
        <v>34</v>
      </c>
      <c r="S98" s="30">
        <v>0.0</v>
      </c>
      <c r="T98" s="31">
        <v>0.05</v>
      </c>
      <c r="U98" s="26">
        <f t="shared" ref="U98:AF98" si="128">IF($R98="Manual","",IFERROR(IF($R98="YOY Growth",$N98*(1+$T98)/12,$S98/12),""))</f>
        <v>0</v>
      </c>
      <c r="V98" s="26">
        <f t="shared" si="128"/>
        <v>0</v>
      </c>
      <c r="W98" s="26">
        <f t="shared" si="128"/>
        <v>0</v>
      </c>
      <c r="X98" s="26">
        <f t="shared" si="128"/>
        <v>0</v>
      </c>
      <c r="Y98" s="26">
        <f t="shared" si="128"/>
        <v>0</v>
      </c>
      <c r="Z98" s="26">
        <f t="shared" si="128"/>
        <v>0</v>
      </c>
      <c r="AA98" s="26">
        <f t="shared" si="128"/>
        <v>0</v>
      </c>
      <c r="AB98" s="26">
        <f t="shared" si="128"/>
        <v>0</v>
      </c>
      <c r="AC98" s="26">
        <f t="shared" si="128"/>
        <v>0</v>
      </c>
      <c r="AD98" s="26">
        <f t="shared" si="128"/>
        <v>0</v>
      </c>
      <c r="AE98" s="26">
        <f t="shared" si="128"/>
        <v>0</v>
      </c>
      <c r="AF98" s="26">
        <f t="shared" si="128"/>
        <v>0</v>
      </c>
      <c r="AG98" s="5">
        <f t="shared" si="108"/>
        <v>0</v>
      </c>
      <c r="AH98" s="28" t="str">
        <f t="shared" si="109"/>
        <v/>
      </c>
      <c r="AI98" s="4"/>
      <c r="AJ98" s="5">
        <f t="shared" si="110"/>
        <v>0</v>
      </c>
    </row>
    <row r="99" ht="13.5" customHeight="1">
      <c r="A99" s="25" t="s">
        <v>124</v>
      </c>
      <c r="B99" s="5">
        <v>108.95</v>
      </c>
      <c r="C99" s="5">
        <v>653.17</v>
      </c>
      <c r="D99" s="5">
        <v>183.94</v>
      </c>
      <c r="E99" s="5">
        <v>108.95</v>
      </c>
      <c r="F99" s="5">
        <v>0.0</v>
      </c>
      <c r="G99" s="5">
        <v>48.95</v>
      </c>
      <c r="H99" s="5">
        <v>125.05</v>
      </c>
      <c r="I99" s="5">
        <v>64.2</v>
      </c>
      <c r="J99" s="27">
        <v>450.0</v>
      </c>
      <c r="K99" s="27">
        <v>450.0</v>
      </c>
      <c r="L99" s="27">
        <v>450.0</v>
      </c>
      <c r="M99" s="27">
        <v>450.0</v>
      </c>
      <c r="N99" s="5">
        <f t="shared" si="105"/>
        <v>3093.21</v>
      </c>
      <c r="O99" s="28" t="str">
        <f t="shared" si="106"/>
        <v/>
      </c>
      <c r="P99" s="5"/>
      <c r="Q99" s="5"/>
      <c r="R99" s="29" t="s">
        <v>34</v>
      </c>
      <c r="S99" s="38">
        <v>5400.0</v>
      </c>
      <c r="T99" s="31">
        <v>0.05</v>
      </c>
      <c r="U99" s="26">
        <f t="shared" ref="U99:AF99" si="129">IF($R99="Manual","",IFERROR(IF($R99="YOY Growth",$N99*(1+$T99)/12,$S99/12),""))</f>
        <v>450</v>
      </c>
      <c r="V99" s="26">
        <f t="shared" si="129"/>
        <v>450</v>
      </c>
      <c r="W99" s="26">
        <f t="shared" si="129"/>
        <v>450</v>
      </c>
      <c r="X99" s="26">
        <f t="shared" si="129"/>
        <v>450</v>
      </c>
      <c r="Y99" s="26">
        <f t="shared" si="129"/>
        <v>450</v>
      </c>
      <c r="Z99" s="26">
        <f t="shared" si="129"/>
        <v>450</v>
      </c>
      <c r="AA99" s="26">
        <f t="shared" si="129"/>
        <v>450</v>
      </c>
      <c r="AB99" s="26">
        <f t="shared" si="129"/>
        <v>450</v>
      </c>
      <c r="AC99" s="26">
        <f t="shared" si="129"/>
        <v>450</v>
      </c>
      <c r="AD99" s="26">
        <f t="shared" si="129"/>
        <v>450</v>
      </c>
      <c r="AE99" s="26">
        <f t="shared" si="129"/>
        <v>450</v>
      </c>
      <c r="AF99" s="26">
        <f t="shared" si="129"/>
        <v>450</v>
      </c>
      <c r="AG99" s="5">
        <f t="shared" si="108"/>
        <v>5400</v>
      </c>
      <c r="AH99" s="28" t="str">
        <f t="shared" si="109"/>
        <v/>
      </c>
      <c r="AI99" s="4"/>
      <c r="AJ99" s="5">
        <f t="shared" si="110"/>
        <v>-2306.79</v>
      </c>
    </row>
    <row r="100" ht="13.5" customHeight="1">
      <c r="A100" s="25" t="s">
        <v>126</v>
      </c>
      <c r="B100" s="5">
        <v>0.0</v>
      </c>
      <c r="C100" s="5">
        <v>0.0</v>
      </c>
      <c r="D100" s="5">
        <v>0.0</v>
      </c>
      <c r="E100" s="5">
        <v>0.0</v>
      </c>
      <c r="F100" s="5">
        <v>0.0</v>
      </c>
      <c r="G100" s="5">
        <v>0.0</v>
      </c>
      <c r="H100" s="5">
        <v>0.0</v>
      </c>
      <c r="I100" s="5">
        <v>0.0</v>
      </c>
      <c r="J100" s="27">
        <v>0.0</v>
      </c>
      <c r="K100" s="27">
        <v>0.0</v>
      </c>
      <c r="L100" s="27">
        <v>0.0</v>
      </c>
      <c r="M100" s="27">
        <v>0.0</v>
      </c>
      <c r="N100" s="5">
        <f t="shared" si="105"/>
        <v>0</v>
      </c>
      <c r="O100" s="28" t="str">
        <f t="shared" si="106"/>
        <v/>
      </c>
      <c r="P100" s="5"/>
      <c r="Q100" s="5"/>
      <c r="R100" s="29" t="s">
        <v>34</v>
      </c>
      <c r="S100" s="30">
        <v>0.0</v>
      </c>
      <c r="T100" s="31">
        <v>0.05</v>
      </c>
      <c r="U100" s="26">
        <f t="shared" ref="U100:AF100" si="130">IF($R100="Manual","",IFERROR(IF($R100="YOY Growth",$N100*(1+$T100)/12,$S100/12),""))</f>
        <v>0</v>
      </c>
      <c r="V100" s="26">
        <f t="shared" si="130"/>
        <v>0</v>
      </c>
      <c r="W100" s="26">
        <f t="shared" si="130"/>
        <v>0</v>
      </c>
      <c r="X100" s="26">
        <f t="shared" si="130"/>
        <v>0</v>
      </c>
      <c r="Y100" s="26">
        <f t="shared" si="130"/>
        <v>0</v>
      </c>
      <c r="Z100" s="26">
        <f t="shared" si="130"/>
        <v>0</v>
      </c>
      <c r="AA100" s="26">
        <f t="shared" si="130"/>
        <v>0</v>
      </c>
      <c r="AB100" s="26">
        <f t="shared" si="130"/>
        <v>0</v>
      </c>
      <c r="AC100" s="26">
        <f t="shared" si="130"/>
        <v>0</v>
      </c>
      <c r="AD100" s="26">
        <f t="shared" si="130"/>
        <v>0</v>
      </c>
      <c r="AE100" s="26">
        <f t="shared" si="130"/>
        <v>0</v>
      </c>
      <c r="AF100" s="26">
        <f t="shared" si="130"/>
        <v>0</v>
      </c>
      <c r="AG100" s="5">
        <f t="shared" si="108"/>
        <v>0</v>
      </c>
      <c r="AH100" s="28" t="str">
        <f t="shared" si="109"/>
        <v/>
      </c>
      <c r="AI100" s="4"/>
      <c r="AJ100" s="5">
        <f t="shared" si="110"/>
        <v>0</v>
      </c>
    </row>
    <row r="101" ht="13.5" customHeight="1">
      <c r="A101" s="25" t="s">
        <v>128</v>
      </c>
      <c r="B101" s="5">
        <v>0.0</v>
      </c>
      <c r="C101" s="5">
        <v>0.0</v>
      </c>
      <c r="D101" s="5">
        <v>0.0</v>
      </c>
      <c r="E101" s="5">
        <v>0.0</v>
      </c>
      <c r="F101" s="5">
        <v>0.0</v>
      </c>
      <c r="G101" s="5">
        <v>0.0</v>
      </c>
      <c r="H101" s="5">
        <v>0.0</v>
      </c>
      <c r="I101" s="5">
        <v>0.0</v>
      </c>
      <c r="J101" s="27">
        <v>0.0</v>
      </c>
      <c r="K101" s="27">
        <v>0.0</v>
      </c>
      <c r="L101" s="27">
        <v>0.0</v>
      </c>
      <c r="M101" s="27">
        <v>0.0</v>
      </c>
      <c r="N101" s="5">
        <f t="shared" si="105"/>
        <v>0</v>
      </c>
      <c r="O101" s="28" t="str">
        <f t="shared" si="106"/>
        <v/>
      </c>
      <c r="P101" s="5"/>
      <c r="Q101" s="5"/>
      <c r="R101" s="29" t="s">
        <v>34</v>
      </c>
      <c r="S101" s="30">
        <v>0.0</v>
      </c>
      <c r="T101" s="31">
        <v>0.05</v>
      </c>
      <c r="U101" s="26">
        <f t="shared" ref="U101:AF101" si="131">IF($R101="Manual","",IFERROR(IF($R101="YOY Growth",$N101*(1+$T101)/12,$S101/12),""))</f>
        <v>0</v>
      </c>
      <c r="V101" s="26">
        <f t="shared" si="131"/>
        <v>0</v>
      </c>
      <c r="W101" s="26">
        <f t="shared" si="131"/>
        <v>0</v>
      </c>
      <c r="X101" s="26">
        <f t="shared" si="131"/>
        <v>0</v>
      </c>
      <c r="Y101" s="26">
        <f t="shared" si="131"/>
        <v>0</v>
      </c>
      <c r="Z101" s="26">
        <f t="shared" si="131"/>
        <v>0</v>
      </c>
      <c r="AA101" s="26">
        <f t="shared" si="131"/>
        <v>0</v>
      </c>
      <c r="AB101" s="26">
        <f t="shared" si="131"/>
        <v>0</v>
      </c>
      <c r="AC101" s="26">
        <f t="shared" si="131"/>
        <v>0</v>
      </c>
      <c r="AD101" s="26">
        <f t="shared" si="131"/>
        <v>0</v>
      </c>
      <c r="AE101" s="26">
        <f t="shared" si="131"/>
        <v>0</v>
      </c>
      <c r="AF101" s="26">
        <f t="shared" si="131"/>
        <v>0</v>
      </c>
      <c r="AG101" s="5">
        <f t="shared" si="108"/>
        <v>0</v>
      </c>
      <c r="AH101" s="28" t="str">
        <f t="shared" si="109"/>
        <v/>
      </c>
      <c r="AI101" s="4"/>
      <c r="AJ101" s="5">
        <f t="shared" si="110"/>
        <v>0</v>
      </c>
    </row>
    <row r="102" ht="13.5" customHeight="1">
      <c r="A102" s="25" t="s">
        <v>129</v>
      </c>
      <c r="B102" s="5">
        <v>0.0</v>
      </c>
      <c r="C102" s="5">
        <v>188.66</v>
      </c>
      <c r="D102" s="5">
        <v>0.0</v>
      </c>
      <c r="E102" s="5">
        <v>0.0</v>
      </c>
      <c r="F102" s="5">
        <v>0.0</v>
      </c>
      <c r="G102" s="5">
        <v>0.0</v>
      </c>
      <c r="H102" s="5">
        <v>0.0</v>
      </c>
      <c r="I102" s="5">
        <v>34.99</v>
      </c>
      <c r="J102" s="27">
        <v>0.0</v>
      </c>
      <c r="K102" s="27">
        <v>0.0</v>
      </c>
      <c r="L102" s="27">
        <v>0.0</v>
      </c>
      <c r="M102" s="27">
        <v>0.0</v>
      </c>
      <c r="N102" s="5">
        <f t="shared" si="105"/>
        <v>223.65</v>
      </c>
      <c r="O102" s="28" t="str">
        <f t="shared" si="106"/>
        <v/>
      </c>
      <c r="P102" s="5"/>
      <c r="Q102" s="5"/>
      <c r="R102" s="29" t="s">
        <v>34</v>
      </c>
      <c r="S102" s="38"/>
      <c r="T102" s="31">
        <v>0.05</v>
      </c>
      <c r="U102" s="26">
        <f t="shared" ref="U102:X102" si="132">IF($R102="Manual","",IFERROR(IF($R102="YOY Growth",$N102*(1+$T102)/12,$S102/12),""))</f>
        <v>0</v>
      </c>
      <c r="V102" s="26">
        <f t="shared" si="132"/>
        <v>0</v>
      </c>
      <c r="W102" s="26">
        <f t="shared" si="132"/>
        <v>0</v>
      </c>
      <c r="X102" s="26">
        <f t="shared" si="132"/>
        <v>0</v>
      </c>
      <c r="Y102" s="26">
        <f t="shared" ref="Y102:AE102" si="133">IF($R102="Manual","",IFERROR(IF($R102="YOY Growth",$N102*(1+$T102)/12,$S102/12),""))*Y146</f>
        <v>0</v>
      </c>
      <c r="Z102" s="26">
        <f t="shared" si="133"/>
        <v>0</v>
      </c>
      <c r="AA102" s="26">
        <f t="shared" si="133"/>
        <v>0</v>
      </c>
      <c r="AB102" s="26">
        <f t="shared" si="133"/>
        <v>0</v>
      </c>
      <c r="AC102" s="26">
        <f t="shared" si="133"/>
        <v>0</v>
      </c>
      <c r="AD102" s="26">
        <f t="shared" si="133"/>
        <v>0</v>
      </c>
      <c r="AE102" s="26">
        <f t="shared" si="133"/>
        <v>0</v>
      </c>
      <c r="AF102" s="26">
        <f>IF($R102="Manual","",IFERROR(IF($R102="YOY Growth",$N102*(1+$T102)/12,$S102/12),""))</f>
        <v>0</v>
      </c>
      <c r="AG102" s="5">
        <f t="shared" si="108"/>
        <v>0</v>
      </c>
      <c r="AH102" s="28" t="str">
        <f t="shared" si="109"/>
        <v/>
      </c>
      <c r="AI102" s="4"/>
      <c r="AJ102" s="5">
        <f t="shared" si="110"/>
        <v>223.65</v>
      </c>
    </row>
    <row r="103" ht="13.5" customHeight="1">
      <c r="A103" s="25" t="s">
        <v>130</v>
      </c>
      <c r="B103" s="5">
        <v>0.0</v>
      </c>
      <c r="C103" s="5">
        <v>0.0</v>
      </c>
      <c r="D103" s="5">
        <v>0.0</v>
      </c>
      <c r="E103" s="5">
        <v>0.0</v>
      </c>
      <c r="F103" s="5">
        <v>0.0</v>
      </c>
      <c r="G103" s="5">
        <v>0.0</v>
      </c>
      <c r="H103" s="5">
        <v>0.0</v>
      </c>
      <c r="I103" s="5">
        <v>0.0</v>
      </c>
      <c r="J103" s="27">
        <v>0.0</v>
      </c>
      <c r="K103" s="27">
        <v>0.0</v>
      </c>
      <c r="L103" s="27">
        <v>0.0</v>
      </c>
      <c r="M103" s="27">
        <v>0.0</v>
      </c>
      <c r="N103" s="5">
        <f t="shared" si="105"/>
        <v>0</v>
      </c>
      <c r="O103" s="28" t="str">
        <f t="shared" si="106"/>
        <v/>
      </c>
      <c r="P103" s="5"/>
      <c r="Q103" s="5"/>
      <c r="R103" s="29" t="s">
        <v>34</v>
      </c>
      <c r="S103" s="30">
        <v>0.0</v>
      </c>
      <c r="T103" s="31">
        <v>0.05</v>
      </c>
      <c r="U103" s="26">
        <f t="shared" ref="U103:AF103" si="134">IF($R103="Manual","",IFERROR(IF($R103="YOY Growth",$N103*(1+$T103)/12,$S103/12),""))</f>
        <v>0</v>
      </c>
      <c r="V103" s="26">
        <f t="shared" si="134"/>
        <v>0</v>
      </c>
      <c r="W103" s="26">
        <f t="shared" si="134"/>
        <v>0</v>
      </c>
      <c r="X103" s="26">
        <f t="shared" si="134"/>
        <v>0</v>
      </c>
      <c r="Y103" s="26">
        <f t="shared" si="134"/>
        <v>0</v>
      </c>
      <c r="Z103" s="26">
        <f t="shared" si="134"/>
        <v>0</v>
      </c>
      <c r="AA103" s="26">
        <f t="shared" si="134"/>
        <v>0</v>
      </c>
      <c r="AB103" s="26">
        <f t="shared" si="134"/>
        <v>0</v>
      </c>
      <c r="AC103" s="26">
        <f t="shared" si="134"/>
        <v>0</v>
      </c>
      <c r="AD103" s="26">
        <f t="shared" si="134"/>
        <v>0</v>
      </c>
      <c r="AE103" s="26">
        <f t="shared" si="134"/>
        <v>0</v>
      </c>
      <c r="AF103" s="26">
        <f t="shared" si="134"/>
        <v>0</v>
      </c>
      <c r="AG103" s="5">
        <f t="shared" si="108"/>
        <v>0</v>
      </c>
      <c r="AH103" s="28" t="str">
        <f t="shared" si="109"/>
        <v/>
      </c>
      <c r="AI103" s="4"/>
      <c r="AJ103" s="5">
        <f t="shared" si="110"/>
        <v>0</v>
      </c>
    </row>
    <row r="104" ht="13.5" customHeight="1">
      <c r="A104" s="25" t="s">
        <v>131</v>
      </c>
      <c r="B104" s="5">
        <v>0.0</v>
      </c>
      <c r="C104" s="5">
        <v>0.0</v>
      </c>
      <c r="D104" s="5">
        <v>0.0</v>
      </c>
      <c r="E104" s="5">
        <v>0.0</v>
      </c>
      <c r="F104" s="5">
        <v>0.0</v>
      </c>
      <c r="G104" s="5">
        <v>0.0</v>
      </c>
      <c r="H104" s="5">
        <v>0.0</v>
      </c>
      <c r="I104" s="5">
        <v>0.0</v>
      </c>
      <c r="J104" s="27">
        <v>0.0</v>
      </c>
      <c r="K104" s="27">
        <v>0.0</v>
      </c>
      <c r="L104" s="27">
        <v>0.0</v>
      </c>
      <c r="M104" s="27">
        <v>0.0</v>
      </c>
      <c r="N104" s="5">
        <f t="shared" si="105"/>
        <v>0</v>
      </c>
      <c r="O104" s="28" t="str">
        <f t="shared" si="106"/>
        <v/>
      </c>
      <c r="P104" s="5"/>
      <c r="Q104" s="5"/>
      <c r="R104" s="29" t="s">
        <v>34</v>
      </c>
      <c r="S104" s="30">
        <v>0.0</v>
      </c>
      <c r="T104" s="31">
        <v>0.05</v>
      </c>
      <c r="U104" s="26">
        <f t="shared" ref="U104:AF104" si="135">IF($R104="Manual","",IFERROR(IF($R104="YOY Growth",$N104*(1+$T104)/12,$S104/12),""))</f>
        <v>0</v>
      </c>
      <c r="V104" s="26">
        <f t="shared" si="135"/>
        <v>0</v>
      </c>
      <c r="W104" s="26">
        <f t="shared" si="135"/>
        <v>0</v>
      </c>
      <c r="X104" s="26">
        <f t="shared" si="135"/>
        <v>0</v>
      </c>
      <c r="Y104" s="26">
        <f t="shared" si="135"/>
        <v>0</v>
      </c>
      <c r="Z104" s="26">
        <f t="shared" si="135"/>
        <v>0</v>
      </c>
      <c r="AA104" s="26">
        <f t="shared" si="135"/>
        <v>0</v>
      </c>
      <c r="AB104" s="26">
        <f t="shared" si="135"/>
        <v>0</v>
      </c>
      <c r="AC104" s="26">
        <f t="shared" si="135"/>
        <v>0</v>
      </c>
      <c r="AD104" s="26">
        <f t="shared" si="135"/>
        <v>0</v>
      </c>
      <c r="AE104" s="26">
        <f t="shared" si="135"/>
        <v>0</v>
      </c>
      <c r="AF104" s="26">
        <f t="shared" si="135"/>
        <v>0</v>
      </c>
      <c r="AG104" s="5">
        <f t="shared" si="108"/>
        <v>0</v>
      </c>
      <c r="AH104" s="28" t="str">
        <f t="shared" si="109"/>
        <v/>
      </c>
      <c r="AI104" s="4"/>
      <c r="AJ104" s="5">
        <f t="shared" si="110"/>
        <v>0</v>
      </c>
    </row>
    <row r="105" ht="13.5" customHeight="1">
      <c r="A105" s="25" t="s">
        <v>132</v>
      </c>
      <c r="B105" s="5">
        <v>0.0</v>
      </c>
      <c r="C105" s="5">
        <v>0.0</v>
      </c>
      <c r="D105" s="5">
        <v>0.0</v>
      </c>
      <c r="E105" s="5">
        <v>0.0</v>
      </c>
      <c r="F105" s="5">
        <v>0.0</v>
      </c>
      <c r="G105" s="5">
        <v>0.0</v>
      </c>
      <c r="H105" s="5">
        <v>0.0</v>
      </c>
      <c r="I105" s="5">
        <v>0.0</v>
      </c>
      <c r="J105" s="27">
        <v>0.0</v>
      </c>
      <c r="K105" s="27">
        <v>0.0</v>
      </c>
      <c r="L105" s="27">
        <v>0.0</v>
      </c>
      <c r="M105" s="27">
        <v>0.0</v>
      </c>
      <c r="N105" s="5">
        <f t="shared" si="105"/>
        <v>0</v>
      </c>
      <c r="O105" s="28" t="str">
        <f t="shared" si="106"/>
        <v/>
      </c>
      <c r="P105" s="5"/>
      <c r="Q105" s="5"/>
      <c r="R105" s="29" t="s">
        <v>34</v>
      </c>
      <c r="S105" s="30">
        <v>0.0</v>
      </c>
      <c r="T105" s="31">
        <v>0.05</v>
      </c>
      <c r="U105" s="26">
        <f t="shared" ref="U105:AF105" si="136">IF($R105="Manual","",IFERROR(IF($R105="YOY Growth",$N105*(1+$T105)/12,$S105/12),""))</f>
        <v>0</v>
      </c>
      <c r="V105" s="26">
        <f t="shared" si="136"/>
        <v>0</v>
      </c>
      <c r="W105" s="26">
        <f t="shared" si="136"/>
        <v>0</v>
      </c>
      <c r="X105" s="26">
        <f t="shared" si="136"/>
        <v>0</v>
      </c>
      <c r="Y105" s="26">
        <f t="shared" si="136"/>
        <v>0</v>
      </c>
      <c r="Z105" s="26">
        <f t="shared" si="136"/>
        <v>0</v>
      </c>
      <c r="AA105" s="26">
        <f t="shared" si="136"/>
        <v>0</v>
      </c>
      <c r="AB105" s="26">
        <f t="shared" si="136"/>
        <v>0</v>
      </c>
      <c r="AC105" s="26">
        <f t="shared" si="136"/>
        <v>0</v>
      </c>
      <c r="AD105" s="26">
        <f t="shared" si="136"/>
        <v>0</v>
      </c>
      <c r="AE105" s="26">
        <f t="shared" si="136"/>
        <v>0</v>
      </c>
      <c r="AF105" s="26">
        <f t="shared" si="136"/>
        <v>0</v>
      </c>
      <c r="AG105" s="5">
        <f t="shared" si="108"/>
        <v>0</v>
      </c>
      <c r="AH105" s="28" t="str">
        <f t="shared" si="109"/>
        <v/>
      </c>
      <c r="AI105" s="4"/>
      <c r="AJ105" s="5">
        <f t="shared" si="110"/>
        <v>0</v>
      </c>
    </row>
    <row r="106" ht="13.5" customHeight="1">
      <c r="A106" s="25" t="s">
        <v>133</v>
      </c>
      <c r="B106" s="5">
        <v>0.0</v>
      </c>
      <c r="C106" s="5">
        <v>0.0</v>
      </c>
      <c r="D106" s="5">
        <v>0.0</v>
      </c>
      <c r="E106" s="5">
        <v>0.0</v>
      </c>
      <c r="F106" s="5">
        <v>0.0</v>
      </c>
      <c r="G106" s="5">
        <v>0.0</v>
      </c>
      <c r="H106" s="5">
        <v>0.0</v>
      </c>
      <c r="I106" s="5">
        <v>0.0</v>
      </c>
      <c r="J106" s="27">
        <v>0.0</v>
      </c>
      <c r="K106" s="27">
        <v>0.0</v>
      </c>
      <c r="L106" s="27">
        <v>0.0</v>
      </c>
      <c r="M106" s="27">
        <v>0.0</v>
      </c>
      <c r="N106" s="5">
        <f t="shared" si="105"/>
        <v>0</v>
      </c>
      <c r="O106" s="28" t="str">
        <f t="shared" si="106"/>
        <v/>
      </c>
      <c r="P106" s="5"/>
      <c r="Q106" s="5"/>
      <c r="R106" s="29" t="s">
        <v>34</v>
      </c>
      <c r="S106" s="30">
        <v>0.0</v>
      </c>
      <c r="T106" s="31">
        <v>0.05</v>
      </c>
      <c r="U106" s="26">
        <f t="shared" ref="U106:AF106" si="137">IF($R106="Manual","",IFERROR(IF($R106="YOY Growth",$N106*(1+$T106)/12,$S106/12),""))</f>
        <v>0</v>
      </c>
      <c r="V106" s="26">
        <f t="shared" si="137"/>
        <v>0</v>
      </c>
      <c r="W106" s="26">
        <f t="shared" si="137"/>
        <v>0</v>
      </c>
      <c r="X106" s="26">
        <f t="shared" si="137"/>
        <v>0</v>
      </c>
      <c r="Y106" s="26">
        <f t="shared" si="137"/>
        <v>0</v>
      </c>
      <c r="Z106" s="26">
        <f t="shared" si="137"/>
        <v>0</v>
      </c>
      <c r="AA106" s="26">
        <f t="shared" si="137"/>
        <v>0</v>
      </c>
      <c r="AB106" s="26">
        <f t="shared" si="137"/>
        <v>0</v>
      </c>
      <c r="AC106" s="26">
        <f t="shared" si="137"/>
        <v>0</v>
      </c>
      <c r="AD106" s="26">
        <f t="shared" si="137"/>
        <v>0</v>
      </c>
      <c r="AE106" s="26">
        <f t="shared" si="137"/>
        <v>0</v>
      </c>
      <c r="AF106" s="26">
        <f t="shared" si="137"/>
        <v>0</v>
      </c>
      <c r="AG106" s="5">
        <f t="shared" si="108"/>
        <v>0</v>
      </c>
      <c r="AH106" s="28" t="str">
        <f t="shared" si="109"/>
        <v/>
      </c>
      <c r="AI106" s="4"/>
      <c r="AJ106" s="5">
        <f t="shared" si="110"/>
        <v>0</v>
      </c>
    </row>
    <row r="107" ht="13.5" customHeight="1">
      <c r="A107" s="25" t="s">
        <v>135</v>
      </c>
      <c r="B107" s="5">
        <v>0.0</v>
      </c>
      <c r="C107" s="5">
        <v>0.0</v>
      </c>
      <c r="D107" s="5">
        <v>0.0</v>
      </c>
      <c r="E107" s="5">
        <v>0.0</v>
      </c>
      <c r="F107" s="5">
        <v>0.0</v>
      </c>
      <c r="G107" s="5">
        <v>0.0</v>
      </c>
      <c r="H107" s="5">
        <v>0.0</v>
      </c>
      <c r="I107" s="5">
        <v>0.0</v>
      </c>
      <c r="J107" s="27">
        <v>0.0</v>
      </c>
      <c r="K107" s="27">
        <v>0.0</v>
      </c>
      <c r="L107" s="27">
        <v>0.0</v>
      </c>
      <c r="M107" s="27">
        <v>0.0</v>
      </c>
      <c r="N107" s="5">
        <f t="shared" si="105"/>
        <v>0</v>
      </c>
      <c r="O107" s="28" t="str">
        <f t="shared" si="106"/>
        <v/>
      </c>
      <c r="P107" s="5"/>
      <c r="Q107" s="5"/>
      <c r="R107" s="29" t="s">
        <v>34</v>
      </c>
      <c r="S107" s="30">
        <v>0.0</v>
      </c>
      <c r="T107" s="31">
        <v>0.05</v>
      </c>
      <c r="U107" s="26">
        <f t="shared" ref="U107:AF107" si="138">IF($R107="Manual","",IFERROR(IF($R107="YOY Growth",$N107*(1+$T107)/12,$S107/12),""))</f>
        <v>0</v>
      </c>
      <c r="V107" s="26">
        <f t="shared" si="138"/>
        <v>0</v>
      </c>
      <c r="W107" s="26">
        <f t="shared" si="138"/>
        <v>0</v>
      </c>
      <c r="X107" s="26">
        <f t="shared" si="138"/>
        <v>0</v>
      </c>
      <c r="Y107" s="26">
        <f t="shared" si="138"/>
        <v>0</v>
      </c>
      <c r="Z107" s="26">
        <f t="shared" si="138"/>
        <v>0</v>
      </c>
      <c r="AA107" s="26">
        <f t="shared" si="138"/>
        <v>0</v>
      </c>
      <c r="AB107" s="26">
        <f t="shared" si="138"/>
        <v>0</v>
      </c>
      <c r="AC107" s="26">
        <f t="shared" si="138"/>
        <v>0</v>
      </c>
      <c r="AD107" s="26">
        <f t="shared" si="138"/>
        <v>0</v>
      </c>
      <c r="AE107" s="26">
        <f t="shared" si="138"/>
        <v>0</v>
      </c>
      <c r="AF107" s="26">
        <f t="shared" si="138"/>
        <v>0</v>
      </c>
      <c r="AG107" s="5">
        <f t="shared" si="108"/>
        <v>0</v>
      </c>
      <c r="AH107" s="28" t="str">
        <f t="shared" si="109"/>
        <v/>
      </c>
      <c r="AI107" s="4"/>
      <c r="AJ107" s="5">
        <f t="shared" si="110"/>
        <v>0</v>
      </c>
    </row>
    <row r="108" ht="13.5" customHeight="1">
      <c r="A108" s="25" t="s">
        <v>136</v>
      </c>
      <c r="B108" s="5">
        <v>0.0</v>
      </c>
      <c r="C108" s="5">
        <v>0.0</v>
      </c>
      <c r="D108" s="5">
        <v>0.0</v>
      </c>
      <c r="E108" s="5">
        <v>0.0</v>
      </c>
      <c r="F108" s="5">
        <v>0.0</v>
      </c>
      <c r="G108" s="5">
        <v>0.0</v>
      </c>
      <c r="H108" s="5">
        <v>0.0</v>
      </c>
      <c r="I108" s="5">
        <v>0.0</v>
      </c>
      <c r="J108" s="27">
        <v>0.0</v>
      </c>
      <c r="K108" s="27">
        <v>0.0</v>
      </c>
      <c r="L108" s="27">
        <v>0.0</v>
      </c>
      <c r="M108" s="27">
        <v>0.0</v>
      </c>
      <c r="N108" s="5">
        <f t="shared" si="105"/>
        <v>0</v>
      </c>
      <c r="O108" s="28" t="str">
        <f t="shared" si="106"/>
        <v/>
      </c>
      <c r="P108" s="5"/>
      <c r="Q108" s="5"/>
      <c r="R108" s="29" t="s">
        <v>34</v>
      </c>
      <c r="S108" s="30">
        <v>0.0</v>
      </c>
      <c r="T108" s="31">
        <v>0.05</v>
      </c>
      <c r="U108" s="26">
        <f t="shared" ref="U108:AF108" si="139">IF($R108="Manual","",IFERROR(IF($R108="YOY Growth",$N108*(1+$T108)/12,$S108/12),""))</f>
        <v>0</v>
      </c>
      <c r="V108" s="26">
        <f t="shared" si="139"/>
        <v>0</v>
      </c>
      <c r="W108" s="26">
        <f t="shared" si="139"/>
        <v>0</v>
      </c>
      <c r="X108" s="26">
        <f t="shared" si="139"/>
        <v>0</v>
      </c>
      <c r="Y108" s="26">
        <f t="shared" si="139"/>
        <v>0</v>
      </c>
      <c r="Z108" s="26">
        <f t="shared" si="139"/>
        <v>0</v>
      </c>
      <c r="AA108" s="26">
        <f t="shared" si="139"/>
        <v>0</v>
      </c>
      <c r="AB108" s="26">
        <f t="shared" si="139"/>
        <v>0</v>
      </c>
      <c r="AC108" s="26">
        <f t="shared" si="139"/>
        <v>0</v>
      </c>
      <c r="AD108" s="26">
        <f t="shared" si="139"/>
        <v>0</v>
      </c>
      <c r="AE108" s="26">
        <f t="shared" si="139"/>
        <v>0</v>
      </c>
      <c r="AF108" s="26">
        <f t="shared" si="139"/>
        <v>0</v>
      </c>
      <c r="AG108" s="5">
        <f t="shared" si="108"/>
        <v>0</v>
      </c>
      <c r="AH108" s="28" t="str">
        <f t="shared" si="109"/>
        <v/>
      </c>
      <c r="AI108" s="4"/>
      <c r="AJ108" s="5">
        <f t="shared" si="110"/>
        <v>0</v>
      </c>
    </row>
    <row r="109" ht="13.5" customHeight="1">
      <c r="A109" s="25" t="s">
        <v>137</v>
      </c>
      <c r="B109" s="5">
        <v>0.0</v>
      </c>
      <c r="C109" s="5">
        <v>0.0</v>
      </c>
      <c r="D109" s="5">
        <v>0.0</v>
      </c>
      <c r="E109" s="5">
        <v>0.0</v>
      </c>
      <c r="F109" s="5">
        <v>0.0</v>
      </c>
      <c r="G109" s="5">
        <v>0.0</v>
      </c>
      <c r="H109" s="5">
        <v>0.0</v>
      </c>
      <c r="I109" s="5">
        <v>0.0</v>
      </c>
      <c r="J109" s="27">
        <v>0.0</v>
      </c>
      <c r="K109" s="27">
        <v>0.0</v>
      </c>
      <c r="L109" s="27">
        <v>0.0</v>
      </c>
      <c r="M109" s="27">
        <v>0.0</v>
      </c>
      <c r="N109" s="5">
        <f t="shared" si="105"/>
        <v>0</v>
      </c>
      <c r="O109" s="28" t="str">
        <f t="shared" si="106"/>
        <v/>
      </c>
      <c r="P109" s="5"/>
      <c r="Q109" s="5"/>
      <c r="R109" s="29" t="s">
        <v>34</v>
      </c>
      <c r="S109" s="30">
        <v>0.0</v>
      </c>
      <c r="T109" s="31">
        <v>0.05</v>
      </c>
      <c r="U109" s="26">
        <f t="shared" ref="U109:AF109" si="140">IF($R109="Manual","",IFERROR(IF($R109="YOY Growth",$N109*(1+$T109)/12,$S109/12),""))</f>
        <v>0</v>
      </c>
      <c r="V109" s="26">
        <f t="shared" si="140"/>
        <v>0</v>
      </c>
      <c r="W109" s="26">
        <f t="shared" si="140"/>
        <v>0</v>
      </c>
      <c r="X109" s="26">
        <f t="shared" si="140"/>
        <v>0</v>
      </c>
      <c r="Y109" s="26">
        <f t="shared" si="140"/>
        <v>0</v>
      </c>
      <c r="Z109" s="26">
        <f t="shared" si="140"/>
        <v>0</v>
      </c>
      <c r="AA109" s="26">
        <f t="shared" si="140"/>
        <v>0</v>
      </c>
      <c r="AB109" s="26">
        <f t="shared" si="140"/>
        <v>0</v>
      </c>
      <c r="AC109" s="26">
        <f t="shared" si="140"/>
        <v>0</v>
      </c>
      <c r="AD109" s="26">
        <f t="shared" si="140"/>
        <v>0</v>
      </c>
      <c r="AE109" s="26">
        <f t="shared" si="140"/>
        <v>0</v>
      </c>
      <c r="AF109" s="26">
        <f t="shared" si="140"/>
        <v>0</v>
      </c>
      <c r="AG109" s="5">
        <f t="shared" si="108"/>
        <v>0</v>
      </c>
      <c r="AH109" s="28" t="str">
        <f t="shared" si="109"/>
        <v/>
      </c>
      <c r="AI109" s="4"/>
      <c r="AJ109" s="5">
        <f t="shared" si="110"/>
        <v>0</v>
      </c>
    </row>
    <row r="110" ht="13.5" customHeight="1">
      <c r="A110" s="25" t="s">
        <v>138</v>
      </c>
      <c r="B110" s="5">
        <v>0.0</v>
      </c>
      <c r="C110" s="5">
        <v>0.0</v>
      </c>
      <c r="D110" s="5">
        <v>0.0</v>
      </c>
      <c r="E110" s="5">
        <v>0.0</v>
      </c>
      <c r="F110" s="5">
        <v>0.0</v>
      </c>
      <c r="G110" s="5">
        <v>0.0</v>
      </c>
      <c r="H110" s="5">
        <v>0.0</v>
      </c>
      <c r="I110" s="5">
        <v>0.0</v>
      </c>
      <c r="J110" s="27">
        <v>0.0</v>
      </c>
      <c r="K110" s="27">
        <v>0.0</v>
      </c>
      <c r="L110" s="27">
        <v>0.0</v>
      </c>
      <c r="M110" s="27">
        <v>0.0</v>
      </c>
      <c r="N110" s="5">
        <f t="shared" si="105"/>
        <v>0</v>
      </c>
      <c r="O110" s="28" t="str">
        <f t="shared" si="106"/>
        <v/>
      </c>
      <c r="P110" s="5"/>
      <c r="Q110" s="5"/>
      <c r="R110" s="29" t="s">
        <v>34</v>
      </c>
      <c r="S110" s="30">
        <v>0.0</v>
      </c>
      <c r="T110" s="31">
        <v>0.05</v>
      </c>
      <c r="U110" s="26">
        <f t="shared" ref="U110:AF110" si="141">IF($R110="Manual","",IFERROR(IF($R110="YOY Growth",$N110*(1+$T110)/12,$S110/12),""))</f>
        <v>0</v>
      </c>
      <c r="V110" s="26">
        <f t="shared" si="141"/>
        <v>0</v>
      </c>
      <c r="W110" s="26">
        <f t="shared" si="141"/>
        <v>0</v>
      </c>
      <c r="X110" s="26">
        <f t="shared" si="141"/>
        <v>0</v>
      </c>
      <c r="Y110" s="26">
        <f t="shared" si="141"/>
        <v>0</v>
      </c>
      <c r="Z110" s="26">
        <f t="shared" si="141"/>
        <v>0</v>
      </c>
      <c r="AA110" s="26">
        <f t="shared" si="141"/>
        <v>0</v>
      </c>
      <c r="AB110" s="26">
        <f t="shared" si="141"/>
        <v>0</v>
      </c>
      <c r="AC110" s="26">
        <f t="shared" si="141"/>
        <v>0</v>
      </c>
      <c r="AD110" s="26">
        <f t="shared" si="141"/>
        <v>0</v>
      </c>
      <c r="AE110" s="26">
        <f t="shared" si="141"/>
        <v>0</v>
      </c>
      <c r="AF110" s="26">
        <f t="shared" si="141"/>
        <v>0</v>
      </c>
      <c r="AG110" s="5">
        <f t="shared" si="108"/>
        <v>0</v>
      </c>
      <c r="AH110" s="28" t="str">
        <f t="shared" si="109"/>
        <v/>
      </c>
      <c r="AI110" s="4"/>
      <c r="AJ110" s="5">
        <f t="shared" si="110"/>
        <v>0</v>
      </c>
    </row>
    <row r="111" ht="13.5" customHeight="1">
      <c r="A111" s="25" t="s">
        <v>140</v>
      </c>
      <c r="B111" s="5">
        <v>0.0</v>
      </c>
      <c r="C111" s="5">
        <v>0.0</v>
      </c>
      <c r="D111" s="5">
        <v>0.0</v>
      </c>
      <c r="E111" s="5">
        <v>0.0</v>
      </c>
      <c r="F111" s="5">
        <v>0.0</v>
      </c>
      <c r="G111" s="5">
        <v>0.0</v>
      </c>
      <c r="H111" s="5">
        <v>0.0</v>
      </c>
      <c r="I111" s="5">
        <v>0.0</v>
      </c>
      <c r="J111" s="27">
        <v>0.0</v>
      </c>
      <c r="K111" s="27">
        <v>0.0</v>
      </c>
      <c r="L111" s="27">
        <v>0.0</v>
      </c>
      <c r="M111" s="27">
        <v>0.0</v>
      </c>
      <c r="N111" s="5">
        <f t="shared" si="105"/>
        <v>0</v>
      </c>
      <c r="O111" s="28" t="str">
        <f t="shared" si="106"/>
        <v/>
      </c>
      <c r="P111" s="5"/>
      <c r="Q111" s="5"/>
      <c r="R111" s="29" t="s">
        <v>34</v>
      </c>
      <c r="S111" s="30">
        <v>0.0</v>
      </c>
      <c r="T111" s="31">
        <v>0.05</v>
      </c>
      <c r="U111" s="26">
        <f t="shared" ref="U111:AF111" si="142">IF($R111="Manual","",IFERROR(IF($R111="YOY Growth",$N111*(1+$T111)/12,$S111/12),""))</f>
        <v>0</v>
      </c>
      <c r="V111" s="26">
        <f t="shared" si="142"/>
        <v>0</v>
      </c>
      <c r="W111" s="26">
        <f t="shared" si="142"/>
        <v>0</v>
      </c>
      <c r="X111" s="26">
        <f t="shared" si="142"/>
        <v>0</v>
      </c>
      <c r="Y111" s="26">
        <f t="shared" si="142"/>
        <v>0</v>
      </c>
      <c r="Z111" s="26">
        <f t="shared" si="142"/>
        <v>0</v>
      </c>
      <c r="AA111" s="26">
        <f t="shared" si="142"/>
        <v>0</v>
      </c>
      <c r="AB111" s="26">
        <f t="shared" si="142"/>
        <v>0</v>
      </c>
      <c r="AC111" s="26">
        <f t="shared" si="142"/>
        <v>0</v>
      </c>
      <c r="AD111" s="26">
        <f t="shared" si="142"/>
        <v>0</v>
      </c>
      <c r="AE111" s="26">
        <f t="shared" si="142"/>
        <v>0</v>
      </c>
      <c r="AF111" s="26">
        <f t="shared" si="142"/>
        <v>0</v>
      </c>
      <c r="AG111" s="5">
        <f t="shared" si="108"/>
        <v>0</v>
      </c>
      <c r="AH111" s="28" t="str">
        <f t="shared" si="109"/>
        <v/>
      </c>
      <c r="AI111" s="4"/>
      <c r="AJ111" s="5">
        <f t="shared" si="110"/>
        <v>0</v>
      </c>
    </row>
    <row r="112" ht="13.5" customHeight="1">
      <c r="A112" s="25" t="s">
        <v>141</v>
      </c>
      <c r="B112" s="5">
        <v>0.0</v>
      </c>
      <c r="C112" s="5">
        <v>0.0</v>
      </c>
      <c r="D112" s="5">
        <v>0.0</v>
      </c>
      <c r="E112" s="5">
        <v>0.0</v>
      </c>
      <c r="F112" s="5">
        <v>0.0</v>
      </c>
      <c r="G112" s="5">
        <v>0.0</v>
      </c>
      <c r="H112" s="5">
        <v>0.0</v>
      </c>
      <c r="I112" s="5">
        <v>0.0</v>
      </c>
      <c r="J112" s="27">
        <v>0.0</v>
      </c>
      <c r="K112" s="27">
        <v>0.0</v>
      </c>
      <c r="L112" s="27">
        <v>0.0</v>
      </c>
      <c r="M112" s="27">
        <v>0.0</v>
      </c>
      <c r="N112" s="5">
        <f t="shared" si="105"/>
        <v>0</v>
      </c>
      <c r="O112" s="28" t="str">
        <f t="shared" si="106"/>
        <v/>
      </c>
      <c r="P112" s="5"/>
      <c r="Q112" s="5"/>
      <c r="R112" s="29" t="s">
        <v>34</v>
      </c>
      <c r="S112" s="30">
        <v>0.0</v>
      </c>
      <c r="T112" s="31">
        <v>0.05</v>
      </c>
      <c r="U112" s="26">
        <f t="shared" ref="U112:AF112" si="143">IF($R112="Manual","",IFERROR(IF($R112="YOY Growth",$N112*(1+$T112)/12,$S112/12),""))</f>
        <v>0</v>
      </c>
      <c r="V112" s="26">
        <f t="shared" si="143"/>
        <v>0</v>
      </c>
      <c r="W112" s="26">
        <f t="shared" si="143"/>
        <v>0</v>
      </c>
      <c r="X112" s="26">
        <f t="shared" si="143"/>
        <v>0</v>
      </c>
      <c r="Y112" s="26">
        <f t="shared" si="143"/>
        <v>0</v>
      </c>
      <c r="Z112" s="26">
        <f t="shared" si="143"/>
        <v>0</v>
      </c>
      <c r="AA112" s="26">
        <f t="shared" si="143"/>
        <v>0</v>
      </c>
      <c r="AB112" s="26">
        <f t="shared" si="143"/>
        <v>0</v>
      </c>
      <c r="AC112" s="26">
        <f t="shared" si="143"/>
        <v>0</v>
      </c>
      <c r="AD112" s="26">
        <f t="shared" si="143"/>
        <v>0</v>
      </c>
      <c r="AE112" s="26">
        <f t="shared" si="143"/>
        <v>0</v>
      </c>
      <c r="AF112" s="26">
        <f t="shared" si="143"/>
        <v>0</v>
      </c>
      <c r="AG112" s="5">
        <f t="shared" si="108"/>
        <v>0</v>
      </c>
      <c r="AH112" s="28" t="str">
        <f t="shared" si="109"/>
        <v/>
      </c>
      <c r="AI112" s="4"/>
      <c r="AJ112" s="5">
        <f t="shared" si="110"/>
        <v>0</v>
      </c>
    </row>
    <row r="113" ht="13.5" customHeight="1">
      <c r="A113" s="25" t="s">
        <v>142</v>
      </c>
      <c r="B113" s="5">
        <v>0.0</v>
      </c>
      <c r="C113" s="5">
        <v>0.0</v>
      </c>
      <c r="D113" s="5">
        <v>0.0</v>
      </c>
      <c r="E113" s="5">
        <v>0.0</v>
      </c>
      <c r="F113" s="5">
        <v>0.0</v>
      </c>
      <c r="G113" s="5">
        <v>0.0</v>
      </c>
      <c r="H113" s="5">
        <v>0.0</v>
      </c>
      <c r="I113" s="5">
        <v>0.0</v>
      </c>
      <c r="J113" s="27">
        <v>0.0</v>
      </c>
      <c r="K113" s="27">
        <v>0.0</v>
      </c>
      <c r="L113" s="27">
        <v>0.0</v>
      </c>
      <c r="M113" s="27">
        <v>0.0</v>
      </c>
      <c r="N113" s="5">
        <f t="shared" si="105"/>
        <v>0</v>
      </c>
      <c r="O113" s="28" t="str">
        <f t="shared" si="106"/>
        <v/>
      </c>
      <c r="P113" s="5"/>
      <c r="Q113" s="5"/>
      <c r="R113" s="29" t="s">
        <v>34</v>
      </c>
      <c r="S113" s="30">
        <v>0.0</v>
      </c>
      <c r="T113" s="31">
        <v>0.05</v>
      </c>
      <c r="U113" s="26">
        <f t="shared" ref="U113:AF113" si="144">IF($R113="Manual","",IFERROR(IF($R113="YOY Growth",$N113*(1+$T113)/12,$S113/12),""))</f>
        <v>0</v>
      </c>
      <c r="V113" s="26">
        <f t="shared" si="144"/>
        <v>0</v>
      </c>
      <c r="W113" s="26">
        <f t="shared" si="144"/>
        <v>0</v>
      </c>
      <c r="X113" s="26">
        <f t="shared" si="144"/>
        <v>0</v>
      </c>
      <c r="Y113" s="26">
        <f t="shared" si="144"/>
        <v>0</v>
      </c>
      <c r="Z113" s="26">
        <f t="shared" si="144"/>
        <v>0</v>
      </c>
      <c r="AA113" s="26">
        <f t="shared" si="144"/>
        <v>0</v>
      </c>
      <c r="AB113" s="26">
        <f t="shared" si="144"/>
        <v>0</v>
      </c>
      <c r="AC113" s="26">
        <f t="shared" si="144"/>
        <v>0</v>
      </c>
      <c r="AD113" s="26">
        <f t="shared" si="144"/>
        <v>0</v>
      </c>
      <c r="AE113" s="26">
        <f t="shared" si="144"/>
        <v>0</v>
      </c>
      <c r="AF113" s="26">
        <f t="shared" si="144"/>
        <v>0</v>
      </c>
      <c r="AG113" s="5">
        <f t="shared" si="108"/>
        <v>0</v>
      </c>
      <c r="AH113" s="28" t="str">
        <f t="shared" si="109"/>
        <v/>
      </c>
      <c r="AI113" s="4"/>
      <c r="AJ113" s="5">
        <f t="shared" si="110"/>
        <v>0</v>
      </c>
    </row>
    <row r="114" ht="13.5" customHeight="1">
      <c r="A114" s="25" t="s">
        <v>143</v>
      </c>
      <c r="B114" s="5">
        <v>0.0</v>
      </c>
      <c r="C114" s="5">
        <v>0.0</v>
      </c>
      <c r="D114" s="5">
        <v>0.0</v>
      </c>
      <c r="E114" s="5">
        <v>0.0</v>
      </c>
      <c r="F114" s="5">
        <v>0.0</v>
      </c>
      <c r="G114" s="5">
        <v>0.0</v>
      </c>
      <c r="H114" s="5">
        <v>0.0</v>
      </c>
      <c r="I114" s="5">
        <v>0.0</v>
      </c>
      <c r="J114" s="27">
        <v>0.0</v>
      </c>
      <c r="K114" s="27">
        <v>0.0</v>
      </c>
      <c r="L114" s="27">
        <v>0.0</v>
      </c>
      <c r="M114" s="27">
        <v>0.0</v>
      </c>
      <c r="N114" s="5">
        <f t="shared" si="105"/>
        <v>0</v>
      </c>
      <c r="O114" s="28" t="str">
        <f t="shared" si="106"/>
        <v/>
      </c>
      <c r="P114" s="5"/>
      <c r="Q114" s="5"/>
      <c r="R114" s="29" t="s">
        <v>34</v>
      </c>
      <c r="S114" s="30">
        <v>0.0</v>
      </c>
      <c r="T114" s="31">
        <v>0.05</v>
      </c>
      <c r="U114" s="26">
        <f t="shared" ref="U114:AF114" si="145">IF($R114="Manual","",IFERROR(IF($R114="YOY Growth",$N114*(1+$T114)/12,$S114/12),""))</f>
        <v>0</v>
      </c>
      <c r="V114" s="26">
        <f t="shared" si="145"/>
        <v>0</v>
      </c>
      <c r="W114" s="26">
        <f t="shared" si="145"/>
        <v>0</v>
      </c>
      <c r="X114" s="26">
        <f t="shared" si="145"/>
        <v>0</v>
      </c>
      <c r="Y114" s="26">
        <f t="shared" si="145"/>
        <v>0</v>
      </c>
      <c r="Z114" s="26">
        <f t="shared" si="145"/>
        <v>0</v>
      </c>
      <c r="AA114" s="26">
        <f t="shared" si="145"/>
        <v>0</v>
      </c>
      <c r="AB114" s="26">
        <f t="shared" si="145"/>
        <v>0</v>
      </c>
      <c r="AC114" s="26">
        <f t="shared" si="145"/>
        <v>0</v>
      </c>
      <c r="AD114" s="26">
        <f t="shared" si="145"/>
        <v>0</v>
      </c>
      <c r="AE114" s="26">
        <f t="shared" si="145"/>
        <v>0</v>
      </c>
      <c r="AF114" s="26">
        <f t="shared" si="145"/>
        <v>0</v>
      </c>
      <c r="AG114" s="5">
        <f t="shared" si="108"/>
        <v>0</v>
      </c>
      <c r="AH114" s="28" t="str">
        <f t="shared" si="109"/>
        <v/>
      </c>
      <c r="AI114" s="4"/>
      <c r="AJ114" s="5">
        <f t="shared" si="110"/>
        <v>0</v>
      </c>
    </row>
    <row r="115" ht="13.5" customHeight="1">
      <c r="A115" s="25" t="s">
        <v>144</v>
      </c>
      <c r="B115" s="5">
        <v>0.0</v>
      </c>
      <c r="C115" s="5">
        <v>0.0</v>
      </c>
      <c r="D115" s="5">
        <v>0.0</v>
      </c>
      <c r="E115" s="5">
        <v>0.0</v>
      </c>
      <c r="F115" s="5">
        <v>0.0</v>
      </c>
      <c r="G115" s="5">
        <v>0.0</v>
      </c>
      <c r="H115" s="5">
        <v>0.0</v>
      </c>
      <c r="I115" s="5">
        <v>0.0</v>
      </c>
      <c r="J115" s="27">
        <v>0.0</v>
      </c>
      <c r="K115" s="27">
        <v>0.0</v>
      </c>
      <c r="L115" s="27">
        <v>0.0</v>
      </c>
      <c r="M115" s="27">
        <v>0.0</v>
      </c>
      <c r="N115" s="5">
        <f t="shared" si="105"/>
        <v>0</v>
      </c>
      <c r="O115" s="28" t="str">
        <f t="shared" si="106"/>
        <v/>
      </c>
      <c r="P115" s="5"/>
      <c r="Q115" s="5"/>
      <c r="R115" s="29" t="s">
        <v>34</v>
      </c>
      <c r="S115" s="30">
        <v>0.0</v>
      </c>
      <c r="T115" s="31">
        <v>0.05</v>
      </c>
      <c r="U115" s="26">
        <f t="shared" ref="U115:AF115" si="146">IF($R115="Manual","",IFERROR(IF($R115="YOY Growth",$N115*(1+$T115)/12,$S115/12),""))</f>
        <v>0</v>
      </c>
      <c r="V115" s="26">
        <f t="shared" si="146"/>
        <v>0</v>
      </c>
      <c r="W115" s="26">
        <f t="shared" si="146"/>
        <v>0</v>
      </c>
      <c r="X115" s="26">
        <f t="shared" si="146"/>
        <v>0</v>
      </c>
      <c r="Y115" s="26">
        <f t="shared" si="146"/>
        <v>0</v>
      </c>
      <c r="Z115" s="26">
        <f t="shared" si="146"/>
        <v>0</v>
      </c>
      <c r="AA115" s="26">
        <f t="shared" si="146"/>
        <v>0</v>
      </c>
      <c r="AB115" s="26">
        <f t="shared" si="146"/>
        <v>0</v>
      </c>
      <c r="AC115" s="26">
        <f t="shared" si="146"/>
        <v>0</v>
      </c>
      <c r="AD115" s="26">
        <f t="shared" si="146"/>
        <v>0</v>
      </c>
      <c r="AE115" s="26">
        <f t="shared" si="146"/>
        <v>0</v>
      </c>
      <c r="AF115" s="26">
        <f t="shared" si="146"/>
        <v>0</v>
      </c>
      <c r="AG115" s="5">
        <f t="shared" si="108"/>
        <v>0</v>
      </c>
      <c r="AH115" s="28" t="str">
        <f t="shared" si="109"/>
        <v/>
      </c>
      <c r="AI115" s="4"/>
      <c r="AJ115" s="5">
        <f t="shared" si="110"/>
        <v>0</v>
      </c>
    </row>
    <row r="116" ht="13.5" customHeight="1">
      <c r="A116" s="33" t="s">
        <v>145</v>
      </c>
      <c r="B116" s="34">
        <f t="shared" ref="B116:M116" si="147">B73+SUM(B74:B80)+B87+SUM(B88:B115)</f>
        <v>141544.1</v>
      </c>
      <c r="C116" s="34">
        <f t="shared" si="147"/>
        <v>47756.85</v>
      </c>
      <c r="D116" s="34">
        <f t="shared" si="147"/>
        <v>42019.76</v>
      </c>
      <c r="E116" s="34">
        <f t="shared" si="147"/>
        <v>45450.09</v>
      </c>
      <c r="F116" s="34">
        <f t="shared" si="147"/>
        <v>102509.57</v>
      </c>
      <c r="G116" s="34">
        <f t="shared" si="147"/>
        <v>101827.68</v>
      </c>
      <c r="H116" s="34">
        <f t="shared" si="147"/>
        <v>105407.26</v>
      </c>
      <c r="I116" s="34">
        <f t="shared" si="147"/>
        <v>121283.07</v>
      </c>
      <c r="J116" s="34">
        <f t="shared" si="147"/>
        <v>140963</v>
      </c>
      <c r="K116" s="34">
        <f t="shared" si="147"/>
        <v>143954</v>
      </c>
      <c r="L116" s="34">
        <f t="shared" si="147"/>
        <v>143954</v>
      </c>
      <c r="M116" s="34">
        <f t="shared" si="147"/>
        <v>154591</v>
      </c>
      <c r="N116" s="34">
        <f t="shared" si="105"/>
        <v>1291260.38</v>
      </c>
      <c r="O116" s="35" t="str">
        <f t="shared" si="106"/>
        <v/>
      </c>
      <c r="P116" s="5"/>
      <c r="Q116" s="5"/>
      <c r="R116" s="36"/>
      <c r="S116" s="36"/>
      <c r="T116" s="36"/>
      <c r="U116" s="34">
        <f t="shared" ref="U116:AF116" si="148">U73+SUM(U74:U80)+U87+SUM(U88:U115)</f>
        <v>104818.1382</v>
      </c>
      <c r="V116" s="34">
        <f t="shared" si="148"/>
        <v>104818.1382</v>
      </c>
      <c r="W116" s="34">
        <f t="shared" si="148"/>
        <v>106018.1382</v>
      </c>
      <c r="X116" s="34">
        <f t="shared" si="148"/>
        <v>106018.1382</v>
      </c>
      <c r="Y116" s="34">
        <f t="shared" si="148"/>
        <v>106788.1382</v>
      </c>
      <c r="Z116" s="34">
        <f t="shared" si="148"/>
        <v>106958.1382</v>
      </c>
      <c r="AA116" s="34">
        <f t="shared" si="148"/>
        <v>107728.1382</v>
      </c>
      <c r="AB116" s="34">
        <f t="shared" si="148"/>
        <v>107898.1382</v>
      </c>
      <c r="AC116" s="34">
        <f t="shared" si="148"/>
        <v>108668.1382</v>
      </c>
      <c r="AD116" s="34">
        <f t="shared" si="148"/>
        <v>111844.6823</v>
      </c>
      <c r="AE116" s="34">
        <f t="shared" si="148"/>
        <v>112614.6823</v>
      </c>
      <c r="AF116" s="34">
        <f t="shared" si="148"/>
        <v>112024.6823</v>
      </c>
      <c r="AG116" s="34">
        <f t="shared" si="108"/>
        <v>1296197.291</v>
      </c>
      <c r="AH116" s="35" t="str">
        <f t="shared" si="109"/>
        <v/>
      </c>
      <c r="AI116" s="4"/>
      <c r="AJ116" s="34">
        <f t="shared" si="110"/>
        <v>-4936.9108</v>
      </c>
    </row>
    <row r="117" ht="13.5" customHeight="1">
      <c r="A117" s="52" t="s">
        <v>146</v>
      </c>
      <c r="B117" s="34">
        <f t="shared" ref="B117:M117" si="149">B64-B116</f>
        <v>-86913.02</v>
      </c>
      <c r="C117" s="34">
        <f t="shared" si="149"/>
        <v>-49296.87</v>
      </c>
      <c r="D117" s="34">
        <f t="shared" si="149"/>
        <v>-108301.44</v>
      </c>
      <c r="E117" s="34">
        <f t="shared" si="149"/>
        <v>-45527.53</v>
      </c>
      <c r="F117" s="34">
        <f t="shared" si="149"/>
        <v>-102509.57</v>
      </c>
      <c r="G117" s="34">
        <f t="shared" si="149"/>
        <v>-102060.61</v>
      </c>
      <c r="H117" s="34">
        <f t="shared" si="149"/>
        <v>-105782.9</v>
      </c>
      <c r="I117" s="34">
        <f t="shared" si="149"/>
        <v>-131520.22</v>
      </c>
      <c r="J117" s="34">
        <f t="shared" si="149"/>
        <v>-140963</v>
      </c>
      <c r="K117" s="34">
        <f t="shared" si="149"/>
        <v>-143954</v>
      </c>
      <c r="L117" s="34">
        <f t="shared" si="149"/>
        <v>-143954</v>
      </c>
      <c r="M117" s="34">
        <f t="shared" si="149"/>
        <v>-154591</v>
      </c>
      <c r="N117" s="34">
        <f t="shared" si="105"/>
        <v>-1315374.16</v>
      </c>
      <c r="O117" s="35" t="str">
        <f t="shared" si="106"/>
        <v/>
      </c>
      <c r="P117" s="5"/>
      <c r="Q117" s="5"/>
      <c r="R117" s="36"/>
      <c r="S117" s="36"/>
      <c r="T117" s="36"/>
      <c r="U117" s="34">
        <f t="shared" ref="U117:AF117" si="150">U64-U116</f>
        <v>-104818.1382</v>
      </c>
      <c r="V117" s="34">
        <f t="shared" si="150"/>
        <v>-104818.1382</v>
      </c>
      <c r="W117" s="34">
        <f t="shared" si="150"/>
        <v>-106018.1382</v>
      </c>
      <c r="X117" s="34">
        <f t="shared" si="150"/>
        <v>-106018.1382</v>
      </c>
      <c r="Y117" s="34">
        <f t="shared" si="150"/>
        <v>-106788.1382</v>
      </c>
      <c r="Z117" s="34">
        <f t="shared" si="150"/>
        <v>-106958.1382</v>
      </c>
      <c r="AA117" s="34">
        <f t="shared" si="150"/>
        <v>-107728.1382</v>
      </c>
      <c r="AB117" s="34">
        <f t="shared" si="150"/>
        <v>-107898.1382</v>
      </c>
      <c r="AC117" s="34">
        <f t="shared" si="150"/>
        <v>-108668.1382</v>
      </c>
      <c r="AD117" s="34">
        <f t="shared" si="150"/>
        <v>-111844.6823</v>
      </c>
      <c r="AE117" s="34">
        <f t="shared" si="150"/>
        <v>-112614.6823</v>
      </c>
      <c r="AF117" s="34">
        <f t="shared" si="150"/>
        <v>-112024.6823</v>
      </c>
      <c r="AG117" s="34">
        <f t="shared" si="108"/>
        <v>-1296197.291</v>
      </c>
      <c r="AH117" s="35" t="str">
        <f t="shared" si="109"/>
        <v/>
      </c>
      <c r="AI117" s="4"/>
      <c r="AJ117" s="34">
        <f>AG117-N117</f>
        <v>19176.8692</v>
      </c>
    </row>
    <row r="118" ht="13.5" customHeight="1">
      <c r="A118" s="23" t="s">
        <v>147</v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28"/>
      <c r="P118" s="5"/>
      <c r="Q118" s="5"/>
      <c r="R118" s="36"/>
      <c r="S118" s="36"/>
      <c r="T118" s="36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28"/>
      <c r="AI118" s="4"/>
      <c r="AJ118" s="5"/>
    </row>
    <row r="119" ht="13.5" customHeight="1">
      <c r="A119" s="24" t="s">
        <v>148</v>
      </c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28"/>
      <c r="P119" s="5"/>
      <c r="Q119" s="5"/>
      <c r="R119" s="36"/>
      <c r="S119" s="36"/>
      <c r="T119" s="36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28"/>
      <c r="AI119" s="4"/>
      <c r="AJ119" s="5"/>
    </row>
    <row r="120" ht="13.5" customHeight="1">
      <c r="A120" s="25" t="s">
        <v>149</v>
      </c>
      <c r="B120" s="5">
        <v>0.0</v>
      </c>
      <c r="C120" s="5">
        <v>0.0</v>
      </c>
      <c r="D120" s="5">
        <v>0.0</v>
      </c>
      <c r="E120" s="5">
        <v>0.0</v>
      </c>
      <c r="F120" s="5">
        <v>0.0</v>
      </c>
      <c r="G120" s="5">
        <v>0.0</v>
      </c>
      <c r="H120" s="5">
        <v>0.0</v>
      </c>
      <c r="I120" s="5">
        <v>0.0</v>
      </c>
      <c r="J120" s="27">
        <v>0.0</v>
      </c>
      <c r="K120" s="27">
        <v>0.0</v>
      </c>
      <c r="L120" s="27">
        <v>0.0</v>
      </c>
      <c r="M120" s="27">
        <v>0.0</v>
      </c>
      <c r="N120" s="5">
        <f t="shared" ref="N120:N122" si="152">SUM(B120:M120)</f>
        <v>0</v>
      </c>
      <c r="O120" s="28" t="str">
        <f t="shared" ref="O120:O122" si="153">IFERROR(N120/N$16,"")</f>
        <v/>
      </c>
      <c r="P120" s="5"/>
      <c r="Q120" s="5"/>
      <c r="R120" s="29" t="s">
        <v>34</v>
      </c>
      <c r="S120" s="30">
        <v>0.0</v>
      </c>
      <c r="T120" s="31">
        <v>0.05</v>
      </c>
      <c r="U120" s="26">
        <f t="shared" ref="U120:AF120" si="151">IF($R120="Manual","",IFERROR(IF($R120="YOY Growth",$N120*(1+$T120)/12,$S120/12),""))</f>
        <v>0</v>
      </c>
      <c r="V120" s="26">
        <f t="shared" si="151"/>
        <v>0</v>
      </c>
      <c r="W120" s="26">
        <f t="shared" si="151"/>
        <v>0</v>
      </c>
      <c r="X120" s="26">
        <f t="shared" si="151"/>
        <v>0</v>
      </c>
      <c r="Y120" s="26">
        <f t="shared" si="151"/>
        <v>0</v>
      </c>
      <c r="Z120" s="26">
        <f t="shared" si="151"/>
        <v>0</v>
      </c>
      <c r="AA120" s="26">
        <f t="shared" si="151"/>
        <v>0</v>
      </c>
      <c r="AB120" s="26">
        <f t="shared" si="151"/>
        <v>0</v>
      </c>
      <c r="AC120" s="26">
        <f t="shared" si="151"/>
        <v>0</v>
      </c>
      <c r="AD120" s="26">
        <f t="shared" si="151"/>
        <v>0</v>
      </c>
      <c r="AE120" s="26">
        <f t="shared" si="151"/>
        <v>0</v>
      </c>
      <c r="AF120" s="26">
        <f t="shared" si="151"/>
        <v>0</v>
      </c>
      <c r="AG120" s="5">
        <f t="shared" ref="AG120:AG122" si="155">SUM(U120:AF120)</f>
        <v>0</v>
      </c>
      <c r="AH120" s="28" t="str">
        <f t="shared" ref="AH120:AH122" si="156">IFERROR(AG120/AG$16,"")</f>
        <v/>
      </c>
      <c r="AI120" s="4"/>
      <c r="AJ120" s="5">
        <f t="shared" ref="AJ120:AJ122" si="157">AG120-N120</f>
        <v>0</v>
      </c>
    </row>
    <row r="121" ht="13.5" customHeight="1">
      <c r="A121" s="25" t="s">
        <v>151</v>
      </c>
      <c r="B121" s="5">
        <v>0.0</v>
      </c>
      <c r="C121" s="5">
        <v>0.0</v>
      </c>
      <c r="D121" s="5">
        <v>0.0</v>
      </c>
      <c r="E121" s="5">
        <v>0.0</v>
      </c>
      <c r="F121" s="5">
        <v>0.0</v>
      </c>
      <c r="G121" s="5">
        <v>0.0</v>
      </c>
      <c r="H121" s="5">
        <v>0.0</v>
      </c>
      <c r="I121" s="5">
        <v>0.0</v>
      </c>
      <c r="J121" s="27">
        <v>0.0</v>
      </c>
      <c r="K121" s="27">
        <v>0.0</v>
      </c>
      <c r="L121" s="27">
        <v>0.0</v>
      </c>
      <c r="M121" s="27">
        <v>0.0</v>
      </c>
      <c r="N121" s="5">
        <f t="shared" si="152"/>
        <v>0</v>
      </c>
      <c r="O121" s="28" t="str">
        <f t="shared" si="153"/>
        <v/>
      </c>
      <c r="P121" s="5"/>
      <c r="Q121" s="5"/>
      <c r="R121" s="29" t="s">
        <v>34</v>
      </c>
      <c r="S121" s="30">
        <v>0.0</v>
      </c>
      <c r="T121" s="31">
        <v>0.05</v>
      </c>
      <c r="U121" s="26">
        <f t="shared" ref="U121:AF121" si="154">IF($R121="Manual","",IFERROR(IF($R121="YOY Growth",$N121*(1+$T121)/12,$S121/12),""))</f>
        <v>0</v>
      </c>
      <c r="V121" s="26">
        <f t="shared" si="154"/>
        <v>0</v>
      </c>
      <c r="W121" s="26">
        <f t="shared" si="154"/>
        <v>0</v>
      </c>
      <c r="X121" s="26">
        <f t="shared" si="154"/>
        <v>0</v>
      </c>
      <c r="Y121" s="26">
        <f t="shared" si="154"/>
        <v>0</v>
      </c>
      <c r="Z121" s="26">
        <f t="shared" si="154"/>
        <v>0</v>
      </c>
      <c r="AA121" s="26">
        <f t="shared" si="154"/>
        <v>0</v>
      </c>
      <c r="AB121" s="26">
        <f t="shared" si="154"/>
        <v>0</v>
      </c>
      <c r="AC121" s="26">
        <f t="shared" si="154"/>
        <v>0</v>
      </c>
      <c r="AD121" s="26">
        <f t="shared" si="154"/>
        <v>0</v>
      </c>
      <c r="AE121" s="26">
        <f t="shared" si="154"/>
        <v>0</v>
      </c>
      <c r="AF121" s="26">
        <f t="shared" si="154"/>
        <v>0</v>
      </c>
      <c r="AG121" s="5">
        <f t="shared" si="155"/>
        <v>0</v>
      </c>
      <c r="AH121" s="28" t="str">
        <f t="shared" si="156"/>
        <v/>
      </c>
      <c r="AI121" s="4"/>
      <c r="AJ121" s="5">
        <f t="shared" si="157"/>
        <v>0</v>
      </c>
    </row>
    <row r="122" ht="13.5" customHeight="1">
      <c r="A122" s="33" t="s">
        <v>152</v>
      </c>
      <c r="B122" s="34">
        <f t="shared" ref="B122:M122" si="158">SUM(B120:B121)</f>
        <v>0</v>
      </c>
      <c r="C122" s="34">
        <f t="shared" si="158"/>
        <v>0</v>
      </c>
      <c r="D122" s="34">
        <f t="shared" si="158"/>
        <v>0</v>
      </c>
      <c r="E122" s="34">
        <f t="shared" si="158"/>
        <v>0</v>
      </c>
      <c r="F122" s="34">
        <f t="shared" si="158"/>
        <v>0</v>
      </c>
      <c r="G122" s="34">
        <f t="shared" si="158"/>
        <v>0</v>
      </c>
      <c r="H122" s="34">
        <f t="shared" si="158"/>
        <v>0</v>
      </c>
      <c r="I122" s="34">
        <f t="shared" si="158"/>
        <v>0</v>
      </c>
      <c r="J122" s="34">
        <f t="shared" si="158"/>
        <v>0</v>
      </c>
      <c r="K122" s="34">
        <f t="shared" si="158"/>
        <v>0</v>
      </c>
      <c r="L122" s="34">
        <f t="shared" si="158"/>
        <v>0</v>
      </c>
      <c r="M122" s="34">
        <f t="shared" si="158"/>
        <v>0</v>
      </c>
      <c r="N122" s="34">
        <f t="shared" si="152"/>
        <v>0</v>
      </c>
      <c r="O122" s="35" t="str">
        <f t="shared" si="153"/>
        <v/>
      </c>
      <c r="P122" s="5"/>
      <c r="Q122" s="5"/>
      <c r="R122" s="36"/>
      <c r="S122" s="36"/>
      <c r="T122" s="36"/>
      <c r="U122" s="34">
        <f t="shared" ref="U122:AF122" si="159">SUM(U120:U121)</f>
        <v>0</v>
      </c>
      <c r="V122" s="34">
        <f t="shared" si="159"/>
        <v>0</v>
      </c>
      <c r="W122" s="34">
        <f t="shared" si="159"/>
        <v>0</v>
      </c>
      <c r="X122" s="34">
        <f t="shared" si="159"/>
        <v>0</v>
      </c>
      <c r="Y122" s="34">
        <f t="shared" si="159"/>
        <v>0</v>
      </c>
      <c r="Z122" s="34">
        <f t="shared" si="159"/>
        <v>0</v>
      </c>
      <c r="AA122" s="34">
        <f t="shared" si="159"/>
        <v>0</v>
      </c>
      <c r="AB122" s="34">
        <f t="shared" si="159"/>
        <v>0</v>
      </c>
      <c r="AC122" s="34">
        <f t="shared" si="159"/>
        <v>0</v>
      </c>
      <c r="AD122" s="34">
        <f t="shared" si="159"/>
        <v>0</v>
      </c>
      <c r="AE122" s="34">
        <f t="shared" si="159"/>
        <v>0</v>
      </c>
      <c r="AF122" s="34">
        <f t="shared" si="159"/>
        <v>0</v>
      </c>
      <c r="AG122" s="34">
        <f t="shared" si="155"/>
        <v>0</v>
      </c>
      <c r="AH122" s="35" t="str">
        <f t="shared" si="156"/>
        <v/>
      </c>
      <c r="AI122" s="4"/>
      <c r="AJ122" s="34">
        <f t="shared" si="157"/>
        <v>0</v>
      </c>
    </row>
    <row r="123" ht="13.5" customHeight="1">
      <c r="A123" s="24" t="s">
        <v>153</v>
      </c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28"/>
      <c r="P123" s="5"/>
      <c r="Q123" s="5"/>
      <c r="R123" s="36"/>
      <c r="S123" s="36"/>
      <c r="T123" s="36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28"/>
      <c r="AI123" s="4"/>
      <c r="AJ123" s="5"/>
    </row>
    <row r="124" ht="13.5" customHeight="1">
      <c r="A124" s="48" t="s">
        <v>154</v>
      </c>
      <c r="B124" s="5">
        <v>0.0</v>
      </c>
      <c r="C124" s="5">
        <v>0.0</v>
      </c>
      <c r="D124" s="5">
        <v>0.0</v>
      </c>
      <c r="E124" s="5">
        <v>0.0</v>
      </c>
      <c r="F124" s="5">
        <v>0.0</v>
      </c>
      <c r="G124" s="5">
        <v>0.0</v>
      </c>
      <c r="H124" s="5">
        <v>0.0</v>
      </c>
      <c r="I124" s="5">
        <v>0.0</v>
      </c>
      <c r="J124" s="27"/>
      <c r="K124" s="27"/>
      <c r="L124" s="27"/>
      <c r="M124" s="27"/>
      <c r="N124" s="5">
        <v>0.0</v>
      </c>
      <c r="O124" s="28" t="str">
        <f t="shared" ref="O124:O126" si="161">IFERROR(N124/N$16,"")</f>
        <v/>
      </c>
      <c r="P124" s="5"/>
      <c r="Q124" s="5"/>
      <c r="R124" s="29" t="s">
        <v>34</v>
      </c>
      <c r="S124" s="30">
        <v>0.0</v>
      </c>
      <c r="T124" s="31">
        <v>0.05</v>
      </c>
      <c r="U124" s="26">
        <f t="shared" ref="U124:AF124" si="160">IF($R124="Manual","",IFERROR(IF($R124="YOY Growth",$N124*(1+$T124)/12,$S124/12),""))</f>
        <v>0</v>
      </c>
      <c r="V124" s="26">
        <f t="shared" si="160"/>
        <v>0</v>
      </c>
      <c r="W124" s="26">
        <f t="shared" si="160"/>
        <v>0</v>
      </c>
      <c r="X124" s="26">
        <f t="shared" si="160"/>
        <v>0</v>
      </c>
      <c r="Y124" s="26">
        <f t="shared" si="160"/>
        <v>0</v>
      </c>
      <c r="Z124" s="26">
        <f t="shared" si="160"/>
        <v>0</v>
      </c>
      <c r="AA124" s="26">
        <f t="shared" si="160"/>
        <v>0</v>
      </c>
      <c r="AB124" s="26">
        <f t="shared" si="160"/>
        <v>0</v>
      </c>
      <c r="AC124" s="26">
        <f t="shared" si="160"/>
        <v>0</v>
      </c>
      <c r="AD124" s="26">
        <f t="shared" si="160"/>
        <v>0</v>
      </c>
      <c r="AE124" s="26">
        <f t="shared" si="160"/>
        <v>0</v>
      </c>
      <c r="AF124" s="26">
        <f t="shared" si="160"/>
        <v>0</v>
      </c>
      <c r="AG124" s="5">
        <f t="shared" ref="AG124:AG126" si="163">SUM(U124:AF124)</f>
        <v>0</v>
      </c>
      <c r="AH124" s="28" t="str">
        <f t="shared" ref="AH124:AH126" si="164">IFERROR(AG124/AG$16,"")</f>
        <v/>
      </c>
      <c r="AI124" s="4"/>
      <c r="AJ124" s="5">
        <f t="shared" ref="AJ124:AJ126" si="165">N124-AG124</f>
        <v>0</v>
      </c>
    </row>
    <row r="125" ht="13.5" customHeight="1">
      <c r="A125" s="25" t="s">
        <v>155</v>
      </c>
      <c r="B125" s="5">
        <v>0.0</v>
      </c>
      <c r="C125" s="5">
        <v>0.0</v>
      </c>
      <c r="D125" s="5">
        <v>0.0</v>
      </c>
      <c r="E125" s="5">
        <v>0.0</v>
      </c>
      <c r="F125" s="5">
        <v>0.0</v>
      </c>
      <c r="G125" s="5">
        <v>0.0</v>
      </c>
      <c r="H125" s="5">
        <v>0.0</v>
      </c>
      <c r="I125" s="5">
        <v>0.0</v>
      </c>
      <c r="J125" s="27">
        <v>0.0</v>
      </c>
      <c r="K125" s="27">
        <v>0.0</v>
      </c>
      <c r="L125" s="27">
        <v>0.0</v>
      </c>
      <c r="M125" s="27">
        <v>0.0</v>
      </c>
      <c r="N125" s="5">
        <f t="shared" ref="N125:N126" si="166">SUM(B125:M125)</f>
        <v>0</v>
      </c>
      <c r="O125" s="28" t="str">
        <f t="shared" si="161"/>
        <v/>
      </c>
      <c r="P125" s="5"/>
      <c r="Q125" s="5"/>
      <c r="R125" s="29" t="s">
        <v>34</v>
      </c>
      <c r="S125" s="30">
        <v>0.0</v>
      </c>
      <c r="T125" s="31">
        <v>0.05</v>
      </c>
      <c r="U125" s="26">
        <f t="shared" ref="U125:AF125" si="162">IF($R125="Manual","",IFERROR(IF($R125="YOY Growth",$N125*(1+$T125)/12,$S125/12),""))</f>
        <v>0</v>
      </c>
      <c r="V125" s="26">
        <f t="shared" si="162"/>
        <v>0</v>
      </c>
      <c r="W125" s="26">
        <f t="shared" si="162"/>
        <v>0</v>
      </c>
      <c r="X125" s="26">
        <f t="shared" si="162"/>
        <v>0</v>
      </c>
      <c r="Y125" s="26">
        <f t="shared" si="162"/>
        <v>0</v>
      </c>
      <c r="Z125" s="26">
        <f t="shared" si="162"/>
        <v>0</v>
      </c>
      <c r="AA125" s="26">
        <f t="shared" si="162"/>
        <v>0</v>
      </c>
      <c r="AB125" s="26">
        <f t="shared" si="162"/>
        <v>0</v>
      </c>
      <c r="AC125" s="26">
        <f t="shared" si="162"/>
        <v>0</v>
      </c>
      <c r="AD125" s="26">
        <f t="shared" si="162"/>
        <v>0</v>
      </c>
      <c r="AE125" s="26">
        <f t="shared" si="162"/>
        <v>0</v>
      </c>
      <c r="AF125" s="26">
        <f t="shared" si="162"/>
        <v>0</v>
      </c>
      <c r="AG125" s="5">
        <f t="shared" si="163"/>
        <v>0</v>
      </c>
      <c r="AH125" s="28" t="str">
        <f t="shared" si="164"/>
        <v/>
      </c>
      <c r="AI125" s="4"/>
      <c r="AJ125" s="5">
        <f t="shared" si="165"/>
        <v>0</v>
      </c>
    </row>
    <row r="126" ht="13.5" customHeight="1">
      <c r="A126" s="25" t="s">
        <v>156</v>
      </c>
      <c r="B126" s="5">
        <v>0.0</v>
      </c>
      <c r="C126" s="5">
        <v>0.0</v>
      </c>
      <c r="D126" s="5">
        <v>0.0</v>
      </c>
      <c r="E126" s="5">
        <v>0.0</v>
      </c>
      <c r="F126" s="5">
        <v>0.0</v>
      </c>
      <c r="G126" s="5">
        <v>0.0</v>
      </c>
      <c r="H126" s="5">
        <v>0.0</v>
      </c>
      <c r="I126" s="5">
        <v>0.0</v>
      </c>
      <c r="J126" s="27">
        <v>0.0</v>
      </c>
      <c r="K126" s="27">
        <v>0.0</v>
      </c>
      <c r="L126" s="27">
        <v>0.0</v>
      </c>
      <c r="M126" s="27">
        <v>0.0</v>
      </c>
      <c r="N126" s="5">
        <f t="shared" si="166"/>
        <v>0</v>
      </c>
      <c r="O126" s="28" t="str">
        <f t="shared" si="161"/>
        <v/>
      </c>
      <c r="P126" s="5"/>
      <c r="Q126" s="5"/>
      <c r="R126" s="29" t="s">
        <v>34</v>
      </c>
      <c r="S126" s="30">
        <v>0.0</v>
      </c>
      <c r="T126" s="31">
        <v>0.05</v>
      </c>
      <c r="U126" s="26">
        <f t="shared" ref="U126:AF126" si="167">IF($R126="Manual","",IFERROR(IF($R126="YOY Growth",$N126*(1+$T126)/12,$S126/12),""))</f>
        <v>0</v>
      </c>
      <c r="V126" s="26">
        <f t="shared" si="167"/>
        <v>0</v>
      </c>
      <c r="W126" s="26">
        <f t="shared" si="167"/>
        <v>0</v>
      </c>
      <c r="X126" s="26">
        <f t="shared" si="167"/>
        <v>0</v>
      </c>
      <c r="Y126" s="26">
        <f t="shared" si="167"/>
        <v>0</v>
      </c>
      <c r="Z126" s="26">
        <f t="shared" si="167"/>
        <v>0</v>
      </c>
      <c r="AA126" s="26">
        <f t="shared" si="167"/>
        <v>0</v>
      </c>
      <c r="AB126" s="26">
        <f t="shared" si="167"/>
        <v>0</v>
      </c>
      <c r="AC126" s="26">
        <f t="shared" si="167"/>
        <v>0</v>
      </c>
      <c r="AD126" s="26">
        <f t="shared" si="167"/>
        <v>0</v>
      </c>
      <c r="AE126" s="26">
        <f t="shared" si="167"/>
        <v>0</v>
      </c>
      <c r="AF126" s="26">
        <f t="shared" si="167"/>
        <v>0</v>
      </c>
      <c r="AG126" s="5">
        <f t="shared" si="163"/>
        <v>0</v>
      </c>
      <c r="AH126" s="28" t="str">
        <f t="shared" si="164"/>
        <v/>
      </c>
      <c r="AI126" s="4"/>
      <c r="AJ126" s="5">
        <f t="shared" si="165"/>
        <v>0</v>
      </c>
    </row>
    <row r="127" ht="13.5" customHeight="1">
      <c r="A127" s="25" t="s">
        <v>157</v>
      </c>
      <c r="B127" s="5">
        <v>0.0</v>
      </c>
      <c r="C127" s="5">
        <v>0.0</v>
      </c>
      <c r="D127" s="5">
        <v>0.0</v>
      </c>
      <c r="E127" s="5">
        <v>0.0</v>
      </c>
      <c r="F127" s="5">
        <v>0.0</v>
      </c>
      <c r="G127" s="5">
        <v>0.0</v>
      </c>
      <c r="H127" s="5">
        <v>0.0</v>
      </c>
      <c r="I127" s="5">
        <v>0.0</v>
      </c>
      <c r="J127" s="27"/>
      <c r="K127" s="27"/>
      <c r="L127" s="27"/>
      <c r="M127" s="27"/>
      <c r="N127" s="5"/>
      <c r="O127" s="28"/>
      <c r="P127" s="5"/>
      <c r="Q127" s="5"/>
      <c r="R127" s="29" t="s">
        <v>34</v>
      </c>
      <c r="S127" s="30">
        <v>0.0</v>
      </c>
      <c r="T127" s="31">
        <v>0.05</v>
      </c>
      <c r="U127" s="26">
        <f t="shared" ref="U127:AF127" si="168">IF($R127="Manual","",IFERROR(IF($R127="YOY Growth",$N127*(1+$T127)/12,$S127/12),""))</f>
        <v>0</v>
      </c>
      <c r="V127" s="26">
        <f t="shared" si="168"/>
        <v>0</v>
      </c>
      <c r="W127" s="26">
        <f t="shared" si="168"/>
        <v>0</v>
      </c>
      <c r="X127" s="26">
        <f t="shared" si="168"/>
        <v>0</v>
      </c>
      <c r="Y127" s="26">
        <f t="shared" si="168"/>
        <v>0</v>
      </c>
      <c r="Z127" s="26">
        <f t="shared" si="168"/>
        <v>0</v>
      </c>
      <c r="AA127" s="26">
        <f t="shared" si="168"/>
        <v>0</v>
      </c>
      <c r="AB127" s="26">
        <f t="shared" si="168"/>
        <v>0</v>
      </c>
      <c r="AC127" s="26">
        <f t="shared" si="168"/>
        <v>0</v>
      </c>
      <c r="AD127" s="26">
        <f t="shared" si="168"/>
        <v>0</v>
      </c>
      <c r="AE127" s="26">
        <f t="shared" si="168"/>
        <v>0</v>
      </c>
      <c r="AF127" s="26">
        <f t="shared" si="168"/>
        <v>0</v>
      </c>
      <c r="AG127" s="5"/>
      <c r="AH127" s="28"/>
      <c r="AI127" s="4"/>
      <c r="AJ127" s="5"/>
    </row>
    <row r="128" ht="13.5" customHeight="1">
      <c r="A128" s="25" t="s">
        <v>158</v>
      </c>
      <c r="B128" s="5">
        <v>0.0</v>
      </c>
      <c r="C128" s="5">
        <v>0.0</v>
      </c>
      <c r="D128" s="5">
        <v>0.0</v>
      </c>
      <c r="E128" s="5">
        <v>0.0</v>
      </c>
      <c r="F128" s="5">
        <v>0.0</v>
      </c>
      <c r="G128" s="5">
        <v>0.0</v>
      </c>
      <c r="H128" s="5">
        <v>0.0</v>
      </c>
      <c r="I128" s="5">
        <v>0.0</v>
      </c>
      <c r="J128" s="27">
        <v>0.0</v>
      </c>
      <c r="K128" s="27">
        <v>0.0</v>
      </c>
      <c r="L128" s="27">
        <v>0.0</v>
      </c>
      <c r="M128" s="27">
        <v>0.0</v>
      </c>
      <c r="N128" s="5">
        <f t="shared" ref="N128:N132" si="170">SUM(B128:M128)</f>
        <v>0</v>
      </c>
      <c r="O128" s="28" t="str">
        <f t="shared" ref="O128:O132" si="171">IFERROR(N128/N$16,"")</f>
        <v/>
      </c>
      <c r="P128" s="5"/>
      <c r="Q128" s="5"/>
      <c r="R128" s="29" t="s">
        <v>34</v>
      </c>
      <c r="S128" s="30">
        <v>0.0</v>
      </c>
      <c r="T128" s="31">
        <v>0.05</v>
      </c>
      <c r="U128" s="26">
        <f t="shared" ref="U128:AF128" si="169">IF($R128="Manual","",IFERROR(IF($R128="YOY Growth",$N128*(1+$T128)/12,$S128/12),""))</f>
        <v>0</v>
      </c>
      <c r="V128" s="26">
        <f t="shared" si="169"/>
        <v>0</v>
      </c>
      <c r="W128" s="26">
        <f t="shared" si="169"/>
        <v>0</v>
      </c>
      <c r="X128" s="26">
        <f t="shared" si="169"/>
        <v>0</v>
      </c>
      <c r="Y128" s="26">
        <f t="shared" si="169"/>
        <v>0</v>
      </c>
      <c r="Z128" s="26">
        <f t="shared" si="169"/>
        <v>0</v>
      </c>
      <c r="AA128" s="26">
        <f t="shared" si="169"/>
        <v>0</v>
      </c>
      <c r="AB128" s="26">
        <f t="shared" si="169"/>
        <v>0</v>
      </c>
      <c r="AC128" s="26">
        <f t="shared" si="169"/>
        <v>0</v>
      </c>
      <c r="AD128" s="26">
        <f t="shared" si="169"/>
        <v>0</v>
      </c>
      <c r="AE128" s="26">
        <f t="shared" si="169"/>
        <v>0</v>
      </c>
      <c r="AF128" s="26">
        <f t="shared" si="169"/>
        <v>0</v>
      </c>
      <c r="AG128" s="5">
        <f t="shared" ref="AG128:AG132" si="173">SUM(U128:AF128)</f>
        <v>0</v>
      </c>
      <c r="AH128" s="28" t="str">
        <f t="shared" ref="AH128:AH132" si="174">IFERROR(AG128/AG$16,"")</f>
        <v/>
      </c>
      <c r="AI128" s="4"/>
      <c r="AJ128" s="5">
        <f t="shared" ref="AJ128:AJ130" si="175">N128-AG128</f>
        <v>0</v>
      </c>
    </row>
    <row r="129" ht="13.5" customHeight="1">
      <c r="A129" s="25" t="s">
        <v>159</v>
      </c>
      <c r="B129" s="5">
        <v>0.0</v>
      </c>
      <c r="C129" s="5">
        <v>0.0</v>
      </c>
      <c r="D129" s="5">
        <v>0.0</v>
      </c>
      <c r="E129" s="5">
        <v>0.0</v>
      </c>
      <c r="F129" s="5">
        <v>0.0</v>
      </c>
      <c r="G129" s="5">
        <v>0.0</v>
      </c>
      <c r="H129" s="5">
        <v>0.0</v>
      </c>
      <c r="I129" s="5">
        <v>0.0</v>
      </c>
      <c r="J129" s="27">
        <v>0.0</v>
      </c>
      <c r="K129" s="27">
        <v>0.0</v>
      </c>
      <c r="L129" s="27">
        <v>0.0</v>
      </c>
      <c r="M129" s="27">
        <v>0.0</v>
      </c>
      <c r="N129" s="5">
        <f t="shared" si="170"/>
        <v>0</v>
      </c>
      <c r="O129" s="28" t="str">
        <f t="shared" si="171"/>
        <v/>
      </c>
      <c r="P129" s="5"/>
      <c r="Q129" s="5"/>
      <c r="R129" s="29" t="s">
        <v>34</v>
      </c>
      <c r="S129" s="30">
        <v>0.0</v>
      </c>
      <c r="T129" s="31">
        <v>0.05</v>
      </c>
      <c r="U129" s="26">
        <f t="shared" ref="U129:AF129" si="172">IF($R129="Manual","",IFERROR(IF($R129="YOY Growth",$N129*(1+$T129)/12,$S129/12),""))</f>
        <v>0</v>
      </c>
      <c r="V129" s="26">
        <f t="shared" si="172"/>
        <v>0</v>
      </c>
      <c r="W129" s="26">
        <f t="shared" si="172"/>
        <v>0</v>
      </c>
      <c r="X129" s="26">
        <f t="shared" si="172"/>
        <v>0</v>
      </c>
      <c r="Y129" s="26">
        <f t="shared" si="172"/>
        <v>0</v>
      </c>
      <c r="Z129" s="26">
        <f t="shared" si="172"/>
        <v>0</v>
      </c>
      <c r="AA129" s="26">
        <f t="shared" si="172"/>
        <v>0</v>
      </c>
      <c r="AB129" s="26">
        <f t="shared" si="172"/>
        <v>0</v>
      </c>
      <c r="AC129" s="26">
        <f t="shared" si="172"/>
        <v>0</v>
      </c>
      <c r="AD129" s="26">
        <f t="shared" si="172"/>
        <v>0</v>
      </c>
      <c r="AE129" s="26">
        <f t="shared" si="172"/>
        <v>0</v>
      </c>
      <c r="AF129" s="26">
        <f t="shared" si="172"/>
        <v>0</v>
      </c>
      <c r="AG129" s="5">
        <f t="shared" si="173"/>
        <v>0</v>
      </c>
      <c r="AH129" s="28" t="str">
        <f t="shared" si="174"/>
        <v/>
      </c>
      <c r="AI129" s="4"/>
      <c r="AJ129" s="5">
        <f t="shared" si="175"/>
        <v>0</v>
      </c>
    </row>
    <row r="130" ht="13.5" customHeight="1">
      <c r="A130" s="33" t="s">
        <v>160</v>
      </c>
      <c r="B130" s="34">
        <f t="shared" ref="B130:M130" si="176">SUM(B124:B129)</f>
        <v>0</v>
      </c>
      <c r="C130" s="34">
        <f t="shared" si="176"/>
        <v>0</v>
      </c>
      <c r="D130" s="34">
        <f t="shared" si="176"/>
        <v>0</v>
      </c>
      <c r="E130" s="34">
        <f t="shared" si="176"/>
        <v>0</v>
      </c>
      <c r="F130" s="34">
        <f t="shared" si="176"/>
        <v>0</v>
      </c>
      <c r="G130" s="34">
        <f t="shared" si="176"/>
        <v>0</v>
      </c>
      <c r="H130" s="34">
        <f t="shared" si="176"/>
        <v>0</v>
      </c>
      <c r="I130" s="34">
        <f t="shared" si="176"/>
        <v>0</v>
      </c>
      <c r="J130" s="34">
        <f t="shared" si="176"/>
        <v>0</v>
      </c>
      <c r="K130" s="34">
        <f t="shared" si="176"/>
        <v>0</v>
      </c>
      <c r="L130" s="34">
        <f t="shared" si="176"/>
        <v>0</v>
      </c>
      <c r="M130" s="34">
        <f t="shared" si="176"/>
        <v>0</v>
      </c>
      <c r="N130" s="34">
        <f t="shared" si="170"/>
        <v>0</v>
      </c>
      <c r="O130" s="35" t="str">
        <f t="shared" si="171"/>
        <v/>
      </c>
      <c r="P130" s="5"/>
      <c r="Q130" s="5"/>
      <c r="R130" s="36"/>
      <c r="S130" s="36"/>
      <c r="T130" s="36"/>
      <c r="U130" s="34">
        <f t="shared" ref="U130:AF130" si="177">SUM(U124:U129)</f>
        <v>0</v>
      </c>
      <c r="V130" s="34">
        <f t="shared" si="177"/>
        <v>0</v>
      </c>
      <c r="W130" s="34">
        <f t="shared" si="177"/>
        <v>0</v>
      </c>
      <c r="X130" s="34">
        <f t="shared" si="177"/>
        <v>0</v>
      </c>
      <c r="Y130" s="34">
        <f t="shared" si="177"/>
        <v>0</v>
      </c>
      <c r="Z130" s="34">
        <f t="shared" si="177"/>
        <v>0</v>
      </c>
      <c r="AA130" s="34">
        <f t="shared" si="177"/>
        <v>0</v>
      </c>
      <c r="AB130" s="34">
        <f t="shared" si="177"/>
        <v>0</v>
      </c>
      <c r="AC130" s="34">
        <f t="shared" si="177"/>
        <v>0</v>
      </c>
      <c r="AD130" s="34">
        <f t="shared" si="177"/>
        <v>0</v>
      </c>
      <c r="AE130" s="34">
        <f t="shared" si="177"/>
        <v>0</v>
      </c>
      <c r="AF130" s="34">
        <f t="shared" si="177"/>
        <v>0</v>
      </c>
      <c r="AG130" s="34">
        <f t="shared" si="173"/>
        <v>0</v>
      </c>
      <c r="AH130" s="35" t="str">
        <f t="shared" si="174"/>
        <v/>
      </c>
      <c r="AI130" s="4"/>
      <c r="AJ130" s="34">
        <f t="shared" si="175"/>
        <v>0</v>
      </c>
    </row>
    <row r="131" ht="13.5" customHeight="1">
      <c r="A131" s="52" t="s">
        <v>161</v>
      </c>
      <c r="B131" s="34">
        <f t="shared" ref="B131:M131" si="178">B122-B130</f>
        <v>0</v>
      </c>
      <c r="C131" s="34">
        <f t="shared" si="178"/>
        <v>0</v>
      </c>
      <c r="D131" s="34">
        <f t="shared" si="178"/>
        <v>0</v>
      </c>
      <c r="E131" s="34">
        <f t="shared" si="178"/>
        <v>0</v>
      </c>
      <c r="F131" s="34">
        <f t="shared" si="178"/>
        <v>0</v>
      </c>
      <c r="G131" s="34">
        <f t="shared" si="178"/>
        <v>0</v>
      </c>
      <c r="H131" s="34">
        <f t="shared" si="178"/>
        <v>0</v>
      </c>
      <c r="I131" s="34">
        <f t="shared" si="178"/>
        <v>0</v>
      </c>
      <c r="J131" s="34">
        <f t="shared" si="178"/>
        <v>0</v>
      </c>
      <c r="K131" s="34">
        <f t="shared" si="178"/>
        <v>0</v>
      </c>
      <c r="L131" s="34">
        <f t="shared" si="178"/>
        <v>0</v>
      </c>
      <c r="M131" s="34">
        <f t="shared" si="178"/>
        <v>0</v>
      </c>
      <c r="N131" s="34">
        <f t="shared" si="170"/>
        <v>0</v>
      </c>
      <c r="O131" s="35" t="str">
        <f t="shared" si="171"/>
        <v/>
      </c>
      <c r="P131" s="5"/>
      <c r="Q131" s="5"/>
      <c r="R131" s="36"/>
      <c r="S131" s="36"/>
      <c r="T131" s="36"/>
      <c r="U131" s="34">
        <f t="shared" ref="U131:AF131" si="179">U122-U130</f>
        <v>0</v>
      </c>
      <c r="V131" s="34">
        <f t="shared" si="179"/>
        <v>0</v>
      </c>
      <c r="W131" s="34">
        <f t="shared" si="179"/>
        <v>0</v>
      </c>
      <c r="X131" s="34">
        <f t="shared" si="179"/>
        <v>0</v>
      </c>
      <c r="Y131" s="34">
        <f t="shared" si="179"/>
        <v>0</v>
      </c>
      <c r="Z131" s="34">
        <f t="shared" si="179"/>
        <v>0</v>
      </c>
      <c r="AA131" s="34">
        <f t="shared" si="179"/>
        <v>0</v>
      </c>
      <c r="AB131" s="34">
        <f t="shared" si="179"/>
        <v>0</v>
      </c>
      <c r="AC131" s="34">
        <f t="shared" si="179"/>
        <v>0</v>
      </c>
      <c r="AD131" s="34">
        <f t="shared" si="179"/>
        <v>0</v>
      </c>
      <c r="AE131" s="34">
        <f t="shared" si="179"/>
        <v>0</v>
      </c>
      <c r="AF131" s="34">
        <f t="shared" si="179"/>
        <v>0</v>
      </c>
      <c r="AG131" s="34">
        <f t="shared" si="173"/>
        <v>0</v>
      </c>
      <c r="AH131" s="35" t="str">
        <f t="shared" si="174"/>
        <v/>
      </c>
      <c r="AI131" s="4"/>
      <c r="AJ131" s="34">
        <f t="shared" ref="AJ131:AJ132" si="182">AG131-N131</f>
        <v>0</v>
      </c>
    </row>
    <row r="132" ht="13.5" customHeight="1">
      <c r="A132" s="52" t="s">
        <v>162</v>
      </c>
      <c r="B132" s="53">
        <f t="shared" ref="B132:M132" si="180">B117+B131</f>
        <v>-86913.02</v>
      </c>
      <c r="C132" s="53">
        <f t="shared" si="180"/>
        <v>-49296.87</v>
      </c>
      <c r="D132" s="53">
        <f t="shared" si="180"/>
        <v>-108301.44</v>
      </c>
      <c r="E132" s="53">
        <f t="shared" si="180"/>
        <v>-45527.53</v>
      </c>
      <c r="F132" s="53">
        <f t="shared" si="180"/>
        <v>-102509.57</v>
      </c>
      <c r="G132" s="53">
        <f t="shared" si="180"/>
        <v>-102060.61</v>
      </c>
      <c r="H132" s="53">
        <f t="shared" si="180"/>
        <v>-105782.9</v>
      </c>
      <c r="I132" s="53">
        <f t="shared" si="180"/>
        <v>-131520.22</v>
      </c>
      <c r="J132" s="53">
        <f t="shared" si="180"/>
        <v>-140963</v>
      </c>
      <c r="K132" s="53">
        <f t="shared" si="180"/>
        <v>-143954</v>
      </c>
      <c r="L132" s="53">
        <f t="shared" si="180"/>
        <v>-143954</v>
      </c>
      <c r="M132" s="53">
        <f t="shared" si="180"/>
        <v>-154591</v>
      </c>
      <c r="N132" s="53">
        <f t="shared" si="170"/>
        <v>-1315374.16</v>
      </c>
      <c r="O132" s="54" t="str">
        <f t="shared" si="171"/>
        <v/>
      </c>
      <c r="P132" s="5"/>
      <c r="Q132" s="5"/>
      <c r="R132" s="36"/>
      <c r="S132" s="36"/>
      <c r="T132" s="36"/>
      <c r="U132" s="53">
        <f t="shared" ref="U132:AF132" si="181">U117+U131</f>
        <v>-104818.1382</v>
      </c>
      <c r="V132" s="53">
        <f t="shared" si="181"/>
        <v>-104818.1382</v>
      </c>
      <c r="W132" s="53">
        <f t="shared" si="181"/>
        <v>-106018.1382</v>
      </c>
      <c r="X132" s="53">
        <f t="shared" si="181"/>
        <v>-106018.1382</v>
      </c>
      <c r="Y132" s="53">
        <f t="shared" si="181"/>
        <v>-106788.1382</v>
      </c>
      <c r="Z132" s="53">
        <f t="shared" si="181"/>
        <v>-106958.1382</v>
      </c>
      <c r="AA132" s="53">
        <f t="shared" si="181"/>
        <v>-107728.1382</v>
      </c>
      <c r="AB132" s="53">
        <f t="shared" si="181"/>
        <v>-107898.1382</v>
      </c>
      <c r="AC132" s="53">
        <f t="shared" si="181"/>
        <v>-108668.1382</v>
      </c>
      <c r="AD132" s="53">
        <f t="shared" si="181"/>
        <v>-111844.6823</v>
      </c>
      <c r="AE132" s="53">
        <f t="shared" si="181"/>
        <v>-112614.6823</v>
      </c>
      <c r="AF132" s="53">
        <f t="shared" si="181"/>
        <v>-112024.6823</v>
      </c>
      <c r="AG132" s="53">
        <f t="shared" si="173"/>
        <v>-1296197.291</v>
      </c>
      <c r="AH132" s="54" t="str">
        <f t="shared" si="174"/>
        <v/>
      </c>
      <c r="AI132" s="4"/>
      <c r="AJ132" s="53">
        <f t="shared" si="182"/>
        <v>19176.8692</v>
      </c>
    </row>
    <row r="133" ht="13.5" customHeight="1">
      <c r="A133" s="4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36"/>
      <c r="S133" s="36"/>
      <c r="T133" s="36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  <c r="AE133" s="55"/>
      <c r="AF133" s="55"/>
      <c r="AG133" s="28"/>
      <c r="AH133" s="5"/>
      <c r="AI133" s="4"/>
      <c r="AJ133" s="4"/>
    </row>
    <row r="134" ht="13.5" customHeight="1">
      <c r="A134" s="4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28"/>
      <c r="P134" s="5"/>
      <c r="Q134" s="5"/>
      <c r="R134" s="36"/>
      <c r="S134" s="36"/>
      <c r="T134" s="36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4"/>
      <c r="AJ134" s="4"/>
    </row>
    <row r="135" ht="13.5" customHeight="1">
      <c r="A135" s="4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28"/>
      <c r="P135" s="5"/>
      <c r="Q135" s="5"/>
      <c r="R135" s="36"/>
      <c r="S135" s="36"/>
      <c r="T135" s="36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4"/>
      <c r="AJ135" s="4"/>
    </row>
    <row r="136" ht="13.5" customHeight="1">
      <c r="A136" s="4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28"/>
      <c r="P136" s="5"/>
      <c r="Q136" s="5"/>
      <c r="R136" s="36"/>
      <c r="S136" s="36"/>
      <c r="T136" s="36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4"/>
      <c r="AJ136" s="4"/>
    </row>
    <row r="137" ht="13.5" customHeight="1">
      <c r="A137" s="25" t="s">
        <v>163</v>
      </c>
      <c r="B137" s="5">
        <f t="shared" ref="B137:N137" si="183">SUMIF($A$9:$A$132,"*"&amp;$A137&amp;"*",B$9:B$132)</f>
        <v>73651.56</v>
      </c>
      <c r="C137" s="5">
        <f t="shared" si="183"/>
        <v>27724.99</v>
      </c>
      <c r="D137" s="5">
        <f t="shared" si="183"/>
        <v>93395.48</v>
      </c>
      <c r="E137" s="5">
        <f t="shared" si="183"/>
        <v>30558.3</v>
      </c>
      <c r="F137" s="5">
        <f t="shared" si="183"/>
        <v>91088.28</v>
      </c>
      <c r="G137" s="5">
        <f t="shared" si="183"/>
        <v>90396.46</v>
      </c>
      <c r="H137" s="5">
        <f t="shared" si="183"/>
        <v>94365.88</v>
      </c>
      <c r="I137" s="5">
        <f t="shared" si="183"/>
        <v>103467.64</v>
      </c>
      <c r="J137" s="5">
        <f t="shared" si="183"/>
        <v>122800</v>
      </c>
      <c r="K137" s="5">
        <f t="shared" si="183"/>
        <v>125500</v>
      </c>
      <c r="L137" s="5">
        <f t="shared" si="183"/>
        <v>125500</v>
      </c>
      <c r="M137" s="5">
        <f t="shared" si="183"/>
        <v>135100</v>
      </c>
      <c r="N137" s="5">
        <f t="shared" si="183"/>
        <v>1113548.59</v>
      </c>
      <c r="O137" s="28"/>
      <c r="P137" s="4"/>
      <c r="Q137" s="4"/>
      <c r="R137" s="36"/>
      <c r="S137" s="36"/>
      <c r="T137" s="36"/>
      <c r="U137" s="5">
        <f t="shared" ref="U137:AG137" si="184">SUMIF($A$9:$A$132,"*"&amp;$A137&amp;"*",U$9:U$132)</f>
        <v>89166.25</v>
      </c>
      <c r="V137" s="5">
        <f t="shared" si="184"/>
        <v>89166.25</v>
      </c>
      <c r="W137" s="5">
        <f t="shared" si="184"/>
        <v>89166.25</v>
      </c>
      <c r="X137" s="5">
        <f t="shared" si="184"/>
        <v>89166.25</v>
      </c>
      <c r="Y137" s="5">
        <f t="shared" si="184"/>
        <v>89166.25</v>
      </c>
      <c r="Z137" s="5">
        <f t="shared" si="184"/>
        <v>89166.25</v>
      </c>
      <c r="AA137" s="5">
        <f t="shared" si="184"/>
        <v>89166.25</v>
      </c>
      <c r="AB137" s="5">
        <f t="shared" si="184"/>
        <v>89166.25</v>
      </c>
      <c r="AC137" s="5">
        <f t="shared" si="184"/>
        <v>89166.25</v>
      </c>
      <c r="AD137" s="5">
        <f t="shared" si="184"/>
        <v>91841.2375</v>
      </c>
      <c r="AE137" s="5">
        <f t="shared" si="184"/>
        <v>91841.2375</v>
      </c>
      <c r="AF137" s="5">
        <f t="shared" si="184"/>
        <v>91841.2375</v>
      </c>
      <c r="AG137" s="5">
        <f t="shared" si="184"/>
        <v>1078019.963</v>
      </c>
      <c r="AH137" s="28"/>
      <c r="AI137" s="4"/>
      <c r="AJ137" s="5"/>
    </row>
    <row r="138" ht="13.5" customHeight="1">
      <c r="A138" s="25" t="s">
        <v>164</v>
      </c>
      <c r="B138" s="5">
        <f t="shared" ref="B138:N138" si="185">SUMIF($A$9:$A$132,"*"&amp;$A138&amp;"*",B$9:B$132)</f>
        <v>0</v>
      </c>
      <c r="C138" s="5">
        <f t="shared" si="185"/>
        <v>0</v>
      </c>
      <c r="D138" s="5">
        <f t="shared" si="185"/>
        <v>0</v>
      </c>
      <c r="E138" s="5">
        <f t="shared" si="185"/>
        <v>0</v>
      </c>
      <c r="F138" s="5">
        <f t="shared" si="185"/>
        <v>0</v>
      </c>
      <c r="G138" s="5">
        <f t="shared" si="185"/>
        <v>0</v>
      </c>
      <c r="H138" s="5">
        <f t="shared" si="185"/>
        <v>0</v>
      </c>
      <c r="I138" s="5">
        <f t="shared" si="185"/>
        <v>0</v>
      </c>
      <c r="J138" s="5">
        <f t="shared" si="185"/>
        <v>0</v>
      </c>
      <c r="K138" s="5">
        <f t="shared" si="185"/>
        <v>0</v>
      </c>
      <c r="L138" s="5">
        <f t="shared" si="185"/>
        <v>0</v>
      </c>
      <c r="M138" s="5">
        <f t="shared" si="185"/>
        <v>0</v>
      </c>
      <c r="N138" s="5">
        <f t="shared" si="185"/>
        <v>0</v>
      </c>
      <c r="O138" s="5"/>
      <c r="P138" s="5"/>
      <c r="Q138" s="5"/>
      <c r="R138" s="36"/>
      <c r="S138" s="36"/>
      <c r="T138" s="36"/>
      <c r="U138" s="5">
        <f t="shared" ref="U138:AG138" si="186">SUMIF($A$9:$A$132,"*"&amp;$A138&amp;"*",U$9:U$132)</f>
        <v>0</v>
      </c>
      <c r="V138" s="5">
        <f t="shared" si="186"/>
        <v>0</v>
      </c>
      <c r="W138" s="5">
        <f t="shared" si="186"/>
        <v>0</v>
      </c>
      <c r="X138" s="5">
        <f t="shared" si="186"/>
        <v>0</v>
      </c>
      <c r="Y138" s="5">
        <f t="shared" si="186"/>
        <v>0</v>
      </c>
      <c r="Z138" s="5">
        <f t="shared" si="186"/>
        <v>0</v>
      </c>
      <c r="AA138" s="5">
        <f t="shared" si="186"/>
        <v>0</v>
      </c>
      <c r="AB138" s="5">
        <f t="shared" si="186"/>
        <v>0</v>
      </c>
      <c r="AC138" s="5">
        <f t="shared" si="186"/>
        <v>0</v>
      </c>
      <c r="AD138" s="5">
        <f t="shared" si="186"/>
        <v>0</v>
      </c>
      <c r="AE138" s="5">
        <f t="shared" si="186"/>
        <v>0</v>
      </c>
      <c r="AF138" s="5">
        <f t="shared" si="186"/>
        <v>0</v>
      </c>
      <c r="AG138" s="5">
        <f t="shared" si="186"/>
        <v>0</v>
      </c>
      <c r="AH138" s="5"/>
      <c r="AI138" s="4"/>
      <c r="AJ138" s="4"/>
    </row>
    <row r="139" ht="13.5" customHeight="1">
      <c r="A139" s="25" t="s">
        <v>165</v>
      </c>
      <c r="B139" s="5">
        <f t="shared" ref="B139:N139" si="187">SUMIF($A$9:$A$132,"*"&amp;$A139&amp;"*",B$9:B$132)</f>
        <v>3695.16</v>
      </c>
      <c r="C139" s="5">
        <f t="shared" si="187"/>
        <v>1055.23</v>
      </c>
      <c r="D139" s="5">
        <f t="shared" si="187"/>
        <v>3372.5</v>
      </c>
      <c r="E139" s="5">
        <f t="shared" si="187"/>
        <v>1042.87</v>
      </c>
      <c r="F139" s="5">
        <f t="shared" si="187"/>
        <v>3064.28</v>
      </c>
      <c r="G139" s="5">
        <f t="shared" si="187"/>
        <v>3071.67</v>
      </c>
      <c r="H139" s="5">
        <f t="shared" si="187"/>
        <v>3332.95</v>
      </c>
      <c r="I139" s="5">
        <f t="shared" si="187"/>
        <v>4964.72</v>
      </c>
      <c r="J139" s="5">
        <f t="shared" si="187"/>
        <v>4421</v>
      </c>
      <c r="K139" s="5">
        <f t="shared" si="187"/>
        <v>4518</v>
      </c>
      <c r="L139" s="5">
        <f t="shared" si="187"/>
        <v>4518</v>
      </c>
      <c r="M139" s="5">
        <f t="shared" si="187"/>
        <v>4864</v>
      </c>
      <c r="N139" s="5">
        <f t="shared" si="187"/>
        <v>41920.38</v>
      </c>
      <c r="O139" s="5"/>
      <c r="P139" s="5"/>
      <c r="Q139" s="5"/>
      <c r="R139" s="36"/>
      <c r="S139" s="36"/>
      <c r="T139" s="36"/>
      <c r="U139" s="5">
        <f t="shared" ref="U139:AG139" si="188">SUMIF($A$9:$A$132,"*"&amp;$A139&amp;"*",U$9:U$132)</f>
        <v>3184.542488</v>
      </c>
      <c r="V139" s="5">
        <f t="shared" si="188"/>
        <v>3184.542488</v>
      </c>
      <c r="W139" s="5">
        <f t="shared" si="188"/>
        <v>3184.542488</v>
      </c>
      <c r="X139" s="5">
        <f t="shared" si="188"/>
        <v>3184.542488</v>
      </c>
      <c r="Y139" s="5">
        <f t="shared" si="188"/>
        <v>3184.542488</v>
      </c>
      <c r="Z139" s="5">
        <f t="shared" si="188"/>
        <v>3184.542488</v>
      </c>
      <c r="AA139" s="5">
        <f t="shared" si="188"/>
        <v>3184.542488</v>
      </c>
      <c r="AB139" s="5">
        <f t="shared" si="188"/>
        <v>3184.542488</v>
      </c>
      <c r="AC139" s="5">
        <f t="shared" si="188"/>
        <v>3184.542488</v>
      </c>
      <c r="AD139" s="5">
        <f t="shared" si="188"/>
        <v>3280.078762</v>
      </c>
      <c r="AE139" s="5">
        <f t="shared" si="188"/>
        <v>3280.078762</v>
      </c>
      <c r="AF139" s="5">
        <f t="shared" si="188"/>
        <v>3280.078762</v>
      </c>
      <c r="AG139" s="5">
        <f t="shared" si="188"/>
        <v>38501.11868</v>
      </c>
      <c r="AH139" s="5"/>
      <c r="AI139" s="4"/>
      <c r="AJ139" s="5"/>
    </row>
    <row r="140" ht="13.5" customHeight="1">
      <c r="A140" s="25" t="s">
        <v>166</v>
      </c>
      <c r="B140" s="5">
        <f t="shared" ref="B140:N140" si="189">SUMIF($A$9:$A$132,"*"&amp;$A140&amp;"*",B$9:B$132)</f>
        <v>6488.64</v>
      </c>
      <c r="C140" s="5">
        <f t="shared" si="189"/>
        <v>17771.74</v>
      </c>
      <c r="D140" s="5">
        <f t="shared" si="189"/>
        <v>9023.63</v>
      </c>
      <c r="E140" s="5">
        <f t="shared" si="189"/>
        <v>10961.94</v>
      </c>
      <c r="F140" s="5">
        <f t="shared" si="189"/>
        <v>5752.25</v>
      </c>
      <c r="G140" s="5">
        <f t="shared" si="189"/>
        <v>7975.89</v>
      </c>
      <c r="H140" s="5">
        <f t="shared" si="189"/>
        <v>7066.98</v>
      </c>
      <c r="I140" s="5">
        <f t="shared" si="189"/>
        <v>11912.99</v>
      </c>
      <c r="J140" s="5">
        <f t="shared" si="189"/>
        <v>8842</v>
      </c>
      <c r="K140" s="5">
        <f t="shared" si="189"/>
        <v>9036</v>
      </c>
      <c r="L140" s="5">
        <f t="shared" si="189"/>
        <v>9036</v>
      </c>
      <c r="M140" s="5">
        <f t="shared" si="189"/>
        <v>9727</v>
      </c>
      <c r="N140" s="5">
        <f t="shared" si="189"/>
        <v>113595.06</v>
      </c>
      <c r="O140" s="5"/>
      <c r="P140" s="5"/>
      <c r="Q140" s="5"/>
      <c r="R140" s="36"/>
      <c r="S140" s="36"/>
      <c r="T140" s="36"/>
      <c r="U140" s="5">
        <f t="shared" ref="U140:AG140" si="190">SUMIF($A$9:$A$132,"*"&amp;$A140&amp;"*",U$9:U$132)</f>
        <v>7867.345709</v>
      </c>
      <c r="V140" s="5">
        <f t="shared" si="190"/>
        <v>7867.345709</v>
      </c>
      <c r="W140" s="5">
        <f t="shared" si="190"/>
        <v>7867.345709</v>
      </c>
      <c r="X140" s="5">
        <f t="shared" si="190"/>
        <v>7867.345709</v>
      </c>
      <c r="Y140" s="5">
        <f t="shared" si="190"/>
        <v>7867.345709</v>
      </c>
      <c r="Z140" s="5">
        <f t="shared" si="190"/>
        <v>7867.345709</v>
      </c>
      <c r="AA140" s="5">
        <f t="shared" si="190"/>
        <v>7867.345709</v>
      </c>
      <c r="AB140" s="5">
        <f t="shared" si="190"/>
        <v>7867.345709</v>
      </c>
      <c r="AC140" s="5">
        <f t="shared" si="190"/>
        <v>7867.345709</v>
      </c>
      <c r="AD140" s="5">
        <f t="shared" si="190"/>
        <v>8103.366081</v>
      </c>
      <c r="AE140" s="5">
        <f t="shared" si="190"/>
        <v>8103.366081</v>
      </c>
      <c r="AF140" s="5">
        <f t="shared" si="190"/>
        <v>8103.366081</v>
      </c>
      <c r="AG140" s="5">
        <f t="shared" si="190"/>
        <v>95116.20962</v>
      </c>
      <c r="AH140" s="5"/>
      <c r="AI140" s="4"/>
      <c r="AJ140" s="5"/>
    </row>
    <row r="141" ht="13.5" customHeight="1">
      <c r="A141" s="4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36"/>
      <c r="S141" s="36"/>
      <c r="T141" s="36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4"/>
      <c r="AJ141" s="5"/>
    </row>
    <row r="142" ht="13.5" customHeight="1">
      <c r="A142" s="4" t="s">
        <v>167</v>
      </c>
      <c r="B142" s="28">
        <f t="shared" ref="B142:N142" si="191">IFERROR(SUM(B139:B140)/SUM(B137:B138),"")</f>
        <v>0.1382699837</v>
      </c>
      <c r="C142" s="28">
        <f t="shared" si="191"/>
        <v>0.6790613811</v>
      </c>
      <c r="D142" s="28">
        <f t="shared" si="191"/>
        <v>0.1327273011</v>
      </c>
      <c r="E142" s="28">
        <f t="shared" si="191"/>
        <v>0.3928494059</v>
      </c>
      <c r="F142" s="28">
        <f t="shared" si="191"/>
        <v>0.0967910471</v>
      </c>
      <c r="G142" s="28">
        <f t="shared" si="191"/>
        <v>0.1222123079</v>
      </c>
      <c r="H142" s="28">
        <f t="shared" si="191"/>
        <v>0.1102085839</v>
      </c>
      <c r="I142" s="28">
        <f t="shared" si="191"/>
        <v>0.1631206627</v>
      </c>
      <c r="J142" s="28">
        <f t="shared" si="191"/>
        <v>0.108004886</v>
      </c>
      <c r="K142" s="28">
        <f t="shared" si="191"/>
        <v>0.108</v>
      </c>
      <c r="L142" s="28">
        <f t="shared" si="191"/>
        <v>0.108</v>
      </c>
      <c r="M142" s="28">
        <f t="shared" si="191"/>
        <v>0.1080014804</v>
      </c>
      <c r="N142" s="28">
        <f t="shared" si="191"/>
        <v>0.139657525</v>
      </c>
      <c r="O142" s="28"/>
      <c r="P142" s="28"/>
      <c r="Q142" s="28"/>
      <c r="R142" s="36"/>
      <c r="S142" s="36"/>
      <c r="T142" s="36"/>
      <c r="U142" s="28">
        <f t="shared" ref="U142:AG142" si="192">IFERROR(SUM(U139:U140)/SUM(U137:U138),"")</f>
        <v>0.1239469889</v>
      </c>
      <c r="V142" s="28">
        <f t="shared" si="192"/>
        <v>0.1239469889</v>
      </c>
      <c r="W142" s="28">
        <f t="shared" si="192"/>
        <v>0.1239469889</v>
      </c>
      <c r="X142" s="28">
        <f t="shared" si="192"/>
        <v>0.1239469889</v>
      </c>
      <c r="Y142" s="28">
        <f t="shared" si="192"/>
        <v>0.1239469889</v>
      </c>
      <c r="Z142" s="28">
        <f t="shared" si="192"/>
        <v>0.1239469889</v>
      </c>
      <c r="AA142" s="28">
        <f t="shared" si="192"/>
        <v>0.1239469889</v>
      </c>
      <c r="AB142" s="28">
        <f t="shared" si="192"/>
        <v>0.1239469889</v>
      </c>
      <c r="AC142" s="28">
        <f t="shared" si="192"/>
        <v>0.1239469889</v>
      </c>
      <c r="AD142" s="28">
        <f t="shared" si="192"/>
        <v>0.1239469889</v>
      </c>
      <c r="AE142" s="28">
        <f t="shared" si="192"/>
        <v>0.1239469889</v>
      </c>
      <c r="AF142" s="28">
        <f t="shared" si="192"/>
        <v>0.1239469889</v>
      </c>
      <c r="AG142" s="28">
        <f t="shared" si="192"/>
        <v>0.1239469889</v>
      </c>
      <c r="AH142" s="28"/>
      <c r="AI142" s="28"/>
      <c r="AJ142" s="28"/>
    </row>
    <row r="143" ht="13.5" customHeight="1">
      <c r="A143" s="4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28"/>
      <c r="P143" s="5"/>
      <c r="Q143" s="5"/>
      <c r="R143" s="36"/>
      <c r="S143" s="36"/>
      <c r="T143" s="36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4"/>
    </row>
    <row r="144" ht="13.5" customHeight="1">
      <c r="A144" s="4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28"/>
      <c r="P144" s="5"/>
      <c r="Q144" s="5"/>
      <c r="R144" s="36"/>
      <c r="S144" s="36"/>
      <c r="T144" s="36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4"/>
      <c r="AJ144" s="4"/>
    </row>
    <row r="145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28"/>
      <c r="P145" s="4"/>
      <c r="Q145" s="4"/>
      <c r="R145" s="56"/>
      <c r="S145" s="56"/>
      <c r="T145" s="56"/>
      <c r="U145" s="4"/>
      <c r="V145" s="4"/>
      <c r="W145" s="4"/>
      <c r="X145" s="20" t="s">
        <v>168</v>
      </c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8"/>
      <c r="P146" s="4"/>
      <c r="Q146" s="4"/>
      <c r="R146" s="56"/>
      <c r="S146" s="56"/>
      <c r="T146" s="56"/>
      <c r="U146" s="4"/>
      <c r="V146" s="4"/>
      <c r="W146" s="4"/>
      <c r="X146" s="4"/>
      <c r="Y146" s="20">
        <v>1.05</v>
      </c>
      <c r="Z146" s="20">
        <v>1.1</v>
      </c>
      <c r="AA146" s="20">
        <v>1.15</v>
      </c>
      <c r="AB146" s="20">
        <v>1.2</v>
      </c>
      <c r="AC146" s="20">
        <v>1.25</v>
      </c>
      <c r="AD146" s="20">
        <v>1.3</v>
      </c>
      <c r="AE146" s="20">
        <v>1.35</v>
      </c>
      <c r="AF146" s="20">
        <v>1.4</v>
      </c>
      <c r="AG146" s="4"/>
      <c r="AH146" s="4"/>
      <c r="AI146" s="4"/>
      <c r="AJ146" s="4"/>
    </row>
    <row r="147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28"/>
      <c r="P147" s="4"/>
      <c r="Q147" s="4"/>
      <c r="R147" s="56"/>
      <c r="S147" s="56"/>
      <c r="T147" s="56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28"/>
      <c r="P148" s="4"/>
      <c r="Q148" s="4"/>
      <c r="R148" s="56"/>
      <c r="S148" s="56"/>
      <c r="T148" s="56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28"/>
      <c r="P149" s="4"/>
      <c r="Q149" s="4"/>
      <c r="R149" s="56"/>
      <c r="S149" s="56"/>
      <c r="T149" s="56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28"/>
      <c r="P150" s="4"/>
      <c r="Q150" s="4"/>
      <c r="R150" s="56"/>
      <c r="S150" s="56"/>
      <c r="T150" s="56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28"/>
      <c r="P151" s="4"/>
      <c r="Q151" s="4"/>
      <c r="R151" s="56"/>
      <c r="S151" s="56"/>
      <c r="T151" s="56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28"/>
      <c r="P152" s="4"/>
      <c r="Q152" s="4"/>
      <c r="R152" s="56"/>
      <c r="S152" s="56"/>
      <c r="T152" s="56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28"/>
      <c r="P153" s="4"/>
      <c r="Q153" s="4"/>
      <c r="R153" s="56"/>
      <c r="S153" s="56"/>
      <c r="T153" s="56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28"/>
      <c r="P154" s="4"/>
      <c r="Q154" s="4"/>
      <c r="R154" s="56"/>
      <c r="S154" s="56"/>
      <c r="T154" s="56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28"/>
      <c r="P155" s="4"/>
      <c r="Q155" s="4"/>
      <c r="R155" s="56"/>
      <c r="S155" s="56"/>
      <c r="T155" s="56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28"/>
      <c r="P156" s="4"/>
      <c r="Q156" s="4"/>
      <c r="R156" s="56"/>
      <c r="S156" s="56"/>
      <c r="T156" s="56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28"/>
      <c r="P157" s="4"/>
      <c r="Q157" s="4"/>
      <c r="R157" s="56"/>
      <c r="S157" s="56"/>
      <c r="T157" s="56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28"/>
      <c r="P158" s="4"/>
      <c r="Q158" s="4"/>
      <c r="R158" s="56"/>
      <c r="S158" s="56"/>
      <c r="T158" s="56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28"/>
      <c r="P159" s="4"/>
      <c r="Q159" s="4"/>
      <c r="R159" s="56"/>
      <c r="S159" s="56"/>
      <c r="T159" s="56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28"/>
      <c r="P160" s="4"/>
      <c r="Q160" s="4"/>
      <c r="R160" s="56"/>
      <c r="S160" s="56"/>
      <c r="T160" s="56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28"/>
      <c r="P161" s="4"/>
      <c r="Q161" s="4"/>
      <c r="R161" s="56"/>
      <c r="S161" s="56"/>
      <c r="T161" s="56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28"/>
      <c r="P162" s="4"/>
      <c r="Q162" s="4"/>
      <c r="R162" s="56"/>
      <c r="S162" s="56"/>
      <c r="T162" s="56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28"/>
      <c r="P163" s="4"/>
      <c r="Q163" s="4"/>
      <c r="R163" s="56"/>
      <c r="S163" s="56"/>
      <c r="T163" s="56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28"/>
      <c r="P164" s="4"/>
      <c r="Q164" s="4"/>
      <c r="R164" s="56"/>
      <c r="S164" s="56"/>
      <c r="T164" s="56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28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28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8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28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28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8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28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28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8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28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28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8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28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28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28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28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28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28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28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28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28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28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28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28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28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28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28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28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28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28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28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28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28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28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28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28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</row>
    <row r="293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</row>
    <row r="294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</row>
    <row r="295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</row>
    <row r="29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</row>
    <row r="297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</row>
    <row r="298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</row>
    <row r="299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</row>
    <row r="300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</row>
    <row r="301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</row>
    <row r="302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</row>
    <row r="303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</row>
    <row r="304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</row>
    <row r="305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</row>
    <row r="30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</row>
    <row r="307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</row>
    <row r="308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</row>
    <row r="309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</row>
    <row r="310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</row>
    <row r="311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</row>
    <row r="312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</row>
    <row r="313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</row>
    <row r="314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</row>
    <row r="315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</row>
    <row r="31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</row>
    <row r="317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</row>
    <row r="318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</row>
    <row r="319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</row>
    <row r="320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</row>
    <row r="321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</row>
    <row r="322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</row>
    <row r="323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</row>
    <row r="324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</row>
    <row r="325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</row>
    <row r="3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</row>
    <row r="327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</row>
    <row r="328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</row>
    <row r="329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</row>
    <row r="330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</row>
    <row r="331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</row>
    <row r="332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</row>
    <row r="333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</row>
    <row r="334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</row>
    <row r="335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</row>
    <row r="33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</row>
    <row r="337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</row>
    <row r="338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</row>
    <row r="339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</row>
    <row r="340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</row>
    <row r="341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</row>
    <row r="342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</row>
    <row r="343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</row>
    <row r="344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</row>
    <row r="345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</row>
    <row r="34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</row>
    <row r="347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</row>
    <row r="348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</row>
    <row r="349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</row>
    <row r="350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</row>
    <row r="351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</row>
    <row r="352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</row>
    <row r="353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</row>
    <row r="354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</row>
    <row r="355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</row>
    <row r="35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</row>
    <row r="357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</row>
    <row r="358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</row>
    <row r="359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</row>
    <row r="360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</row>
    <row r="361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</row>
    <row r="362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</row>
    <row r="363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</row>
    <row r="364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</row>
    <row r="365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</row>
    <row r="36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</row>
    <row r="367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</row>
    <row r="368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</row>
    <row r="369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</row>
    <row r="370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</row>
    <row r="371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</row>
    <row r="372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</row>
    <row r="373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</row>
    <row r="374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</row>
    <row r="375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</row>
    <row r="37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</row>
    <row r="377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</row>
    <row r="378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</row>
    <row r="379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</row>
    <row r="380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</row>
    <row r="381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</row>
    <row r="382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</row>
    <row r="383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</row>
    <row r="384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</row>
    <row r="385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</row>
    <row r="38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</row>
    <row r="387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</row>
    <row r="388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</row>
    <row r="389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</row>
    <row r="390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</row>
    <row r="391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</row>
    <row r="392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</row>
    <row r="393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</row>
    <row r="394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</row>
    <row r="395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</row>
    <row r="39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</row>
    <row r="397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</row>
    <row r="398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</row>
    <row r="399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</row>
    <row r="400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</row>
    <row r="401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</row>
    <row r="402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</row>
    <row r="403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</row>
    <row r="404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</row>
    <row r="405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</row>
    <row r="40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</row>
    <row r="407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</row>
    <row r="408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</row>
    <row r="409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</row>
    <row r="410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</row>
    <row r="411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</row>
    <row r="412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</row>
    <row r="413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</row>
    <row r="414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</row>
    <row r="415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</row>
    <row r="41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</row>
    <row r="417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</row>
    <row r="418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</row>
    <row r="419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</row>
    <row r="420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</row>
    <row r="421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</row>
    <row r="422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</row>
    <row r="423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</row>
    <row r="424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</row>
    <row r="425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</row>
    <row r="4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</row>
    <row r="427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</row>
    <row r="428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</row>
    <row r="429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</row>
    <row r="430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</row>
    <row r="431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</row>
    <row r="432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</row>
    <row r="433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</row>
    <row r="434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</row>
    <row r="435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</row>
    <row r="43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</row>
    <row r="437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</row>
    <row r="438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</row>
    <row r="439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</row>
    <row r="440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</row>
    <row r="441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</row>
    <row r="442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</row>
    <row r="443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</row>
    <row r="444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</row>
    <row r="445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</row>
    <row r="44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</row>
    <row r="447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</row>
    <row r="448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</row>
    <row r="449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</row>
    <row r="450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</row>
    <row r="451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</row>
    <row r="452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</row>
    <row r="453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</row>
    <row r="454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</row>
    <row r="455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</row>
    <row r="45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</row>
    <row r="457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</row>
    <row r="458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</row>
    <row r="459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</row>
    <row r="460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</row>
    <row r="461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</row>
    <row r="462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</row>
    <row r="463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</row>
    <row r="464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</row>
    <row r="465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</row>
    <row r="46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</row>
    <row r="467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</row>
    <row r="468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</row>
    <row r="469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</row>
    <row r="470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</row>
    <row r="471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</row>
    <row r="472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</row>
    <row r="473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</row>
    <row r="474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</row>
    <row r="475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</row>
    <row r="47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</row>
    <row r="477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</row>
    <row r="478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</row>
    <row r="479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</row>
    <row r="480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</row>
    <row r="481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</row>
    <row r="482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</row>
    <row r="483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</row>
    <row r="484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</row>
    <row r="485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</row>
    <row r="48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</row>
    <row r="487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</row>
    <row r="488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</row>
    <row r="489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</row>
    <row r="490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</row>
    <row r="491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</row>
    <row r="492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</row>
    <row r="493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</row>
    <row r="494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</row>
    <row r="495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</row>
    <row r="49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</row>
    <row r="497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</row>
    <row r="498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</row>
    <row r="499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</row>
    <row r="500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</row>
    <row r="501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</row>
    <row r="502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</row>
    <row r="503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</row>
    <row r="504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</row>
    <row r="505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</row>
    <row r="50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</row>
    <row r="507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</row>
    <row r="508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</row>
    <row r="509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</row>
    <row r="510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</row>
    <row r="511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</row>
    <row r="512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</row>
    <row r="513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</row>
    <row r="514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</row>
    <row r="515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</row>
    <row r="51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</row>
    <row r="517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</row>
    <row r="518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</row>
    <row r="519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</row>
    <row r="520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</row>
    <row r="521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</row>
    <row r="522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</row>
    <row r="523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</row>
    <row r="524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</row>
    <row r="525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</row>
    <row r="5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</row>
    <row r="527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</row>
    <row r="528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</row>
    <row r="529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</row>
    <row r="530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</row>
    <row r="531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</row>
    <row r="532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</row>
    <row r="533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</row>
    <row r="534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</row>
    <row r="535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</row>
    <row r="53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</row>
    <row r="537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</row>
    <row r="538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</row>
    <row r="539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</row>
    <row r="540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</row>
    <row r="541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</row>
    <row r="542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</row>
    <row r="543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</row>
    <row r="544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</row>
    <row r="545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</row>
    <row r="54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</row>
    <row r="547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</row>
    <row r="548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</row>
    <row r="549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</row>
    <row r="550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</row>
    <row r="551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</row>
    <row r="552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</row>
    <row r="553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</row>
    <row r="554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</row>
    <row r="555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</row>
    <row r="55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</row>
    <row r="557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</row>
    <row r="558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</row>
    <row r="559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</row>
    <row r="560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</row>
    <row r="561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</row>
    <row r="562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</row>
    <row r="563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</row>
    <row r="564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</row>
    <row r="565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</row>
    <row r="56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</row>
    <row r="567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</row>
    <row r="568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</row>
    <row r="569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</row>
    <row r="570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</row>
    <row r="571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</row>
    <row r="572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</row>
    <row r="573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</row>
    <row r="574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</row>
    <row r="575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</row>
    <row r="57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</row>
    <row r="577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</row>
    <row r="578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</row>
    <row r="579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</row>
    <row r="580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</row>
    <row r="581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</row>
    <row r="582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</row>
    <row r="583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</row>
    <row r="584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</row>
    <row r="585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</row>
    <row r="58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</row>
    <row r="587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</row>
    <row r="588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</row>
    <row r="589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</row>
    <row r="590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</row>
    <row r="591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</row>
    <row r="592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</row>
    <row r="593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</row>
    <row r="594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</row>
    <row r="595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</row>
    <row r="59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</row>
    <row r="597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</row>
    <row r="598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</row>
    <row r="599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</row>
    <row r="600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</row>
    <row r="601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</row>
    <row r="602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</row>
    <row r="603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</row>
    <row r="604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</row>
    <row r="605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</row>
    <row r="60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</row>
    <row r="607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</row>
    <row r="608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</row>
    <row r="609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</row>
    <row r="610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</row>
    <row r="611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</row>
    <row r="612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</row>
    <row r="613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</row>
    <row r="614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</row>
    <row r="615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</row>
    <row r="61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</row>
    <row r="617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</row>
    <row r="618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</row>
    <row r="619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</row>
    <row r="620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</row>
    <row r="621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</row>
    <row r="622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</row>
    <row r="623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</row>
    <row r="624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</row>
    <row r="625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</row>
    <row r="6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</row>
    <row r="627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</row>
    <row r="628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</row>
    <row r="629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</row>
    <row r="630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</row>
    <row r="631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</row>
    <row r="632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</row>
    <row r="633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</row>
    <row r="634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</row>
    <row r="635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</row>
    <row r="63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</row>
    <row r="637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</row>
    <row r="638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</row>
    <row r="639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</row>
    <row r="640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</row>
    <row r="641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</row>
    <row r="642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</row>
    <row r="643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</row>
    <row r="644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</row>
    <row r="645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</row>
    <row r="64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</row>
    <row r="647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</row>
    <row r="648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</row>
    <row r="649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</row>
    <row r="650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</row>
    <row r="651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</row>
    <row r="652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</row>
    <row r="653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</row>
    <row r="654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</row>
    <row r="655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</row>
    <row r="65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</row>
    <row r="657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</row>
    <row r="658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</row>
    <row r="659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</row>
    <row r="660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</row>
    <row r="661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</row>
    <row r="662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</row>
    <row r="663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</row>
    <row r="664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</row>
    <row r="665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</row>
    <row r="66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</row>
    <row r="667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</row>
    <row r="668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</row>
    <row r="669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</row>
    <row r="670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</row>
    <row r="671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</row>
    <row r="672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</row>
    <row r="673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</row>
    <row r="674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</row>
    <row r="675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</row>
    <row r="67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</row>
    <row r="677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</row>
    <row r="678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</row>
    <row r="679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</row>
    <row r="680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</row>
    <row r="681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</row>
    <row r="682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</row>
    <row r="683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</row>
    <row r="684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</row>
    <row r="685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</row>
    <row r="68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</row>
    <row r="687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</row>
    <row r="688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</row>
    <row r="689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</row>
    <row r="690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</row>
    <row r="691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</row>
    <row r="692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</row>
    <row r="693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</row>
    <row r="694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</row>
    <row r="695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</row>
    <row r="69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</row>
    <row r="697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</row>
    <row r="698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</row>
    <row r="699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</row>
    <row r="700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</row>
    <row r="701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</row>
    <row r="702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</row>
    <row r="703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</row>
    <row r="704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</row>
    <row r="705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</row>
    <row r="70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</row>
    <row r="707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</row>
    <row r="708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</row>
    <row r="709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</row>
    <row r="710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</row>
    <row r="711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</row>
    <row r="712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</row>
    <row r="713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</row>
    <row r="714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</row>
    <row r="715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</row>
    <row r="71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</row>
    <row r="717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</row>
    <row r="718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</row>
    <row r="719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</row>
    <row r="720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</row>
    <row r="721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</row>
    <row r="722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</row>
    <row r="723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</row>
    <row r="724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</row>
    <row r="725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</row>
    <row r="7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</row>
    <row r="727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</row>
    <row r="728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</row>
    <row r="729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</row>
    <row r="730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</row>
    <row r="731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</row>
    <row r="732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</row>
    <row r="733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</row>
    <row r="734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</row>
    <row r="735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</row>
    <row r="73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</row>
    <row r="737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</row>
    <row r="738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</row>
    <row r="739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</row>
    <row r="740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</row>
    <row r="741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</row>
    <row r="742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</row>
    <row r="743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</row>
    <row r="744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</row>
    <row r="745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</row>
    <row r="74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</row>
    <row r="747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</row>
    <row r="748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</row>
    <row r="749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</row>
    <row r="750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</row>
    <row r="751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</row>
    <row r="752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</row>
    <row r="753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</row>
    <row r="754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</row>
    <row r="755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</row>
    <row r="75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</row>
    <row r="757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</row>
    <row r="758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</row>
    <row r="759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</row>
    <row r="760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</row>
    <row r="761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</row>
    <row r="762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</row>
    <row r="763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</row>
    <row r="764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</row>
    <row r="765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</row>
    <row r="76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</row>
    <row r="767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</row>
    <row r="768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</row>
    <row r="769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</row>
    <row r="770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</row>
    <row r="771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</row>
    <row r="772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</row>
    <row r="773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</row>
    <row r="774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</row>
    <row r="775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</row>
    <row r="77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</row>
    <row r="777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</row>
    <row r="778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</row>
    <row r="779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</row>
    <row r="780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</row>
    <row r="781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</row>
    <row r="782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</row>
    <row r="783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</row>
    <row r="784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</row>
    <row r="785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</row>
    <row r="78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</row>
    <row r="787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</row>
    <row r="788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</row>
    <row r="789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</row>
    <row r="790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</row>
    <row r="791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</row>
    <row r="792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</row>
    <row r="793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</row>
    <row r="794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</row>
    <row r="795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</row>
    <row r="79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</row>
    <row r="797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</row>
    <row r="798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</row>
    <row r="799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</row>
    <row r="800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</row>
    <row r="801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</row>
    <row r="802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</row>
    <row r="803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</row>
    <row r="804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</row>
    <row r="805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</row>
    <row r="80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</row>
    <row r="807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</row>
    <row r="808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</row>
    <row r="809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</row>
    <row r="810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</row>
    <row r="811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</row>
    <row r="812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</row>
    <row r="813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</row>
    <row r="814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</row>
    <row r="815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</row>
    <row r="81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</row>
    <row r="817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</row>
    <row r="818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</row>
    <row r="819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</row>
    <row r="820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</row>
    <row r="821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</row>
    <row r="822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</row>
    <row r="823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</row>
    <row r="824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</row>
    <row r="825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</row>
    <row r="8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</row>
    <row r="827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</row>
    <row r="828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</row>
    <row r="829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</row>
    <row r="830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</row>
    <row r="831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</row>
    <row r="832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</row>
    <row r="833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</row>
    <row r="834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</row>
    <row r="835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</row>
    <row r="83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</row>
    <row r="837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</row>
    <row r="838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</row>
    <row r="839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</row>
    <row r="840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</row>
    <row r="841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</row>
    <row r="842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</row>
    <row r="843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</row>
    <row r="844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</row>
    <row r="845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</row>
    <row r="84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</row>
    <row r="847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</row>
    <row r="848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</row>
    <row r="849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</row>
    <row r="850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</row>
    <row r="851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</row>
    <row r="852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</row>
    <row r="853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</row>
    <row r="854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</row>
    <row r="855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</row>
    <row r="85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</row>
    <row r="857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</row>
    <row r="858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</row>
    <row r="859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</row>
    <row r="860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</row>
    <row r="861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</row>
    <row r="862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</row>
    <row r="863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</row>
    <row r="864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</row>
    <row r="865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</row>
    <row r="86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</row>
    <row r="867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</row>
    <row r="868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</row>
    <row r="869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</row>
    <row r="870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</row>
    <row r="871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</row>
    <row r="872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</row>
    <row r="873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</row>
    <row r="874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</row>
    <row r="875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</row>
    <row r="87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</row>
    <row r="877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</row>
    <row r="878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</row>
    <row r="879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</row>
    <row r="880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</row>
    <row r="881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</row>
    <row r="882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</row>
    <row r="883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</row>
    <row r="884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</row>
    <row r="885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</row>
    <row r="88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</row>
    <row r="887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</row>
    <row r="888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</row>
    <row r="889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</row>
    <row r="890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</row>
    <row r="891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</row>
    <row r="892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</row>
    <row r="893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</row>
    <row r="894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</row>
    <row r="895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</row>
    <row r="89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</row>
    <row r="897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</row>
    <row r="898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</row>
    <row r="899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</row>
    <row r="900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</row>
    <row r="901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</row>
    <row r="902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</row>
    <row r="903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</row>
    <row r="904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</row>
    <row r="905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</row>
    <row r="90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</row>
    <row r="907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</row>
    <row r="908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</row>
    <row r="909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</row>
    <row r="910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</row>
    <row r="911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</row>
    <row r="912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</row>
    <row r="913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</row>
    <row r="914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</row>
    <row r="915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</row>
    <row r="91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</row>
    <row r="917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</row>
    <row r="918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</row>
    <row r="919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</row>
    <row r="920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</row>
    <row r="921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</row>
    <row r="922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</row>
    <row r="923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</row>
    <row r="924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</row>
    <row r="925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</row>
    <row r="9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</row>
    <row r="927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</row>
    <row r="928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</row>
    <row r="929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</row>
    <row r="930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</row>
    <row r="931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</row>
    <row r="932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</row>
    <row r="933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</row>
    <row r="934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</row>
    <row r="935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</row>
    <row r="93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</row>
    <row r="937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</row>
    <row r="938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</row>
    <row r="939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</row>
    <row r="940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</row>
    <row r="941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</row>
    <row r="942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</row>
    <row r="943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</row>
    <row r="944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</row>
    <row r="945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</row>
    <row r="94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</row>
    <row r="947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</row>
    <row r="948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</row>
    <row r="949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</row>
    <row r="950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</row>
    <row r="951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</row>
    <row r="952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</row>
    <row r="953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</row>
    <row r="954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</row>
    <row r="955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</row>
    <row r="95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</row>
    <row r="957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</row>
    <row r="958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</row>
    <row r="959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</row>
    <row r="960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</row>
    <row r="961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</row>
    <row r="962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</row>
    <row r="963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</row>
    <row r="964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</row>
    <row r="965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</row>
    <row r="96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</row>
    <row r="967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</row>
    <row r="968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</row>
    <row r="969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</row>
    <row r="970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</row>
    <row r="971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</row>
    <row r="972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</row>
    <row r="973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</row>
    <row r="974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</row>
    <row r="975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</row>
    <row r="97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</row>
    <row r="977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</row>
    <row r="978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</row>
    <row r="979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</row>
    <row r="980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</row>
    <row r="981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</row>
    <row r="982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</row>
    <row r="983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</row>
    <row r="984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</row>
    <row r="985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</row>
    <row r="98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</row>
    <row r="987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</row>
    <row r="988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</row>
    <row r="989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</row>
    <row r="990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</row>
    <row r="991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</row>
    <row r="992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</row>
    <row r="993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</row>
    <row r="994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</row>
    <row r="995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</row>
    <row r="996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</row>
    <row r="997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</row>
    <row r="998" ht="13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</row>
    <row r="999" ht="13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</row>
    <row r="1000" ht="13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</row>
  </sheetData>
  <conditionalFormatting sqref="S12:S13">
    <cfRule type="expression" dxfId="0" priority="1">
      <formula>AND(NOT(ISFORMULA(S12)),ISNUMBER(S12))</formula>
    </cfRule>
  </conditionalFormatting>
  <conditionalFormatting sqref="S15">
    <cfRule type="expression" dxfId="0" priority="2">
      <formula>AND(NOT(ISFORMULA(S15)),ISNUMBER(S15))</formula>
    </cfRule>
  </conditionalFormatting>
  <conditionalFormatting sqref="S19:S22">
    <cfRule type="expression" dxfId="0" priority="3">
      <formula>AND(NOT(ISFORMULA(S19)),ISNUMBER(S19))</formula>
    </cfRule>
  </conditionalFormatting>
  <conditionalFormatting sqref="S24:S26">
    <cfRule type="expression" dxfId="0" priority="4">
      <formula>AND(NOT(ISFORMULA(S24)),ISNUMBER(S24))</formula>
    </cfRule>
  </conditionalFormatting>
  <conditionalFormatting sqref="S28:S31">
    <cfRule type="expression" dxfId="0" priority="5">
      <formula>AND(NOT(ISFORMULA(S28)),ISNUMBER(S28))</formula>
    </cfRule>
  </conditionalFormatting>
  <conditionalFormatting sqref="S38:S42">
    <cfRule type="expression" dxfId="0" priority="6">
      <formula>AND(NOT(ISFORMULA(S38)),ISNUMBER(S38))</formula>
    </cfRule>
  </conditionalFormatting>
  <conditionalFormatting sqref="S44:S50">
    <cfRule type="expression" dxfId="0" priority="7">
      <formula>AND(NOT(ISFORMULA(S44)),ISNUMBER(S44))</formula>
    </cfRule>
  </conditionalFormatting>
  <conditionalFormatting sqref="S58:S60">
    <cfRule type="expression" dxfId="0" priority="8">
      <formula>AND(NOT(ISFORMULA(S58)),ISNUMBER(S58))</formula>
    </cfRule>
  </conditionalFormatting>
  <conditionalFormatting sqref="S62">
    <cfRule type="expression" dxfId="0" priority="9">
      <formula>AND(NOT(ISFORMULA(S62)),ISNUMBER(S62))</formula>
    </cfRule>
  </conditionalFormatting>
  <conditionalFormatting sqref="S70:S72">
    <cfRule type="expression" dxfId="0" priority="10">
      <formula>AND(NOT(ISFORMULA(S70)),ISNUMBER(S70))</formula>
    </cfRule>
  </conditionalFormatting>
  <conditionalFormatting sqref="S74:S80">
    <cfRule type="expression" dxfId="0" priority="11">
      <formula>AND(NOT(ISFORMULA(S74)),ISNUMBER(S74))</formula>
    </cfRule>
  </conditionalFormatting>
  <conditionalFormatting sqref="S82:S86">
    <cfRule type="expression" dxfId="0" priority="12">
      <formula>AND(NOT(ISFORMULA(S82)),ISNUMBER(S82))</formula>
    </cfRule>
  </conditionalFormatting>
  <conditionalFormatting sqref="S88:S115">
    <cfRule type="expression" dxfId="0" priority="13">
      <formula>AND(NOT(ISFORMULA(S88)),ISNUMBER(S88))</formula>
    </cfRule>
  </conditionalFormatting>
  <conditionalFormatting sqref="S120:S121">
    <cfRule type="expression" dxfId="0" priority="14">
      <formula>AND(NOT(ISFORMULA(S120)),ISNUMBER(S120))</formula>
    </cfRule>
  </conditionalFormatting>
  <conditionalFormatting sqref="S124:S129">
    <cfRule type="expression" dxfId="0" priority="15">
      <formula>AND(NOT(ISFORMULA(S124)),ISNUMBER(S124))</formula>
    </cfRule>
  </conditionalFormatting>
  <dataValidations>
    <dataValidation type="decimal" allowBlank="1" showInputMessage="1" showErrorMessage="1" prompt="Numbers only - Please enter a number (no text)." sqref="S12:AF13 S15:AF15 S19:AF22 S24:AF26 S28:AF31 S38:AF42 S44:AF50 S58:AF60 S62:AF62 S70:AF72 S74:AF80 S82:AF86 S88:AF115 S120:AF121 S124:AF129">
      <formula1>-1.0E15</formula1>
      <formula2>1.0E15</formula2>
    </dataValidation>
    <dataValidation type="list" allowBlank="1" showErrorMessage="1" sqref="R12:R13 R15 R19:R22 R24:R26 R28:R31 R38:R42 R44:R50 R58:R60 R62 R70:R72 R74:R80 R82:R86 R88:R115 R120:R121 R124:R129">
      <formula1>"Even,YOY Growth,Manual"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2026-10-02T15:01:07Z</dcterms:created>
  <dc:creator>Kent Turner</dc:creator>
</cp:coreProperties>
</file>